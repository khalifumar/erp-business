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BOOK" sheetId="1" r:id="rId5"/>
    <sheet state="visible" name="PAPER BAG" sheetId="2" r:id="rId6"/>
    <sheet state="visible" name="FOOD WRAP" sheetId="3" r:id="rId7"/>
    <sheet state="visible" name="WRAPPING PAPER" sheetId="4" r:id="rId8"/>
    <sheet state="visible" name="SATCHEL BAG" sheetId="5" r:id="rId9"/>
    <sheet state="visible" name="SLEEVE" sheetId="6" r:id="rId10"/>
    <sheet state="visible" name="BOX" sheetId="7" r:id="rId11"/>
    <sheet state="visible" name="TAKEAWAY CUP" sheetId="8" r:id="rId12"/>
    <sheet state="visible" name="Others" sheetId="9" r:id="rId13"/>
  </sheets>
  <definedNames/>
  <calcPr/>
</workbook>
</file>

<file path=xl/sharedStrings.xml><?xml version="1.0" encoding="utf-8"?>
<sst xmlns="http://schemas.openxmlformats.org/spreadsheetml/2006/main" count="12309" uniqueCount="1500">
  <si>
    <t>Paper Bag</t>
  </si>
  <si>
    <t>WRAPPING PAPER</t>
  </si>
  <si>
    <t>COGS</t>
  </si>
  <si>
    <t>PAPER BAG</t>
  </si>
  <si>
    <t>Selling Price</t>
  </si>
  <si>
    <t>SATCHEL BAG</t>
  </si>
  <si>
    <t>FOOD WRAP</t>
  </si>
  <si>
    <t>SP0001</t>
  </si>
  <si>
    <t>SP0002</t>
  </si>
  <si>
    <t>SP0003</t>
  </si>
  <si>
    <t>Price List</t>
  </si>
  <si>
    <t>Brand</t>
  </si>
  <si>
    <t>1 Sisi 1W Sablon</t>
  </si>
  <si>
    <t>Product</t>
  </si>
  <si>
    <t>Material (gsm)</t>
  </si>
  <si>
    <t>Size (P x L x T)</t>
  </si>
  <si>
    <t>Color</t>
  </si>
  <si>
    <t>Code</t>
  </si>
  <si>
    <t>Detail Color</t>
  </si>
  <si>
    <t>Category</t>
  </si>
  <si>
    <t>Finishing</t>
  </si>
  <si>
    <t>Qty/Ctn</t>
  </si>
  <si>
    <t>Qty</t>
  </si>
  <si>
    <t>COGS (Excl)</t>
  </si>
  <si>
    <t>Qty/Ctn 2</t>
  </si>
  <si>
    <t>Qty 2</t>
  </si>
  <si>
    <t>COGS (Excl) 2</t>
  </si>
  <si>
    <t>Qty/Ctn 3</t>
  </si>
  <si>
    <t>Qty 3</t>
  </si>
  <si>
    <t>COGS (Excl) 3</t>
  </si>
  <si>
    <t>Profit</t>
  </si>
  <si>
    <t>Profit SO</t>
  </si>
  <si>
    <t>Hapa Kitchen</t>
  </si>
  <si>
    <t>Window Satchel Bag</t>
  </si>
  <si>
    <t>White Kraft 120, Plastik</t>
  </si>
  <si>
    <t>18 x 7 x 30</t>
  </si>
  <si>
    <t>2/0</t>
  </si>
  <si>
    <t>Hijau, Gold</t>
  </si>
  <si>
    <t>Oluta</t>
  </si>
  <si>
    <t>Wrapping Paper</t>
  </si>
  <si>
    <t>Price</t>
  </si>
  <si>
    <t>Custom</t>
  </si>
  <si>
    <t>Greaseproof 40</t>
  </si>
  <si>
    <t>Total</t>
  </si>
  <si>
    <t>Pond, Lem</t>
  </si>
  <si>
    <t>8,8 x 12,5</t>
  </si>
  <si>
    <t>3/0</t>
  </si>
  <si>
    <t>Pink, Coklat, Hitam</t>
  </si>
  <si>
    <t>Bao Face</t>
  </si>
  <si>
    <t>Potong</t>
  </si>
  <si>
    <t>Foodwrap</t>
  </si>
  <si>
    <t>Wonsot</t>
  </si>
  <si>
    <t>Brown Paperbag Handle</t>
  </si>
  <si>
    <t>22 x 22</t>
  </si>
  <si>
    <t>Brown Kraft 125 gsm</t>
  </si>
  <si>
    <t>1/0</t>
  </si>
  <si>
    <t>P 20 x L 20 x T 25 cm</t>
  </si>
  <si>
    <t>Gold</t>
  </si>
  <si>
    <t>Merah</t>
  </si>
  <si>
    <t>Pond, Lem, Tali Twist Coklat, Alas Duplex</t>
  </si>
  <si>
    <t>Moriette Creperie</t>
  </si>
  <si>
    <t>HVS 100</t>
  </si>
  <si>
    <t>30 x 30</t>
  </si>
  <si>
    <t>4/0</t>
  </si>
  <si>
    <t>Amore</t>
  </si>
  <si>
    <t>White Satchel Bag</t>
  </si>
  <si>
    <t>35 x 5 x 25</t>
  </si>
  <si>
    <t>CMYK</t>
  </si>
  <si>
    <t>Guri Guri Chiken</t>
  </si>
  <si>
    <t>23  x 23</t>
  </si>
  <si>
    <t>La Formule Bakehouse</t>
  </si>
  <si>
    <t>Satchel Bag</t>
  </si>
  <si>
    <t>Greaseproof 50</t>
  </si>
  <si>
    <t>19 x 10 x 32</t>
  </si>
  <si>
    <t>Hijau</t>
  </si>
  <si>
    <t>18 x 19,5</t>
  </si>
  <si>
    <t>Mica</t>
  </si>
  <si>
    <t>Art Carton 190</t>
  </si>
  <si>
    <t>Chickroll</t>
  </si>
  <si>
    <t>2 x 2 x 25</t>
  </si>
  <si>
    <t>30 x 13 x 22</t>
  </si>
  <si>
    <t>Block Pink, Coklat</t>
  </si>
  <si>
    <t>Pond, Lem, Laminating Doff 1/0, Mata Ayam, Tali Kur Putih</t>
  </si>
  <si>
    <t>Sallymade</t>
  </si>
  <si>
    <t>10,5 x 3,7 x 19</t>
  </si>
  <si>
    <t>MG Laminasi 40</t>
  </si>
  <si>
    <t>23 x 23</t>
  </si>
  <si>
    <t>Ivory 210 gsm</t>
  </si>
  <si>
    <t>Cooky</t>
  </si>
  <si>
    <t>Envelope Satchel Bag</t>
  </si>
  <si>
    <t>Size Close 11 x 11</t>
  </si>
  <si>
    <t>Merah, Pink</t>
  </si>
  <si>
    <t>Avira</t>
  </si>
  <si>
    <t>25 x 29,5</t>
  </si>
  <si>
    <t>Belle&amp;Kate</t>
  </si>
  <si>
    <t>Ivory 230 gsm</t>
  </si>
  <si>
    <t>44 x 20 x 40</t>
  </si>
  <si>
    <t>0/0</t>
  </si>
  <si>
    <t>Pond, Lem, Laminasi Doff 1/0, Tanpa Mata Ayam, Tali kur putih stopper hitam</t>
  </si>
  <si>
    <t>Noolstarla</t>
  </si>
  <si>
    <t>Coklat</t>
  </si>
  <si>
    <t>Yeoh Bakery &amp; Coffe</t>
  </si>
  <si>
    <t>16 x 5 x 22</t>
  </si>
  <si>
    <t>Hitam, Merah</t>
  </si>
  <si>
    <t>Batik Keris</t>
  </si>
  <si>
    <t>Paper Bag Besar</t>
  </si>
  <si>
    <t>Ivory 300</t>
  </si>
  <si>
    <t>38 x 26 x 11</t>
  </si>
  <si>
    <t>Hitam</t>
  </si>
  <si>
    <t>Pond, Lem, Laminating Doff, Mata Ayam, Tali Kur Hitam, Foil Gold 2 Mata, Tatakan Duplex</t>
  </si>
  <si>
    <t>Sehimpoen</t>
  </si>
  <si>
    <t>15 x 15</t>
  </si>
  <si>
    <t>Hijau, Kuning</t>
  </si>
  <si>
    <t>Hokaido Patisserie</t>
  </si>
  <si>
    <t>20 x 20</t>
  </si>
  <si>
    <t>26 x 11 x 38</t>
  </si>
  <si>
    <t>Biru, Kuning</t>
  </si>
  <si>
    <t>9,9 x 3,5 x 12,3</t>
  </si>
  <si>
    <t>Kuning, Hitam</t>
  </si>
  <si>
    <t>Maison Crumble</t>
  </si>
  <si>
    <t>20 x 30</t>
  </si>
  <si>
    <t>Orange</t>
  </si>
  <si>
    <t>Chikin Pop</t>
  </si>
  <si>
    <t>Avira Cafe</t>
  </si>
  <si>
    <t>12,3 x 4,3 x 19</t>
  </si>
  <si>
    <t>Merah, Kuning</t>
  </si>
  <si>
    <t>Olins Donuts</t>
  </si>
  <si>
    <t>Paper Bag Handle</t>
  </si>
  <si>
    <t>Ivory 250</t>
  </si>
  <si>
    <t>30,5 x 15 x 25</t>
  </si>
  <si>
    <t>Biru Block</t>
  </si>
  <si>
    <t>Pond, Lem, WB 1/0, Talikur Putih</t>
  </si>
  <si>
    <t>Sugar Butter</t>
  </si>
  <si>
    <t>Merah, Orange, Hijau</t>
  </si>
  <si>
    <t>Rumangrove</t>
  </si>
  <si>
    <t>10 x 20</t>
  </si>
  <si>
    <t>Tahu Tahu</t>
  </si>
  <si>
    <t>12 x 7 x 17,5</t>
  </si>
  <si>
    <t>Ammi Cepu Hotel</t>
  </si>
  <si>
    <t>Brown Kraft 125</t>
  </si>
  <si>
    <t>24 x 18 x 30</t>
  </si>
  <si>
    <t>Putih Logo</t>
  </si>
  <si>
    <t>Pond, Lem, Tali Twist Coklat</t>
  </si>
  <si>
    <t>Two Blocks</t>
  </si>
  <si>
    <t>21 x 21</t>
  </si>
  <si>
    <t>RRR Chicken</t>
  </si>
  <si>
    <t>Satchel Envelope</t>
  </si>
  <si>
    <t>Bakedmood Bakehouse</t>
  </si>
  <si>
    <t>14 x 20</t>
  </si>
  <si>
    <t>White Kraft 120</t>
  </si>
  <si>
    <t>21,8 x 21,8 x 25</t>
  </si>
  <si>
    <t>Kuning, Pink</t>
  </si>
  <si>
    <t>Pond, Lem, Tali Twist Putih</t>
  </si>
  <si>
    <t>15 x 20</t>
  </si>
  <si>
    <t>Fasa</t>
  </si>
  <si>
    <t>Brown Kraft 80</t>
  </si>
  <si>
    <t>18 x 14</t>
  </si>
  <si>
    <t>Putih</t>
  </si>
  <si>
    <t>DecembeRoll</t>
  </si>
  <si>
    <t>Brown Kraft 81</t>
  </si>
  <si>
    <t>16,7 x 16,7 x 26</t>
  </si>
  <si>
    <t>19 x 14</t>
  </si>
  <si>
    <t>Biru, Orange, Pink</t>
  </si>
  <si>
    <t>5 Times Burger</t>
  </si>
  <si>
    <t>Pattern Hitam</t>
  </si>
  <si>
    <t>Brown Kraft 82</t>
  </si>
  <si>
    <t>20 x 14</t>
  </si>
  <si>
    <t>Risoeltan</t>
  </si>
  <si>
    <t>11 x 11</t>
  </si>
  <si>
    <t>Lamidaily</t>
  </si>
  <si>
    <t>30 x 10 x 40</t>
  </si>
  <si>
    <t>Pink</t>
  </si>
  <si>
    <t>Epiz Waffle</t>
  </si>
  <si>
    <t>11 x 4 x 11</t>
  </si>
  <si>
    <t>Covistry</t>
  </si>
  <si>
    <t>White Kraft 80</t>
  </si>
  <si>
    <t>20 x 11 x 27</t>
  </si>
  <si>
    <t>10,5 x 3,5 x 11</t>
  </si>
  <si>
    <t>Periplus Bookshop</t>
  </si>
  <si>
    <t>25 x 10 x 32</t>
  </si>
  <si>
    <t>Rich Burger</t>
  </si>
  <si>
    <t>Orange Pattern</t>
  </si>
  <si>
    <t>Cream, Ungu</t>
  </si>
  <si>
    <t>Shake Shake</t>
  </si>
  <si>
    <t>21 x 11 x 26,5</t>
  </si>
  <si>
    <t>Pink Block</t>
  </si>
  <si>
    <t>60 x 30</t>
  </si>
  <si>
    <t>Pink Block, Abu- Abu</t>
  </si>
  <si>
    <t>Kartika Sari</t>
  </si>
  <si>
    <t>Alumunium Satchel Bag</t>
  </si>
  <si>
    <t>HVS 100 + Alumunium</t>
  </si>
  <si>
    <t>7 x 4 x 33</t>
  </si>
  <si>
    <t>Pizza Piezero</t>
  </si>
  <si>
    <t>38 x 38</t>
  </si>
  <si>
    <t>12 x 7 x 23</t>
  </si>
  <si>
    <t>Food Therapy</t>
  </si>
  <si>
    <t>20 x 9 x 29</t>
  </si>
  <si>
    <t>Deep Purple Block</t>
  </si>
  <si>
    <t>16 x 7 x 23</t>
  </si>
  <si>
    <t>30 x 9 x 33</t>
  </si>
  <si>
    <t>Bakso Goreng GG</t>
  </si>
  <si>
    <t>Biru Pattern</t>
  </si>
  <si>
    <t>Epiz Chicken</t>
  </si>
  <si>
    <t>Alumunium M Satchel Bag</t>
  </si>
  <si>
    <t>HVS 50 + Alumunium 20</t>
  </si>
  <si>
    <t>16 x 7 x 29</t>
  </si>
  <si>
    <t>Sundy Kind (C&amp;F)</t>
  </si>
  <si>
    <t>22 x 10 x 20,</t>
  </si>
  <si>
    <t>Alumunium S Satchel Bag</t>
  </si>
  <si>
    <t>Hijau Pola Pattern</t>
  </si>
  <si>
    <t>Pantone 5493 C</t>
  </si>
  <si>
    <t>Pond, Lem, Alas Duplex</t>
  </si>
  <si>
    <t>22 x 10 x 20</t>
  </si>
  <si>
    <t>Crustyloaf</t>
  </si>
  <si>
    <t>Greaseproof 40 + Plastik</t>
  </si>
  <si>
    <t>11 x 6 x 59</t>
  </si>
  <si>
    <t>Biru</t>
  </si>
  <si>
    <t>NCY Shoes</t>
  </si>
  <si>
    <t>Cukup Tahu</t>
  </si>
  <si>
    <t>Greaseproff 40</t>
  </si>
  <si>
    <t>13 x 7 x 28</t>
  </si>
  <si>
    <t>37 x 14 x 28</t>
  </si>
  <si>
    <t>Kuning, Merah, Hitam</t>
  </si>
  <si>
    <t>12 x 5 x 18,5</t>
  </si>
  <si>
    <t>Hitam, Kuning</t>
  </si>
  <si>
    <t>Drools</t>
  </si>
  <si>
    <t>14 x 14 x 30</t>
  </si>
  <si>
    <t>Cookiedos</t>
  </si>
  <si>
    <t>Paris Baguette</t>
  </si>
  <si>
    <t>24 x 31</t>
  </si>
  <si>
    <t>13 x 4.6 x 26</t>
  </si>
  <si>
    <t>Potong, Lem</t>
  </si>
  <si>
    <t>Si Poki</t>
  </si>
  <si>
    <t>White Envelope Satchel Bag</t>
  </si>
  <si>
    <t>Greaseproof 40 gsm</t>
  </si>
  <si>
    <t>12 x 16</t>
  </si>
  <si>
    <t>Myani Bread Club</t>
  </si>
  <si>
    <t>15 x 11 x 25</t>
  </si>
  <si>
    <t>Cream, Orange, Biru</t>
  </si>
  <si>
    <t>Kuning</t>
  </si>
  <si>
    <t>Rokaya</t>
  </si>
  <si>
    <t>12 x 7 x 18</t>
  </si>
  <si>
    <t>32 x 12 x 28,5</t>
  </si>
  <si>
    <t>13 x 8 x 23</t>
  </si>
  <si>
    <t>15 x 31</t>
  </si>
  <si>
    <t>Bubu Bakermom</t>
  </si>
  <si>
    <t>GreaseProof 50</t>
  </si>
  <si>
    <t>16 x 7 x 22</t>
  </si>
  <si>
    <t>Creamy Karroty</t>
  </si>
  <si>
    <t>Oru Indonesia</t>
  </si>
  <si>
    <t>16 x 8 x 20</t>
  </si>
  <si>
    <t>Greaseproof 50 gsm</t>
  </si>
  <si>
    <t>P 11 x L 4 x T 11 cm</t>
  </si>
  <si>
    <t>Nomu Bakehouse</t>
  </si>
  <si>
    <t>P 13 x L 7.5 x T 21 cm</t>
  </si>
  <si>
    <t>Pond, Lem,  Tali Twist Putih</t>
  </si>
  <si>
    <t>Daeng Burger</t>
  </si>
  <si>
    <t>32 x 36</t>
  </si>
  <si>
    <t>White SatchelBag</t>
  </si>
  <si>
    <t>Hey Kuro</t>
  </si>
  <si>
    <t>30 x 23 x 25</t>
  </si>
  <si>
    <t/>
  </si>
  <si>
    <t>Straits Coffe &amp; Eatery</t>
  </si>
  <si>
    <t>20  x 15</t>
  </si>
  <si>
    <t>Gutten Morgen</t>
  </si>
  <si>
    <t>24 x 15 x 29,2</t>
  </si>
  <si>
    <t>Pond, Lem, Tali Twist Hitam</t>
  </si>
  <si>
    <t>20 x 15</t>
  </si>
  <si>
    <t>20,5 x 10,5 x 28</t>
  </si>
  <si>
    <t>D. Val Cafe</t>
  </si>
  <si>
    <t>18 x 18</t>
  </si>
  <si>
    <t>Hijau Pattern</t>
  </si>
  <si>
    <t>Saltside</t>
  </si>
  <si>
    <t>15 x 10 x 30</t>
  </si>
  <si>
    <t>Pond, Lem, Tali Rami Coklat</t>
  </si>
  <si>
    <t>Ruma Musi Coffe &amp; Eatery</t>
  </si>
  <si>
    <t>20 x 10 x 30</t>
  </si>
  <si>
    <t>Jenny's Cookies</t>
  </si>
  <si>
    <t>20 x 50</t>
  </si>
  <si>
    <t>Dermaciere</t>
  </si>
  <si>
    <t>20 x 9 x 25</t>
  </si>
  <si>
    <t>Coklat, Hitam</t>
  </si>
  <si>
    <t>22 x 60</t>
  </si>
  <si>
    <t>The Room</t>
  </si>
  <si>
    <t>23 x 15,5</t>
  </si>
  <si>
    <t>12 x 6 x 15</t>
  </si>
  <si>
    <t>Trulyko Geprek &amp; BBQ</t>
  </si>
  <si>
    <t>25 x 25</t>
  </si>
  <si>
    <t>PROTY</t>
  </si>
  <si>
    <t>Ivory 230 gsm, Art Carton 250, Mika 0,1 Mic, (20 x 10 cm)</t>
  </si>
  <si>
    <t>30 x 7 x 25</t>
  </si>
  <si>
    <t>Pond, Lem, Tali Kur Putih 40 cm, Mata Ayam</t>
  </si>
  <si>
    <t>KOKOBUN</t>
  </si>
  <si>
    <t>21 x 58,8</t>
  </si>
  <si>
    <t>Cream, Biru</t>
  </si>
  <si>
    <t>PIhu</t>
  </si>
  <si>
    <t>12 x 5 x 19</t>
  </si>
  <si>
    <t>Merah, Cream</t>
  </si>
  <si>
    <t>Flores Chicken</t>
  </si>
  <si>
    <t>Makaroni Pasta</t>
  </si>
  <si>
    <t>25 x 13 x 29</t>
  </si>
  <si>
    <t>Merah, Kuning Logo</t>
  </si>
  <si>
    <t>LRD</t>
  </si>
  <si>
    <t>13 x 15</t>
  </si>
  <si>
    <t>Merah, Kuning Block</t>
  </si>
  <si>
    <t>KALARA PADEL CLUB</t>
  </si>
  <si>
    <t>23,5 x 11,5 x 27,3</t>
  </si>
  <si>
    <t>Peko Tea Bar</t>
  </si>
  <si>
    <t>30 x 20 x 30</t>
  </si>
  <si>
    <t>PRUF</t>
  </si>
  <si>
    <t>24 x 12 x 28</t>
  </si>
  <si>
    <t>Hitam, Biru</t>
  </si>
  <si>
    <t>Pond, Lem, Tali Twist Putih, Tatakan Duplex</t>
  </si>
  <si>
    <t>Roti Kopi Naga</t>
  </si>
  <si>
    <t>40 x 30</t>
  </si>
  <si>
    <t>SLEEVE</t>
  </si>
  <si>
    <t>NAVANA HEALTH BEUTY</t>
  </si>
  <si>
    <t>17 x 7 x 25</t>
  </si>
  <si>
    <t>Full Pink Block</t>
  </si>
  <si>
    <t>Column 30</t>
  </si>
  <si>
    <t>Nett</t>
  </si>
  <si>
    <t>Column 23</t>
  </si>
  <si>
    <t>Mimatcha</t>
  </si>
  <si>
    <t>Sleeve Donut</t>
  </si>
  <si>
    <t>10 x 10</t>
  </si>
  <si>
    <t>Sky Pasta</t>
  </si>
  <si>
    <t>BakkerShuis</t>
  </si>
  <si>
    <t>Paper Sleeve</t>
  </si>
  <si>
    <t>13 x 13</t>
  </si>
  <si>
    <t>Merah, Hitam</t>
  </si>
  <si>
    <t>Apical Group</t>
  </si>
  <si>
    <t>30 x 27</t>
  </si>
  <si>
    <t>Luangkan Premium Tea</t>
  </si>
  <si>
    <t>Ivory 210</t>
  </si>
  <si>
    <t>14 x 8 x 25</t>
  </si>
  <si>
    <t>Pond, Lem, Laminating Doff 1/0, Tali Tambang Hitam 35 cm</t>
  </si>
  <si>
    <t>Lucha Coffe &amp; Eatery</t>
  </si>
  <si>
    <t>27 x 25</t>
  </si>
  <si>
    <t>The Curler Prime Rib</t>
  </si>
  <si>
    <t>Black</t>
  </si>
  <si>
    <t>Magi Patisserie</t>
  </si>
  <si>
    <t>PEPR</t>
  </si>
  <si>
    <t>Burger Sleeve</t>
  </si>
  <si>
    <t>12 x 12</t>
  </si>
  <si>
    <t>Kana's Kitchen</t>
  </si>
  <si>
    <t>Virgin White Kraft 120 gsm</t>
  </si>
  <si>
    <t>18 x 18 x 25</t>
  </si>
  <si>
    <t>Sumo Bae</t>
  </si>
  <si>
    <t>Chef's Table by Somerset</t>
  </si>
  <si>
    <t>Ivory 270</t>
  </si>
  <si>
    <t>27 x 27 x 27</t>
  </si>
  <si>
    <t>Hijau Block</t>
  </si>
  <si>
    <t>Mikkro Espesso</t>
  </si>
  <si>
    <t>Pond, Lem, Tali Kur Hitam, Mata Ayam, Laminating Glossy 1/0</t>
  </si>
  <si>
    <t>16,5 x 16,5</t>
  </si>
  <si>
    <t>Pizza Company</t>
  </si>
  <si>
    <t>Sleeve Cookies</t>
  </si>
  <si>
    <t>36,5 x 9 x 28</t>
  </si>
  <si>
    <t>Nana Dessert Studio</t>
  </si>
  <si>
    <t>24 x 12 x 23</t>
  </si>
  <si>
    <t>Cream, Coklat</t>
  </si>
  <si>
    <t>Pond, Lem, Tali Kur Cream, Mata Ayam, Lam Doff</t>
  </si>
  <si>
    <t>Butter Baby</t>
  </si>
  <si>
    <t>30 x 40</t>
  </si>
  <si>
    <t>MG Laminasi 50</t>
  </si>
  <si>
    <t>Yuan Market</t>
  </si>
  <si>
    <t>21 x 10 x 27</t>
  </si>
  <si>
    <t>BOX</t>
  </si>
  <si>
    <t>FL004</t>
  </si>
  <si>
    <t>12,5 x 11</t>
  </si>
  <si>
    <t>Pond, Lem 1 titik</t>
  </si>
  <si>
    <t>VL003</t>
  </si>
  <si>
    <t>VL001</t>
  </si>
  <si>
    <t>31 x 12 x 40</t>
  </si>
  <si>
    <t>35 x 24</t>
  </si>
  <si>
    <t>COGS MAX</t>
  </si>
  <si>
    <t>Profit Nett</t>
  </si>
  <si>
    <t>Skin Solution</t>
  </si>
  <si>
    <t>Box</t>
  </si>
  <si>
    <t>Ivory 350</t>
  </si>
  <si>
    <t>Pond, Lem 2 titik</t>
  </si>
  <si>
    <t>20 x 12 x 12    (Close)   55 x 62     (Open)</t>
  </si>
  <si>
    <t>Pantone 715 C &amp; 4186 C</t>
  </si>
  <si>
    <t>Kuliner Ny Oey</t>
  </si>
  <si>
    <t>Pond, Lem, Laminating Glossy/Doff 1/1</t>
  </si>
  <si>
    <t>30 x 22 x 20</t>
  </si>
  <si>
    <t>Pond, Lem, Tali Twist</t>
  </si>
  <si>
    <t>Morenos</t>
  </si>
  <si>
    <t>Sleeve Cone Morenos</t>
  </si>
  <si>
    <t>Art Paper 210</t>
  </si>
  <si>
    <t>14 x 11</t>
  </si>
  <si>
    <t>Blue, Orange</t>
  </si>
  <si>
    <t>Pond, Lem, Laminasi</t>
  </si>
  <si>
    <t>Zodiac For Patty</t>
  </si>
  <si>
    <t>Papilion's Market Place</t>
  </si>
  <si>
    <t>35 x 35</t>
  </si>
  <si>
    <t>20 x 12 x 12 (Close)   55 x 62 (Open)</t>
  </si>
  <si>
    <t>24 x 15 x 31</t>
  </si>
  <si>
    <t>Boelan Madoe</t>
  </si>
  <si>
    <t>23 x 17, 5</t>
  </si>
  <si>
    <t>Cream, Maroon</t>
  </si>
  <si>
    <t>25 x 6 x 32</t>
  </si>
  <si>
    <t>0 km Cafe</t>
  </si>
  <si>
    <t>21,5 x 16,5</t>
  </si>
  <si>
    <t>Pantone</t>
  </si>
  <si>
    <t>Ini Cafe</t>
  </si>
  <si>
    <t>21 x 29,7</t>
  </si>
  <si>
    <t>Blue</t>
  </si>
  <si>
    <t>Pond, Lem, Laminasi Doft</t>
  </si>
  <si>
    <t>Wingstop</t>
  </si>
  <si>
    <t>28 x 15 x 28</t>
  </si>
  <si>
    <t>Pantone 349C</t>
  </si>
  <si>
    <t>Nozawa Bakery</t>
  </si>
  <si>
    <t>14 x 14</t>
  </si>
  <si>
    <t>Kurama</t>
  </si>
  <si>
    <t>18,5 x 18,5</t>
  </si>
  <si>
    <t>Kebab Premium</t>
  </si>
  <si>
    <t>Box Kebab</t>
  </si>
  <si>
    <t>Ivory 260</t>
  </si>
  <si>
    <t>8 x 5 x 22     (Close)   (Open)</t>
  </si>
  <si>
    <t>Pond, Perforasi</t>
  </si>
  <si>
    <t>Nostimo Cakery</t>
  </si>
  <si>
    <t>Collete Lola Cakes &amp; Dreams</t>
  </si>
  <si>
    <t>25 x 15 x 28</t>
  </si>
  <si>
    <t>Cafe Ruang Sapta</t>
  </si>
  <si>
    <t>Lunchbox</t>
  </si>
  <si>
    <t>18 x 10,5 x 5     (Close)   (Open)</t>
  </si>
  <si>
    <t>20  x 20</t>
  </si>
  <si>
    <t>Pond, Waterbase</t>
  </si>
  <si>
    <t>Olli</t>
  </si>
  <si>
    <t>Lazy Butter</t>
  </si>
  <si>
    <t>Sleeve</t>
  </si>
  <si>
    <t>60 x 40</t>
  </si>
  <si>
    <t>Triangle Cake Box</t>
  </si>
  <si>
    <t>15 x 13 x 8     (Close)   (Open)</t>
  </si>
  <si>
    <t>20,5 x 11,5 x 30</t>
  </si>
  <si>
    <t>P. Blue (2132), P. White (11-4201 TCX)</t>
  </si>
  <si>
    <t>Hitam, Kuning Block</t>
  </si>
  <si>
    <t>Pooby Cooks</t>
  </si>
  <si>
    <t>15 x 9 x 9 (Close)   (Open)</t>
  </si>
  <si>
    <t>Hijau tua, Hijau muda</t>
  </si>
  <si>
    <t>Pond, Waterbase, Kait</t>
  </si>
  <si>
    <t>Kuning Block</t>
  </si>
  <si>
    <t>The Potato Club</t>
  </si>
  <si>
    <t>26,5 x 26,5</t>
  </si>
  <si>
    <t>Walini</t>
  </si>
  <si>
    <t>Ronna Cakery</t>
  </si>
  <si>
    <t>Tea Box</t>
  </si>
  <si>
    <t>Ivory 360</t>
  </si>
  <si>
    <t>50 x 35</t>
  </si>
  <si>
    <t>23 x 7,7 x 8     (Close)   (Open)</t>
  </si>
  <si>
    <t>FOKAS</t>
  </si>
  <si>
    <t>Box Sleeve</t>
  </si>
  <si>
    <t>Pond, Lem, Waterbase 1/0</t>
  </si>
  <si>
    <t>12 x 40</t>
  </si>
  <si>
    <t>Pond, Lem, Lam Doff 1/2</t>
  </si>
  <si>
    <t>Pond, Lem, Lam Doff 1/3</t>
  </si>
  <si>
    <t>Box Apple Pie Sleeve</t>
  </si>
  <si>
    <t>Duplex 350</t>
  </si>
  <si>
    <t>28,5 x 9,2 x 4,7</t>
  </si>
  <si>
    <t>Special Color</t>
  </si>
  <si>
    <t>Pond, Lem, WB 1/0, Foil</t>
  </si>
  <si>
    <t>Cbezt</t>
  </si>
  <si>
    <t>Ivory 310</t>
  </si>
  <si>
    <t>P. Orange (6020), P. Blue (2132 C), P White (11-4201 TCX)</t>
  </si>
  <si>
    <t>15 x 12 x 16     (Close)   (Open)</t>
  </si>
  <si>
    <t>Pond, Waterbase 1/0</t>
  </si>
  <si>
    <t>Ayam Penyet Mas Marno</t>
  </si>
  <si>
    <t>Pond, Lem, WB 1/0</t>
  </si>
  <si>
    <t>19 Coffee &amp; Pastry</t>
  </si>
  <si>
    <t>Gable Box</t>
  </si>
  <si>
    <t>Brown Kraft 300 gsm</t>
  </si>
  <si>
    <t>Close P 21 x L 17 x T 15 cm</t>
  </si>
  <si>
    <t>Coklat Tua Logo</t>
  </si>
  <si>
    <t>Pond, Kait, Mika 0.1 mm (15.01 x 15.01 cm), Laminasi Glossy 0/1</t>
  </si>
  <si>
    <t>Something Baked</t>
  </si>
  <si>
    <t>29 x 29</t>
  </si>
  <si>
    <t>ALSTONIA</t>
  </si>
  <si>
    <t>Gable box</t>
  </si>
  <si>
    <t>Ivory 300 gsm</t>
  </si>
  <si>
    <t>22 x 12 x 10 (Close)   (Open)</t>
  </si>
  <si>
    <t>Ungu, Kuning</t>
  </si>
  <si>
    <t>Pond, Kait, Water based luar, Laminasi glossy dalam</t>
  </si>
  <si>
    <t>Convistry</t>
  </si>
  <si>
    <t>20 x 20 x 12  (Close)   (Open)</t>
  </si>
  <si>
    <t>Schotel inc</t>
  </si>
  <si>
    <t>25 x 27</t>
  </si>
  <si>
    <t>Du Savoy</t>
  </si>
  <si>
    <t>25 x 15 x 15 (Close)  82 x 41 (Open)</t>
  </si>
  <si>
    <t>24 x 15 x 28,5</t>
  </si>
  <si>
    <t>Biru &amp; Gold</t>
  </si>
  <si>
    <t>Pond, Lem, Lam Glossy 0/1, Lam Doft 1/0</t>
  </si>
  <si>
    <t>Garden by The Joglo</t>
  </si>
  <si>
    <t>Forksteel</t>
  </si>
  <si>
    <t>17 x 25</t>
  </si>
  <si>
    <t>22 x 11 x 11 (Close)  68 x 30,5 (Open)</t>
  </si>
  <si>
    <t>Abu Abu</t>
  </si>
  <si>
    <t>Pond, Lem, Waterbase 1/0, Foil Silver dan samping</t>
  </si>
  <si>
    <t>35 x 30</t>
  </si>
  <si>
    <t>Ikan Bakar 89</t>
  </si>
  <si>
    <t>Kimbo Bites</t>
  </si>
  <si>
    <t>Box Kimbo</t>
  </si>
  <si>
    <t>12,9 x 8,9 x 15     (Close)   (Open)</t>
  </si>
  <si>
    <t>Whatplroo</t>
  </si>
  <si>
    <t>Greasproof 40</t>
  </si>
  <si>
    <t>14 x 12,5</t>
  </si>
  <si>
    <t>Biru, Coklat</t>
  </si>
  <si>
    <t>Pond , Lem</t>
  </si>
  <si>
    <t>19,5 x 10,5 x 28</t>
  </si>
  <si>
    <t>D'Suka Fried Chicken</t>
  </si>
  <si>
    <t>20,5 x 30</t>
  </si>
  <si>
    <t>Orthojack</t>
  </si>
  <si>
    <t>Brown Kraft 250</t>
  </si>
  <si>
    <t>11 x 6,5 x 25     (Close)   (Open)</t>
  </si>
  <si>
    <t>Ni Cha Brew Lab</t>
  </si>
  <si>
    <t>Cup Sleeve</t>
  </si>
  <si>
    <t>Art Carton 260</t>
  </si>
  <si>
    <t>30 x 5</t>
  </si>
  <si>
    <t>Bread Culture</t>
  </si>
  <si>
    <t>20 x 13 x 28</t>
  </si>
  <si>
    <t>Matchaya</t>
  </si>
  <si>
    <t>7,7 x  58</t>
  </si>
  <si>
    <t>27 x 27,5</t>
  </si>
  <si>
    <t>Tutur Bakery</t>
  </si>
  <si>
    <t>Hijau + Gold Foil RG1112 4 x 4</t>
  </si>
  <si>
    <t>25 x 12 x 24</t>
  </si>
  <si>
    <t>Merah, Orange, Cream</t>
  </si>
  <si>
    <t>Hijau + Gold Foil RG1112 4 x 5</t>
  </si>
  <si>
    <t>26 x 6 x 35     (Close)   (Open)</t>
  </si>
  <si>
    <t>Hijau + Gold Foil RG1112 4 x 6</t>
  </si>
  <si>
    <t>24 x 15 x 29</t>
  </si>
  <si>
    <t>Cream, Kuning, Hitam</t>
  </si>
  <si>
    <t>Waldemar Cafe &amp; Pizzaria</t>
  </si>
  <si>
    <t>Pond, Lem, Tali Twiat Putih, Alas Duplex</t>
  </si>
  <si>
    <t>Pizza Sleeve</t>
  </si>
  <si>
    <t>13 x 3 x 11</t>
  </si>
  <si>
    <t>Ungu</t>
  </si>
  <si>
    <t>Pond, Lem, Waterbaase 1/0, Laminasi Gloss 0/1</t>
  </si>
  <si>
    <t>Kriuk Hijau</t>
  </si>
  <si>
    <t>Innerbox</t>
  </si>
  <si>
    <t>DC 250</t>
  </si>
  <si>
    <t>12 x 6,5 x 12,5 (Close)   (Open)</t>
  </si>
  <si>
    <t>Nara Skin</t>
  </si>
  <si>
    <t>Butter Crumble</t>
  </si>
  <si>
    <t>Box Lotion</t>
  </si>
  <si>
    <t>4,7 x 4,7 x 15,8 (Close)  20,3 x 27 (Open)</t>
  </si>
  <si>
    <t>White Kraft 150</t>
  </si>
  <si>
    <t>Pond, Lem, Waterbaase 1/0, Laminasi Gloss 0/2</t>
  </si>
  <si>
    <t>15 x 17</t>
  </si>
  <si>
    <t>Pond, Lem samping, Lam Doft 1/0,Poly Silver</t>
  </si>
  <si>
    <t>Pond, Lem, Tali Twist Putih, Alas Duplex</t>
  </si>
  <si>
    <t>Pond, Lem, Waterbaase 1/0, Laminasi Gloss 0/3</t>
  </si>
  <si>
    <t>Little Bug Bakehouse</t>
  </si>
  <si>
    <t>Gable box (Item 1)</t>
  </si>
  <si>
    <t>Close P 25 x L 8 x T 8 cm (Close)  Open P 22 x L 68.45 cm (Open)</t>
  </si>
  <si>
    <t>Merah, Hitam/Merah</t>
  </si>
  <si>
    <t>Pond, Lem Gold Foil 18 x 4 cm, Waterbase 1/0, LamGloss 0/1</t>
  </si>
  <si>
    <t>Pastel Croissant</t>
  </si>
  <si>
    <t>Terama Pattisserie</t>
  </si>
  <si>
    <t>Sleeve (Item 3)</t>
  </si>
  <si>
    <t>Ivory 350 gsm</t>
  </si>
  <si>
    <t>Hitam, Kuning, Coklat</t>
  </si>
  <si>
    <t>Close 26 x 22.5 x 7.3 | Open 62.2 x 38.29</t>
  </si>
  <si>
    <t>Pond, Lem, Laminasi Doft 1/0</t>
  </si>
  <si>
    <t>Babyliss</t>
  </si>
  <si>
    <t>Zeal Baking</t>
  </si>
  <si>
    <t>40 x 30 x 17</t>
  </si>
  <si>
    <t>Pond, Lem, Tali Pita Satin Abu Abu Gelap</t>
  </si>
  <si>
    <t>Optimize Shine by Antika</t>
  </si>
  <si>
    <t>Box Serum</t>
  </si>
  <si>
    <t>2,8 x 3,8 x 8,3 (Close)   (Open)</t>
  </si>
  <si>
    <t>Pond, Lem, Laminating Gloss 1/0, Hotprint Gold area Hijau, Bottom Lock</t>
  </si>
  <si>
    <t>Pond, Lem, Laminasi Doff 1/0, Alas Duplex Abu-Abu Gelap, Logo Foil</t>
  </si>
  <si>
    <t>Ang Patisserie</t>
  </si>
  <si>
    <t>Box Large</t>
  </si>
  <si>
    <t>22 x 22 x 8 (Close)   (Open)</t>
  </si>
  <si>
    <t>Cream Block, Merah</t>
  </si>
  <si>
    <t>Pond, Laminating Doff 1/1, Emboss</t>
  </si>
  <si>
    <t>Hijau, Hitam</t>
  </si>
  <si>
    <t>Mizou</t>
  </si>
  <si>
    <t>Hijau, Cream</t>
  </si>
  <si>
    <t>Cream, Block, Merah</t>
  </si>
  <si>
    <t>Pond, Lem, Taki Twist Putih</t>
  </si>
  <si>
    <t>Pieter's Legit</t>
  </si>
  <si>
    <t>20 x 60</t>
  </si>
  <si>
    <t>Coklat Pattern</t>
  </si>
  <si>
    <t>Box Sutra Besar</t>
  </si>
  <si>
    <t>34 x 23,5 x 5,5 (Close)   (Open)</t>
  </si>
  <si>
    <t>30 x 23 x 35</t>
  </si>
  <si>
    <t>Pond, Lem, Foil Gold 2 Mata, Laminating Doff 1/0</t>
  </si>
  <si>
    <t>Sleeve (Item 4)</t>
  </si>
  <si>
    <t>Open 37.7 x 8</t>
  </si>
  <si>
    <t>Box Sutra Kecil</t>
  </si>
  <si>
    <t>27 x 15 x 5,5  (Close)   (Open)</t>
  </si>
  <si>
    <t>Box Bollen Peyeum (Tutup Saja)</t>
  </si>
  <si>
    <t>23,3 x 10,8 x 4 (Close)  31,3 x 18,8 (Open)</t>
  </si>
  <si>
    <t>CMYK, Pantone, Foil Gold 7588 C</t>
  </si>
  <si>
    <t>Pond, Lem, Laminasi Gloss 0/1, WB 1/0, Logo Gold Foil, Emboss</t>
  </si>
  <si>
    <t>Good Quarter</t>
  </si>
  <si>
    <t>34 x 18</t>
  </si>
  <si>
    <t>Josen</t>
  </si>
  <si>
    <t>22,5 x 15</t>
  </si>
  <si>
    <t>Hijau Block, Cream</t>
  </si>
  <si>
    <t>Haritsa Baby Shop</t>
  </si>
  <si>
    <t>43 x 17 x 43</t>
  </si>
  <si>
    <t>Biru Tua, Biru Muda</t>
  </si>
  <si>
    <t>AB Chicken</t>
  </si>
  <si>
    <t>30,5 x 20,5</t>
  </si>
  <si>
    <t>Box Bollen Durian Keju (Tutup Saja)</t>
  </si>
  <si>
    <t>23,3 x 10,8 x 4 (Close)   (Open)</t>
  </si>
  <si>
    <t>CMYK + Pantone</t>
  </si>
  <si>
    <t>Maison Feerie</t>
  </si>
  <si>
    <t>Sleeve Cone</t>
  </si>
  <si>
    <t>Open P 15.66 x L 12 cm</t>
  </si>
  <si>
    <t>Special Color (Hijau, Cream)</t>
  </si>
  <si>
    <t>29,5 x 29,5</t>
  </si>
  <si>
    <t>Pond, Lem, Laminasi Doff Luar</t>
  </si>
  <si>
    <t>CMYK, Pantone, P Gold 7588 C</t>
  </si>
  <si>
    <t>Burger Wizard</t>
  </si>
  <si>
    <t>Art Paper 100 gsm</t>
  </si>
  <si>
    <t>Pond, Lem, Laminasi Doff 1/0</t>
  </si>
  <si>
    <t>Box Roll Tart</t>
  </si>
  <si>
    <t>32 x12,15 x 9,1 (Close)  50 x 51,5 (Open)</t>
  </si>
  <si>
    <t>CMYK, 1 Spesial Color Cream, P Red 7622</t>
  </si>
  <si>
    <t>Pond, Lem, Laminasi Doff 1/0, Logo Red Foil, 6,6 x 2 cm, Spot UV</t>
  </si>
  <si>
    <t>Sleeve Christmas + Mika</t>
  </si>
  <si>
    <t>Close P 30.3 x L 17.7 x T 9.7 cm</t>
  </si>
  <si>
    <t>Open P 56.8 x L 30.3 cm</t>
  </si>
  <si>
    <t>Laminasi Doff 1/0, Pond, Lem, Mika 0.2 mic (P 31.89 x L 27.14 cm)</t>
  </si>
  <si>
    <t>Restoran Ambo Jowo</t>
  </si>
  <si>
    <t>32 x 40</t>
  </si>
  <si>
    <t>22 x 11 28</t>
  </si>
  <si>
    <t>CMYK + 2 Spesial Color</t>
  </si>
  <si>
    <t>Pond, ,Tanpa Lem, dikaitkan saja, Laminasi Glossy 0/1, Laminasi Doft 1/0, Poly Red</t>
  </si>
  <si>
    <t>Merah, Hijau</t>
  </si>
  <si>
    <t>Gema Coffe</t>
  </si>
  <si>
    <t>Wang Kitchenette</t>
  </si>
  <si>
    <t>22 x 58</t>
  </si>
  <si>
    <t>Box Badan Bollen</t>
  </si>
  <si>
    <t>23 x 10,5 x 4  (Close)  47 x 34,5 (Open)</t>
  </si>
  <si>
    <t>Pond, Lem, Rail</t>
  </si>
  <si>
    <t>Mba Pasta</t>
  </si>
  <si>
    <t>Maroon</t>
  </si>
  <si>
    <t>Cream Block, Maroon</t>
  </si>
  <si>
    <t>29,5 x 13 x 36</t>
  </si>
  <si>
    <t>Sakara</t>
  </si>
  <si>
    <t>Hardi</t>
  </si>
  <si>
    <t>Box Apple Pie</t>
  </si>
  <si>
    <t>28,5 x 9 x 4,5 (Close)   (Open)</t>
  </si>
  <si>
    <t>Mikkro Espresso</t>
  </si>
  <si>
    <t>35 x 50</t>
  </si>
  <si>
    <t>SegarBite</t>
  </si>
  <si>
    <t>Kuning, Hijau</t>
  </si>
  <si>
    <t>28,5 x 9 x 4,5 (Close)  50,9 x 31,4 (Open)</t>
  </si>
  <si>
    <t>Special Color, Block 100</t>
  </si>
  <si>
    <t>Deef Food &amp; Drink</t>
  </si>
  <si>
    <t>Special Color, Block 101</t>
  </si>
  <si>
    <t>Ivory 230</t>
  </si>
  <si>
    <t>Special Color, Block 102</t>
  </si>
  <si>
    <t>Partisi Box Apple Pie</t>
  </si>
  <si>
    <t>7 x 6,5 x 4 (Close)   (Open)</t>
  </si>
  <si>
    <t>Roti Kukus Sedjahterra</t>
  </si>
  <si>
    <t>Man Toast</t>
  </si>
  <si>
    <t>7 x 6,5 x 4 (Close)  50 x 7 (Open)</t>
  </si>
  <si>
    <t>Morela Coffe</t>
  </si>
  <si>
    <t>36 x 32</t>
  </si>
  <si>
    <t>Troppo</t>
  </si>
  <si>
    <t>Ed Baker</t>
  </si>
  <si>
    <t>21,5 x 15 x 21,5</t>
  </si>
  <si>
    <t>Box Banana Cake</t>
  </si>
  <si>
    <t>23,5 x 12,5 x 7  (Close)   (Open)</t>
  </si>
  <si>
    <t>1 Special Color</t>
  </si>
  <si>
    <t>Pond, Laminasi Gloss 0/1, Laminasi Doff 1/0, Logo Red Foil P 66 x 20 mm), Spot uv</t>
  </si>
  <si>
    <t>Amah Bakes</t>
  </si>
  <si>
    <t>17 x 10</t>
  </si>
  <si>
    <t>Teracotta</t>
  </si>
  <si>
    <t>Café Ruang Sapta</t>
  </si>
  <si>
    <t>15 x 9 x 9  (Close)  34 X 43,5 (Open)</t>
  </si>
  <si>
    <t>Hijau Tua, Hijau Muda</t>
  </si>
  <si>
    <t>Pond, Waterbase 1/1, Kait</t>
  </si>
  <si>
    <t>Berliner Imbiss</t>
  </si>
  <si>
    <t>O!MISSU</t>
  </si>
  <si>
    <t>Box (Tutup &amp; Alas)</t>
  </si>
  <si>
    <t>Greaseproof  40</t>
  </si>
  <si>
    <t>22 x 11 x 8 (Close)   (Open)</t>
  </si>
  <si>
    <t>Pond, Lem, Lam Doff</t>
  </si>
  <si>
    <t>Mylu</t>
  </si>
  <si>
    <t>Box Glow and Brightening Body Tone</t>
  </si>
  <si>
    <t>4,1 x 4,1 x 12,3 (Close)   (Open)</t>
  </si>
  <si>
    <t>Pantone 270 C</t>
  </si>
  <si>
    <t>Pond, Lem, Lam Doff 1/0, Spot UV Area Gold, Bottomlock</t>
  </si>
  <si>
    <t>22 x 22 x 15 (Close)  55 x 95 (Open)</t>
  </si>
  <si>
    <t>Pond, Lam Doff 1/1, Emboss</t>
  </si>
  <si>
    <t>Dundee</t>
  </si>
  <si>
    <t>Set Up</t>
  </si>
  <si>
    <t>Ivory SP 350</t>
  </si>
  <si>
    <t>Size Open 17 x 16, Size Close 17 x 8</t>
  </si>
  <si>
    <t>6,4 x 6,4 x 6,7 (Close)  27 x 21 (Open)</t>
  </si>
  <si>
    <t>Coklat Block, Hitam/Hitam</t>
  </si>
  <si>
    <t>Laminasi Doff 1/0, Pond</t>
  </si>
  <si>
    <t>Pond, Laminating Doff</t>
  </si>
  <si>
    <t>Noku Bakeshop</t>
  </si>
  <si>
    <t>Cream Block, Hitam/Hitam</t>
  </si>
  <si>
    <t>Pond, Lam Doff 1/0, Glue Lock Bottom</t>
  </si>
  <si>
    <t>Ams&amp;Dam</t>
  </si>
  <si>
    <t>Lunch Box</t>
  </si>
  <si>
    <t>20,5 x 12,5 x 5 (Close)   (Open)</t>
  </si>
  <si>
    <t>25 x 15 x 30,5</t>
  </si>
  <si>
    <t>Mie Newmind</t>
  </si>
  <si>
    <t>60 x 45</t>
  </si>
  <si>
    <t>SPE 285</t>
  </si>
  <si>
    <t>Dental Care</t>
  </si>
  <si>
    <t>10 x 4 x 15</t>
  </si>
  <si>
    <t>Pond, Lem, Laminasi Glossy, Tali Pita Satin Gold</t>
  </si>
  <si>
    <t>Jennie's Pizza</t>
  </si>
  <si>
    <t>Merah, Hijau Tua, Hijau Muda</t>
  </si>
  <si>
    <t>What Did Jane Cook</t>
  </si>
  <si>
    <t>Abu-Abu, Merah</t>
  </si>
  <si>
    <t>18 x 11 x 5 (Close)   (Open)</t>
  </si>
  <si>
    <t>Pond, Lem, Lam Glossy 0/1, WB 1/0</t>
  </si>
  <si>
    <t>10  x 10</t>
  </si>
  <si>
    <t>10 x10</t>
  </si>
  <si>
    <t>Pond, Lem, Lam Glossy 0/1, WB 1/1</t>
  </si>
  <si>
    <t>Pond, Lem, Laminasi Doft, Poly Gold</t>
  </si>
  <si>
    <t>13 x 8</t>
  </si>
  <si>
    <t>11 x 11 x 5 (Close)   (Open)</t>
  </si>
  <si>
    <t>Famale Secret</t>
  </si>
  <si>
    <t>Box Essence</t>
  </si>
  <si>
    <t>Art Carton 360</t>
  </si>
  <si>
    <t>4 x 4 x 17 (Close)   (Open)</t>
  </si>
  <si>
    <t>15,5 x 8</t>
  </si>
  <si>
    <t>Pond, Lem, Lam Doff, Spot UV, Embos</t>
  </si>
  <si>
    <t>Sunday Market Waifu</t>
  </si>
  <si>
    <t>Ivory + mika 250</t>
  </si>
  <si>
    <t>30 x 10 x 6 (Close)   (Open)</t>
  </si>
  <si>
    <t>Pond, Waterbase, Mika, Kait</t>
  </si>
  <si>
    <t>Sunday Kind</t>
  </si>
  <si>
    <t>Ivory 250 + Base board duplex 250</t>
  </si>
  <si>
    <t>Pond, Lem, Embos Logo, Grossgrain Ribbon</t>
  </si>
  <si>
    <t>New Central Palu</t>
  </si>
  <si>
    <t>50 x 48,5</t>
  </si>
  <si>
    <t>20 x 20 x 5 (Close)   (Open)</t>
  </si>
  <si>
    <t>Laminasi, Pond, Kait</t>
  </si>
  <si>
    <t>Merah, Gold</t>
  </si>
  <si>
    <t>Bean There</t>
  </si>
  <si>
    <t>30 x 13 x 30</t>
  </si>
  <si>
    <t>Cream, Hijau</t>
  </si>
  <si>
    <t>18 x 7 x 15</t>
  </si>
  <si>
    <t>5/0</t>
  </si>
  <si>
    <t>CMYK + Hijau Block</t>
  </si>
  <si>
    <t>Pond, Lem, Tali Pita Salin Gold, Laminasi Doft 1/0</t>
  </si>
  <si>
    <t>Pond, Lem, Tali Pita Salin Gold, Laminasi Doft 1/1</t>
  </si>
  <si>
    <t>55 x 45</t>
  </si>
  <si>
    <t>Pond, Lem, Tali Pita Salin Gold, Laminasi Doft 1/2</t>
  </si>
  <si>
    <t>Daniel's Home Bakery</t>
  </si>
  <si>
    <t>Box Banana Bread</t>
  </si>
  <si>
    <t>Pond, Lem, Tali Pita Salin Gold, Laminasi Doft 1/3</t>
  </si>
  <si>
    <t>22 X 12 X 7 (Close)   (Open)</t>
  </si>
  <si>
    <t>Pond, Lem, Waterbase 1/1</t>
  </si>
  <si>
    <t>Pond, Lem, Tali Pita Salin Gold, Laminasi Doft 1/4</t>
  </si>
  <si>
    <t>1/0 Gold</t>
  </si>
  <si>
    <t>Pond, Lem, Waterbase 1/2</t>
  </si>
  <si>
    <t>32 x 12,15 x 9,1 (Close)  50, 2 x 51, 5 (Open)</t>
  </si>
  <si>
    <t>CMYK + 1 Spesial Color (Cream) + P.Red 7622 C</t>
  </si>
  <si>
    <t>Pond, Lem, Tali Pita Salin Gold, Laminasi Doft 1/5</t>
  </si>
  <si>
    <t>Pond, Lam Gloss 0/1, Lam Doff 1/0, Logo Foil Gold, Spot UV</t>
  </si>
  <si>
    <t>Roti Romi</t>
  </si>
  <si>
    <t>Linen Holand Putih 230</t>
  </si>
  <si>
    <t>CMYK + 1 Spesial Color (Cream) di logo Kartika Sari + P.Red 7622 C (Warna Merah Dasar)</t>
  </si>
  <si>
    <t>Pond, Tanpa Lem, Laminasi Gloss 0/1, Lam Doft 1/0, Spot UV</t>
  </si>
  <si>
    <t>Pond, Lem, Tali Pita Salin Gold, Laminasi Doft 1/6</t>
  </si>
  <si>
    <t>Pringsewu Restaurant</t>
  </si>
  <si>
    <t>Pond, Tanpa Lem, Laminasi Gloss 0/1, Lam Doft 1/0, Logo Foil Gold</t>
  </si>
  <si>
    <t>J&amp;G</t>
  </si>
  <si>
    <t>Pond, Lem, Tali Pita Salin Gold, Laminasi Doft 1/7</t>
  </si>
  <si>
    <t>Pond, Tanpa Spot UV, Poly Gold 6,6 x 2, Lam Gloss, Lam Doft</t>
  </si>
  <si>
    <t>Alicia Kitchen</t>
  </si>
  <si>
    <t>Pond, Lem, Tali Pita Salin Gold, Laminasi Doft 1/8</t>
  </si>
  <si>
    <t>Kolibrew Coffe &amp; Patisserie</t>
  </si>
  <si>
    <t>25 x 12 x 8 (Close)  41 x 48 (Open)</t>
  </si>
  <si>
    <t>Pond, Waterbase, Lam Gloss, Kait</t>
  </si>
  <si>
    <t>Komu Komu</t>
  </si>
  <si>
    <t>White Kraft 121</t>
  </si>
  <si>
    <t>21 x 14 x 28</t>
  </si>
  <si>
    <t>Pond ,Lem, Tali twist putih, Alas Duplex</t>
  </si>
  <si>
    <t>Josen's Corner</t>
  </si>
  <si>
    <t>Pasienne Bake Club</t>
  </si>
  <si>
    <t>30 x 20 x 10 (Close)   (Open)</t>
  </si>
  <si>
    <t>Pond, Lem, Waterbase</t>
  </si>
  <si>
    <t>White Kraft 122</t>
  </si>
  <si>
    <t>21,8 x 10,8</t>
  </si>
  <si>
    <t>Pola Pattern Maroon</t>
  </si>
  <si>
    <t>12 x 12 x 12 (Close)   (Open)</t>
  </si>
  <si>
    <t>White Kraft 123</t>
  </si>
  <si>
    <t>25 x 21 x 28</t>
  </si>
  <si>
    <t>25 x 12 x 12 (Close)   (Open)</t>
  </si>
  <si>
    <t>White Kraft 124</t>
  </si>
  <si>
    <t>Maroon Block</t>
  </si>
  <si>
    <t>Melv Bakehouse</t>
  </si>
  <si>
    <t>25 x 16 x 11 (Close)  84 x 38 (Open)</t>
  </si>
  <si>
    <t>Pink Blok, Coklat</t>
  </si>
  <si>
    <t>Close P 34 x L 21 x T 25 cm</t>
  </si>
  <si>
    <t>CMYK full block</t>
  </si>
  <si>
    <t>Pond, Lem, Lam Doff 1/0, Grossgrain Ribbon</t>
  </si>
  <si>
    <t>30 x 20 x 10 (Close)  52 x 45 (Open)</t>
  </si>
  <si>
    <t>Cream, Merah</t>
  </si>
  <si>
    <t>24,8 x 13,8</t>
  </si>
  <si>
    <t>15 x 12 x 6 (Close)  27 x 38 (Open)</t>
  </si>
  <si>
    <t>Waterbase</t>
  </si>
  <si>
    <t>Pond, Kait tanpa lem</t>
  </si>
  <si>
    <t>Paper Bag Handle (Item 1)</t>
  </si>
  <si>
    <t>Ivory 250 gsm</t>
  </si>
  <si>
    <t>Close 43 x 11.5 x 23 | Open 112 x 35.7</t>
  </si>
  <si>
    <t>Pond, Lem, Tali Kur Orange dia 5mm (tanpa mata ayam), Laminasi Doft 1/0</t>
  </si>
  <si>
    <t>Jalan Ke Kopi</t>
  </si>
  <si>
    <t>Snack Box</t>
  </si>
  <si>
    <t>16 x 9 x 5 (Close)  22 x 29 (Open)</t>
  </si>
  <si>
    <t>Pond, Lem, Laminasi Glossy, Perforasi</t>
  </si>
  <si>
    <t>Valo</t>
  </si>
  <si>
    <t>16 X 9 X 5 (Close)  22 x 29 (Open)</t>
  </si>
  <si>
    <t>Paper Bag Handle (Lam Doff 1/0)</t>
  </si>
  <si>
    <t>Ivory 270 gsm</t>
  </si>
  <si>
    <t>Close 18 x 18 x 8 | Open 74 x 31</t>
  </si>
  <si>
    <t>Pond, Lem, Tali Kur Putih, Alas Ivory, Laminasi Doft 1/0</t>
  </si>
  <si>
    <t>12 x 7 x 5 (Close)  26 x 33 (Open)</t>
  </si>
  <si>
    <t>Paper Bag Handle (Tanpa Laminasi)</t>
  </si>
  <si>
    <t>Pond, Lem, Tali Kur Putih, Alas Ivory, Tanpa Laminasi</t>
  </si>
  <si>
    <t>Close 18 x 18 x 8 | Open 54 x 28</t>
  </si>
  <si>
    <t>Snack Box Perforasi</t>
  </si>
  <si>
    <t>9 x 5 x 24 (Close)   (Open)</t>
  </si>
  <si>
    <t>Hawow Shokupan</t>
  </si>
  <si>
    <t>Cake Box</t>
  </si>
  <si>
    <t>20 x 20 x 10 (Close)  40 x 64 (Open)</t>
  </si>
  <si>
    <t>Pond, Lem, Lamninasi Gloss, Mika 0.25</t>
  </si>
  <si>
    <t>Protein Spot</t>
  </si>
  <si>
    <t>Paper Bag Handle L</t>
  </si>
  <si>
    <t>Pond, Lem, Tali Kur Hitam, Alas Duplex</t>
  </si>
  <si>
    <t>10 x 10 x 10 (Close)  30 x 44 (Open)</t>
  </si>
  <si>
    <t>Pond, Lem, Laminasi Glossy, Mika 0.25</t>
  </si>
  <si>
    <t>Lekker Box</t>
  </si>
  <si>
    <t>Ivory 200</t>
  </si>
  <si>
    <t>Mami Toko</t>
  </si>
  <si>
    <t>18 X 10 X 9,5 (Close)  38 x 29 (Open)</t>
  </si>
  <si>
    <t>33 x 33</t>
  </si>
  <si>
    <t>Pond, Lem, Laminasi Glossy 1/1</t>
  </si>
  <si>
    <t>Pola Pattern</t>
  </si>
  <si>
    <t>Pond, Lem, Laminasi Glossy 1/2</t>
  </si>
  <si>
    <t>Kids Meal Box</t>
  </si>
  <si>
    <t>16,6 x 10 x 12 (Close)  55,15 x 30,58 (Open)</t>
  </si>
  <si>
    <t>Pond, Lem, Laminasi Gloss 1/1</t>
  </si>
  <si>
    <t>Paper Bag Handle M</t>
  </si>
  <si>
    <t>24 x 18 x 19</t>
  </si>
  <si>
    <t>Pond, Lem, Laminasi Gloss 0/1, Waterbase 1/0</t>
  </si>
  <si>
    <t>Soft Box</t>
  </si>
  <si>
    <t>18 x 18 x 2,2 (Close)  35, 7 x 35,5 (Open)</t>
  </si>
  <si>
    <t>Pond,Lem, Foil Gold, Embos</t>
  </si>
  <si>
    <t>Win Gas</t>
  </si>
  <si>
    <t>Duplex 250</t>
  </si>
  <si>
    <t>9,5 x 8,5 x 6,5 (Close)   (Open)</t>
  </si>
  <si>
    <t>Cetak</t>
  </si>
  <si>
    <t>Barger</t>
  </si>
  <si>
    <t>Paper Bag Kecil</t>
  </si>
  <si>
    <t>10, 3 x 9,2 x 6,3 (Close)   (Open)</t>
  </si>
  <si>
    <t>31 x 16,5 x 9</t>
  </si>
  <si>
    <t>Kokobun</t>
  </si>
  <si>
    <t>11,6 x 9,6 x 7,5 (Close)   (Open)</t>
  </si>
  <si>
    <t>60 x 21</t>
  </si>
  <si>
    <t>16,5 x 9 x 31</t>
  </si>
  <si>
    <t>Fumo Flamed Here</t>
  </si>
  <si>
    <t>9,9 x 7,5 x 6,5 (Close)   (Open)</t>
  </si>
  <si>
    <t>GURI-GURI CHICKEN</t>
  </si>
  <si>
    <t>Paper Bag Non Handle</t>
  </si>
  <si>
    <t>15,3 x 4 x 24</t>
  </si>
  <si>
    <t>12 x 9,5 x 7,5 (Close)   (Open)</t>
  </si>
  <si>
    <t>Mornin' Dough</t>
  </si>
  <si>
    <t>28 x 13 x 40</t>
  </si>
  <si>
    <t>13 x 11 x 12 (Close)   (Open)</t>
  </si>
  <si>
    <t>13 x 8 x 18</t>
  </si>
  <si>
    <t>Konnichiwa&amp;Co</t>
  </si>
  <si>
    <t>9,8 x 8,4 x 10,3 (Close)   (Open)</t>
  </si>
  <si>
    <t>50 x 55</t>
  </si>
  <si>
    <t>Waffle Bubble</t>
  </si>
  <si>
    <t>13 x 7,5 x 25</t>
  </si>
  <si>
    <t>9,75 x 6,25 x 10,3 (Close)   (Open)</t>
  </si>
  <si>
    <t>Nom Nom</t>
  </si>
  <si>
    <t>13 x 7,5 x 23</t>
  </si>
  <si>
    <t>Kraft Coklat 275</t>
  </si>
  <si>
    <t>Room 11</t>
  </si>
  <si>
    <t>11 x 6,5 x 25 (Close)  37 x 41 (Open)</t>
  </si>
  <si>
    <t>Cream, Hijau, Hitam</t>
  </si>
  <si>
    <t>28 x 28</t>
  </si>
  <si>
    <t>Bee Wafle</t>
  </si>
  <si>
    <t>Kuning, Coklat</t>
  </si>
  <si>
    <t>16,5 x 19,5</t>
  </si>
  <si>
    <t>Sae Chicken</t>
  </si>
  <si>
    <t>20,4 x 24</t>
  </si>
  <si>
    <t>26 x 6 x 35 (Close)  66 x 25 (Open)</t>
  </si>
  <si>
    <t>33,8 x 33,8</t>
  </si>
  <si>
    <t>Sanes Burger &amp; Coffe</t>
  </si>
  <si>
    <t>13 x 8 x 24,8</t>
  </si>
  <si>
    <t>Kibo Smash Burger</t>
  </si>
  <si>
    <t>MBC x Adude x Bakpaonya Koko</t>
  </si>
  <si>
    <t>CMYK Logo saja</t>
  </si>
  <si>
    <t>Tepung Tepung By Sister</t>
  </si>
  <si>
    <t>24 x17 x 11 (Close)  67 x 46 (Open)</t>
  </si>
  <si>
    <t>Pond, Lerm, Mika 0,5, Lam Glossy 1/1</t>
  </si>
  <si>
    <t>24 x 17 x 11 (Close)  67 x 46 (Open)</t>
  </si>
  <si>
    <t>Pond, Lerm, Mika 0,5, Lam Glossy 1/2</t>
  </si>
  <si>
    <t>Three House</t>
  </si>
  <si>
    <t>15 x 6 x 20</t>
  </si>
  <si>
    <t>25 x 17 x 9 (Close)  43 x 61 (Open)</t>
  </si>
  <si>
    <t>Pond, Foil Gold 10 x 2, Lam Glossy 1/0</t>
  </si>
  <si>
    <t>Pond, Foil Gold 10 x 2, Lam Glossy 1/1</t>
  </si>
  <si>
    <t>Kru Coffe Casual &amp; Casual Bakes</t>
  </si>
  <si>
    <t>Merah, Coklat</t>
  </si>
  <si>
    <t>Pond, Foil Gold 10 x 2, Lam Glossy 1/2</t>
  </si>
  <si>
    <t>Mirasa</t>
  </si>
  <si>
    <t>12,5 x 8 x 22,5</t>
  </si>
  <si>
    <t>J CHICKEN</t>
  </si>
  <si>
    <t>Ungu, Biru</t>
  </si>
  <si>
    <t>Pond, Foil Gold 10 x 2, Lam Glossy 1/3</t>
  </si>
  <si>
    <t>Graseproof 50</t>
  </si>
  <si>
    <t>15,5 x 10 x 30</t>
  </si>
  <si>
    <t>40 x 40</t>
  </si>
  <si>
    <t>Pond, Foil Gold 10 x 2, Lam Glossy 1/4</t>
  </si>
  <si>
    <t>Sabrang Kala</t>
  </si>
  <si>
    <t>Pond, Foil Gold 10 x 2, Lam Glossy 1/5</t>
  </si>
  <si>
    <t>Tjahyadi Coffe</t>
  </si>
  <si>
    <t>21 x 15</t>
  </si>
  <si>
    <t>Benfarm</t>
  </si>
  <si>
    <t>10 x 6 x 23</t>
  </si>
  <si>
    <t>Biru, Kuning, Merah</t>
  </si>
  <si>
    <t>25 x 25 x 9 (Close)  44 x 77 (Open)</t>
  </si>
  <si>
    <t>Pond, Foil Gold 10 x 2, Lam Glossy 1/6</t>
  </si>
  <si>
    <t>AMALFI</t>
  </si>
  <si>
    <t>Greaseprooof 50</t>
  </si>
  <si>
    <t>KuBU Bakehouse</t>
  </si>
  <si>
    <t>22 x 11</t>
  </si>
  <si>
    <t>Pond, Foil Gold 10 x 2, Lam Glossy 1/7</t>
  </si>
  <si>
    <t>17 x 11</t>
  </si>
  <si>
    <t>Your Daily Bake</t>
  </si>
  <si>
    <t>Vina's Cake</t>
  </si>
  <si>
    <t>Pond, Foil Gold 10 x 2, Lam Glossy 1/8</t>
  </si>
  <si>
    <t>Pond, Foil Gold 10 x 2, Lam Glossy 1/9</t>
  </si>
  <si>
    <t>Breadlicious</t>
  </si>
  <si>
    <t>Hitam, Merah, Abu-Abu</t>
  </si>
  <si>
    <t>Pond, Foil Gold 10 x 2, Lam Glossy 1/10</t>
  </si>
  <si>
    <t>MG Laminasi 28</t>
  </si>
  <si>
    <t>27 x 22,5</t>
  </si>
  <si>
    <t>Pond, Foil Gold 10 x 2, Lam Glossy 1/11</t>
  </si>
  <si>
    <t>Dessert Lab Cafe</t>
  </si>
  <si>
    <t>15 x 9 x 23,5</t>
  </si>
  <si>
    <t>Hitam, Abu-Abu</t>
  </si>
  <si>
    <t>12 x 14</t>
  </si>
  <si>
    <t>34 x 25 x 9 (Close)  52 x 77 (Open)</t>
  </si>
  <si>
    <t>Pond, Foil Gold 10 x 2, Lam Glossy 1/12</t>
  </si>
  <si>
    <t>15 x 26</t>
  </si>
  <si>
    <t>3 Burg Jakarta</t>
  </si>
  <si>
    <t>20 x 9 x 28,5</t>
  </si>
  <si>
    <t>Pond, Foil Gold 10 x 2, Lam Glossy 1/13</t>
  </si>
  <si>
    <t>20 x 35</t>
  </si>
  <si>
    <t>90 x 23</t>
  </si>
  <si>
    <t>Pond, Foil Gold 10 x 2, Lam Glossy 1/14</t>
  </si>
  <si>
    <t>10 x 29</t>
  </si>
  <si>
    <t>Abu- abu</t>
  </si>
  <si>
    <t>Pond, Foil Gold 10 x 2, Lam Glossy 1/15</t>
  </si>
  <si>
    <t>Pond, Foil Gold 10 x 2, Lam Glossy 1/16</t>
  </si>
  <si>
    <t>Mamao Churros</t>
  </si>
  <si>
    <t>11 x 8 x 17</t>
  </si>
  <si>
    <t>Burger Bomber</t>
  </si>
  <si>
    <t>Pond, Foil Gold 10 x 2, Lam Glossy 1/17</t>
  </si>
  <si>
    <t>MG Laminasi 40 gsm</t>
  </si>
  <si>
    <t>23 x 14,8 x 31</t>
  </si>
  <si>
    <t>Manna Treats</t>
  </si>
  <si>
    <t>20 x 10 x 7 (Close)  34 x 41 (Open)</t>
  </si>
  <si>
    <t>Pond, Lam Doft 1/0</t>
  </si>
  <si>
    <t>Warung Turki</t>
  </si>
  <si>
    <t>Food Wrap</t>
  </si>
  <si>
    <t>Gold, Biru</t>
  </si>
  <si>
    <t>Pond, Lam Doft 1/1</t>
  </si>
  <si>
    <t>Soft Pao</t>
  </si>
  <si>
    <t>28,8 x 14,8 x 41</t>
  </si>
  <si>
    <t>Kitch Ann</t>
  </si>
  <si>
    <t>22 x 22 x 7 (Close)  36 x 65 (Open)</t>
  </si>
  <si>
    <t>Pond, Lemm Lam Doft 1/1</t>
  </si>
  <si>
    <t>Sudo Brew</t>
  </si>
  <si>
    <t>Pond, Lemm Lam Doft 1/2</t>
  </si>
  <si>
    <t>Delilova Cookies</t>
  </si>
  <si>
    <t>Merah, Kuning, Cream</t>
  </si>
  <si>
    <t>Merah, Hitam, Cream</t>
  </si>
  <si>
    <t>20 x 20 x 7 (Close)  34 x 61 (Open)</t>
  </si>
  <si>
    <t>Pond, Lemm Lam Doft 1/3</t>
  </si>
  <si>
    <t>P 40 x L 40 cm</t>
  </si>
  <si>
    <t>Pond, Lemm Lam Doft 1/4</t>
  </si>
  <si>
    <t>Mikko Espresso</t>
  </si>
  <si>
    <t>16 x 4,5 x 25</t>
  </si>
  <si>
    <t>Duree</t>
  </si>
  <si>
    <t>Round Wrap</t>
  </si>
  <si>
    <t>Diameter 24 cm</t>
  </si>
  <si>
    <t>Gold Pattern</t>
  </si>
  <si>
    <t>Blakter Spot</t>
  </si>
  <si>
    <t>Burger Box M</t>
  </si>
  <si>
    <t>18 x 11 x7 (Close)   (Open)</t>
  </si>
  <si>
    <t>Pond, Lem, Lam Gloss 1/0</t>
  </si>
  <si>
    <t>Hi Mondey</t>
  </si>
  <si>
    <t>Diameter 16 cm</t>
  </si>
  <si>
    <t>P 20 x L 10 x T 12 cm (Close)   (Open)</t>
  </si>
  <si>
    <t>Hitam Block</t>
  </si>
  <si>
    <t>Pond, Lem, Waterbase (1/0), Lam Gloss (0/1)</t>
  </si>
  <si>
    <t>Flash Coffee</t>
  </si>
  <si>
    <t>Roundwrap</t>
  </si>
  <si>
    <t>D 10.95 cm</t>
  </si>
  <si>
    <t>Pond</t>
  </si>
  <si>
    <t>Potitos</t>
  </si>
  <si>
    <t>Burger Box</t>
  </si>
  <si>
    <t>18,5 x 11 x 7 (Close)   (Open)</t>
  </si>
  <si>
    <t>Pond, Lem, Lam Doft 1/0</t>
  </si>
  <si>
    <t>Three Folks</t>
  </si>
  <si>
    <t>13 x 12 x 23</t>
  </si>
  <si>
    <t>TUKU</t>
  </si>
  <si>
    <t>D 11.5 cm</t>
  </si>
  <si>
    <t>20 x 12,7 x 3,5 (Close)   (Open)</t>
  </si>
  <si>
    <t>Pond, Lem, Lam Doft 1/1</t>
  </si>
  <si>
    <t>Itsfrayayy</t>
  </si>
  <si>
    <t>13 x 7,5 x 17,5</t>
  </si>
  <si>
    <t>10 x 10 x 7 (Close)  34,5 x 18,6 (Open)</t>
  </si>
  <si>
    <t>Kina Banin</t>
  </si>
  <si>
    <t>Ivory 301</t>
  </si>
  <si>
    <t>14 x 11 x 7 (Close)  34,5 x 18,6 (Open)</t>
  </si>
  <si>
    <t>Box French Fries</t>
  </si>
  <si>
    <t>9,5 x 4 x 20,5 (Close)  28,5 x 25,5 (Open)</t>
  </si>
  <si>
    <t>Pond, Lem, Lam Doft 1/2</t>
  </si>
  <si>
    <t>20 x 15 x 30</t>
  </si>
  <si>
    <t>Little Jose</t>
  </si>
  <si>
    <t>Greasproof 40 gsm</t>
  </si>
  <si>
    <t>15 x 25 cm</t>
  </si>
  <si>
    <t>Sayhi Coffe</t>
  </si>
  <si>
    <t>MG Laminasi</t>
  </si>
  <si>
    <t>Dia 10 95</t>
  </si>
  <si>
    <t>10 x 5,5 x 18</t>
  </si>
  <si>
    <t>Usagi</t>
  </si>
  <si>
    <t>12 x 5,4 x 13 (Close)  35 x 19,7 (Open)</t>
  </si>
  <si>
    <t>Pond, Lem ,Lam Gloss 0/1, Lam Doft1/0</t>
  </si>
  <si>
    <t>14,5 x 10 x 22</t>
  </si>
  <si>
    <t>Pond, Lem ,Lam Gloss 0/1, Lam Doft1/1</t>
  </si>
  <si>
    <t>Max Burger</t>
  </si>
  <si>
    <t>17,5 x 11,8 x 28</t>
  </si>
  <si>
    <t>Pond, Lem ,Lam Gloss 0/1, Lam Doft1/2</t>
  </si>
  <si>
    <t>Art Carton 210</t>
  </si>
  <si>
    <t>35 x 14 x 45</t>
  </si>
  <si>
    <t>Pond, Lem ,Lam Gloss 0/1, Lam Doft1/3</t>
  </si>
  <si>
    <t>Greaseproof 80</t>
  </si>
  <si>
    <t>21,5 x 13 cm</t>
  </si>
  <si>
    <t>Pond, Lem ,Lam Gloss 0/1, Lam Doft1/4</t>
  </si>
  <si>
    <t>19,5 x 9,5 x 30</t>
  </si>
  <si>
    <t>TORO COFFE</t>
  </si>
  <si>
    <t>22 x 15 cm</t>
  </si>
  <si>
    <t>Hijau Tosca</t>
  </si>
  <si>
    <t>Martabak Amsterdam</t>
  </si>
  <si>
    <t>Box Martabak</t>
  </si>
  <si>
    <t>21 x 13,5 x 5 (Close)  43 x 47 (Open)</t>
  </si>
  <si>
    <t>Pond, Lam Doft0/1, Waterbase 1/0</t>
  </si>
  <si>
    <t>Nasi Bakar Pedas Bu Lies</t>
  </si>
  <si>
    <t>22 x 22 cm</t>
  </si>
  <si>
    <t>Milkynest Bakes &amp; Brew</t>
  </si>
  <si>
    <t>26 x 10 x 30</t>
  </si>
  <si>
    <t>Nasi Goreng Jidah</t>
  </si>
  <si>
    <t>18 x 10 x 5 (Close)  26 x 33,5 (Open)</t>
  </si>
  <si>
    <t>Pond, Lem, Waterbase 1/0, LLam Doft 0/1</t>
  </si>
  <si>
    <t>Bartisserie</t>
  </si>
  <si>
    <t>P 40 x L 60 cm</t>
  </si>
  <si>
    <t>Pattern (Hitam, Hijau)</t>
  </si>
  <si>
    <t>Parisienne Bake Club</t>
  </si>
  <si>
    <t>20 x 20 x 12,5 (Close)  83,5 x 46,4 (Open)</t>
  </si>
  <si>
    <t>Pond, Lem, Waterbase 1/3</t>
  </si>
  <si>
    <t>ButtercakeJKT</t>
  </si>
  <si>
    <t>Food wrap</t>
  </si>
  <si>
    <t>P 20 x L 35 cm</t>
  </si>
  <si>
    <t>Kuandra Coffe Sandwich</t>
  </si>
  <si>
    <t>13 x 8 x 22</t>
  </si>
  <si>
    <t>Crstyloaf</t>
  </si>
  <si>
    <t>Bonbonbites</t>
  </si>
  <si>
    <t>Biru, Coklat, Merah</t>
  </si>
  <si>
    <t>P 30 x L 40 cm</t>
  </si>
  <si>
    <t>Mega We Care</t>
  </si>
  <si>
    <t>Box Amplopidine</t>
  </si>
  <si>
    <t>7 x 3,5 x 4 (Close)   (Open)</t>
  </si>
  <si>
    <t>Black, Pantone 326 C, Pantone Red 032 C</t>
  </si>
  <si>
    <t>Pond, Lem, Varnish UV</t>
  </si>
  <si>
    <t>Broun</t>
  </si>
  <si>
    <t>17 x 10 x 25</t>
  </si>
  <si>
    <t>22 x 22 x 12 (Close)  46 x 80 (Open)</t>
  </si>
  <si>
    <t>Hijau Tua, Hijau Muda, Hitam</t>
  </si>
  <si>
    <t>Pond, Lem, Laminasi Glossy 0/1, Laminasi Doff 1/0</t>
  </si>
  <si>
    <t>Monday Breakfast Club</t>
  </si>
  <si>
    <t>Foodwrap (A5)</t>
  </si>
  <si>
    <t>14.8 x 21 cm</t>
  </si>
  <si>
    <t>Pond, Lem, Laminasi Glossy 0/1, Laminasi Doff 1/1</t>
  </si>
  <si>
    <t>Foodwrap (A4)</t>
  </si>
  <si>
    <t>21 x 29.7 cm</t>
  </si>
  <si>
    <t>RF Coffe</t>
  </si>
  <si>
    <t>Moroa Bakes</t>
  </si>
  <si>
    <t>Pond, Lem, Laminasi Glossy 0/1, Laminasi Doff 1/2</t>
  </si>
  <si>
    <t>Noya Holywings</t>
  </si>
  <si>
    <t>24 x 24 cm</t>
  </si>
  <si>
    <t>Tav</t>
  </si>
  <si>
    <t>19,7 x 9,5 x 24</t>
  </si>
  <si>
    <t>Captain Kebab</t>
  </si>
  <si>
    <t>Merah, Cream, Hitam</t>
  </si>
  <si>
    <t>Box Kebab Large</t>
  </si>
  <si>
    <t>Sashi</t>
  </si>
  <si>
    <t>10 x 26 (Close)  22 x 28 (Open)</t>
  </si>
  <si>
    <t>Coklat Tua dan Muda</t>
  </si>
  <si>
    <t>Pond, Lem, Laminasi Glossy 0/1, Laminasi Doff 1/3</t>
  </si>
  <si>
    <t>Pond, Lem, Laminasi Glossy 0/1, Laminasi Doff 1/4</t>
  </si>
  <si>
    <t>Box Kebab Small</t>
  </si>
  <si>
    <t>9 x 22 (Close)  20 x 22 (Open)</t>
  </si>
  <si>
    <t>Pond, Lem, Lam Glossy 0/1, Waterbase 1/0, Perforasi</t>
  </si>
  <si>
    <t>Kubu Bakehouse</t>
  </si>
  <si>
    <t>17 x 11 x 8 (Close)   (Open)</t>
  </si>
  <si>
    <t>Pond, Laminasi Doft 1/0</t>
  </si>
  <si>
    <t>16 x 7,5 x 18</t>
  </si>
  <si>
    <t>Pond, Laminasi Doft 1/1</t>
  </si>
  <si>
    <t>Gelis Shop</t>
  </si>
  <si>
    <t>Pond, Lem, Tali Twist Putih, Tanpa Tatakan Duplex</t>
  </si>
  <si>
    <t>Box Pizza + Sekat</t>
  </si>
  <si>
    <t>Reika Teahouse</t>
  </si>
  <si>
    <t>28 x 28 x 3 (Close)  68,2 x 40,4 (Open)</t>
  </si>
  <si>
    <t>16 x 13 x 28</t>
  </si>
  <si>
    <t>Pond, Lam Doft 1/2</t>
  </si>
  <si>
    <t>Baker Old</t>
  </si>
  <si>
    <t>13 x 7,5 x 19</t>
  </si>
  <si>
    <t>Pond, Lam Doft 1/3</t>
  </si>
  <si>
    <t>Kuning Block, Coklat</t>
  </si>
  <si>
    <t>Box Pizza</t>
  </si>
  <si>
    <t>13 x 13 x 3 (Close)  35,2 x 20,2 (Open)</t>
  </si>
  <si>
    <t>Pond, Lam Doft 1/4</t>
  </si>
  <si>
    <t>Butter Crofle</t>
  </si>
  <si>
    <t>Pond, Lam Doft 1/5</t>
  </si>
  <si>
    <t>Pond, Lam Doft 1/6</t>
  </si>
  <si>
    <t>30 X 20 X 10 (Close)  70 x 50 (Open)</t>
  </si>
  <si>
    <t>Celcius</t>
  </si>
  <si>
    <t>35 x 10 x 32</t>
  </si>
  <si>
    <t>Hitam (Logo &amp; Sisi Samping)</t>
  </si>
  <si>
    <t>12 x 12 x 12 (Close)  60,2 x 36,2 (Open)</t>
  </si>
  <si>
    <t>25 x 12 x 12 (Close)  60,4 x 49,2 (Open)</t>
  </si>
  <si>
    <t>25 x 15 x 14 (Close)  52 x 54,4 (Open)</t>
  </si>
  <si>
    <t>Pond, Lem, Waterbase 1/4</t>
  </si>
  <si>
    <t>Cukup Tahu!</t>
  </si>
  <si>
    <t>13 x 7 x 18</t>
  </si>
  <si>
    <t>Gable Box sisi depan dan belakang beda desain</t>
  </si>
  <si>
    <t>Pond, Lem, Waterbase 1/5</t>
  </si>
  <si>
    <t>Hitam, 2/0 Kuning, Hitam</t>
  </si>
  <si>
    <t>20 x 20 x 12,5 (Close)   (Open)</t>
  </si>
  <si>
    <t>13 x 7,5 x 18</t>
  </si>
  <si>
    <t>25 x 25 x 14 (Close)   (Open)</t>
  </si>
  <si>
    <t>30 x 30 x 15 (Close)  90 x 90 (Open)</t>
  </si>
  <si>
    <t>Coklat &amp; Gold</t>
  </si>
  <si>
    <t>Pond, Lem, Lam Glossy 0/1, Lam Doft 1/1</t>
  </si>
  <si>
    <t>Blue Butter</t>
  </si>
  <si>
    <t>15,5 x 8,5 x 30</t>
  </si>
  <si>
    <t>Straits Coffee &amp; Eatery</t>
  </si>
  <si>
    <t>Close P 21.5 x L 15 x T 5.5 cm</t>
  </si>
  <si>
    <t>Hijau, Cream, Merah</t>
  </si>
  <si>
    <t>Pond, Laminasi Doff 1/0</t>
  </si>
  <si>
    <t>Tutup Box Bomboloni (Mika 0.15 mic)</t>
  </si>
  <si>
    <t>250 x 90 x 80 mm (Close)  410 x 250 mm (Open)</t>
  </si>
  <si>
    <t>4/0 + 2 Special Color</t>
  </si>
  <si>
    <t>CMYK + 2 Special Color</t>
  </si>
  <si>
    <t>Pond, Lam Doft 1/0, Mika 0.15 mic (100x125 mm), Foil Gold (66x20 mm)</t>
  </si>
  <si>
    <t>20 x 10 x 25</t>
  </si>
  <si>
    <t>Badan Box Bomboloni (Batch 1)</t>
  </si>
  <si>
    <t>248 x 88 x 80 mm (Close)  408 x 248 mm (Open)</t>
  </si>
  <si>
    <t>Sonar</t>
  </si>
  <si>
    <t>25 x 20 x 30</t>
  </si>
  <si>
    <t>Abu-Abu</t>
  </si>
  <si>
    <t>Kudopan Bakes</t>
  </si>
  <si>
    <t>14 x 6 x 20</t>
  </si>
  <si>
    <t>Hitam, Coklat</t>
  </si>
  <si>
    <t>Tutup Box Bomboloni (Mika 0.2 mic)</t>
  </si>
  <si>
    <t>Pond, Lam Doft 1/0, Mika 0.2 mic (100x125 mm), Foil Gold (66x20 mm)</t>
  </si>
  <si>
    <t>Salte Bakes</t>
  </si>
  <si>
    <t>19,7 x 9,7 x 30</t>
  </si>
  <si>
    <t>13 x 8 x 25</t>
  </si>
  <si>
    <t>Badan Box Bomboloni (Batch 2)</t>
  </si>
  <si>
    <t>P 20 x L 10 x T 30 cm</t>
  </si>
  <si>
    <t>Maroon, Cream</t>
  </si>
  <si>
    <t>Daitokyo Sakaba</t>
  </si>
  <si>
    <t>Square Box</t>
  </si>
  <si>
    <t>17.8 x 48.6 (Close)   (Open)</t>
  </si>
  <si>
    <t>Shake Shake In Tub</t>
  </si>
  <si>
    <t>Paper Box Tray - Box (Item 2)</t>
  </si>
  <si>
    <t>Close 12 x 14 x 5 | Open 36.65 x 28.22</t>
  </si>
  <si>
    <t>Pond, Laminasi Glossy 1/1</t>
  </si>
  <si>
    <t>Pond, Lem, Lam Doft 1/0, Lam Gloss 0/1</t>
  </si>
  <si>
    <t>Paper Box Tray - Tray (Item 3)</t>
  </si>
  <si>
    <t>Close 12 x 14 x 4.7 | Open 24.71 x 22</t>
  </si>
  <si>
    <t>Subbie</t>
  </si>
  <si>
    <t>22 x 11 x 11 (Close)  68 x 32 (Open)</t>
  </si>
  <si>
    <t>Mochicha</t>
  </si>
  <si>
    <t>12.5 x 10 x 3.5 (Close)   (Open)</t>
  </si>
  <si>
    <t>PBTP</t>
  </si>
  <si>
    <t>Paper Placement</t>
  </si>
  <si>
    <t>HVS 70 gsm</t>
  </si>
  <si>
    <t>Dia 70 cm</t>
  </si>
  <si>
    <t>Pond, Lam Gloss (1/1)</t>
  </si>
  <si>
    <t>32 x 10 x 10 (Close)   (Open)</t>
  </si>
  <si>
    <t>Paper Tray (Item 1)</t>
  </si>
  <si>
    <t>Merah, Orange</t>
  </si>
  <si>
    <t>Close 14 x 12 x 5 | Open 22.6 x 24.6</t>
  </si>
  <si>
    <t>Box (Item 1)</t>
  </si>
  <si>
    <t>28 x 22.5 x 7 (Close)  63.15 x 55.4 (Open)</t>
  </si>
  <si>
    <t>Spot Color</t>
  </si>
  <si>
    <t>Garment Solo</t>
  </si>
  <si>
    <t>Paperbag</t>
  </si>
  <si>
    <t>18,8 x 7,7 x 29,8</t>
  </si>
  <si>
    <t>Alas Duplex 250 gsm, Pond, Buat Tas + Alas, Bor + Pasang Tali, Pack, Laminasi Doff 1 Sisi</t>
  </si>
  <si>
    <t>Box (Item 5)</t>
  </si>
  <si>
    <t>40 x 5 x 8.5 (Close)  57.5 x 43.1 (Open)</t>
  </si>
  <si>
    <t>Pond, Laminasi Doft 1/1, Lem Tembak 2 titik</t>
  </si>
  <si>
    <t>28 x 10 x 40</t>
  </si>
  <si>
    <t>Box Banana Roll (Desain 1)</t>
  </si>
  <si>
    <t>Tutup 297x82x80, Partisi 255x80x20, Badan 295x80x80 (Close)  Tutup 457x242, Partisi 295x120, Badan 695x280 (Open)</t>
  </si>
  <si>
    <t>CMYK (Tutup, Badan), 0/0 (Partisi)</t>
  </si>
  <si>
    <t>Pond, Lam Doft 1/0, Mika 0.15 mm, Lem (Mika)</t>
  </si>
  <si>
    <t>Box Banana Roll (Desain 2)</t>
  </si>
  <si>
    <t>Tutup 296x84x84, Partisi 255x80x20, Badan 295x80x80 (Close)  Tutup 392x346, Partisi 295x120, Badan 695x280 (Open)</t>
  </si>
  <si>
    <t>Pond, Lam Doft 1/0, Mika 0.15 mic, Pita Satin Merah, Lem</t>
  </si>
  <si>
    <t>The Royal Kitchen</t>
  </si>
  <si>
    <t>White Kraft 150 gsm</t>
  </si>
  <si>
    <t>30 x 15.5 x 25</t>
  </si>
  <si>
    <t>32 x 11 x 11   (Close)  88 x 41 (Open)</t>
  </si>
  <si>
    <t>Gable Box (Item 4)</t>
  </si>
  <si>
    <t>32 x 11 x 11 (Close)  88 x 41 (Open)</t>
  </si>
  <si>
    <t>Pond, Lem, Lam Doff 1/0</t>
  </si>
  <si>
    <t>Gable Box (Item 5)</t>
  </si>
  <si>
    <t>Alpro</t>
  </si>
  <si>
    <t>Brown Kraft 100 gsm</t>
  </si>
  <si>
    <t>25 x 9 x 18.5</t>
  </si>
  <si>
    <t>Biru (depan belakang)</t>
  </si>
  <si>
    <t>Gable Box (Item 1)</t>
  </si>
  <si>
    <t>Nama Donut</t>
  </si>
  <si>
    <t>White Kraft 120 gsm</t>
  </si>
  <si>
    <t>20 x 13.5 x 25.5</t>
  </si>
  <si>
    <t>Pond, Lem, Lam Doff 1/1</t>
  </si>
  <si>
    <t>Gable Box (Item 2)</t>
  </si>
  <si>
    <t>P 20 x L 13.5 x T 25.5 cm</t>
  </si>
  <si>
    <t>Little Bug</t>
  </si>
  <si>
    <t>P 21 x L 13 x T 18 cm</t>
  </si>
  <si>
    <t>Gold, Merah, Hitam</t>
  </si>
  <si>
    <t>Gable Box (Item 6)</t>
  </si>
  <si>
    <t>Gable Box (Item 3)</t>
  </si>
  <si>
    <t>Rise &amp; Rye</t>
  </si>
  <si>
    <t>16 x 11 x 8 (Close)  47 x 48.3 (Open)</t>
  </si>
  <si>
    <t>CMYK / Orange (Sisi Dalam)</t>
  </si>
  <si>
    <t>Pond, Lam Gloss (1/0), Waterbase (0/1)</t>
  </si>
  <si>
    <t>22 x 18 x 9 (Close)  63 x 58.3 (Open)</t>
  </si>
  <si>
    <t>Paperbag Handle</t>
  </si>
  <si>
    <t>Pond, Lem, Laminasi Gloss 1/2</t>
  </si>
  <si>
    <t>Urban Digifest</t>
  </si>
  <si>
    <t>Pond, Lem, Laminasi Doff 1/0, Tali Kur Biru, Mata Ayam</t>
  </si>
  <si>
    <t>25 x 10 x 30</t>
  </si>
  <si>
    <t>Essence Of a Dough</t>
  </si>
  <si>
    <t>22 x 14 x 7.5 (Close)  37.1 x 50.6 (Open)</t>
  </si>
  <si>
    <t>Pond, Waterbase (1/0), Lam Gloss (0/1)</t>
  </si>
  <si>
    <t>22 x 22 x 10 (Close)  42.1 x 74.1 (Open)</t>
  </si>
  <si>
    <t>Pond, Lem, Tali Kur Hitam, Mata Ayam</t>
  </si>
  <si>
    <t>Close P 5.7 x L 5.7 x T 5.3 cm (Close)  Open P 24.05 x L 16.3 cm (Open)</t>
  </si>
  <si>
    <t>Cream, Hitam (Luar)/Hitam (Dalam)</t>
  </si>
  <si>
    <t>TAKEAWAY CUP</t>
  </si>
  <si>
    <t>36.5 x 9 x 28</t>
  </si>
  <si>
    <t>SP0001 (WIP)</t>
  </si>
  <si>
    <t>SP0002 (MKI)</t>
  </si>
  <si>
    <t>SP0003 (SIEM)</t>
  </si>
  <si>
    <t>Take Away Cup</t>
  </si>
  <si>
    <t>21,5 x 47</t>
  </si>
  <si>
    <t>Cream, Hitam, Kuning</t>
  </si>
  <si>
    <t>25 x 15 x 32</t>
  </si>
  <si>
    <t>32 x 22 x 11 (Close)  56 x 49,5 (Open)</t>
  </si>
  <si>
    <t>KREW</t>
  </si>
  <si>
    <t>P 19.2 x L 8.8 x T 25 cm</t>
  </si>
  <si>
    <t>Orange, Cream</t>
  </si>
  <si>
    <t>Pond, Lem, Laminasi Gloss 1/3</t>
  </si>
  <si>
    <t>K-Dog</t>
  </si>
  <si>
    <t>Corndog Box</t>
  </si>
  <si>
    <t>Close P 18 x L 5.5 x T 5.5 cm (Close)  Open P 29 x L 23.5 cm (Open)</t>
  </si>
  <si>
    <t>Spec.Color (Merah)</t>
  </si>
  <si>
    <t>Pond, Lam 0/1, WB 1/0</t>
  </si>
  <si>
    <t>SOLAE</t>
  </si>
  <si>
    <t>P 30 x L 12 x T 25 cm</t>
  </si>
  <si>
    <t>Coklat, Cream</t>
  </si>
  <si>
    <t>Pond, Lem, Laminating Doff 1/0, Tali Pita Coklat</t>
  </si>
  <si>
    <t>Pond, Lem, Laminasi Gloss 1/4</t>
  </si>
  <si>
    <t>Close P 16 x L 11 x T 8 cm (Close)  Open 46 x 32 cm (Open)</t>
  </si>
  <si>
    <t>CMYK/Orange (sisi dalam)</t>
  </si>
  <si>
    <t>Close P 22 x L 18 x T 9 cm (Close)  Open 63 x 40 cm (Open)</t>
  </si>
  <si>
    <t>GGU MEME</t>
  </si>
  <si>
    <t>OTHERS</t>
  </si>
  <si>
    <t>P 6 x L 2 x T 6 cm</t>
  </si>
  <si>
    <t>Pond, Lem, Tali Twist Biru</t>
  </si>
  <si>
    <t>Close: T 297x82x80mm, P 255x80x20mm, B 295x80x80mm (Close)  Open: T 457x242mm, P 295x120mm, B 695x280mm (Open)</t>
  </si>
  <si>
    <t>CMYK = TUTUP, BADAN; 0/0 = PARTISI</t>
  </si>
  <si>
    <t>Pond, Lam Doft 1/0, Mika 0.15 mm (237x182 mm), Lem Mika</t>
  </si>
  <si>
    <t>Thankyou Card</t>
  </si>
  <si>
    <t>Brown Kraft 300</t>
  </si>
  <si>
    <t>10,5 x 15</t>
  </si>
  <si>
    <t>Close: T 296x84x84mm, P 255x80x20mm, B 295x80x80mm (Close)  Open: T 392x346mm, P 295x120mm, B 695x280mm (Open)</t>
  </si>
  <si>
    <t>Pond, Lam Doft 1/0, Mika 0.15 mic (236x192 mm), Pita Satin Merah (22.5x13 mm), Lem Mika &amp; Tutup</t>
  </si>
  <si>
    <t>P 30 x L 12 x T 27 cm</t>
  </si>
  <si>
    <t>Greeting Card</t>
  </si>
  <si>
    <t>Aster Cream</t>
  </si>
  <si>
    <t>10 x 14</t>
  </si>
  <si>
    <t>15 x 21</t>
  </si>
  <si>
    <t>Label Etiket</t>
  </si>
  <si>
    <t>Art Paper 120</t>
  </si>
  <si>
    <t>24 x 9</t>
  </si>
  <si>
    <t>Tutup Box Bomboloni</t>
  </si>
  <si>
    <t>Close P 25 x L 9 x T 8 cm (Close)  Open P 41 x L 25 cm (Open)</t>
  </si>
  <si>
    <t>Pond, Lam Doft 1/0, Mika 0.15 ml, Foil Gold (RG 116 P 66 x L 20 mm)</t>
  </si>
  <si>
    <t>Six Hands</t>
  </si>
  <si>
    <t>Brown Kraft 150 gsm</t>
  </si>
  <si>
    <t>P 24 x L 21 x T 21 cm</t>
  </si>
  <si>
    <t>Insert Amlpodipine</t>
  </si>
  <si>
    <t>Pink,  Hijau</t>
  </si>
  <si>
    <t>HVS 60</t>
  </si>
  <si>
    <t>Pond, Lem, Tali Twist Putih, Alas Cardboard 250 gsm</t>
  </si>
  <si>
    <t>12 x 14,4</t>
  </si>
  <si>
    <t>Badan Box Bomboloni</t>
  </si>
  <si>
    <t>Close P 24.8 x L 8.8 x T 8 cm (Close)  Open P 40.8 x L 24.8 cm (Open)</t>
  </si>
  <si>
    <t>Maroon (Special Color)</t>
  </si>
  <si>
    <t>Super Grain</t>
  </si>
  <si>
    <t>Food Pail Reguler</t>
  </si>
  <si>
    <t>(10 x 8,5) x (13,2 x 11,6) x 6,2</t>
  </si>
  <si>
    <t>Pond, Lam Doft 0/1</t>
  </si>
  <si>
    <t>Box Roll Tart All Varian</t>
  </si>
  <si>
    <t>Close P 320 x L 121,5 x T 91 mm (Close)  Open P 502 x L 514, 5 mm (Open)</t>
  </si>
  <si>
    <t>4/0 (CMYK) + 2 Warna khusus (Special Cream + Red (7622 C)</t>
  </si>
  <si>
    <t>Warna khusus (Special Cream) + Red (7622 C)</t>
  </si>
  <si>
    <t>Pond, Kait (tanpa lem), Lam Gloss 0/1, Lam Doft 1/0, Logo Foil  (KODE : RG 116 P 66 x L 20 mm )</t>
  </si>
  <si>
    <t>Wang Village</t>
  </si>
  <si>
    <t>64.5 x 70.75 (Close)   (Open)</t>
  </si>
  <si>
    <t>Pond, Lem, Waterbase 1/0, Laminasi Glossy Dalam</t>
  </si>
  <si>
    <t>Apollo Wu</t>
  </si>
  <si>
    <t>Close P 20 x L 25 x T 3.5 cm</t>
  </si>
  <si>
    <t>Hitam, Gold</t>
  </si>
  <si>
    <t>Art Carton 260 gsm</t>
  </si>
  <si>
    <t>Close P 23.5 x L 14 x T 32 cm</t>
  </si>
  <si>
    <t>Hijau Muda, Hijau Tua</t>
  </si>
  <si>
    <t>Chang</t>
  </si>
  <si>
    <t>Art Carton 210 gsm</t>
  </si>
  <si>
    <t>P 22 x L 10 x T 24 cm</t>
  </si>
  <si>
    <t>Hitam, Pink Block</t>
  </si>
  <si>
    <t>Pond, Lem, Pita Gross Grain, Laminasi doff 1/0</t>
  </si>
  <si>
    <t>DYOR Bakehouse</t>
  </si>
  <si>
    <t>Close P 25 x L 25 x T 15 cm</t>
  </si>
  <si>
    <t>Hitam, Coklat Muda, Coklat Tua</t>
  </si>
  <si>
    <t>Pond, Kait, Laminasi Doff 1/0</t>
  </si>
  <si>
    <t>P 35 x L 11 x T 25 cm</t>
  </si>
  <si>
    <t>P 40 x L 15 x T 33 cm</t>
  </si>
  <si>
    <t>Come Baked</t>
  </si>
  <si>
    <t>Art Paper 100</t>
  </si>
  <si>
    <t>P 22 x L 10 x T 6 cm</t>
  </si>
  <si>
    <t>Cream,  Biru</t>
  </si>
  <si>
    <t>Pond, Lam Doff (1/0), Waterbase (0/1)</t>
  </si>
  <si>
    <t>OPTIK TUNGGAL</t>
  </si>
  <si>
    <t>Paperbag Handle (4 Warna Khusus)</t>
  </si>
  <si>
    <t>27.3 x 10 x 21.5</t>
  </si>
  <si>
    <t>4 Warna Khusus</t>
  </si>
  <si>
    <t>Pond, Lem, Lam Doff 1/1, Spot UV 1/0, Emboss 1/0, Pita Groce Grain Black 2cm J Cut 45cm, Tatakan Duplex 250 gsm</t>
  </si>
  <si>
    <t>Box Top Bottom Mika &amp; Sleeve</t>
  </si>
  <si>
    <t>P 21 x L 26 x T 3.5 cm</t>
  </si>
  <si>
    <t>Kertas</t>
  </si>
  <si>
    <t>Duplex 400</t>
  </si>
  <si>
    <t>24,5 x 34</t>
  </si>
  <si>
    <t>Polos</t>
  </si>
  <si>
    <t>Polos tanpa cetak</t>
  </si>
  <si>
    <t>Box Roasted Duck</t>
  </si>
  <si>
    <t>P 29 x L 21 x T 5 cm</t>
  </si>
  <si>
    <t>York</t>
  </si>
  <si>
    <t>Paperbag Handle (Alt 2)</t>
  </si>
  <si>
    <t>35 x 18 x 35</t>
  </si>
  <si>
    <t>Mata Ayam, Pond, Lem, Lam Doff 1/0, Tali Pita Hitam</t>
  </si>
  <si>
    <t>Paperbag Handle (Alt 3)</t>
  </si>
  <si>
    <t>35 x 18 x 35 (+10 cm lipatan kedalam)</t>
  </si>
  <si>
    <t>Pond, Lem, Lam Doff 1/0, Duplex untuk penguat handle</t>
  </si>
  <si>
    <t>20 x 28, 5</t>
  </si>
  <si>
    <t>Paperbag Handle (CMYK)</t>
  </si>
  <si>
    <t>Pantone Green 5535 U, Pantone Tosca 565 U, Pantone Grey 4289 U</t>
  </si>
  <si>
    <t>Body Box</t>
  </si>
  <si>
    <t>Close P 30.3 x L 17.5 x T 9.5 cm</t>
  </si>
  <si>
    <t>Sekat Box Pastel</t>
  </si>
  <si>
    <t>Close P 28.8 x L 15.3 x T 4.5 cm</t>
  </si>
  <si>
    <t>Sekat Box Toples</t>
  </si>
  <si>
    <t>Close P 28.8 x L 16 x 5.5 cm</t>
  </si>
  <si>
    <t>20 x 32,5</t>
  </si>
  <si>
    <t>Soes Gembira</t>
  </si>
  <si>
    <t>P 21 x L 21 x T 6 cm</t>
  </si>
  <si>
    <t>Merah, Cream / Merah, Kuning</t>
  </si>
  <si>
    <t>Pond, Laminating doff 1/0</t>
  </si>
  <si>
    <t>P 21 x L 16 x T 6 cm</t>
  </si>
  <si>
    <t>Fries Packaging</t>
  </si>
  <si>
    <t>14,5 x 7 x 11</t>
  </si>
  <si>
    <t>P 16 x L 16 x T 6 cm</t>
  </si>
  <si>
    <t>Paperbag Handle (Item 1)</t>
  </si>
  <si>
    <t>25 x 8 x 10</t>
  </si>
  <si>
    <t>Merah, Hitam, Gold / Merah Block</t>
  </si>
  <si>
    <t>Pond, Lem, Tanpa Mata Ayam, Tali Kur Merah, Lam Glossy 1/0</t>
  </si>
  <si>
    <t>Yeast Sir</t>
  </si>
  <si>
    <t>16 x 15 x 9 (Close)   (Open)</t>
  </si>
  <si>
    <t>Laminasi Doff 1/1, Pond, Lem</t>
  </si>
  <si>
    <t>Label Lerak</t>
  </si>
  <si>
    <t>Art 100 gsm</t>
  </si>
  <si>
    <t>20 x 7.5</t>
  </si>
  <si>
    <t>Potong Jadi</t>
  </si>
  <si>
    <t>Paperbag Handle (Item 2)</t>
  </si>
  <si>
    <t>22 x 17 x 11 (Close)   (Open)</t>
  </si>
  <si>
    <t>Merah, Hitam / Merah Block</t>
  </si>
  <si>
    <t>Pond, Lem, Tanpa Mata Ayam, Tali Kur Merah, Gold Foil 18x5 cm, Lam Glossy 1/0</t>
  </si>
  <si>
    <t>16 x 15 x 9</t>
  </si>
  <si>
    <t>Matt Lam 1/0</t>
  </si>
  <si>
    <t>Smooth Europremium 250 gsm</t>
  </si>
  <si>
    <t>20 x 7</t>
  </si>
  <si>
    <t>Cindy</t>
  </si>
  <si>
    <t>Paperbag Handle (Large)</t>
  </si>
  <si>
    <t>Cream, Abu2 tua</t>
  </si>
  <si>
    <t>35 x 10 x 45</t>
  </si>
  <si>
    <t>20 x 20 x 12</t>
  </si>
  <si>
    <t>Thankyou Card (Alt 1)</t>
  </si>
  <si>
    <t>Eggshell 270 gsm</t>
  </si>
  <si>
    <t>22 x 11 x 11</t>
  </si>
  <si>
    <t>Sekat (Item 2)</t>
  </si>
  <si>
    <t>Close 21 x 24.5 x 4.5 | Open 32.1 x 29</t>
  </si>
  <si>
    <t>22 x 17 x 11</t>
  </si>
  <si>
    <t>25 x 15 x 15</t>
  </si>
  <si>
    <t>Paperbag Handle (Medium)</t>
  </si>
  <si>
    <t>25 x 16 x 11</t>
  </si>
  <si>
    <t>Sekat (Item 6)</t>
  </si>
  <si>
    <t>Open 8.5 x 52</t>
  </si>
  <si>
    <t>32 x 10 x 10</t>
  </si>
  <si>
    <t>32 x 11 x 11</t>
  </si>
  <si>
    <t>25 x 25 x 14</t>
  </si>
  <si>
    <t>Paperbag Handle (Small)</t>
  </si>
  <si>
    <t>25 x 10 x 35</t>
  </si>
  <si>
    <t>Card</t>
  </si>
  <si>
    <t>Egg Shell 270 gsm</t>
  </si>
  <si>
    <t>P 14.5 x L 21 cm</t>
  </si>
  <si>
    <t>Brown Gold (Pantone 7504 CP)</t>
  </si>
  <si>
    <t>20 x 10 x 12</t>
  </si>
  <si>
    <t>Passion Natural 230 gsm</t>
  </si>
  <si>
    <t>30 x 20 x 10</t>
  </si>
  <si>
    <t>25 x 8 x 8</t>
  </si>
  <si>
    <t>Paperbag Handle Twist Putih (Alt 1)</t>
  </si>
  <si>
    <t>19 Coffe &amp; Pastry</t>
  </si>
  <si>
    <t>21 x 17 x 15</t>
  </si>
  <si>
    <t>P 10 x L 14 cm</t>
  </si>
  <si>
    <t>Lenore</t>
  </si>
  <si>
    <t>White Paperbag Handle</t>
  </si>
  <si>
    <t>21 x 10.5 x 31</t>
  </si>
  <si>
    <t>21,5 x 15 x 5,5</t>
  </si>
  <si>
    <t>24 x 12 x 35</t>
  </si>
  <si>
    <t>Platform</t>
  </si>
  <si>
    <t>Close P 28.8 x L 16 x T 2 cm</t>
  </si>
  <si>
    <t>Open P 33.4 x L 20.6 cm</t>
  </si>
  <si>
    <t>Kartu Hari Batik</t>
  </si>
  <si>
    <t>BW 250 gsm</t>
  </si>
  <si>
    <t>Kibi</t>
  </si>
  <si>
    <t>P 10.5 x L 7.5 cm</t>
  </si>
  <si>
    <t>Biru, Hitam</t>
  </si>
  <si>
    <t>Bookmark A</t>
  </si>
  <si>
    <t>P 16.5 x L 8 cm</t>
  </si>
  <si>
    <t>32 x 28 x 25</t>
  </si>
  <si>
    <t>Manis Ae Bakery</t>
  </si>
  <si>
    <t>21 x 12 x 27</t>
  </si>
  <si>
    <t>Hijau, Coklat</t>
  </si>
  <si>
    <t>Bookmark B</t>
  </si>
  <si>
    <t>P 16.5 x L 6.5 cm</t>
  </si>
  <si>
    <t>Mine Perfumery</t>
  </si>
  <si>
    <t>16 x 14 x 20</t>
  </si>
  <si>
    <t>White Kraft 80 gsm</t>
  </si>
  <si>
    <t>Bookmark D</t>
  </si>
  <si>
    <t>P 20 x L 8 cm</t>
  </si>
  <si>
    <t>USHA</t>
  </si>
  <si>
    <t>24 x 14 x 29.5</t>
  </si>
  <si>
    <t>Pond, Tali Twist Putih, Lem</t>
  </si>
  <si>
    <t>Cafe Monzie</t>
  </si>
  <si>
    <t>21 x 22.5 x 23</t>
  </si>
  <si>
    <t>25 x 23 x 25</t>
  </si>
  <si>
    <t>23,5 x 11,5 x 27,4</t>
  </si>
  <si>
    <t>White Paperbag non Handle</t>
  </si>
  <si>
    <t>13 x 7.5 x 17.5</t>
  </si>
  <si>
    <t>Brizola</t>
  </si>
  <si>
    <t>30 x 20 x 40</t>
  </si>
  <si>
    <t>Teori Food</t>
  </si>
  <si>
    <t>22 x 17 x 28</t>
  </si>
  <si>
    <t>Bonbene Bakehouse</t>
  </si>
  <si>
    <t>P 15 x L 9 x T 27 cm</t>
  </si>
  <si>
    <t>Med&amp;Mec</t>
  </si>
  <si>
    <t>P 18 x L 8 x T 22 cm</t>
  </si>
  <si>
    <t>P 20 x L 9 x T 29 cm</t>
  </si>
  <si>
    <t>P 13 x L 7,5 x T 23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</si>
</sst>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Rp]#,##0"/>
  </numFmts>
  <fonts count="17">
    <font>
      <sz val="10.0"/>
      <color rgb="FF000000"/>
      <name val="Arial"/>
      <scheme val="minor"/>
    </font>
    <font>
      <b/>
      <sz val="40.0"/>
      <color rgb="FF3BD4AE"/>
      <name val="Helvetica Neue"/>
    </font>
    <font>
      <b/>
      <sz val="16.0"/>
      <color rgb="FF3BD4AE"/>
      <name val="Helvetica Neue"/>
    </font>
    <font>
      <b/>
      <color rgb="FF3BC09F"/>
      <name val="Helvetica Neue"/>
    </font>
    <font/>
    <font>
      <b/>
      <color rgb="FF3BD4AE"/>
      <name val="Helvetica Neue"/>
    </font>
    <font>
      <b/>
      <sz val="9.0"/>
      <color rgb="FF3BC09F"/>
      <name val="Helvetica Neue"/>
    </font>
    <font>
      <b/>
      <sz val="10.0"/>
      <color rgb="FF3BD4AE"/>
      <name val="Roboto"/>
    </font>
    <font>
      <b/>
      <sz val="10.0"/>
      <color rgb="FF3BC09F"/>
      <name val="Roboto"/>
    </font>
    <font>
      <b/>
      <sz val="10.0"/>
      <color theme="1"/>
      <name val="Roboto"/>
    </font>
    <font>
      <sz val="10.0"/>
      <color theme="1"/>
      <name val="Roboto"/>
    </font>
    <font>
      <color theme="1"/>
      <name val="Helvetica Neue"/>
    </font>
    <font>
      <sz val="11.0"/>
      <color theme="1"/>
      <name val="Calibri"/>
    </font>
    <font>
      <color theme="1"/>
      <name val="Arial"/>
      <scheme val="minor"/>
    </font>
    <font>
      <b/>
      <sz val="10.0"/>
      <color rgb="FF3BC09F"/>
      <name val="Helvetica Neue"/>
    </font>
    <font>
      <color rgb="FF434343"/>
      <name val="Roboto"/>
    </font>
    <font>
      <sz val="9.0"/>
      <color theme="1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FFF5"/>
        <bgColor rgb="FFD9FFF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11">
    <border/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/>
    </xf>
    <xf borderId="1" fillId="5" fontId="3" numFmtId="1" xfId="0" applyAlignment="1" applyBorder="1" applyFill="1" applyFont="1" applyNumberFormat="1">
      <alignment horizontal="center" readingOrder="0" vertical="center"/>
    </xf>
    <xf borderId="1" fillId="0" fontId="4" numFmtId="0" xfId="0" applyBorder="1" applyFont="1"/>
    <xf borderId="2" fillId="0" fontId="4" numFmtId="0" xfId="0" applyBorder="1" applyFont="1"/>
    <xf borderId="1" fillId="4" fontId="5" numFmtId="1" xfId="0" applyAlignment="1" applyBorder="1" applyFill="1" applyFont="1" applyNumberFormat="1">
      <alignment horizontal="center" readingOrder="0" vertical="center"/>
    </xf>
    <xf borderId="1" fillId="4" fontId="3" numFmtId="1" xfId="0" applyAlignment="1" applyBorder="1" applyFill="1" applyFont="1" applyNumberForma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4" fontId="6" numFmtId="0" xfId="0" applyAlignment="1" applyBorder="1" applyFill="1" applyFont="1">
      <alignment horizontal="center" vertical="center"/>
    </xf>
    <xf borderId="0" fillId="4" fontId="7" numFmtId="0" xfId="0" applyAlignment="1" applyFill="1" applyFont="1">
      <alignment horizontal="center" readingOrder="0" shrinkToFit="0" vertical="center" wrapText="0"/>
    </xf>
    <xf borderId="0" fillId="6" fontId="8" numFmtId="0" xfId="0" applyAlignment="1" applyFill="1" applyFont="1">
      <alignment horizontal="center" readingOrder="0" shrinkToFit="0" vertical="center" wrapText="0"/>
    </xf>
    <xf borderId="0" fillId="4" fontId="7" numFmtId="49" xfId="0" applyAlignment="1" applyFill="1" applyFont="1" applyNumberFormat="1">
      <alignment horizontal="center" readingOrder="0" shrinkToFit="0" vertical="center" wrapText="0"/>
    </xf>
    <xf borderId="0" fillId="4" fontId="7" numFmtId="0" xfId="0" applyAlignment="1" applyFill="1" applyFont="1">
      <alignment horizontal="center" readingOrder="0" shrinkToFit="0" vertical="center" wrapText="0"/>
    </xf>
    <xf borderId="6" fillId="0" fontId="4" numFmtId="0" xfId="0" applyBorder="1" applyFont="1"/>
    <xf borderId="0" fillId="6" fontId="8" numFmtId="49" xfId="0" applyAlignment="1" applyFill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6" fontId="8" numFmtId="0" xfId="0" applyAlignment="1" applyFill="1" applyFont="1">
      <alignment horizontal="center" readingOrder="0" shrinkToFit="0" vertical="center" wrapText="0"/>
    </xf>
    <xf borderId="0" fillId="5" fontId="7" numFmtId="1" xfId="0" applyAlignment="1" applyFill="1" applyFont="1" applyNumberFormat="1">
      <alignment horizontal="center" readingOrder="0" shrinkToFit="0" vertical="center" wrapText="0"/>
    </xf>
    <xf borderId="0" fillId="4" fontId="7" numFmtId="1" xfId="0" applyAlignment="1" applyFill="1" applyFont="1" applyNumberFormat="1">
      <alignment horizontal="center" readingOrder="0" shrinkToFit="0" vertical="center" wrapText="0"/>
    </xf>
    <xf borderId="0" fillId="5" fontId="8" numFmtId="1" xfId="0" applyAlignment="1" applyFill="1" applyFont="1" applyNumberFormat="1">
      <alignment horizontal="center" readingOrder="0" shrinkToFit="0" vertical="center" wrapText="0"/>
    </xf>
    <xf borderId="0" fillId="3" fontId="7" numFmtId="0" xfId="0" applyAlignment="1" applyFill="1" applyFont="1">
      <alignment horizontal="center" readingOrder="0" shrinkToFit="0" vertical="center" wrapText="0"/>
    </xf>
    <xf borderId="0" fillId="3" fontId="7" numFmtId="1" xfId="0" applyAlignment="1" applyFill="1" applyFont="1" applyNumberFormat="1">
      <alignment horizontal="center" readingOrder="0" shrinkToFit="0" vertical="center" wrapText="0"/>
    </xf>
    <xf borderId="0" fillId="4" fontId="8" numFmtId="1" xfId="0" applyAlignment="1" applyFill="1" applyFont="1" applyNumberFormat="1">
      <alignment horizontal="center" readingOrder="0" shrinkToFit="0" vertical="center" wrapText="0"/>
    </xf>
    <xf borderId="0" fillId="4" fontId="10" numFmtId="0" xfId="0" applyAlignment="1" applyFill="1" applyFont="1">
      <alignment readingOrder="0" shrinkToFit="0" vertical="center" wrapText="0"/>
    </xf>
    <xf borderId="0" fillId="6" fontId="8" numFmtId="1" xfId="0" applyAlignment="1" applyFill="1" applyFont="1" applyNumberFormat="1">
      <alignment horizontal="center" readingOrder="0" shrinkToFit="0" vertical="center" wrapText="0"/>
    </xf>
    <xf borderId="7" fillId="4" fontId="10" numFmtId="0" xfId="0" applyAlignment="1" applyBorder="1" applyFill="1" applyFont="1">
      <alignment readingOrder="0" shrinkToFit="0" vertical="center" wrapText="0"/>
    </xf>
    <xf borderId="7" fillId="4" fontId="10" numFmtId="0" xfId="0" applyAlignment="1" applyBorder="1" applyFill="1" applyFont="1">
      <alignment horizontal="center" readingOrder="0" shrinkToFit="0" vertical="center" wrapText="0"/>
    </xf>
    <xf borderId="0" fillId="4" fontId="8" numFmtId="0" xfId="0" applyAlignment="1" applyFill="1" applyFont="1">
      <alignment horizontal="center" readingOrder="0" shrinkToFit="0" vertical="center" wrapText="0"/>
    </xf>
    <xf borderId="7" fillId="4" fontId="9" numFmtId="0" xfId="0" applyAlignment="1" applyBorder="1" applyFill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3" fontId="8" numFmtId="0" xfId="0" applyAlignment="1" applyFill="1" applyFont="1">
      <alignment horizontal="center" readingOrder="0" shrinkToFit="0" vertical="center" wrapText="0"/>
    </xf>
    <xf borderId="7" fillId="4" fontId="10" numFmtId="0" xfId="0" applyAlignment="1" applyBorder="1" applyFill="1" applyFont="1">
      <alignment horizontal="center" readingOrder="0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4" fontId="10" numFmtId="3" xfId="0" applyAlignment="1" applyBorder="1" applyFill="1" applyFont="1" applyNumberFormat="1">
      <alignment horizontal="center"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0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readingOrder="0" shrinkToFit="0" vertical="center" wrapText="0"/>
    </xf>
    <xf borderId="8" fillId="4" fontId="10" numFmtId="9" xfId="0" applyAlignment="1" applyBorder="1" applyFill="1" applyFont="1" applyNumberFormat="1">
      <alignment horizontal="center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7" fillId="0" fontId="11" numFmtId="0" xfId="0" applyAlignment="1" applyBorder="1" applyFont="1">
      <alignment horizontal="center" readingOrder="0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7" fillId="3" fontId="10" numFmtId="3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7" fillId="3" fontId="10" numFmtId="10" xfId="0" applyAlignment="1" applyBorder="1" applyFill="1" applyFont="1" applyNumberFormat="1">
      <alignment horizontal="center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4" fontId="10" numFmtId="3" xfId="0" applyAlignment="1" applyBorder="1" applyFill="1" applyFont="1" applyNumberFormat="1">
      <alignment readingOrder="0" shrinkToFit="0" vertical="center" wrapText="0"/>
    </xf>
    <xf borderId="7" fillId="4" fontId="12" numFmtId="3" xfId="0" applyAlignment="1" applyBorder="1" applyFill="1" applyFont="1" applyNumberFormat="1">
      <alignment horizontal="right" readingOrder="0" shrinkToFit="0" vertical="center" wrapText="0"/>
    </xf>
    <xf borderId="7" fillId="5" fontId="12" numFmtId="3" xfId="0" applyAlignment="1" applyBorder="1" applyFill="1" applyFont="1" applyNumberFormat="1">
      <alignment horizontal="right" shrinkToFit="0" vertical="center" wrapText="0"/>
    </xf>
    <xf borderId="8" fillId="4" fontId="10" numFmtId="9" xfId="0" applyAlignment="1" applyBorder="1" applyFill="1" applyFont="1" applyNumberFormat="1">
      <alignment horizontal="right" shrinkToFit="0" vertical="center" wrapText="0"/>
    </xf>
    <xf borderId="7" fillId="4" fontId="10" numFmtId="3" xfId="0" applyAlignment="1" applyBorder="1" applyFill="1" applyFont="1" applyNumberFormat="1">
      <alignment horizontal="right" shrinkToFit="0" vertical="center" wrapText="0"/>
    </xf>
    <xf borderId="7" fillId="4" fontId="10" numFmtId="3" xfId="0" applyAlignment="1" applyBorder="1" applyFill="1" applyFont="1" applyNumberFormat="1">
      <alignment horizontal="center" shrinkToFit="0" vertical="center" wrapText="0"/>
    </xf>
    <xf borderId="7" fillId="4" fontId="10" numFmtId="0" xfId="0" applyAlignment="1" applyBorder="1" applyFill="1" applyFont="1">
      <alignment shrinkToFit="0" vertical="center" wrapText="0"/>
    </xf>
    <xf borderId="7" fillId="5" fontId="10" numFmtId="3" xfId="0" applyAlignment="1" applyBorder="1" applyFill="1" applyFont="1" applyNumberFormat="1">
      <alignment horizontal="right" readingOrder="0" shrinkToFit="0" vertical="center" wrapText="0"/>
    </xf>
    <xf borderId="7" fillId="5" fontId="10" numFmtId="3" xfId="0" applyAlignment="1" applyBorder="1" applyFill="1" applyFont="1" applyNumberFormat="1">
      <alignment horizontal="right" shrinkToFit="0" vertical="center" wrapText="0"/>
    </xf>
    <xf borderId="7" fillId="4" fontId="10" numFmtId="3" xfId="0" applyAlignment="1" applyBorder="1" applyFill="1" applyFont="1" applyNumberFormat="1">
      <alignment horizontal="right" readingOrder="0" shrinkToFit="0" vertical="center" wrapText="0"/>
    </xf>
    <xf borderId="0" fillId="0" fontId="13" numFmtId="0" xfId="0" applyAlignment="1" applyFont="1">
      <alignment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4" fontId="10" numFmtId="0" xfId="0" applyAlignment="1" applyFill="1" applyFont="1">
      <alignment shrinkToFit="0" vertical="center" wrapText="0"/>
    </xf>
    <xf borderId="7" fillId="4" fontId="10" numFmtId="0" xfId="0" applyAlignment="1" applyBorder="1" applyFill="1" applyFont="1">
      <alignment readingOrder="0" shrinkToFit="0" vertical="center" wrapText="0"/>
    </xf>
    <xf borderId="7" fillId="4" fontId="10" numFmtId="0" xfId="0" applyAlignment="1" applyBorder="1" applyFill="1" applyFont="1">
      <alignment shrinkToFit="0" vertical="center" wrapText="0"/>
    </xf>
    <xf borderId="9" fillId="7" fontId="2" numFmtId="0" xfId="0" applyAlignment="1" applyBorder="1" applyFill="1" applyFont="1">
      <alignment horizontal="center" vertical="center"/>
    </xf>
    <xf borderId="9" fillId="7" fontId="3" numFmtId="1" xfId="0" applyAlignment="1" applyBorder="1" applyFill="1" applyFont="1" applyNumberFormat="1">
      <alignment horizontal="center" readingOrder="0" vertical="center"/>
    </xf>
    <xf borderId="2" fillId="4" fontId="6" numFmtId="0" xfId="0" applyAlignment="1" applyBorder="1" applyFill="1" applyFont="1">
      <alignment horizontal="center" vertical="center"/>
    </xf>
    <xf borderId="0" fillId="3" fontId="7" numFmtId="49" xfId="0" applyAlignment="1" applyFill="1" applyFont="1" applyNumberFormat="1">
      <alignment horizontal="center" readingOrder="0" shrinkToFit="0" vertical="center" wrapText="0"/>
    </xf>
    <xf borderId="9" fillId="7" fontId="7" numFmtId="0" xfId="0" applyAlignment="1" applyBorder="1" applyFill="1" applyFont="1">
      <alignment horizontal="center"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8" fillId="3" fontId="10" numFmtId="10" xfId="0" applyAlignment="1" applyBorder="1" applyFill="1" applyFont="1" applyNumberFormat="1">
      <alignment horizontal="center" shrinkToFit="0" vertical="center" wrapText="0"/>
    </xf>
    <xf borderId="9" fillId="7" fontId="10" numFmtId="10" xfId="0" applyAlignment="1" applyBorder="1" applyFill="1" applyFont="1" applyNumberFormat="1">
      <alignment horizontal="center" shrinkToFit="0" vertical="center" wrapText="0"/>
    </xf>
    <xf borderId="10" fillId="4" fontId="10" numFmtId="3" xfId="0" applyAlignment="1" applyBorder="1" applyFill="1" applyFont="1" applyNumberFormat="1">
      <alignment horizontal="center" shrinkToFit="0" vertical="center" wrapText="0"/>
    </xf>
    <xf borderId="1" fillId="5" fontId="14" numFmtId="1" xfId="0" applyAlignment="1" applyBorder="1" applyFill="1" applyFont="1" applyNumberFormat="1">
      <alignment horizontal="center" readingOrder="0" vertical="center"/>
    </xf>
    <xf borderId="2" fillId="4" fontId="3" numFmtId="1" xfId="0" applyAlignment="1" applyBorder="1" applyFill="1" applyFont="1" applyNumberFormat="1">
      <alignment horizontal="center" readingOrder="0" vertical="center"/>
    </xf>
    <xf borderId="0" fillId="4" fontId="3" numFmtId="1" xfId="0" applyAlignment="1" applyFill="1" applyFont="1" applyNumberFormat="1">
      <alignment horizontal="center" readingOrder="0" vertical="center"/>
    </xf>
    <xf borderId="3" fillId="4" fontId="3" numFmtId="1" xfId="0" applyAlignment="1" applyBorder="1" applyFill="1" applyFont="1" applyNumberFormat="1">
      <alignment horizontal="center" readingOrder="0" vertical="center"/>
    </xf>
    <xf borderId="4" fillId="4" fontId="3" numFmtId="1" xfId="0" applyAlignment="1" applyBorder="1" applyFill="1" applyFont="1" applyNumberFormat="1">
      <alignment horizontal="center" readingOrder="0" vertical="center"/>
    </xf>
    <xf borderId="7" fillId="4" fontId="10" numFmtId="0" xfId="0" applyAlignment="1" applyBorder="1" applyFill="1" applyFont="1">
      <alignment horizontal="left" readingOrder="0" shrinkToFit="0" vertical="center" wrapText="0"/>
    </xf>
    <xf borderId="7" fillId="4" fontId="9" numFmtId="0" xfId="0" applyAlignment="1" applyBorder="1" applyFill="1" applyFont="1">
      <alignment horizontal="center" readingOrder="0" shrinkToFit="0" vertical="center" wrapText="0"/>
    </xf>
    <xf borderId="0" fillId="4" fontId="10" numFmtId="0" xfId="0" applyAlignment="1" applyFill="1" applyFont="1">
      <alignment readingOrder="0" shrinkToFit="0" vertical="center" wrapText="0"/>
    </xf>
    <xf borderId="7" fillId="3" fontId="10" numFmtId="3" xfId="0" applyAlignment="1" applyBorder="1" applyFill="1" applyFont="1" applyNumberFormat="1">
      <alignment shrinkToFit="0" vertical="center" wrapText="0"/>
    </xf>
    <xf borderId="0" fillId="3" fontId="10" numFmtId="10" xfId="0" applyAlignment="1" applyFill="1" applyFont="1" applyNumberFormat="1">
      <alignment shrinkToFit="0" vertical="center" wrapText="0"/>
    </xf>
    <xf borderId="0" fillId="4" fontId="10" numFmtId="0" xfId="0" applyAlignment="1" applyFill="1" applyFont="1">
      <alignment readingOrder="0" shrinkToFit="0" vertical="center" wrapText="0"/>
    </xf>
    <xf borderId="7" fillId="4" fontId="9" numFmtId="164" xfId="0" applyAlignment="1" applyBorder="1" applyFill="1" applyFont="1" applyNumberFormat="1">
      <alignment horizontal="center" readingOrder="0" shrinkToFit="0" vertical="center" wrapText="0"/>
    </xf>
    <xf borderId="8" fillId="4" fontId="10" numFmtId="3" xfId="0" applyAlignment="1" applyBorder="1" applyFill="1" applyFont="1" applyNumberFormat="1">
      <alignment horizontal="center" shrinkToFit="0" vertical="center" wrapText="0"/>
    </xf>
    <xf borderId="7" fillId="3" fontId="10" numFmtId="3" xfId="0" applyAlignment="1" applyBorder="1" applyFill="1" applyFont="1" applyNumberFormat="1">
      <alignment horizontal="right" shrinkToFit="0" vertical="center" wrapText="0"/>
    </xf>
    <xf borderId="0" fillId="3" fontId="10" numFmtId="10" xfId="0" applyAlignment="1" applyFill="1" applyFont="1" applyNumberFormat="1">
      <alignment horizontal="center" shrinkToFit="0" vertical="center" wrapText="0"/>
    </xf>
    <xf borderId="7" fillId="0" fontId="9" numFmtId="164" xfId="0" applyAlignment="1" applyBorder="1" applyFont="1" applyNumberFormat="1">
      <alignment readingOrder="0" shrinkToFit="0" vertical="center" wrapText="0"/>
    </xf>
    <xf borderId="7" fillId="4" fontId="10" numFmtId="3" xfId="0" applyAlignment="1" applyBorder="1" applyFill="1" applyFont="1" applyNumberFormat="1">
      <alignment shrinkToFit="0" vertical="center" wrapText="0"/>
    </xf>
    <xf borderId="7" fillId="0" fontId="10" numFmtId="0" xfId="0" applyAlignment="1" applyBorder="1" applyFont="1">
      <alignment shrinkToFit="0" vertical="center" wrapText="0"/>
    </xf>
    <xf borderId="7" fillId="6" fontId="15" numFmtId="0" xfId="0" applyAlignment="1" applyBorder="1" applyFill="1" applyFont="1">
      <alignment shrinkToFit="0" vertical="center" wrapText="0"/>
    </xf>
    <xf borderId="7" fillId="0" fontId="9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7" fillId="4" fontId="15" numFmtId="0" xfId="0" applyAlignment="1" applyBorder="1" applyFill="1" applyFont="1">
      <alignment shrinkToFit="0" vertical="center" wrapText="0"/>
    </xf>
    <xf borderId="0" fillId="4" fontId="10" numFmtId="0" xfId="0" applyAlignment="1" applyFill="1" applyFont="1">
      <alignment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7" fillId="4" fontId="10" numFmtId="164" xfId="0" applyAlignment="1" applyBorder="1" applyFill="1" applyFont="1" applyNumberFormat="1">
      <alignment horizontal="center" readingOrder="0" shrinkToFit="0" vertical="center" wrapText="0"/>
    </xf>
    <xf borderId="7" fillId="4" fontId="10" numFmtId="0" xfId="0" applyAlignment="1" applyBorder="1" applyFill="1" applyFont="1">
      <alignment readingOrder="0" shrinkToFit="0" vertical="center" wrapText="0"/>
    </xf>
    <xf borderId="7" fillId="4" fontId="12" numFmtId="3" xfId="0" applyAlignment="1" applyBorder="1" applyFill="1" applyFont="1" applyNumberFormat="1">
      <alignment horizontal="right" shrinkToFit="0" vertical="center" wrapText="0"/>
    </xf>
    <xf borderId="7" fillId="0" fontId="10" numFmtId="0" xfId="0" applyAlignment="1" applyBorder="1" applyFont="1">
      <alignment shrinkToFit="0" vertical="center" wrapText="0"/>
    </xf>
    <xf borderId="7" fillId="8" fontId="10" numFmtId="3" xfId="0" applyAlignment="1" applyBorder="1" applyFill="1" applyFont="1" applyNumberFormat="1">
      <alignment horizontal="center" readingOrder="0" shrinkToFit="0" vertical="center" wrapText="0"/>
    </xf>
    <xf borderId="7" fillId="9" fontId="10" numFmtId="3" xfId="0" applyAlignment="1" applyBorder="1" applyFill="1" applyFont="1" applyNumberFormat="1">
      <alignment horizontal="center" shrinkToFit="0" vertical="center" wrapText="0"/>
    </xf>
    <xf borderId="7" fillId="8" fontId="10" numFmtId="3" xfId="0" applyAlignment="1" applyBorder="1" applyFill="1" applyFont="1" applyNumberFormat="1">
      <alignment horizontal="center" shrinkToFit="0" vertical="center" wrapText="0"/>
    </xf>
    <xf borderId="7" fillId="0" fontId="10" numFmtId="164" xfId="0" applyAlignment="1" applyBorder="1" applyFont="1" applyNumberFormat="1">
      <alignment readingOrder="0" shrinkToFit="0" vertical="center" wrapText="0"/>
    </xf>
    <xf borderId="7" fillId="0" fontId="10" numFmtId="0" xfId="0" applyAlignment="1" applyBorder="1" applyFont="1">
      <alignment shrinkToFit="0" vertical="center" wrapText="0"/>
    </xf>
    <xf borderId="7" fillId="0" fontId="10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7" fillId="0" fontId="10" numFmtId="0" xfId="0" applyBorder="1" applyFont="1"/>
    <xf borderId="0" fillId="0" fontId="10" numFmtId="0" xfId="0" applyAlignment="1" applyFont="1">
      <alignment readingOrder="0"/>
    </xf>
    <xf borderId="7" fillId="5" fontId="10" numFmtId="3" xfId="0" applyAlignment="1" applyBorder="1" applyFill="1" applyFont="1" applyNumberFormat="1">
      <alignment horizontal="center" vertical="center"/>
    </xf>
    <xf borderId="7" fillId="5" fontId="10" numFmtId="3" xfId="0" applyAlignment="1" applyBorder="1" applyFill="1" applyFont="1" applyNumberFormat="1">
      <alignment horizontal="center" readingOrder="0" vertical="center"/>
    </xf>
    <xf borderId="7" fillId="4" fontId="10" numFmtId="3" xfId="0" applyAlignment="1" applyBorder="1" applyFill="1" applyFont="1" applyNumberFormat="1">
      <alignment horizontal="center" readingOrder="0" vertical="center"/>
    </xf>
    <xf borderId="7" fillId="4" fontId="10" numFmtId="3" xfId="0" applyAlignment="1" applyBorder="1" applyFill="1" applyFont="1" applyNumberFormat="1">
      <alignment readingOrder="0" vertical="center"/>
    </xf>
    <xf borderId="8" fillId="4" fontId="10" numFmtId="9" xfId="0" applyAlignment="1" applyBorder="1" applyFill="1" applyFont="1" applyNumberFormat="1">
      <alignment horizontal="center"/>
    </xf>
    <xf borderId="7" fillId="3" fontId="10" numFmtId="3" xfId="0" applyAlignment="1" applyBorder="1" applyFill="1" applyFont="1" applyNumberFormat="1">
      <alignment horizontal="center"/>
    </xf>
    <xf borderId="7" fillId="3" fontId="16" numFmtId="10" xfId="0" applyAlignment="1" applyBorder="1" applyFill="1" applyFont="1" applyNumberFormat="1">
      <alignment horizontal="center"/>
    </xf>
    <xf borderId="8" fillId="4" fontId="10" numFmtId="3" xfId="0" applyAlignment="1" applyBorder="1" applyFill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vertical="center"/>
    </xf>
    <xf borderId="0" fillId="4" fontId="8" numFmtId="0" xfId="0" applyAlignment="1" applyFill="1" applyFont="1">
      <alignment horizontal="center" readingOrder="0" shrinkToFit="0" vertical="center" wrapText="0"/>
    </xf>
    <xf borderId="0" fillId="4" fontId="8" numFmtId="49" xfId="0" applyAlignment="1" applyFill="1" applyFont="1" applyNumberFormat="1">
      <alignment horizontal="center" readingOrder="0" shrinkToFit="0" vertical="center" wrapText="0"/>
    </xf>
    <xf borderId="0" fillId="3" fontId="8" numFmtId="1" xfId="0" applyAlignment="1" applyFill="1" applyFont="1" applyNumberFormat="1">
      <alignment horizontal="center" readingOrder="0" shrinkToFit="0" vertical="center" wrapText="0"/>
    </xf>
    <xf borderId="7" fillId="4" fontId="10" numFmtId="9" xfId="0" applyAlignment="1" applyBorder="1" applyFill="1" applyFont="1" applyNumberFormat="1">
      <alignment horizontal="center" shrinkToFit="0" vertical="center" wrapText="0"/>
    </xf>
    <xf borderId="9" fillId="7" fontId="13" numFmtId="0" xfId="0" applyBorder="1" applyFill="1" applyFont="1"/>
    <xf borderId="7" fillId="4" fontId="13" numFmtId="0" xfId="0" applyAlignment="1" applyBorder="1" applyFill="1" applyFont="1">
      <alignment shrinkToFit="0" vertical="center" wrapText="0"/>
    </xf>
    <xf borderId="7" fillId="4" fontId="13" numFmtId="0" xfId="0" applyAlignment="1" applyBorder="1" applyFill="1" applyFont="1">
      <alignment shrinkToFit="0" vertical="center" wrapText="0"/>
    </xf>
    <xf borderId="7" fillId="5" fontId="13" numFmtId="0" xfId="0" applyAlignment="1" applyBorder="1" applyFill="1" applyFont="1">
      <alignment shrinkToFit="0" vertical="center" wrapText="0"/>
    </xf>
    <xf borderId="7" fillId="3" fontId="13" numFmtId="0" xfId="0" applyAlignment="1" applyBorder="1" applyFill="1" applyFont="1">
      <alignment shrinkToFit="0" vertical="center" wrapText="0"/>
    </xf>
    <xf borderId="10" fillId="4" fontId="12" numFmtId="3" xfId="0" applyAlignment="1" applyBorder="1" applyFill="1" applyFont="1" applyNumberFormat="1">
      <alignment horizontal="right" readingOrder="0" shrinkToFit="0" vertical="center" wrapText="0"/>
    </xf>
    <xf borderId="10" fillId="4" fontId="10" numFmtId="3" xfId="0" applyAlignment="1" applyBorder="1" applyFill="1" applyFont="1" applyNumberFormat="1">
      <alignment horizontal="right" readingOrder="0" shrinkToFit="0" vertical="center" wrapText="0"/>
    </xf>
    <xf borderId="7" fillId="4" fontId="10" numFmtId="0" xfId="0" applyAlignment="1" applyBorder="1" applyFill="1" applyFont="1">
      <alignment shrinkToFit="0" vertical="center" wrapText="0"/>
    </xf>
    <xf borderId="7" fillId="4" fontId="10" numFmtId="0" xfId="0" applyAlignment="1" applyBorder="1" applyFill="1" applyFont="1">
      <alignment shrinkToFit="0" vertical="center" wrapText="0"/>
    </xf>
    <xf borderId="7" fillId="4" fontId="10" numFmtId="0" xfId="0" applyAlignment="1" applyBorder="1" applyFill="1" applyFont="1">
      <alignment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10" fillId="4" fontId="10" numFmtId="3" xfId="0" applyAlignment="1" applyBorder="1" applyFill="1" applyFont="1" applyNumberFormat="1">
      <alignment horizontal="right" shrinkToFit="0" vertical="center" wrapText="0"/>
    </xf>
    <xf borderId="0" fillId="0" fontId="13" numFmtId="3" xfId="0" applyAlignment="1" applyFont="1" applyNumberFormat="1">
      <alignment readingOrder="0" shrinkToFit="0" vertical="center" wrapText="0"/>
    </xf>
    <xf borderId="8" fillId="5" fontId="12" numFmtId="165" xfId="0" applyAlignment="1" applyBorder="1" applyFill="1" applyFont="1" applyNumberFormat="1">
      <alignment horizontal="right" shrinkToFit="0" vertical="center" wrapText="0"/>
    </xf>
    <xf borderId="7" fillId="4" fontId="10" numFmtId="9" xfId="0" applyAlignment="1" applyBorder="1" applyFill="1" applyFont="1" applyNumberFormat="1">
      <alignment horizontal="right" shrinkToFit="0" vertical="center" wrapText="0"/>
    </xf>
    <xf borderId="7" fillId="0" fontId="12" numFmtId="0" xfId="0" applyAlignment="1" applyBorder="1" applyFont="1">
      <alignment shrinkToFit="0" vertical="center" wrapText="0"/>
    </xf>
    <xf borderId="7" fillId="0" fontId="12" numFmtId="0" xfId="0" applyAlignment="1" applyBorder="1" applyFont="1">
      <alignment shrinkToFit="0" vertical="center" wrapText="0"/>
    </xf>
    <xf borderId="7" fillId="0" fontId="12" numFmtId="0" xfId="0" applyAlignment="1" applyBorder="1" applyFont="1">
      <alignment shrinkToFit="0" vertical="center" wrapText="0"/>
    </xf>
    <xf borderId="7" fillId="5" fontId="12" numFmtId="3" xfId="0" applyAlignment="1" applyBorder="1" applyFill="1" applyFont="1" applyNumberFormat="1">
      <alignment readingOrder="0" shrinkToFit="0" vertical="center" wrapText="0"/>
    </xf>
    <xf borderId="7" fillId="5" fontId="12" numFmtId="3" xfId="0" applyAlignment="1" applyBorder="1" applyFill="1" applyFont="1" applyNumberFormat="1">
      <alignment shrinkToFit="0" vertical="center" wrapText="0"/>
    </xf>
    <xf borderId="10" fillId="4" fontId="12" numFmtId="3" xfId="0" applyAlignment="1" applyBorder="1" applyFill="1" applyFont="1" applyNumberFormat="1">
      <alignment shrinkToFit="0" vertical="center" wrapText="0"/>
    </xf>
    <xf borderId="7" fillId="4" fontId="12" numFmtId="3" xfId="0" applyAlignment="1" applyBorder="1" applyFill="1" applyFont="1" applyNumberFormat="1">
      <alignment shrinkToFit="0" vertical="center" wrapText="0"/>
    </xf>
    <xf borderId="7" fillId="5" fontId="12" numFmtId="165" xfId="0" applyAlignment="1" applyBorder="1" applyFill="1" applyFont="1" applyNumberFormat="1">
      <alignment shrinkToFit="0" vertical="center" wrapText="0"/>
    </xf>
    <xf borderId="7" fillId="8" fontId="12" numFmtId="3" xfId="0" applyAlignment="1" applyBorder="1" applyFill="1" applyFont="1" applyNumberFormat="1">
      <alignment shrinkToFit="0" vertical="center" wrapText="0"/>
    </xf>
    <xf borderId="7" fillId="9" fontId="12" numFmtId="3" xfId="0" applyAlignment="1" applyBorder="1" applyFill="1" applyFont="1" applyNumberFormat="1">
      <alignment shrinkToFit="0" vertical="center" wrapText="0"/>
    </xf>
    <xf borderId="7" fillId="3" fontId="16" numFmtId="10" xfId="0" applyAlignment="1" applyBorder="1" applyFill="1" applyFont="1" applyNumberFormat="1">
      <alignment horizontal="center" shrinkToFit="0" vertical="center" wrapText="0"/>
    </xf>
    <xf borderId="7" fillId="10" fontId="11" numFmtId="3" xfId="0" applyAlignment="1" applyBorder="1" applyFill="1" applyFont="1" applyNumberFormat="1">
      <alignment horizontal="center" shrinkToFit="0" vertical="center" wrapText="0"/>
    </xf>
    <xf borderId="7" fillId="10" fontId="12" numFmtId="3" xfId="0" applyAlignment="1" applyBorder="1" applyFill="1" applyFont="1" applyNumberFormat="1">
      <alignment shrinkToFit="0" vertical="center" wrapText="0"/>
    </xf>
    <xf borderId="7" fillId="4" fontId="12" numFmtId="0" xfId="0" applyAlignment="1" applyBorder="1" applyFill="1" applyFont="1">
      <alignment readingOrder="0"/>
    </xf>
    <xf borderId="7" fillId="4" fontId="11" numFmtId="0" xfId="0" applyAlignment="1" applyBorder="1" applyFill="1" applyFont="1">
      <alignment horizontal="center"/>
    </xf>
    <xf borderId="7" fillId="4" fontId="12" numFmtId="0" xfId="0" applyBorder="1" applyFill="1" applyFont="1"/>
    <xf borderId="7" fillId="5" fontId="10" numFmtId="3" xfId="0" applyAlignment="1" applyBorder="1" applyFill="1" applyFont="1" applyNumberFormat="1">
      <alignment horizontal="right" readingOrder="0" vertical="center"/>
    </xf>
    <xf borderId="7" fillId="5" fontId="12" numFmtId="165" xfId="0" applyBorder="1" applyFill="1" applyFont="1" applyNumberFormat="1"/>
    <xf borderId="7" fillId="3" fontId="12" numFmtId="3" xfId="0" applyBorder="1" applyFill="1" applyFont="1" applyNumberFormat="1"/>
    <xf borderId="0" fillId="3" fontId="12" numFmtId="3" xfId="0" applyFill="1" applyFont="1" applyNumberFormat="1"/>
    <xf borderId="7" fillId="4" fontId="10" numFmtId="3" xfId="0" applyAlignment="1" applyBorder="1" applyFill="1" applyFont="1" applyNumberFormat="1">
      <alignment horizontal="center" vertical="center"/>
    </xf>
    <xf borderId="7" fillId="5" fontId="10" numFmtId="3" xfId="0" applyAlignment="1" applyBorder="1" applyFill="1" applyFont="1" applyNumberFormat="1">
      <alignment horizontal="right" vertical="center"/>
    </xf>
    <xf borderId="7" fillId="3" fontId="12" numFmtId="1" xfId="0" applyBorder="1" applyFill="1" applyFont="1" applyNumberFormat="1"/>
    <xf borderId="0" fillId="3" fontId="12" numFmtId="1" xfId="0" applyFill="1" applyFont="1" applyNumberFormat="1"/>
    <xf borderId="7" fillId="8" fontId="12" numFmtId="1" xfId="0" applyAlignment="1" applyBorder="1" applyFill="1" applyFont="1" applyNumberFormat="1">
      <alignment shrinkToFit="0" vertical="center" wrapText="0"/>
    </xf>
    <xf borderId="7" fillId="9" fontId="12" numFmtId="1" xfId="0" applyAlignment="1" applyBorder="1" applyFill="1" applyFont="1" applyNumberFormat="1">
      <alignment shrinkToFit="0" vertical="center" wrapText="0"/>
    </xf>
    <xf borderId="7" fillId="10" fontId="11" numFmtId="1" xfId="0" applyAlignment="1" applyBorder="1" applyFill="1" applyFont="1" applyNumberFormat="1">
      <alignment horizontal="center" shrinkToFit="0" vertical="center" wrapText="0"/>
    </xf>
    <xf borderId="7" fillId="10" fontId="12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horizontal="right"/>
    </xf>
    <xf borderId="7" fillId="0" fontId="12" numFmtId="0" xfId="0" applyBorder="1" applyFont="1"/>
    <xf borderId="7" fillId="0" fontId="11" numFmtId="0" xfId="0" applyAlignment="1" applyBorder="1" applyFont="1">
      <alignment horizontal="center"/>
    </xf>
    <xf borderId="7" fillId="8" fontId="12" numFmtId="3" xfId="0" applyBorder="1" applyFill="1" applyFont="1" applyNumberFormat="1"/>
    <xf borderId="7" fillId="9" fontId="12" numFmtId="3" xfId="0" applyBorder="1" applyFill="1" applyFont="1" applyNumberFormat="1"/>
    <xf borderId="7" fillId="8" fontId="12" numFmtId="1" xfId="0" applyBorder="1" applyFill="1" applyFont="1" applyNumberFormat="1"/>
    <xf borderId="7" fillId="9" fontId="12" numFmtId="1" xfId="0" applyBorder="1" applyFill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WRAPPING PA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OD WR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PER BAG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SATCHEL BA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EE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KEAWAY C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W936" displayName="Table1" name="Table1" id="3">
  <tableColumns count="23">
    <tableColumn name="Code" id="1"/>
    <tableColumn name="Brand" id="2"/>
    <tableColumn name="Product" id="3"/>
    <tableColumn name="Material (gsm)" id="4"/>
    <tableColumn name="Size (P x L x T)" id="5"/>
    <tableColumn name="Color" id="6"/>
    <tableColumn name="Detail Color" id="7"/>
    <tableColumn name="Category" id="8"/>
    <tableColumn name="Finishing" id="9"/>
    <tableColumn name="Qty/Ctn" id="10"/>
    <tableColumn name="Qty" id="11"/>
    <tableColumn name="COGS (Excl)" id="12"/>
    <tableColumn name="Qty/Ctn 2" id="13"/>
    <tableColumn name="Qty 2" id="14"/>
    <tableColumn name="COGS (Excl) 2" id="15"/>
    <tableColumn name="Qty/Ctn 3" id="16"/>
    <tableColumn name="Qty 3" id="17"/>
    <tableColumn name="COGS (Excl) 3" id="18"/>
    <tableColumn name="Profit" id="19"/>
    <tableColumn name="Price List" id="20"/>
    <tableColumn name="Profit SO" id="21"/>
    <tableColumn name="Price" id="22"/>
    <tableColumn name="Total" id="23"/>
  </tableColumns>
  <tableStyleInfo name="PAPER BAG-style" showColumnStripes="0" showFirstColumn="1" showLastColumn="1" showRowStripes="1"/>
</table>
</file>

<file path=xl/tables/table2.xml><?xml version="1.0" encoding="utf-8"?>
<table xmlns="http://schemas.openxmlformats.org/spreadsheetml/2006/main" ref="A5:T369" displayName="Table2" name="Table2" id="2">
  <tableColumns count="20">
    <tableColumn name="Brand" id="1"/>
    <tableColumn name="Product" id="2"/>
    <tableColumn name="Material (gsm)" id="3"/>
    <tableColumn name="Size (P x L x T)" id="4"/>
    <tableColumn name="Color" id="5"/>
    <tableColumn name="Detail Color" id="6"/>
    <tableColumn name="Category" id="7"/>
    <tableColumn name="Finishing" id="8"/>
    <tableColumn name="Qty/Ctn" id="9"/>
    <tableColumn name="Qty" id="10"/>
    <tableColumn name="COGS (Excl)" id="11"/>
    <tableColumn name="Qty/Ctn 2" id="12"/>
    <tableColumn name="Qty 2" id="13"/>
    <tableColumn name="COGS (Excl) 2" id="14"/>
    <tableColumn name="Qty/Ctn 3" id="15"/>
    <tableColumn name="Qty 3" id="16"/>
    <tableColumn name="COGS (Excl) 3" id="17"/>
    <tableColumn name="Profit" id="18"/>
    <tableColumn name="Price List" id="19"/>
    <tableColumn name="Profit SO" id="20"/>
  </tableColumns>
  <tableStyleInfo name="FOOD WRAP-style" showColumnStripes="0" showFirstColumn="1" showLastColumn="1" showRowStripes="1"/>
</table>
</file>

<file path=xl/tables/table3.xml><?xml version="1.0" encoding="utf-8"?>
<table xmlns="http://schemas.openxmlformats.org/spreadsheetml/2006/main" ref="A5:T1000" displayName="Table3" name="Table3" id="1">
  <tableColumns count="20">
    <tableColumn name="Brand" id="1"/>
    <tableColumn name="Product" id="2"/>
    <tableColumn name="Material (gsm)" id="3"/>
    <tableColumn name="Size (P x L x T)" id="4"/>
    <tableColumn name="Color" id="5"/>
    <tableColumn name="Detail Color" id="6"/>
    <tableColumn name="Category" id="7"/>
    <tableColumn name="Finishing" id="8"/>
    <tableColumn name="Qty/Ctn" id="9"/>
    <tableColumn name="Qty" id="10"/>
    <tableColumn name="COGS (Excl)" id="11"/>
    <tableColumn name="Qty/Ctn 2" id="12"/>
    <tableColumn name="Qty 2" id="13"/>
    <tableColumn name="COGS (Excl) 2" id="14"/>
    <tableColumn name="Qty/Ctn 3" id="15"/>
    <tableColumn name="Qty 3" id="16"/>
    <tableColumn name="COGS (Excl) 3" id="17"/>
    <tableColumn name="Profit" id="18"/>
    <tableColumn name="Price List" id="19"/>
    <tableColumn name="Profit SO" id="20"/>
  </tableColumns>
  <tableStyleInfo name="WRAPPING PAPER-style" showColumnStripes="0" showFirstColumn="1" showLastColumn="1" showRowStripes="1"/>
</table>
</file>

<file path=xl/tables/table4.xml><?xml version="1.0" encoding="utf-8"?>
<table xmlns="http://schemas.openxmlformats.org/spreadsheetml/2006/main" ref="A5:T84" displayName="Table4" name="Table4" id="4">
  <tableColumns count="20">
    <tableColumn name="Brand" id="1"/>
    <tableColumn name="Product" id="2"/>
    <tableColumn name="Material (gsm)" id="3"/>
    <tableColumn name="Size (P x L x T)" id="4"/>
    <tableColumn name="Color" id="5"/>
    <tableColumn name="Detail Color" id="6"/>
    <tableColumn name="Category" id="7"/>
    <tableColumn name="Finishing" id="8"/>
    <tableColumn name="Qty/Ctn" id="9"/>
    <tableColumn name="Qty" id="10"/>
    <tableColumn name="COGS (Excl)" id="11"/>
    <tableColumn name="Qty/Ctn 2" id="12"/>
    <tableColumn name="Qty 2" id="13"/>
    <tableColumn name="COGS (Excl) 2" id="14"/>
    <tableColumn name="Qty/Ctn 3" id="15"/>
    <tableColumn name="Qty 3" id="16"/>
    <tableColumn name="COGS (Excl) 3" id="17"/>
    <tableColumn name="Profit" id="18"/>
    <tableColumn name="Price List" id="19"/>
    <tableColumn name="Profit SO" id="20"/>
  </tableColumns>
  <tableStyleInfo name="SATCHEL BAG-style" showColumnStripes="0" showFirstColumn="1" showLastColumn="1" showRowStripes="1"/>
</table>
</file>

<file path=xl/tables/table5.xml><?xml version="1.0" encoding="utf-8"?>
<table xmlns="http://schemas.openxmlformats.org/spreadsheetml/2006/main" ref="A5:X310" displayName="Table5" name="Table5" id="5">
  <tableColumns count="24">
    <tableColumn name="Brand" id="1"/>
    <tableColumn name="Product" id="2"/>
    <tableColumn name="Material (gsm)" id="3"/>
    <tableColumn name="Size (P x L x T)" id="4"/>
    <tableColumn name="Column 30" id="5"/>
    <tableColumn name="Color" id="6"/>
    <tableColumn name="Detail Color" id="7"/>
    <tableColumn name="Category" id="8"/>
    <tableColumn name="Finishing" id="9"/>
    <tableColumn name="Qty/Ctn" id="10"/>
    <tableColumn name="Qty" id="11"/>
    <tableColumn name="COGS (Excl)" id="12"/>
    <tableColumn name="Qty/Ctn 2" id="13"/>
    <tableColumn name="Qty 2" id="14"/>
    <tableColumn name="COGS (Excl) 2" id="15"/>
    <tableColumn name="Qty/Ctn 3" id="16"/>
    <tableColumn name="Qty 3" id="17"/>
    <tableColumn name="COGS (Excl) 3" id="18"/>
    <tableColumn name="Profit" id="19"/>
    <tableColumn name="Price List" id="20"/>
    <tableColumn name="Nett" id="21"/>
    <tableColumn name="Profit SO" id="22"/>
    <tableColumn name="Column 23" id="23"/>
    <tableColumn name="Price" id="24"/>
  </tableColumns>
  <tableStyleInfo name="SLEEVE-style" showColumnStripes="0" showFirstColumn="1" showLastColumn="1" showRowStripes="1"/>
</table>
</file>

<file path=xl/tables/table6.xml><?xml version="1.0" encoding="utf-8"?>
<table xmlns="http://schemas.openxmlformats.org/spreadsheetml/2006/main" ref="A5:W368" displayName="Table6" name="Table6" id="6">
  <tableColumns count="23">
    <tableColumn name="Brand" id="1"/>
    <tableColumn name="Product" id="2"/>
    <tableColumn name="Material (gsm)" id="3"/>
    <tableColumn name="Size (P x L x T)" id="4"/>
    <tableColumn name="Color" id="5"/>
    <tableColumn name="Detail Color" id="6"/>
    <tableColumn name="Category" id="7"/>
    <tableColumn name="Finishing" id="8"/>
    <tableColumn name="Qty/Ctn" id="9"/>
    <tableColumn name="Qty" id="10"/>
    <tableColumn name="COGS (Excl)" id="11"/>
    <tableColumn name="Qty/Ctn 2" id="12"/>
    <tableColumn name="Qty 2" id="13"/>
    <tableColumn name="COGS (Excl) 2" id="14"/>
    <tableColumn name="Qty/Ctn 3" id="15"/>
    <tableColumn name="Qty 3" id="16"/>
    <tableColumn name="COGS (Excl) 3" id="17"/>
    <tableColumn name="COGS MAX" id="18"/>
    <tableColumn name="Profit" id="19"/>
    <tableColumn name="Price List" id="20"/>
    <tableColumn name="Profit SO" id="21"/>
    <tableColumn name="Nett" id="22"/>
    <tableColumn name="Profit Nett" id="23"/>
  </tableColumns>
  <tableStyleInfo name="BOX-style" showColumnStripes="0" showFirstColumn="1" showLastColumn="1" showRowStripes="1"/>
</table>
</file>

<file path=xl/tables/table7.xml><?xml version="1.0" encoding="utf-8"?>
<table xmlns="http://schemas.openxmlformats.org/spreadsheetml/2006/main" ref="A5:T1000" displayName="Table7" name="Table7" id="7">
  <tableColumns count="20">
    <tableColumn name="Brand" id="1"/>
    <tableColumn name="Product" id="2"/>
    <tableColumn name="Material (gsm)" id="3"/>
    <tableColumn name="Size (P x L x T)" id="4"/>
    <tableColumn name="Color" id="5"/>
    <tableColumn name="Detail Color" id="6"/>
    <tableColumn name="Category" id="7"/>
    <tableColumn name="Finishing" id="8"/>
    <tableColumn name="Qty/Ctn" id="9"/>
    <tableColumn name="Qty" id="10"/>
    <tableColumn name="COGS (Excl)" id="11"/>
    <tableColumn name="Qty/Ctn 2" id="12"/>
    <tableColumn name="Qty 2" id="13"/>
    <tableColumn name="COGS (Excl) 2" id="14"/>
    <tableColumn name="Qty/Ctn 3" id="15"/>
    <tableColumn name="Qty 3" id="16"/>
    <tableColumn name="COGS (Excl) 3" id="17"/>
    <tableColumn name="Profit" id="18"/>
    <tableColumn name="Price List" id="19"/>
    <tableColumn name="Profit SO" id="20"/>
  </tableColumns>
  <tableStyleInfo name="TAKEAWAY CUP-style" showColumnStripes="0" showFirstColumn="1" showLastColumn="1" showRowStripes="1"/>
</table>
</file>

<file path=xl/tables/table8.xml><?xml version="1.0" encoding="utf-8"?>
<table xmlns="http://schemas.openxmlformats.org/spreadsheetml/2006/main" ref="A5:U392" displayName="Table8" name="Table8" id="8">
  <tableColumns count="21">
    <tableColumn name="Brand" id="1"/>
    <tableColumn name="Product" id="2"/>
    <tableColumn name="Material (gsm)" id="3"/>
    <tableColumn name="Size (P x L x T)" id="4"/>
    <tableColumn name="Column 30" id="5"/>
    <tableColumn name="Color" id="6"/>
    <tableColumn name="Detail Color" id="7"/>
    <tableColumn name="Category" id="8"/>
    <tableColumn name="Finishing" id="9"/>
    <tableColumn name="Qty/Ctn" id="10"/>
    <tableColumn name="Qty" id="11"/>
    <tableColumn name="COGS (Excl)" id="12"/>
    <tableColumn name="Qty/Ctn 2" id="13"/>
    <tableColumn name="Qty 2" id="14"/>
    <tableColumn name="COGS (Excl) 2" id="15"/>
    <tableColumn name="Qty/Ctn 3" id="16"/>
    <tableColumn name="Qty 3" id="17"/>
    <tableColumn name="COGS (Excl) 3" id="18"/>
    <tableColumn name="Profit" id="19"/>
    <tableColumn name="Price List" id="20"/>
    <tableColumn name="Profit SO" id="21"/>
  </tableColumns>
  <tableStyleInfo name="Oth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2.63" defaultRowHeight="15.75"/>
  <cols>
    <col customWidth="1" hidden="1" min="1" max="1" width="16.5"/>
    <col customWidth="1" min="2" max="2" width="21.0"/>
    <col customWidth="1" min="3" max="3" width="24.25"/>
    <col customWidth="1" min="4" max="4" width="24.63"/>
    <col customWidth="1" min="5" max="5" width="21.5"/>
    <col customWidth="1" min="7" max="7" width="26.0"/>
    <col customWidth="1" min="9" max="9" width="26.75"/>
    <col hidden="1" min="19" max="19" width="12.63"/>
    <col hidden="1" min="22" max="22" width="12.63"/>
    <col customWidth="1" hidden="1" min="23" max="23" width="9.0"/>
  </cols>
  <sheetData>
    <row r="1">
      <c r="A1" s="1" t="s">
        <v>0</v>
      </c>
      <c r="B1" s="1"/>
      <c r="D1" s="2" t="s">
        <v>3</v>
      </c>
      <c r="J1" s="3" t="s">
        <v>2</v>
      </c>
      <c r="S1" s="4" t="s">
        <v>4</v>
      </c>
      <c r="X1" s="5"/>
    </row>
    <row r="2" ht="41.25" customHeight="1">
      <c r="A2" s="1"/>
      <c r="X2" s="5"/>
    </row>
    <row r="3">
      <c r="A3" s="1"/>
      <c r="J3" s="6" t="s">
        <v>7</v>
      </c>
      <c r="K3" s="7"/>
      <c r="L3" s="8"/>
      <c r="M3" s="9" t="s">
        <v>8</v>
      </c>
      <c r="N3" s="7"/>
      <c r="O3" s="8"/>
      <c r="P3" s="6" t="s">
        <v>9</v>
      </c>
      <c r="Q3" s="7"/>
      <c r="R3" s="8"/>
      <c r="S3" s="10" t="s">
        <v>10</v>
      </c>
      <c r="T3" s="7"/>
      <c r="U3" s="8"/>
      <c r="V3" s="13" t="s">
        <v>12</v>
      </c>
      <c r="W3" s="8"/>
    </row>
    <row r="4">
      <c r="A4" s="1"/>
      <c r="J4" s="11"/>
      <c r="K4" s="11"/>
      <c r="L4" s="12"/>
      <c r="M4" s="11"/>
      <c r="N4" s="11"/>
      <c r="O4" s="12"/>
      <c r="P4" s="11"/>
      <c r="Q4" s="11"/>
      <c r="R4" s="12"/>
      <c r="S4" s="11"/>
      <c r="T4" s="11"/>
      <c r="U4" s="12"/>
      <c r="V4" s="18"/>
      <c r="W4" s="12"/>
    </row>
    <row r="5" ht="22.5" customHeight="1">
      <c r="A5" s="20" t="s">
        <v>17</v>
      </c>
      <c r="B5" s="15" t="s">
        <v>11</v>
      </c>
      <c r="C5" s="19" t="s">
        <v>13</v>
      </c>
      <c r="D5" s="21" t="s">
        <v>14</v>
      </c>
      <c r="E5" s="21" t="s">
        <v>15</v>
      </c>
      <c r="F5" s="21" t="s">
        <v>16</v>
      </c>
      <c r="G5" s="19" t="s">
        <v>18</v>
      </c>
      <c r="H5" s="21" t="s">
        <v>19</v>
      </c>
      <c r="I5" s="21" t="s">
        <v>20</v>
      </c>
      <c r="J5" s="24" t="s">
        <v>21</v>
      </c>
      <c r="K5" s="24" t="s">
        <v>22</v>
      </c>
      <c r="L5" s="24" t="s">
        <v>23</v>
      </c>
      <c r="M5" s="29" t="s">
        <v>24</v>
      </c>
      <c r="N5" s="29" t="s">
        <v>25</v>
      </c>
      <c r="O5" s="29" t="s">
        <v>26</v>
      </c>
      <c r="P5" s="24" t="s">
        <v>27</v>
      </c>
      <c r="Q5" s="24" t="s">
        <v>28</v>
      </c>
      <c r="R5" s="24" t="s">
        <v>29</v>
      </c>
      <c r="S5" s="21" t="s">
        <v>30</v>
      </c>
      <c r="T5" s="29" t="s">
        <v>10</v>
      </c>
      <c r="U5" s="35" t="s">
        <v>31</v>
      </c>
      <c r="V5" s="20" t="s">
        <v>40</v>
      </c>
      <c r="W5" s="20" t="s">
        <v>43</v>
      </c>
    </row>
    <row r="6" ht="22.5" customHeight="1">
      <c r="A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SUBSTITUTE(E6, """", """")"),"#REF!")</f>
        <v>#REF!</v>
      </c>
      <c r="B6" s="45" t="s">
        <v>51</v>
      </c>
      <c r="C6" s="45" t="s">
        <v>52</v>
      </c>
      <c r="D6" s="47" t="s">
        <v>54</v>
      </c>
      <c r="E6" s="48" t="s">
        <v>56</v>
      </c>
      <c r="F6" s="49" t="s">
        <v>55</v>
      </c>
      <c r="G6" s="45" t="s">
        <v>58</v>
      </c>
      <c r="H6" s="52" t="s">
        <v>41</v>
      </c>
      <c r="I6" s="34" t="s">
        <v>59</v>
      </c>
      <c r="J6" s="54"/>
      <c r="K6" s="54"/>
      <c r="L6" s="54"/>
      <c r="M6" s="56">
        <v>1000.0</v>
      </c>
      <c r="N6" s="56">
        <v>1000.0</v>
      </c>
      <c r="O6" s="56">
        <v>6388.0</v>
      </c>
      <c r="P6" s="54">
        <v>1000.0</v>
      </c>
      <c r="Q6" s="54">
        <v>1000.0</v>
      </c>
      <c r="R6" s="57"/>
      <c r="S6" s="58">
        <v>0.67</v>
      </c>
      <c r="T6" s="59">
        <f>IFERROR(__xludf.DUMMYFUNCTION("((IFERROR(MIN(FILTER({L6, O6, R6}, ISNUMBER({L6, O6, R6}), {L6, O6, R6} &gt; 0)), """"))*S6)+IFERROR(MIN(FILTER({L6, O6, R6}, ISNUMBER({L6, O6, R6}), {L6, O6, R6} &gt; 0)), """")"),10667.96)</f>
        <v>10667.96</v>
      </c>
      <c r="U6" s="53">
        <f>IFERROR(__xludf.DUMMYFUNCTION("(T6-(IFERROR(MIN(FILTER({L6, O6, R6}, ISNUMBER({L6, O6, R6}), {L6, O6, R6} &gt; 0)), """")))/T6"),0.4011976047904191)</f>
        <v>0.4011976048</v>
      </c>
      <c r="V6" s="60">
        <v>300.0</v>
      </c>
      <c r="W6" s="60"/>
    </row>
    <row r="7" ht="22.5" customHeight="1">
      <c r="A7" s="61" t="str">
        <f t="shared" ref="A7:A8" si="1">"R-TP-" &amp; 
IFS(
  ISNUMBER(SEARCH("Satchel Envelope", #REF!)), "ESB",
  ISNUMBER(SEARCH("Satchel Bag", #REF!)), "SB",
  ISNUMBER(SEARCH("Satchel (hanya berlaku", #REF!)), "FSB",
  ISNUMBER(SEARCH("Satchel Window", #REF!)), "WSB",
  ISNUMBER(SEARCH("Satchel Aluminium", #REF!)), "ASB",
  ISNUMBER(SEARCH("SOS Bag", #REF!)), "PB",
  ISNUMBER(SEARCH("Paper Bag Handle", #REF!)), "PBT",
  TRUE, "UNKNOWN"
) &amp; "-" &amp; 
IFS(
  ISNUMBER(SEARCH("White", #REF!)), "W",
  ISNUMBER(SEARCH("Greaseproof", #REF!)), "W",
  ISNUMBER(SEARCH("HVS", #REF!)), "W",
  ISNUMBER(SEARCH("Aluminium", #REF!)), "W",
  ISNUMBER(SEARCH("White Kraft", #REF!)), "W",
  ISNUMBER(SEARCH("Brown", #REF!)), "B",
  ISNUMBER(SEARCH("Brown Kraft", #REF!)), "B",
  TRUE, "X"
) &amp; "-" &amp; E7</f>
        <v>R-TP-UNKNOWN-X-30 x 13 x 22</v>
      </c>
      <c r="B7" s="34" t="s">
        <v>76</v>
      </c>
      <c r="C7" s="34" t="s">
        <v>0</v>
      </c>
      <c r="D7" s="37" t="s">
        <v>77</v>
      </c>
      <c r="E7" s="38" t="s">
        <v>80</v>
      </c>
      <c r="F7" s="49" t="s">
        <v>36</v>
      </c>
      <c r="G7" s="34" t="s">
        <v>81</v>
      </c>
      <c r="H7" s="52" t="s">
        <v>41</v>
      </c>
      <c r="I7" s="34" t="s">
        <v>82</v>
      </c>
      <c r="J7" s="62"/>
      <c r="K7" s="62"/>
      <c r="L7" s="63"/>
      <c r="M7" s="64">
        <v>1000.0</v>
      </c>
      <c r="N7" s="64">
        <v>1000.0</v>
      </c>
      <c r="O7" s="64">
        <v>6300.0</v>
      </c>
      <c r="P7" s="62">
        <v>1000.0</v>
      </c>
      <c r="Q7" s="62">
        <v>1000.0</v>
      </c>
      <c r="R7" s="62">
        <v>10932.0</v>
      </c>
      <c r="S7" s="58">
        <v>0.67</v>
      </c>
      <c r="T7" s="59">
        <f>IFERROR(__xludf.DUMMYFUNCTION("((IFERROR(MIN(FILTER({L7, O7, R7}, ISNUMBER({L7, O7, R7}), {L7, O7, R7} &gt; 0)), """"))*S7)+IFERROR(MIN(FILTER({L7, O7, R7}, ISNUMBER({L7, O7, R7}), {L7, O7, R7} &gt; 0)), """")"),10521.0)</f>
        <v>10521</v>
      </c>
      <c r="U7" s="53">
        <f>IFERROR(__xludf.DUMMYFUNCTION("(T7-(IFERROR(MIN(FILTER({L7, O7, R7}, ISNUMBER({L7, O7, R7}), {L7, O7, R7} &gt; 0)), """")))/T7"),0.40119760479041916)</f>
        <v>0.4011976048</v>
      </c>
      <c r="V7" s="60">
        <v>300.0</v>
      </c>
      <c r="W7" s="60"/>
    </row>
    <row r="8" ht="22.5" customHeight="1">
      <c r="A8" s="61" t="str">
        <f t="shared" si="1"/>
        <v>R-TP-UNKNOWN-X-30 x 13 x 22</v>
      </c>
      <c r="B8" s="34" t="s">
        <v>76</v>
      </c>
      <c r="C8" s="34" t="s">
        <v>0</v>
      </c>
      <c r="D8" s="37" t="s">
        <v>87</v>
      </c>
      <c r="E8" s="38" t="s">
        <v>80</v>
      </c>
      <c r="F8" s="49" t="s">
        <v>36</v>
      </c>
      <c r="G8" s="34" t="s">
        <v>81</v>
      </c>
      <c r="H8" s="52" t="s">
        <v>41</v>
      </c>
      <c r="I8" s="34" t="s">
        <v>82</v>
      </c>
      <c r="J8" s="62"/>
      <c r="K8" s="62"/>
      <c r="L8" s="63"/>
      <c r="M8" s="64">
        <v>1000.0</v>
      </c>
      <c r="N8" s="64">
        <v>1000.0</v>
      </c>
      <c r="O8" s="59"/>
      <c r="P8" s="62">
        <v>1000.0</v>
      </c>
      <c r="Q8" s="62">
        <v>1000.0</v>
      </c>
      <c r="R8" s="62">
        <v>10559.0</v>
      </c>
      <c r="S8" s="58">
        <v>0.67</v>
      </c>
      <c r="T8" s="59">
        <f>IFERROR(__xludf.DUMMYFUNCTION("((IFERROR(MIN(FILTER({L8, O8, R8}, ISNUMBER({L8, O8, R8}), {L8, O8, R8} &gt; 0)), """"))*S8)+IFERROR(MIN(FILTER({L8, O8, R8}, ISNUMBER({L8, O8, R8}), {L8, O8, R8} &gt; 0)), """")"),17633.53)</f>
        <v>17633.53</v>
      </c>
      <c r="U8" s="53">
        <f>IFERROR(__xludf.DUMMYFUNCTION("(T8-(IFERROR(MIN(FILTER({L8, O8, R8}, ISNUMBER({L8, O8, R8}), {L8, O8, R8} &gt; 0)), """")))/T8"),0.4011976047904191)</f>
        <v>0.4011976048</v>
      </c>
      <c r="V8" s="60">
        <v>300.0</v>
      </c>
      <c r="W8" s="60"/>
    </row>
    <row r="9" ht="22.5" customHeight="1">
      <c r="A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SUBSTITUTE(E9, """", """")"),"#REF!")</f>
        <v>#REF!</v>
      </c>
      <c r="B9" s="34" t="s">
        <v>94</v>
      </c>
      <c r="C9" s="34" t="s">
        <v>0</v>
      </c>
      <c r="D9" s="37" t="s">
        <v>95</v>
      </c>
      <c r="E9" s="38" t="s">
        <v>96</v>
      </c>
      <c r="F9" s="49" t="s">
        <v>97</v>
      </c>
      <c r="G9" s="67"/>
      <c r="H9" s="52" t="s">
        <v>41</v>
      </c>
      <c r="I9" s="34" t="s">
        <v>98</v>
      </c>
      <c r="J9" s="62"/>
      <c r="K9" s="62"/>
      <c r="L9" s="63"/>
      <c r="M9" s="64">
        <v>1000.0</v>
      </c>
      <c r="N9" s="64">
        <v>1000.0</v>
      </c>
      <c r="O9" s="64">
        <v>13906.0</v>
      </c>
      <c r="P9" s="62">
        <v>1000.0</v>
      </c>
      <c r="Q9" s="62">
        <v>1000.0</v>
      </c>
      <c r="R9" s="62">
        <v>13906.0</v>
      </c>
      <c r="S9" s="58">
        <v>0.67</v>
      </c>
      <c r="T9" s="59">
        <f>IFERROR(__xludf.DUMMYFUNCTION("((IFERROR(MIN(FILTER({L9, O9, R9}, ISNUMBER({L9, O9, R9}), {L9, O9, R9} &gt; 0)), """"))*S9)+IFERROR(MIN(FILTER({L9, O9, R9}, ISNUMBER({L9, O9, R9}), {L9, O9, R9} &gt; 0)), """")"),23223.02)</f>
        <v>23223.02</v>
      </c>
      <c r="U9" s="53">
        <f>IFERROR(__xludf.DUMMYFUNCTION("(T9-(IFERROR(MIN(FILTER({L9, O9, R9}, ISNUMBER({L9, O9, R9}), {L9, O9, R9} &gt; 0)), """")))/T9"),0.40119760479041916)</f>
        <v>0.4011976048</v>
      </c>
      <c r="V9" s="60">
        <v>300.0</v>
      </c>
      <c r="W9" s="60"/>
    </row>
    <row r="10" ht="22.5" customHeight="1">
      <c r="A10" s="61" t="str">
        <f t="shared" ref="A10:A112" si="2">"R-TP-" &amp; 
IFS(
  ISNUMBER(SEARCH("Satchel Envelope", #REF!)), "ESB",
  ISNUMBER(SEARCH("Satchel Bag", #REF!)), "SB",
  ISNUMBER(SEARCH("Satchel (hanya berlaku", #REF!)), "FSB",
  ISNUMBER(SEARCH("Satchel Window", #REF!)), "WSB",
  ISNUMBER(SEARCH("Satchel Aluminium", #REF!)), "ASB",
  ISNUMBER(SEARCH("SOS Bag", #REF!)), "PB",
  ISNUMBER(SEARCH("Paper Bag Handle", #REF!)), "PBT",
  TRUE, "UNKNOWN"
) &amp; "-" &amp; 
IFS(
  ISNUMBER(SEARCH("White", #REF!)), "W",
  ISNUMBER(SEARCH("Greaseproof", #REF!)), "W",
  ISNUMBER(SEARCH("HVS", #REF!)), "W",
  ISNUMBER(SEARCH("Aluminium", #REF!)), "W",
  ISNUMBER(SEARCH("White Kraft", #REF!)), "W",
  ISNUMBER(SEARCH("Brown", #REF!)), "B",
  ISNUMBER(SEARCH("Brown Kraft", #REF!)), "B",
  TRUE, "X"
) &amp; "-" &amp; E10</f>
        <v>R-TP-UNKNOWN-X-38 x 26 x 11</v>
      </c>
      <c r="B10" s="34" t="s">
        <v>104</v>
      </c>
      <c r="C10" s="34" t="s">
        <v>105</v>
      </c>
      <c r="D10" s="37" t="s">
        <v>106</v>
      </c>
      <c r="E10" s="38" t="s">
        <v>107</v>
      </c>
      <c r="F10" s="49" t="s">
        <v>55</v>
      </c>
      <c r="G10" s="34" t="s">
        <v>108</v>
      </c>
      <c r="H10" s="52" t="s">
        <v>41</v>
      </c>
      <c r="I10" s="34" t="s">
        <v>109</v>
      </c>
      <c r="J10" s="62"/>
      <c r="K10" s="62"/>
      <c r="L10" s="63"/>
      <c r="M10" s="64">
        <v>7000.0</v>
      </c>
      <c r="N10" s="64">
        <v>7000.0</v>
      </c>
      <c r="O10" s="59"/>
      <c r="P10" s="62">
        <v>7000.0</v>
      </c>
      <c r="Q10" s="62">
        <v>7000.0</v>
      </c>
      <c r="R10" s="62">
        <v>7508.0</v>
      </c>
      <c r="S10" s="58">
        <v>0.67</v>
      </c>
      <c r="T10" s="59">
        <f>IFERROR(__xludf.DUMMYFUNCTION("((IFERROR(MIN(FILTER({L10, O10, R10}, ISNUMBER({L10, O10, R10}), {L10, O10, R10} &gt; 0)), """"))*S10)+IFERROR(MIN(FILTER({L10, O10, R10}, ISNUMBER({L10, O10, R10}), {L10, O10, R10} &gt; 0)), """")"),12538.36)</f>
        <v>12538.36</v>
      </c>
      <c r="U10" s="53">
        <f>IFERROR(__xludf.DUMMYFUNCTION("(T10-(IFERROR(MIN(FILTER({L10, O10, R10}, ISNUMBER({L10, O10, R10}), {L10, O10, R10} &gt; 0)), """")))/T10"),0.4011976047904192)</f>
        <v>0.4011976048</v>
      </c>
      <c r="V10" s="60">
        <v>300.0</v>
      </c>
      <c r="W10" s="60"/>
    </row>
    <row r="11" ht="22.5" customHeight="1">
      <c r="A11" s="61" t="str">
        <f t="shared" si="2"/>
        <v>R-TP-UNKNOWN-X-26 x 11 x 38</v>
      </c>
      <c r="B11" s="34" t="s">
        <v>104</v>
      </c>
      <c r="C11" s="34" t="s">
        <v>105</v>
      </c>
      <c r="D11" s="37" t="s">
        <v>106</v>
      </c>
      <c r="E11" s="38" t="s">
        <v>115</v>
      </c>
      <c r="F11" s="49" t="s">
        <v>55</v>
      </c>
      <c r="G11" s="34" t="s">
        <v>108</v>
      </c>
      <c r="H11" s="52" t="s">
        <v>41</v>
      </c>
      <c r="I11" s="34" t="s">
        <v>109</v>
      </c>
      <c r="J11" s="62"/>
      <c r="K11" s="62"/>
      <c r="L11" s="63"/>
      <c r="M11" s="64">
        <v>7000.0</v>
      </c>
      <c r="N11" s="64">
        <v>7000.0</v>
      </c>
      <c r="O11" s="59"/>
      <c r="P11" s="62">
        <v>7000.0</v>
      </c>
      <c r="Q11" s="62">
        <v>7000.0</v>
      </c>
      <c r="R11" s="62">
        <v>7508.0</v>
      </c>
      <c r="S11" s="58">
        <v>0.67</v>
      </c>
      <c r="T11" s="59">
        <f>IFERROR(__xludf.DUMMYFUNCTION("((IFERROR(MIN(FILTER({L11, O11, R11}, ISNUMBER({L11, O11, R11}), {L11, O11, R11} &gt; 0)), """"))*S11)+IFERROR(MIN(FILTER({L11, O11, R11}, ISNUMBER({L11, O11, R11}), {L11, O11, R11} &gt; 0)), """")"),12538.36)</f>
        <v>12538.36</v>
      </c>
      <c r="U11" s="53">
        <f>IFERROR(__xludf.DUMMYFUNCTION("(T11-(IFERROR(MIN(FILTER({L11, O11, R11}, ISNUMBER({L11, O11, R11}), {L11, O11, R11} &gt; 0)), """")))/T11"),0.4011976047904192)</f>
        <v>0.4011976048</v>
      </c>
      <c r="V11" s="60">
        <v>300.0</v>
      </c>
      <c r="W11" s="60"/>
    </row>
    <row r="12" ht="22.5" customHeight="1">
      <c r="A12" s="61" t="str">
        <f t="shared" si="2"/>
        <v>R-TP-UNKNOWN-X-30,5 x 15 x 25</v>
      </c>
      <c r="B12" s="34" t="s">
        <v>126</v>
      </c>
      <c r="C12" s="34" t="s">
        <v>127</v>
      </c>
      <c r="D12" s="37" t="s">
        <v>128</v>
      </c>
      <c r="E12" s="38" t="s">
        <v>129</v>
      </c>
      <c r="F12" s="40" t="s">
        <v>55</v>
      </c>
      <c r="G12" s="34" t="s">
        <v>130</v>
      </c>
      <c r="H12" s="43" t="s">
        <v>41</v>
      </c>
      <c r="I12" s="34" t="s">
        <v>131</v>
      </c>
      <c r="J12" s="62"/>
      <c r="K12" s="62"/>
      <c r="L12" s="63"/>
      <c r="M12" s="64">
        <v>1000.0</v>
      </c>
      <c r="N12" s="64">
        <v>1000.0</v>
      </c>
      <c r="O12" s="59"/>
      <c r="P12" s="62">
        <v>1000.0</v>
      </c>
      <c r="Q12" s="62">
        <v>1000.0</v>
      </c>
      <c r="R12" s="62">
        <v>8346.0</v>
      </c>
      <c r="S12" s="58">
        <v>0.67</v>
      </c>
      <c r="T12" s="59">
        <f>IFERROR(__xludf.DUMMYFUNCTION("((IFERROR(MIN(FILTER({L12, O12, R12}, ISNUMBER({L12, O12, R12}), {L12, O12, R12} &gt; 0)), """"))*S12)+IFERROR(MIN(FILTER({L12, O12, R12}, ISNUMBER({L12, O12, R12}), {L12, O12, R12} &gt; 0)), """")"),13937.82)</f>
        <v>13937.82</v>
      </c>
      <c r="U12" s="53">
        <f>IFERROR(__xludf.DUMMYFUNCTION("(T12-(IFERROR(MIN(FILTER({L12, O12, R12}, ISNUMBER({L12, O12, R12}), {L12, O12, R12} &gt; 0)), """")))/T12"),0.40119760479041916)</f>
        <v>0.4011976048</v>
      </c>
      <c r="V12" s="60">
        <v>400.0</v>
      </c>
      <c r="W12" s="60">
        <f t="shared" ref="W12:W53" si="3">IF(T12="", "", T12+V12)</f>
        <v>14337.82</v>
      </c>
    </row>
    <row r="13" ht="22.5" customHeight="1">
      <c r="A13" s="61" t="str">
        <f t="shared" si="2"/>
        <v>R-TP-UNKNOWN-X-24 x 18 x 30</v>
      </c>
      <c r="B13" s="34" t="s">
        <v>138</v>
      </c>
      <c r="C13" s="34" t="s">
        <v>127</v>
      </c>
      <c r="D13" s="37" t="s">
        <v>139</v>
      </c>
      <c r="E13" s="38" t="s">
        <v>140</v>
      </c>
      <c r="F13" s="40" t="s">
        <v>97</v>
      </c>
      <c r="G13" s="34" t="s">
        <v>141</v>
      </c>
      <c r="H13" s="43" t="s">
        <v>41</v>
      </c>
      <c r="I13" s="34" t="s">
        <v>142</v>
      </c>
      <c r="J13" s="62"/>
      <c r="K13" s="62"/>
      <c r="L13" s="63"/>
      <c r="M13" s="64">
        <v>2000.0</v>
      </c>
      <c r="N13" s="64">
        <v>2000.0</v>
      </c>
      <c r="O13" s="64">
        <v>4500.0</v>
      </c>
      <c r="P13" s="62">
        <v>2000.0</v>
      </c>
      <c r="Q13" s="62">
        <v>2000.0</v>
      </c>
      <c r="R13" s="63"/>
      <c r="S13" s="58">
        <v>0.67</v>
      </c>
      <c r="T13" s="59">
        <f>IFERROR(__xludf.DUMMYFUNCTION("((IFERROR(MIN(FILTER({L13, O13, R13}, ISNUMBER({L13, O13, R13}), {L13, O13, R13} &gt; 0)), """"))*S13)+IFERROR(MIN(FILTER({L13, O13, R13}, ISNUMBER({L13, O13, R13}), {L13, O13, R13} &gt; 0)), """")"),7515.0)</f>
        <v>7515</v>
      </c>
      <c r="U13" s="53">
        <f>IFERROR(__xludf.DUMMYFUNCTION("(T13-(IFERROR(MIN(FILTER({L13, O13, R13}, ISNUMBER({L13, O13, R13}), {L13, O13, R13} &gt; 0)), """")))/T13"),0.40119760479041916)</f>
        <v>0.4011976048</v>
      </c>
      <c r="V13" s="60">
        <v>400.0</v>
      </c>
      <c r="W13" s="60">
        <f t="shared" si="3"/>
        <v>7915</v>
      </c>
    </row>
    <row r="14" ht="22.5" customHeight="1">
      <c r="A14" s="61" t="str">
        <f t="shared" si="2"/>
        <v>R-TP-UNKNOWN-X-24 x 18 x 30</v>
      </c>
      <c r="B14" s="34" t="s">
        <v>138</v>
      </c>
      <c r="C14" s="34" t="s">
        <v>127</v>
      </c>
      <c r="D14" s="37" t="s">
        <v>139</v>
      </c>
      <c r="E14" s="38" t="s">
        <v>140</v>
      </c>
      <c r="F14" s="40" t="s">
        <v>55</v>
      </c>
      <c r="G14" s="34" t="s">
        <v>141</v>
      </c>
      <c r="H14" s="43" t="s">
        <v>41</v>
      </c>
      <c r="I14" s="34" t="s">
        <v>142</v>
      </c>
      <c r="J14" s="62"/>
      <c r="K14" s="62"/>
      <c r="L14" s="63"/>
      <c r="M14" s="64">
        <v>2000.0</v>
      </c>
      <c r="N14" s="64">
        <v>2000.0</v>
      </c>
      <c r="O14" s="64">
        <v>4700.0</v>
      </c>
      <c r="P14" s="62">
        <v>2000.0</v>
      </c>
      <c r="Q14" s="62">
        <v>2000.0</v>
      </c>
      <c r="R14" s="63"/>
      <c r="S14" s="58">
        <v>0.67</v>
      </c>
      <c r="T14" s="59">
        <f>IFERROR(__xludf.DUMMYFUNCTION("((IFERROR(MIN(FILTER({L14, O14, R14}, ISNUMBER({L14, O14, R14}), {L14, O14, R14} &gt; 0)), """"))*S14)+IFERROR(MIN(FILTER({L14, O14, R14}, ISNUMBER({L14, O14, R14}), {L14, O14, R14} &gt; 0)), """")"),7849.0)</f>
        <v>7849</v>
      </c>
      <c r="U14" s="53">
        <f>IFERROR(__xludf.DUMMYFUNCTION("(T14-(IFERROR(MIN(FILTER({L14, O14, R14}, ISNUMBER({L14, O14, R14}), {L14, O14, R14} &gt; 0)), """")))/T14"),0.40119760479041916)</f>
        <v>0.4011976048</v>
      </c>
      <c r="V14" s="60">
        <v>400.0</v>
      </c>
      <c r="W14" s="60">
        <f t="shared" si="3"/>
        <v>8249</v>
      </c>
    </row>
    <row r="15" ht="22.5" customHeight="1">
      <c r="A15" s="61" t="str">
        <f t="shared" si="2"/>
        <v>R-TP-UNKNOWN-X-21,8 x 21,8 x 25</v>
      </c>
      <c r="B15" s="34" t="s">
        <v>147</v>
      </c>
      <c r="C15" s="34" t="s">
        <v>127</v>
      </c>
      <c r="D15" s="37" t="s">
        <v>149</v>
      </c>
      <c r="E15" s="38" t="s">
        <v>150</v>
      </c>
      <c r="F15" s="40" t="s">
        <v>63</v>
      </c>
      <c r="G15" s="67"/>
      <c r="H15" s="43" t="s">
        <v>41</v>
      </c>
      <c r="I15" s="34" t="s">
        <v>152</v>
      </c>
      <c r="J15" s="62"/>
      <c r="K15" s="62"/>
      <c r="L15" s="63"/>
      <c r="M15" s="64">
        <v>1000.0</v>
      </c>
      <c r="N15" s="64">
        <v>1000.0</v>
      </c>
      <c r="O15" s="64">
        <v>7200.0</v>
      </c>
      <c r="P15" s="62">
        <v>1000.0</v>
      </c>
      <c r="Q15" s="62">
        <v>1000.0</v>
      </c>
      <c r="R15" s="63"/>
      <c r="S15" s="58">
        <v>0.67</v>
      </c>
      <c r="T15" s="59">
        <f>IFERROR(__xludf.DUMMYFUNCTION("((IFERROR(MIN(FILTER({L15, O15, R15}, ISNUMBER({L15, O15, R15}), {L15, O15, R15} &gt; 0)), """"))*S15)+IFERROR(MIN(FILTER({L15, O15, R15}, ISNUMBER({L15, O15, R15}), {L15, O15, R15} &gt; 0)), """")"),12024.0)</f>
        <v>12024</v>
      </c>
      <c r="U15" s="53">
        <f>IFERROR(__xludf.DUMMYFUNCTION("(T15-(IFERROR(MIN(FILTER({L15, O15, R15}, ISNUMBER({L15, O15, R15}), {L15, O15, R15} &gt; 0)), """")))/T15"),0.40119760479041916)</f>
        <v>0.4011976048</v>
      </c>
      <c r="V15" s="60">
        <v>400.0</v>
      </c>
      <c r="W15" s="60">
        <f t="shared" si="3"/>
        <v>12424</v>
      </c>
    </row>
    <row r="16" ht="22.5" customHeight="1">
      <c r="A16" s="61" t="str">
        <f t="shared" si="2"/>
        <v>R-TP-UNKNOWN-X-21,8 x 21,8 x 25</v>
      </c>
      <c r="B16" s="34" t="s">
        <v>147</v>
      </c>
      <c r="C16" s="34" t="s">
        <v>127</v>
      </c>
      <c r="D16" s="37" t="s">
        <v>149</v>
      </c>
      <c r="E16" s="38" t="s">
        <v>150</v>
      </c>
      <c r="F16" s="40" t="s">
        <v>63</v>
      </c>
      <c r="G16" s="67"/>
      <c r="H16" s="43" t="s">
        <v>41</v>
      </c>
      <c r="I16" s="34" t="s">
        <v>152</v>
      </c>
      <c r="J16" s="62"/>
      <c r="K16" s="62"/>
      <c r="L16" s="63"/>
      <c r="M16" s="64">
        <v>2000.0</v>
      </c>
      <c r="N16" s="64">
        <v>2000.0</v>
      </c>
      <c r="O16" s="64">
        <v>6600.0</v>
      </c>
      <c r="P16" s="62">
        <v>2000.0</v>
      </c>
      <c r="Q16" s="62">
        <v>2000.0</v>
      </c>
      <c r="R16" s="63"/>
      <c r="S16" s="58">
        <v>0.67</v>
      </c>
      <c r="T16" s="59">
        <f>IFERROR(__xludf.DUMMYFUNCTION("((IFERROR(MIN(FILTER({L16, O16, R16}, ISNUMBER({L16, O16, R16}), {L16, O16, R16} &gt; 0)), """"))*S16)+IFERROR(MIN(FILTER({L16, O16, R16}, ISNUMBER({L16, O16, R16}), {L16, O16, R16} &gt; 0)), """")"),11022.0)</f>
        <v>11022</v>
      </c>
      <c r="U16" s="53">
        <f>IFERROR(__xludf.DUMMYFUNCTION("(T16-(IFERROR(MIN(FILTER({L16, O16, R16}, ISNUMBER({L16, O16, R16}), {L16, O16, R16} &gt; 0)), """")))/T16"),0.40119760479041916)</f>
        <v>0.4011976048</v>
      </c>
      <c r="V16" s="60">
        <v>400.0</v>
      </c>
      <c r="W16" s="60">
        <f t="shared" si="3"/>
        <v>11422</v>
      </c>
    </row>
    <row r="17" ht="22.5" customHeight="1">
      <c r="A17" s="61" t="str">
        <f t="shared" si="2"/>
        <v>R-TP-UNKNOWN-X-16,7 x 16,7 x 26</v>
      </c>
      <c r="B17" s="34" t="s">
        <v>158</v>
      </c>
      <c r="C17" s="34" t="s">
        <v>127</v>
      </c>
      <c r="D17" s="37" t="s">
        <v>149</v>
      </c>
      <c r="E17" s="38" t="s">
        <v>160</v>
      </c>
      <c r="F17" s="40" t="s">
        <v>46</v>
      </c>
      <c r="G17" s="34" t="s">
        <v>162</v>
      </c>
      <c r="H17" s="43" t="s">
        <v>41</v>
      </c>
      <c r="I17" s="34" t="s">
        <v>152</v>
      </c>
      <c r="J17" s="62"/>
      <c r="K17" s="62"/>
      <c r="L17" s="63"/>
      <c r="M17" s="64">
        <v>1000.0</v>
      </c>
      <c r="N17" s="64">
        <v>1000.0</v>
      </c>
      <c r="O17" s="64">
        <v>7500.0</v>
      </c>
      <c r="P17" s="62">
        <v>1000.0</v>
      </c>
      <c r="Q17" s="62">
        <v>1000.0</v>
      </c>
      <c r="R17" s="63"/>
      <c r="S17" s="58">
        <v>0.67</v>
      </c>
      <c r="T17" s="59">
        <f>IFERROR(__xludf.DUMMYFUNCTION("((IFERROR(MIN(FILTER({L17, O17, R17}, ISNUMBER({L17, O17, R17}), {L17, O17, R17} &gt; 0)), """"))*S17)+IFERROR(MIN(FILTER({L17, O17, R17}, ISNUMBER({L17, O17, R17}), {L17, O17, R17} &gt; 0)), """")"),12525.0)</f>
        <v>12525</v>
      </c>
      <c r="U17" s="53">
        <f>IFERROR(__xludf.DUMMYFUNCTION("(T17-(IFERROR(MIN(FILTER({L17, O17, R17}, ISNUMBER({L17, O17, R17}), {L17, O17, R17} &gt; 0)), """")))/T17"),0.40119760479041916)</f>
        <v>0.4011976048</v>
      </c>
      <c r="V17" s="60">
        <v>400.0</v>
      </c>
      <c r="W17" s="60">
        <f t="shared" si="3"/>
        <v>12925</v>
      </c>
    </row>
    <row r="18" ht="22.5" customHeight="1">
      <c r="A18" s="61" t="str">
        <f t="shared" si="2"/>
        <v>R-TP-UNKNOWN-X-16,7 x 16,7 x 26</v>
      </c>
      <c r="B18" s="34" t="s">
        <v>158</v>
      </c>
      <c r="C18" s="34" t="s">
        <v>127</v>
      </c>
      <c r="D18" s="37" t="s">
        <v>149</v>
      </c>
      <c r="E18" s="38" t="s">
        <v>160</v>
      </c>
      <c r="F18" s="40" t="s">
        <v>46</v>
      </c>
      <c r="G18" s="34" t="s">
        <v>162</v>
      </c>
      <c r="H18" s="43" t="s">
        <v>41</v>
      </c>
      <c r="I18" s="34" t="s">
        <v>152</v>
      </c>
      <c r="J18" s="62"/>
      <c r="K18" s="62"/>
      <c r="L18" s="63"/>
      <c r="M18" s="64">
        <v>2000.0</v>
      </c>
      <c r="N18" s="64">
        <v>2000.0</v>
      </c>
      <c r="O18" s="64">
        <v>6900.0</v>
      </c>
      <c r="P18" s="62">
        <v>2000.0</v>
      </c>
      <c r="Q18" s="62">
        <v>2000.0</v>
      </c>
      <c r="R18" s="63"/>
      <c r="S18" s="58">
        <v>0.67</v>
      </c>
      <c r="T18" s="59">
        <f>IFERROR(__xludf.DUMMYFUNCTION("((IFERROR(MIN(FILTER({L18, O18, R18}, ISNUMBER({L18, O18, R18}), {L18, O18, R18} &gt; 0)), """"))*S18)+IFERROR(MIN(FILTER({L18, O18, R18}, ISNUMBER({L18, O18, R18}), {L18, O18, R18} &gt; 0)), """")"),11523.0)</f>
        <v>11523</v>
      </c>
      <c r="U18" s="53">
        <f>IFERROR(__xludf.DUMMYFUNCTION("(T18-(IFERROR(MIN(FILTER({L18, O18, R18}, ISNUMBER({L18, O18, R18}), {L18, O18, R18} &gt; 0)), """")))/T18"),0.40119760479041916)</f>
        <v>0.4011976048</v>
      </c>
      <c r="V18" s="60">
        <v>400.0</v>
      </c>
      <c r="W18" s="60">
        <f t="shared" si="3"/>
        <v>11923</v>
      </c>
    </row>
    <row r="19" ht="22.5" customHeight="1">
      <c r="A19" s="61" t="str">
        <f t="shared" si="2"/>
        <v>R-TP-UNKNOWN-X-30 x 10 x 40</v>
      </c>
      <c r="B19" s="34" t="s">
        <v>169</v>
      </c>
      <c r="C19" s="34" t="s">
        <v>127</v>
      </c>
      <c r="D19" s="37" t="s">
        <v>149</v>
      </c>
      <c r="E19" s="38" t="s">
        <v>170</v>
      </c>
      <c r="F19" s="40" t="s">
        <v>55</v>
      </c>
      <c r="G19" s="34" t="s">
        <v>171</v>
      </c>
      <c r="H19" s="43" t="s">
        <v>41</v>
      </c>
      <c r="I19" s="34" t="s">
        <v>152</v>
      </c>
      <c r="J19" s="62"/>
      <c r="K19" s="62"/>
      <c r="L19" s="63"/>
      <c r="M19" s="64">
        <v>2000.0</v>
      </c>
      <c r="N19" s="64">
        <v>2000.0</v>
      </c>
      <c r="O19" s="64">
        <v>8900.0</v>
      </c>
      <c r="P19" s="62">
        <v>2000.0</v>
      </c>
      <c r="Q19" s="62">
        <v>2000.0</v>
      </c>
      <c r="R19" s="63"/>
      <c r="S19" s="58">
        <v>0.67</v>
      </c>
      <c r="T19" s="59">
        <f>IFERROR(__xludf.DUMMYFUNCTION("((IFERROR(MIN(FILTER({L19, O19, R19}, ISNUMBER({L19, O19, R19}), {L19, O19, R19} &gt; 0)), """"))*S19)+IFERROR(MIN(FILTER({L19, O19, R19}, ISNUMBER({L19, O19, R19}), {L19, O19, R19} &gt; 0)), """")"),14863.0)</f>
        <v>14863</v>
      </c>
      <c r="U19" s="53">
        <f>IFERROR(__xludf.DUMMYFUNCTION("(T19-(IFERROR(MIN(FILTER({L19, O19, R19}, ISNUMBER({L19, O19, R19}), {L19, O19, R19} &gt; 0)), """")))/T19"),0.40119760479041916)</f>
        <v>0.4011976048</v>
      </c>
      <c r="V19" s="60">
        <v>400.0</v>
      </c>
      <c r="W19" s="60">
        <f t="shared" si="3"/>
        <v>15263</v>
      </c>
    </row>
    <row r="20" ht="22.5" customHeight="1">
      <c r="A20" s="61" t="str">
        <f t="shared" si="2"/>
        <v>R-TP-UNKNOWN-X-30 x 10 x 40</v>
      </c>
      <c r="B20" s="34" t="s">
        <v>169</v>
      </c>
      <c r="C20" s="34" t="s">
        <v>127</v>
      </c>
      <c r="D20" s="37" t="s">
        <v>149</v>
      </c>
      <c r="E20" s="38" t="s">
        <v>170</v>
      </c>
      <c r="F20" s="40" t="s">
        <v>55</v>
      </c>
      <c r="G20" s="34" t="s">
        <v>171</v>
      </c>
      <c r="H20" s="43" t="s">
        <v>41</v>
      </c>
      <c r="I20" s="34" t="s">
        <v>152</v>
      </c>
      <c r="J20" s="62"/>
      <c r="K20" s="62"/>
      <c r="L20" s="63"/>
      <c r="M20" s="64">
        <v>5000.0</v>
      </c>
      <c r="N20" s="64">
        <v>5000.0</v>
      </c>
      <c r="O20" s="64">
        <v>7900.0</v>
      </c>
      <c r="P20" s="62">
        <v>5000.0</v>
      </c>
      <c r="Q20" s="62">
        <v>5000.0</v>
      </c>
      <c r="R20" s="63"/>
      <c r="S20" s="58">
        <v>0.67</v>
      </c>
      <c r="T20" s="59">
        <f>IFERROR(__xludf.DUMMYFUNCTION("((IFERROR(MIN(FILTER({L20, O20, R20}, ISNUMBER({L20, O20, R20}), {L20, O20, R20} &gt; 0)), """"))*S20)+IFERROR(MIN(FILTER({L20, O20, R20}, ISNUMBER({L20, O20, R20}), {L20, O20, R20} &gt; 0)), """")"),13193.0)</f>
        <v>13193</v>
      </c>
      <c r="U20" s="53">
        <f>IFERROR(__xludf.DUMMYFUNCTION("(T20-(IFERROR(MIN(FILTER({L20, O20, R20}, ISNUMBER({L20, O20, R20}), {L20, O20, R20} &gt; 0)), """")))/T20"),0.40119760479041916)</f>
        <v>0.4011976048</v>
      </c>
      <c r="V20" s="60">
        <v>400.0</v>
      </c>
      <c r="W20" s="60">
        <f t="shared" si="3"/>
        <v>13593</v>
      </c>
    </row>
    <row r="21" ht="22.5" customHeight="1">
      <c r="A21" s="61" t="str">
        <f t="shared" si="2"/>
        <v>R-TP-UNKNOWN-X-20 x 11 x 27</v>
      </c>
      <c r="B21" s="34" t="s">
        <v>174</v>
      </c>
      <c r="C21" s="34" t="s">
        <v>127</v>
      </c>
      <c r="D21" s="37" t="s">
        <v>175</v>
      </c>
      <c r="E21" s="38" t="s">
        <v>176</v>
      </c>
      <c r="F21" s="40" t="s">
        <v>36</v>
      </c>
      <c r="G21" s="34" t="s">
        <v>103</v>
      </c>
      <c r="H21" s="43" t="s">
        <v>41</v>
      </c>
      <c r="I21" s="34" t="s">
        <v>152</v>
      </c>
      <c r="J21" s="62"/>
      <c r="K21" s="62"/>
      <c r="L21" s="63"/>
      <c r="M21" s="64">
        <v>1000.0</v>
      </c>
      <c r="N21" s="64">
        <v>1000.0</v>
      </c>
      <c r="O21" s="64">
        <v>4200.0</v>
      </c>
      <c r="P21" s="62">
        <v>1000.0</v>
      </c>
      <c r="Q21" s="62">
        <v>1000.0</v>
      </c>
      <c r="R21" s="63"/>
      <c r="S21" s="58">
        <v>0.67</v>
      </c>
      <c r="T21" s="59">
        <f>IFERROR(__xludf.DUMMYFUNCTION("((IFERROR(MIN(FILTER({L21, O21, R21}, ISNUMBER({L21, O21, R21}), {L21, O21, R21} &gt; 0)), """"))*S21)+IFERROR(MIN(FILTER({L21, O21, R21}, ISNUMBER({L21, O21, R21}), {L21, O21, R21} &gt; 0)), """")"),7014.0)</f>
        <v>7014</v>
      </c>
      <c r="U21" s="53">
        <f>IFERROR(__xludf.DUMMYFUNCTION("(T21-(IFERROR(MIN(FILTER({L21, O21, R21}, ISNUMBER({L21, O21, R21}), {L21, O21, R21} &gt; 0)), """")))/T21"),0.40119760479041916)</f>
        <v>0.4011976048</v>
      </c>
      <c r="V21" s="60">
        <v>400.0</v>
      </c>
      <c r="W21" s="60">
        <f t="shared" si="3"/>
        <v>7414</v>
      </c>
    </row>
    <row r="22" ht="22.5" customHeight="1">
      <c r="A22" s="61" t="str">
        <f t="shared" si="2"/>
        <v>R-TP-UNKNOWN-X-25 x 10 x 32</v>
      </c>
      <c r="B22" s="34" t="s">
        <v>178</v>
      </c>
      <c r="C22" s="34" t="s">
        <v>127</v>
      </c>
      <c r="D22" s="37" t="s">
        <v>155</v>
      </c>
      <c r="E22" s="38" t="s">
        <v>179</v>
      </c>
      <c r="F22" s="40" t="s">
        <v>55</v>
      </c>
      <c r="G22" s="34" t="s">
        <v>108</v>
      </c>
      <c r="H22" s="43" t="s">
        <v>41</v>
      </c>
      <c r="I22" s="34" t="s">
        <v>142</v>
      </c>
      <c r="J22" s="62">
        <v>300000.0</v>
      </c>
      <c r="K22" s="62">
        <v>300000.0</v>
      </c>
      <c r="L22" s="62">
        <v>1200.0</v>
      </c>
      <c r="M22" s="64">
        <v>300000.0</v>
      </c>
      <c r="N22" s="64">
        <v>300000.0</v>
      </c>
      <c r="O22" s="64"/>
      <c r="P22" s="62">
        <v>300000.0</v>
      </c>
      <c r="Q22" s="62">
        <v>300000.0</v>
      </c>
      <c r="R22" s="62"/>
      <c r="S22" s="58">
        <v>0.67</v>
      </c>
      <c r="T22" s="59">
        <f>IFERROR(__xludf.DUMMYFUNCTION("((IFERROR(MIN(FILTER({L22, O22, R22}, ISNUMBER({L22, O22, R22}), {L22, O22, R22} &gt; 0)), """"))*S22)+IFERROR(MIN(FILTER({L22, O22, R22}, ISNUMBER({L22, O22, R22}), {L22, O22, R22} &gt; 0)), """")"),2004.0)</f>
        <v>2004</v>
      </c>
      <c r="U22" s="53">
        <f>IFERROR(__xludf.DUMMYFUNCTION("(T22-(IFERROR(MIN(FILTER({L22, O22, R22}, ISNUMBER({L22, O22, R22}), {L22, O22, R22} &gt; 0)), """")))/T22"),0.40119760479041916)</f>
        <v>0.4011976048</v>
      </c>
      <c r="V22" s="60">
        <v>400.0</v>
      </c>
      <c r="W22" s="60">
        <f t="shared" si="3"/>
        <v>2404</v>
      </c>
    </row>
    <row r="23" ht="22.5" customHeight="1">
      <c r="A23" s="61" t="str">
        <f t="shared" si="2"/>
        <v>R-TP-UNKNOWN-X-21 x 11 x 26,5</v>
      </c>
      <c r="B23" s="34" t="s">
        <v>183</v>
      </c>
      <c r="C23" s="34" t="s">
        <v>127</v>
      </c>
      <c r="D23" s="37" t="s">
        <v>149</v>
      </c>
      <c r="E23" s="38" t="s">
        <v>184</v>
      </c>
      <c r="F23" s="40" t="s">
        <v>55</v>
      </c>
      <c r="G23" s="34" t="s">
        <v>185</v>
      </c>
      <c r="H23" s="43" t="s">
        <v>41</v>
      </c>
      <c r="I23" s="34" t="s">
        <v>152</v>
      </c>
      <c r="J23" s="62"/>
      <c r="K23" s="62"/>
      <c r="L23" s="63"/>
      <c r="M23" s="64">
        <v>2000.0</v>
      </c>
      <c r="N23" s="64">
        <v>2000.0</v>
      </c>
      <c r="O23" s="64">
        <v>4600.0</v>
      </c>
      <c r="P23" s="62">
        <v>2000.0</v>
      </c>
      <c r="Q23" s="62">
        <v>2000.0</v>
      </c>
      <c r="R23" s="63"/>
      <c r="S23" s="58">
        <v>0.67</v>
      </c>
      <c r="T23" s="59">
        <f>IFERROR(__xludf.DUMMYFUNCTION("((IFERROR(MIN(FILTER({L23, O23, R23}, ISNUMBER({L23, O23, R23}), {L23, O23, R23} &gt; 0)), """"))*S23)+IFERROR(MIN(FILTER({L23, O23, R23}, ISNUMBER({L23, O23, R23}), {L23, O23, R23} &gt; 0)), """")"),7682.0)</f>
        <v>7682</v>
      </c>
      <c r="U23" s="53">
        <f>IFERROR(__xludf.DUMMYFUNCTION("(T23-(IFERROR(MIN(FILTER({L23, O23, R23}, ISNUMBER({L23, O23, R23}), {L23, O23, R23} &gt; 0)), """")))/T23"),0.40119760479041916)</f>
        <v>0.4011976048</v>
      </c>
      <c r="V23" s="60">
        <v>400.0</v>
      </c>
      <c r="W23" s="60">
        <f t="shared" si="3"/>
        <v>8082</v>
      </c>
    </row>
    <row r="24" ht="22.5" customHeight="1">
      <c r="A24" s="61" t="str">
        <f t="shared" si="2"/>
        <v>R-TP-UNKNOWN-X-21 x 11 x 26,5</v>
      </c>
      <c r="B24" s="34" t="s">
        <v>183</v>
      </c>
      <c r="C24" s="34" t="s">
        <v>127</v>
      </c>
      <c r="D24" s="37" t="s">
        <v>149</v>
      </c>
      <c r="E24" s="38" t="s">
        <v>184</v>
      </c>
      <c r="F24" s="40" t="s">
        <v>36</v>
      </c>
      <c r="G24" s="34" t="s">
        <v>187</v>
      </c>
      <c r="H24" s="43" t="s">
        <v>41</v>
      </c>
      <c r="I24" s="34" t="s">
        <v>152</v>
      </c>
      <c r="J24" s="62"/>
      <c r="K24" s="62"/>
      <c r="L24" s="63"/>
      <c r="M24" s="64">
        <v>2000.0</v>
      </c>
      <c r="N24" s="64">
        <v>2000.0</v>
      </c>
      <c r="O24" s="64">
        <v>4850.0</v>
      </c>
      <c r="P24" s="62">
        <v>2000.0</v>
      </c>
      <c r="Q24" s="62">
        <v>2000.0</v>
      </c>
      <c r="R24" s="63"/>
      <c r="S24" s="58">
        <v>0.67</v>
      </c>
      <c r="T24" s="59">
        <f>IFERROR(__xludf.DUMMYFUNCTION("((IFERROR(MIN(FILTER({L24, O24, R24}, ISNUMBER({L24, O24, R24}), {L24, O24, R24} &gt; 0)), """"))*S24)+IFERROR(MIN(FILTER({L24, O24, R24}, ISNUMBER({L24, O24, R24}), {L24, O24, R24} &gt; 0)), """")"),8099.5)</f>
        <v>8099.5</v>
      </c>
      <c r="U24" s="53">
        <f>IFERROR(__xludf.DUMMYFUNCTION("(T24-(IFERROR(MIN(FILTER({L24, O24, R24}, ISNUMBER({L24, O24, R24}), {L24, O24, R24} &gt; 0)), """")))/T24"),0.40119760479041916)</f>
        <v>0.4011976048</v>
      </c>
      <c r="V24" s="60">
        <v>400.0</v>
      </c>
      <c r="W24" s="60">
        <f t="shared" si="3"/>
        <v>8499.5</v>
      </c>
    </row>
    <row r="25" ht="22.5" customHeight="1">
      <c r="A25" s="61" t="str">
        <f t="shared" si="2"/>
        <v>R-TP-UNKNOWN-X-20 x 9 x 29</v>
      </c>
      <c r="B25" s="34" t="s">
        <v>195</v>
      </c>
      <c r="C25" s="34" t="s">
        <v>127</v>
      </c>
      <c r="D25" s="37" t="s">
        <v>149</v>
      </c>
      <c r="E25" s="38" t="s">
        <v>196</v>
      </c>
      <c r="F25" s="40" t="s">
        <v>55</v>
      </c>
      <c r="G25" s="34" t="s">
        <v>197</v>
      </c>
      <c r="H25" s="43" t="s">
        <v>41</v>
      </c>
      <c r="I25" s="34" t="s">
        <v>152</v>
      </c>
      <c r="J25" s="62"/>
      <c r="K25" s="62"/>
      <c r="L25" s="63"/>
      <c r="M25" s="64">
        <v>2000.0</v>
      </c>
      <c r="N25" s="64">
        <v>2000.0</v>
      </c>
      <c r="O25" s="64">
        <v>4850.0</v>
      </c>
      <c r="P25" s="62">
        <v>2000.0</v>
      </c>
      <c r="Q25" s="62">
        <v>2000.0</v>
      </c>
      <c r="R25" s="63"/>
      <c r="S25" s="58">
        <v>0.67</v>
      </c>
      <c r="T25" s="59">
        <f>IFERROR(__xludf.DUMMYFUNCTION("((IFERROR(MIN(FILTER({L25, O25, R25}, ISNUMBER({L25, O25, R25}), {L25, O25, R25} &gt; 0)), """"))*S25)+IFERROR(MIN(FILTER({L25, O25, R25}, ISNUMBER({L25, O25, R25}), {L25, O25, R25} &gt; 0)), """")"),8099.5)</f>
        <v>8099.5</v>
      </c>
      <c r="U25" s="53">
        <f>IFERROR(__xludf.DUMMYFUNCTION("(T25-(IFERROR(MIN(FILTER({L25, O25, R25}, ISNUMBER({L25, O25, R25}), {L25, O25, R25} &gt; 0)), """")))/T25"),0.40119760479041916)</f>
        <v>0.4011976048</v>
      </c>
      <c r="V25" s="60">
        <v>400.0</v>
      </c>
      <c r="W25" s="60">
        <f t="shared" si="3"/>
        <v>8499.5</v>
      </c>
    </row>
    <row r="26" ht="22.5" customHeight="1">
      <c r="A26" s="61" t="str">
        <f t="shared" si="2"/>
        <v>R-TP-UNKNOWN-X-20 x 9 x 29</v>
      </c>
      <c r="B26" s="34" t="s">
        <v>195</v>
      </c>
      <c r="C26" s="34" t="s">
        <v>127</v>
      </c>
      <c r="D26" s="37" t="s">
        <v>149</v>
      </c>
      <c r="E26" s="38" t="s">
        <v>196</v>
      </c>
      <c r="F26" s="40" t="s">
        <v>55</v>
      </c>
      <c r="G26" s="34" t="s">
        <v>197</v>
      </c>
      <c r="H26" s="43" t="s">
        <v>41</v>
      </c>
      <c r="I26" s="34" t="s">
        <v>152</v>
      </c>
      <c r="J26" s="62"/>
      <c r="K26" s="62"/>
      <c r="L26" s="63"/>
      <c r="M26" s="64">
        <v>5000.0</v>
      </c>
      <c r="N26" s="64">
        <v>5000.0</v>
      </c>
      <c r="O26" s="64">
        <v>4350.0</v>
      </c>
      <c r="P26" s="62">
        <v>5000.0</v>
      </c>
      <c r="Q26" s="62">
        <v>5000.0</v>
      </c>
      <c r="R26" s="63"/>
      <c r="S26" s="58">
        <v>0.67</v>
      </c>
      <c r="T26" s="59">
        <f>IFERROR(__xludf.DUMMYFUNCTION("((IFERROR(MIN(FILTER({L26, O26, R26}, ISNUMBER({L26, O26, R26}), {L26, O26, R26} &gt; 0)), """"))*S26)+IFERROR(MIN(FILTER({L26, O26, R26}, ISNUMBER({L26, O26, R26}), {L26, O26, R26} &gt; 0)), """")"),7264.5)</f>
        <v>7264.5</v>
      </c>
      <c r="U26" s="53">
        <f>IFERROR(__xludf.DUMMYFUNCTION("(T26-(IFERROR(MIN(FILTER({L26, O26, R26}, ISNUMBER({L26, O26, R26}), {L26, O26, R26} &gt; 0)), """")))/T26"),0.40119760479041916)</f>
        <v>0.4011976048</v>
      </c>
      <c r="V26" s="60">
        <v>400.0</v>
      </c>
      <c r="W26" s="60">
        <f t="shared" si="3"/>
        <v>7664.5</v>
      </c>
    </row>
    <row r="27" ht="22.5" customHeight="1">
      <c r="A27" s="61" t="str">
        <f t="shared" si="2"/>
        <v>R-TP-UNKNOWN-X-22 x 10 x 20,</v>
      </c>
      <c r="B27" s="34" t="s">
        <v>206</v>
      </c>
      <c r="C27" s="34" t="s">
        <v>127</v>
      </c>
      <c r="D27" s="37" t="s">
        <v>128</v>
      </c>
      <c r="E27" s="38" t="s">
        <v>207</v>
      </c>
      <c r="F27" s="40" t="s">
        <v>55</v>
      </c>
      <c r="G27" s="34" t="s">
        <v>210</v>
      </c>
      <c r="H27" s="43" t="s">
        <v>41</v>
      </c>
      <c r="I27" s="34" t="s">
        <v>211</v>
      </c>
      <c r="J27" s="62"/>
      <c r="K27" s="62"/>
      <c r="L27" s="63"/>
      <c r="M27" s="64">
        <v>5000.0</v>
      </c>
      <c r="N27" s="64">
        <v>5000.0</v>
      </c>
      <c r="O27" s="59"/>
      <c r="P27" s="62">
        <v>5000.0</v>
      </c>
      <c r="Q27" s="62">
        <v>5000.0</v>
      </c>
      <c r="R27" s="62">
        <v>5647.0</v>
      </c>
      <c r="S27" s="58">
        <v>0.67</v>
      </c>
      <c r="T27" s="59">
        <f>IFERROR(__xludf.DUMMYFUNCTION("((IFERROR(MIN(FILTER({L27, O27, R27}, ISNUMBER({L27, O27, R27}), {L27, O27, R27} &gt; 0)), """"))*S27)+IFERROR(MIN(FILTER({L27, O27, R27}, ISNUMBER({L27, O27, R27}), {L27, O27, R27} &gt; 0)), """")"),9430.49)</f>
        <v>9430.49</v>
      </c>
      <c r="U27" s="53">
        <f>IFERROR(__xludf.DUMMYFUNCTION("(T27-(IFERROR(MIN(FILTER({L27, O27, R27}, ISNUMBER({L27, O27, R27}), {L27, O27, R27} &gt; 0)), """")))/T27"),0.40119760479041916)</f>
        <v>0.4011976048</v>
      </c>
      <c r="V27" s="60">
        <v>400.0</v>
      </c>
      <c r="W27" s="60">
        <f t="shared" si="3"/>
        <v>9830.49</v>
      </c>
    </row>
    <row r="28" ht="22.5" customHeight="1">
      <c r="A28" s="61" t="str">
        <f t="shared" si="2"/>
        <v>R-TP-UNKNOWN-X-22 x 10 x 20</v>
      </c>
      <c r="B28" s="34" t="s">
        <v>206</v>
      </c>
      <c r="C28" s="34" t="s">
        <v>127</v>
      </c>
      <c r="D28" s="37" t="s">
        <v>128</v>
      </c>
      <c r="E28" s="38" t="s">
        <v>212</v>
      </c>
      <c r="F28" s="40" t="s">
        <v>55</v>
      </c>
      <c r="G28" s="34" t="s">
        <v>210</v>
      </c>
      <c r="H28" s="43" t="s">
        <v>41</v>
      </c>
      <c r="I28" s="34" t="s">
        <v>211</v>
      </c>
      <c r="J28" s="62"/>
      <c r="K28" s="62"/>
      <c r="L28" s="63"/>
      <c r="M28" s="64">
        <v>10000.0</v>
      </c>
      <c r="N28" s="64">
        <v>10000.0</v>
      </c>
      <c r="O28" s="59"/>
      <c r="P28" s="62">
        <v>10000.0</v>
      </c>
      <c r="Q28" s="62">
        <v>10000.0</v>
      </c>
      <c r="R28" s="62">
        <v>5247.0</v>
      </c>
      <c r="S28" s="58">
        <v>0.67</v>
      </c>
      <c r="T28" s="59">
        <f>IFERROR(__xludf.DUMMYFUNCTION("((IFERROR(MIN(FILTER({L28, O28, R28}, ISNUMBER({L28, O28, R28}), {L28, O28, R28} &gt; 0)), """"))*S28)+IFERROR(MIN(FILTER({L28, O28, R28}, ISNUMBER({L28, O28, R28}), {L28, O28, R28} &gt; 0)), """")"),8762.49)</f>
        <v>8762.49</v>
      </c>
      <c r="U28" s="53">
        <f>IFERROR(__xludf.DUMMYFUNCTION("(T28-(IFERROR(MIN(FILTER({L28, O28, R28}, ISNUMBER({L28, O28, R28}), {L28, O28, R28} &gt; 0)), """")))/T28"),0.40119760479041916)</f>
        <v>0.4011976048</v>
      </c>
      <c r="V28" s="60">
        <v>400.0</v>
      </c>
      <c r="W28" s="60">
        <f t="shared" si="3"/>
        <v>9162.49</v>
      </c>
    </row>
    <row r="29" ht="22.5" customHeight="1">
      <c r="A29" s="61" t="str">
        <f t="shared" si="2"/>
        <v>R-TP-UNKNOWN-X-37 x 14 x 28</v>
      </c>
      <c r="B29" s="34" t="s">
        <v>217</v>
      </c>
      <c r="C29" s="34" t="s">
        <v>127</v>
      </c>
      <c r="D29" s="37" t="s">
        <v>139</v>
      </c>
      <c r="E29" s="38" t="s">
        <v>221</v>
      </c>
      <c r="F29" s="40" t="s">
        <v>55</v>
      </c>
      <c r="G29" s="34" t="s">
        <v>108</v>
      </c>
      <c r="H29" s="52" t="s">
        <v>41</v>
      </c>
      <c r="I29" s="34" t="s">
        <v>59</v>
      </c>
      <c r="J29" s="62"/>
      <c r="K29" s="62"/>
      <c r="L29" s="63"/>
      <c r="M29" s="64">
        <v>2000.0</v>
      </c>
      <c r="N29" s="64">
        <v>2000.0</v>
      </c>
      <c r="O29" s="64">
        <v>3630.0</v>
      </c>
      <c r="P29" s="62">
        <v>2000.0</v>
      </c>
      <c r="Q29" s="62">
        <v>2000.0</v>
      </c>
      <c r="R29" s="63"/>
      <c r="S29" s="58">
        <v>0.67</v>
      </c>
      <c r="T29" s="59">
        <f>IFERROR(__xludf.DUMMYFUNCTION("((IFERROR(MIN(FILTER({L29, O29, R29}, ISNUMBER({L29, O29, R29}), {L29, O29, R29} &gt; 0)), """"))*S29)+IFERROR(MIN(FILTER({L29, O29, R29}, ISNUMBER({L29, O29, R29}), {L29, O29, R29} &gt; 0)), """")"),6062.1)</f>
        <v>6062.1</v>
      </c>
      <c r="U29" s="53">
        <f>IFERROR(__xludf.DUMMYFUNCTION("(T29-(IFERROR(MIN(FILTER({L29, O29, R29}, ISNUMBER({L29, O29, R29}), {L29, O29, R29} &gt; 0)), """")))/T29"),0.4011976047904192)</f>
        <v>0.4011976048</v>
      </c>
      <c r="V29" s="60">
        <v>400.0</v>
      </c>
      <c r="W29" s="60">
        <f t="shared" si="3"/>
        <v>6462.1</v>
      </c>
    </row>
    <row r="30" ht="22.5" customHeight="1">
      <c r="A30" s="61" t="str">
        <f t="shared" si="2"/>
        <v>R-TP-UNKNOWN-X-37 x 14 x 28</v>
      </c>
      <c r="B30" s="34" t="s">
        <v>217</v>
      </c>
      <c r="C30" s="34" t="s">
        <v>127</v>
      </c>
      <c r="D30" s="37" t="s">
        <v>139</v>
      </c>
      <c r="E30" s="38" t="s">
        <v>221</v>
      </c>
      <c r="F30" s="40" t="s">
        <v>55</v>
      </c>
      <c r="G30" s="34" t="s">
        <v>108</v>
      </c>
      <c r="H30" s="52" t="s">
        <v>41</v>
      </c>
      <c r="I30" s="34" t="s">
        <v>59</v>
      </c>
      <c r="J30" s="62"/>
      <c r="K30" s="62"/>
      <c r="L30" s="63"/>
      <c r="M30" s="64">
        <v>5000.0</v>
      </c>
      <c r="N30" s="64">
        <v>5000.0</v>
      </c>
      <c r="O30" s="64">
        <v>3430.0</v>
      </c>
      <c r="P30" s="62">
        <v>5000.0</v>
      </c>
      <c r="Q30" s="62">
        <v>5000.0</v>
      </c>
      <c r="R30" s="63"/>
      <c r="S30" s="58">
        <v>0.67</v>
      </c>
      <c r="T30" s="59">
        <f>IFERROR(__xludf.DUMMYFUNCTION("((IFERROR(MIN(FILTER({L30, O30, R30}, ISNUMBER({L30, O30, R30}), {L30, O30, R30} &gt; 0)), """"))*S30)+IFERROR(MIN(FILTER({L30, O30, R30}, ISNUMBER({L30, O30, R30}), {L30, O30, R30} &gt; 0)), """")"),5728.1)</f>
        <v>5728.1</v>
      </c>
      <c r="U30" s="53">
        <f>IFERROR(__xludf.DUMMYFUNCTION("(T30-(IFERROR(MIN(FILTER({L30, O30, R30}, ISNUMBER({L30, O30, R30}), {L30, O30, R30} &gt; 0)), """")))/T30"),0.4011976047904192)</f>
        <v>0.4011976048</v>
      </c>
      <c r="V30" s="60">
        <v>400.0</v>
      </c>
      <c r="W30" s="60">
        <f t="shared" si="3"/>
        <v>6128.1</v>
      </c>
    </row>
    <row r="31" ht="22.5" customHeight="1">
      <c r="A31" s="61" t="str">
        <f t="shared" si="2"/>
        <v>R-TP-UNKNOWN-X-14 x 14 x 30</v>
      </c>
      <c r="B31" s="34" t="s">
        <v>225</v>
      </c>
      <c r="C31" s="34" t="s">
        <v>127</v>
      </c>
      <c r="D31" s="37" t="s">
        <v>149</v>
      </c>
      <c r="E31" s="38" t="s">
        <v>226</v>
      </c>
      <c r="F31" s="40" t="s">
        <v>55</v>
      </c>
      <c r="G31" s="34" t="s">
        <v>216</v>
      </c>
      <c r="H31" s="52" t="s">
        <v>41</v>
      </c>
      <c r="I31" s="34" t="s">
        <v>152</v>
      </c>
      <c r="J31" s="62"/>
      <c r="K31" s="62"/>
      <c r="L31" s="63"/>
      <c r="M31" s="64">
        <v>1000.0</v>
      </c>
      <c r="N31" s="64">
        <v>1000.0</v>
      </c>
      <c r="O31" s="59"/>
      <c r="P31" s="62">
        <v>1000.0</v>
      </c>
      <c r="Q31" s="62">
        <v>1000.0</v>
      </c>
      <c r="R31" s="62">
        <v>7619.0</v>
      </c>
      <c r="S31" s="58">
        <v>0.67</v>
      </c>
      <c r="T31" s="59">
        <f>IFERROR(__xludf.DUMMYFUNCTION("((IFERROR(MIN(FILTER({L31, O31, R31}, ISNUMBER({L31, O31, R31}), {L31, O31, R31} &gt; 0)), """"))*S31)+IFERROR(MIN(FILTER({L31, O31, R31}, ISNUMBER({L31, O31, R31}), {L31, O31, R31} &gt; 0)), """")"),12723.73)</f>
        <v>12723.73</v>
      </c>
      <c r="U31" s="53">
        <f>IFERROR(__xludf.DUMMYFUNCTION("(T31-(IFERROR(MIN(FILTER({L31, O31, R31}, ISNUMBER({L31, O31, R31}), {L31, O31, R31} &gt; 0)), """")))/T31"),0.40119760479041916)</f>
        <v>0.4011976048</v>
      </c>
      <c r="V31" s="60">
        <v>400.0</v>
      </c>
      <c r="W31" s="60">
        <f t="shared" si="3"/>
        <v>13123.73</v>
      </c>
    </row>
    <row r="32" ht="22.5" customHeight="1">
      <c r="A32" s="61" t="str">
        <f t="shared" si="2"/>
        <v>R-TP-UNKNOWN-X-14 x 14 x 30</v>
      </c>
      <c r="B32" s="34" t="s">
        <v>225</v>
      </c>
      <c r="C32" s="34" t="s">
        <v>127</v>
      </c>
      <c r="D32" s="37" t="s">
        <v>149</v>
      </c>
      <c r="E32" s="38" t="s">
        <v>226</v>
      </c>
      <c r="F32" s="40" t="s">
        <v>55</v>
      </c>
      <c r="G32" s="34" t="s">
        <v>216</v>
      </c>
      <c r="H32" s="52" t="s">
        <v>41</v>
      </c>
      <c r="I32" s="34" t="s">
        <v>152</v>
      </c>
      <c r="J32" s="62"/>
      <c r="K32" s="62"/>
      <c r="L32" s="63"/>
      <c r="M32" s="64">
        <v>1700.0</v>
      </c>
      <c r="N32" s="64">
        <v>1700.0</v>
      </c>
      <c r="O32" s="59"/>
      <c r="P32" s="62">
        <v>1700.0</v>
      </c>
      <c r="Q32" s="62">
        <v>1700.0</v>
      </c>
      <c r="R32" s="62">
        <v>5825.0</v>
      </c>
      <c r="S32" s="58">
        <v>0.67</v>
      </c>
      <c r="T32" s="59">
        <f>IFERROR(__xludf.DUMMYFUNCTION("((IFERROR(MIN(FILTER({L32, O32, R32}, ISNUMBER({L32, O32, R32}), {L32, O32, R32} &gt; 0)), """"))*S32)+IFERROR(MIN(FILTER({L32, O32, R32}, ISNUMBER({L32, O32, R32}), {L32, O32, R32} &gt; 0)), """")"),9727.75)</f>
        <v>9727.75</v>
      </c>
      <c r="U32" s="53">
        <f>IFERROR(__xludf.DUMMYFUNCTION("(T32-(IFERROR(MIN(FILTER({L32, O32, R32}, ISNUMBER({L32, O32, R32}), {L32, O32, R32} &gt; 0)), """")))/T32"),0.40119760479041916)</f>
        <v>0.4011976048</v>
      </c>
      <c r="V32" s="60">
        <v>400.0</v>
      </c>
      <c r="W32" s="60">
        <f t="shared" si="3"/>
        <v>10127.75</v>
      </c>
    </row>
    <row r="33" ht="22.5" customHeight="1">
      <c r="A33" s="61" t="str">
        <f t="shared" si="2"/>
        <v>R-TP-UNKNOWN-X-15 x 11 x 25</v>
      </c>
      <c r="B33" s="34" t="s">
        <v>236</v>
      </c>
      <c r="C33" s="34" t="s">
        <v>127</v>
      </c>
      <c r="D33" s="37" t="s">
        <v>149</v>
      </c>
      <c r="E33" s="38" t="s">
        <v>237</v>
      </c>
      <c r="F33" s="49" t="s">
        <v>46</v>
      </c>
      <c r="G33" s="34" t="s">
        <v>238</v>
      </c>
      <c r="H33" s="52" t="s">
        <v>41</v>
      </c>
      <c r="I33" s="34" t="s">
        <v>152</v>
      </c>
      <c r="J33" s="62"/>
      <c r="K33" s="62"/>
      <c r="L33" s="63"/>
      <c r="M33" s="64">
        <v>1000.0</v>
      </c>
      <c r="N33" s="64">
        <v>1000.0</v>
      </c>
      <c r="O33" s="64">
        <v>5200.0</v>
      </c>
      <c r="P33" s="62">
        <v>1000.0</v>
      </c>
      <c r="Q33" s="62">
        <v>1000.0</v>
      </c>
      <c r="R33" s="63"/>
      <c r="S33" s="58">
        <v>0.67</v>
      </c>
      <c r="T33" s="59">
        <f>IFERROR(__xludf.DUMMYFUNCTION("((IFERROR(MIN(FILTER({L33, O33, R33}, ISNUMBER({L33, O33, R33}), {L33, O33, R33} &gt; 0)), """"))*S33)+IFERROR(MIN(FILTER({L33, O33, R33}, ISNUMBER({L33, O33, R33}), {L33, O33, R33} &gt; 0)), """")"),8684.0)</f>
        <v>8684</v>
      </c>
      <c r="U33" s="53">
        <f>IFERROR(__xludf.DUMMYFUNCTION("(T33-(IFERROR(MIN(FILTER({L33, O33, R33}, ISNUMBER({L33, O33, R33}), {L33, O33, R33} &gt; 0)), """")))/T33"),0.40119760479041916)</f>
        <v>0.4011976048</v>
      </c>
      <c r="V33" s="60">
        <v>300.0</v>
      </c>
      <c r="W33" s="60">
        <f t="shared" si="3"/>
        <v>8984</v>
      </c>
    </row>
    <row r="34" ht="22.5" customHeight="1">
      <c r="A34" s="61" t="str">
        <f t="shared" si="2"/>
        <v>R-TP-UNKNOWN-X-32 x 12 x 28,5</v>
      </c>
      <c r="B34" s="34" t="s">
        <v>236</v>
      </c>
      <c r="C34" s="34" t="s">
        <v>127</v>
      </c>
      <c r="D34" s="37" t="s">
        <v>149</v>
      </c>
      <c r="E34" s="38" t="s">
        <v>242</v>
      </c>
      <c r="F34" s="49" t="s">
        <v>46</v>
      </c>
      <c r="G34" s="34" t="s">
        <v>238</v>
      </c>
      <c r="H34" s="52" t="s">
        <v>41</v>
      </c>
      <c r="I34" s="34" t="s">
        <v>152</v>
      </c>
      <c r="J34" s="62"/>
      <c r="K34" s="62"/>
      <c r="L34" s="63"/>
      <c r="M34" s="64">
        <v>1000.0</v>
      </c>
      <c r="N34" s="64">
        <v>1000.0</v>
      </c>
      <c r="O34" s="64">
        <v>6900.0</v>
      </c>
      <c r="P34" s="62">
        <v>1000.0</v>
      </c>
      <c r="Q34" s="62">
        <v>1000.0</v>
      </c>
      <c r="R34" s="63"/>
      <c r="S34" s="58">
        <v>0.67</v>
      </c>
      <c r="T34" s="59">
        <f>IFERROR(__xludf.DUMMYFUNCTION("((IFERROR(MIN(FILTER({L34, O34, R34}, ISNUMBER({L34, O34, R34}), {L34, O34, R34} &gt; 0)), """"))*S34)+IFERROR(MIN(FILTER({L34, O34, R34}, ISNUMBER({L34, O34, R34}), {L34, O34, R34} &gt; 0)), """")"),11523.0)</f>
        <v>11523</v>
      </c>
      <c r="U34" s="53">
        <f>IFERROR(__xludf.DUMMYFUNCTION("(T34-(IFERROR(MIN(FILTER({L34, O34, R34}, ISNUMBER({L34, O34, R34}), {L34, O34, R34} &gt; 0)), """")))/T34"),0.40119760479041916)</f>
        <v>0.4011976048</v>
      </c>
      <c r="V34" s="60">
        <v>300.0</v>
      </c>
      <c r="W34" s="60">
        <f t="shared" si="3"/>
        <v>11823</v>
      </c>
    </row>
    <row r="35" ht="22.5" customHeight="1">
      <c r="A35" s="61" t="str">
        <f t="shared" si="2"/>
        <v>R-TP-UNKNOWN-X-16 x 7 x 22</v>
      </c>
      <c r="B35" s="34" t="s">
        <v>245</v>
      </c>
      <c r="C35" s="34" t="s">
        <v>127</v>
      </c>
      <c r="D35" s="37" t="s">
        <v>246</v>
      </c>
      <c r="E35" s="38" t="s">
        <v>247</v>
      </c>
      <c r="F35" s="49" t="s">
        <v>55</v>
      </c>
      <c r="G35" s="34" t="s">
        <v>74</v>
      </c>
      <c r="H35" s="52" t="s">
        <v>41</v>
      </c>
      <c r="I35" s="34" t="s">
        <v>44</v>
      </c>
      <c r="J35" s="62"/>
      <c r="K35" s="62"/>
      <c r="L35" s="63"/>
      <c r="M35" s="64">
        <v>3000.0</v>
      </c>
      <c r="N35" s="64">
        <v>3000.0</v>
      </c>
      <c r="O35" s="64">
        <v>2400.0</v>
      </c>
      <c r="P35" s="62">
        <v>3000.0</v>
      </c>
      <c r="Q35" s="62">
        <v>3000.0</v>
      </c>
      <c r="R35" s="63"/>
      <c r="S35" s="58">
        <v>0.67</v>
      </c>
      <c r="T35" s="59">
        <f>IFERROR(__xludf.DUMMYFUNCTION("((IFERROR(MIN(FILTER({L35, O35, R35}, ISNUMBER({L35, O35, R35}), {L35, O35, R35} &gt; 0)), """"))*S35)+IFERROR(MIN(FILTER({L35, O35, R35}, ISNUMBER({L35, O35, R35}), {L35, O35, R35} &gt; 0)), """")"),4008.0)</f>
        <v>4008</v>
      </c>
      <c r="U35" s="53">
        <f>IFERROR(__xludf.DUMMYFUNCTION("(T35-(IFERROR(MIN(FILTER({L35, O35, R35}, ISNUMBER({L35, O35, R35}), {L35, O35, R35} &gt; 0)), """")))/T35"),0.40119760479041916)</f>
        <v>0.4011976048</v>
      </c>
      <c r="V35" s="60">
        <v>300.0</v>
      </c>
      <c r="W35" s="60">
        <f t="shared" si="3"/>
        <v>4308</v>
      </c>
    </row>
    <row r="36" ht="22.5" customHeight="1">
      <c r="A36" s="61" t="str">
        <f t="shared" si="2"/>
        <v>R-TP-UNKNOWN-X-16 x 8 x 20</v>
      </c>
      <c r="B36" s="34" t="s">
        <v>248</v>
      </c>
      <c r="C36" s="34" t="s">
        <v>127</v>
      </c>
      <c r="D36" s="37" t="s">
        <v>149</v>
      </c>
      <c r="E36" s="38" t="s">
        <v>250</v>
      </c>
      <c r="F36" s="49" t="s">
        <v>55</v>
      </c>
      <c r="G36" s="34" t="s">
        <v>121</v>
      </c>
      <c r="H36" s="52" t="s">
        <v>41</v>
      </c>
      <c r="I36" s="34" t="s">
        <v>152</v>
      </c>
      <c r="J36" s="62"/>
      <c r="K36" s="62"/>
      <c r="L36" s="63"/>
      <c r="M36" s="64">
        <v>1000.0</v>
      </c>
      <c r="N36" s="64">
        <v>1000.0</v>
      </c>
      <c r="O36" s="64">
        <v>4000.0</v>
      </c>
      <c r="P36" s="62">
        <v>1000.0</v>
      </c>
      <c r="Q36" s="62">
        <v>1000.0</v>
      </c>
      <c r="R36" s="63"/>
      <c r="S36" s="58">
        <v>0.67</v>
      </c>
      <c r="T36" s="59">
        <f>IFERROR(__xludf.DUMMYFUNCTION("((IFERROR(MIN(FILTER({L36, O36, R36}, ISNUMBER({L36, O36, R36}), {L36, O36, R36} &gt; 0)), """"))*S36)+IFERROR(MIN(FILTER({L36, O36, R36}, ISNUMBER({L36, O36, R36}), {L36, O36, R36} &gt; 0)), """")"),6680.0)</f>
        <v>6680</v>
      </c>
      <c r="U36" s="53">
        <f>IFERROR(__xludf.DUMMYFUNCTION("(T36-(IFERROR(MIN(FILTER({L36, O36, R36}, ISNUMBER({L36, O36, R36}), {L36, O36, R36} &gt; 0)), """")))/T36"),0.40119760479041916)</f>
        <v>0.4011976048</v>
      </c>
      <c r="V36" s="60">
        <v>300.0</v>
      </c>
      <c r="W36" s="60">
        <f t="shared" si="3"/>
        <v>6980</v>
      </c>
    </row>
    <row r="37" ht="22.5" customHeight="1">
      <c r="A37" s="61" t="str">
        <f t="shared" si="2"/>
        <v>R-TP-UNKNOWN-X-16 x 8 x 20</v>
      </c>
      <c r="B37" s="34" t="s">
        <v>248</v>
      </c>
      <c r="C37" s="34" t="s">
        <v>127</v>
      </c>
      <c r="D37" s="37" t="s">
        <v>149</v>
      </c>
      <c r="E37" s="38" t="s">
        <v>250</v>
      </c>
      <c r="F37" s="49" t="s">
        <v>55</v>
      </c>
      <c r="G37" s="34" t="s">
        <v>121</v>
      </c>
      <c r="H37" s="52" t="s">
        <v>41</v>
      </c>
      <c r="I37" s="34" t="s">
        <v>255</v>
      </c>
      <c r="J37" s="62"/>
      <c r="K37" s="62"/>
      <c r="L37" s="63"/>
      <c r="M37" s="64">
        <v>2000.0</v>
      </c>
      <c r="N37" s="64">
        <v>2000.0</v>
      </c>
      <c r="O37" s="64">
        <v>3300.0</v>
      </c>
      <c r="P37" s="62">
        <v>2000.0</v>
      </c>
      <c r="Q37" s="62">
        <v>2000.0</v>
      </c>
      <c r="R37" s="63"/>
      <c r="S37" s="58">
        <v>0.67</v>
      </c>
      <c r="T37" s="59">
        <f>IFERROR(__xludf.DUMMYFUNCTION("((IFERROR(MIN(FILTER({L37, O37, R37}, ISNUMBER({L37, O37, R37}), {L37, O37, R37} &gt; 0)), """"))*S37)+IFERROR(MIN(FILTER({L37, O37, R37}, ISNUMBER({L37, O37, R37}), {L37, O37, R37} &gt; 0)), """")"),5511.0)</f>
        <v>5511</v>
      </c>
      <c r="U37" s="53">
        <f>IFERROR(__xludf.DUMMYFUNCTION("(T37-(IFERROR(MIN(FILTER({L37, O37, R37}, ISNUMBER({L37, O37, R37}), {L37, O37, R37} &gt; 0)), """")))/T37"),0.40119760479041916)</f>
        <v>0.4011976048</v>
      </c>
      <c r="V37" s="60">
        <v>300.0</v>
      </c>
      <c r="W37" s="60">
        <f t="shared" si="3"/>
        <v>5811</v>
      </c>
    </row>
    <row r="38" ht="22.5" customHeight="1">
      <c r="A38" s="61" t="str">
        <f t="shared" si="2"/>
        <v>R-TP-UNKNOWN-X-30 x 23 x 25</v>
      </c>
      <c r="B38" s="34" t="s">
        <v>259</v>
      </c>
      <c r="C38" s="34" t="s">
        <v>127</v>
      </c>
      <c r="D38" s="37" t="s">
        <v>149</v>
      </c>
      <c r="E38" s="38" t="s">
        <v>260</v>
      </c>
      <c r="F38" s="49" t="s">
        <v>55</v>
      </c>
      <c r="G38" s="34" t="s">
        <v>108</v>
      </c>
      <c r="H38" s="52" t="s">
        <v>41</v>
      </c>
      <c r="I38" s="34" t="s">
        <v>152</v>
      </c>
      <c r="J38" s="62"/>
      <c r="K38" s="62"/>
      <c r="L38" s="63"/>
      <c r="M38" s="64">
        <v>2000.0</v>
      </c>
      <c r="N38" s="64">
        <v>2000.0</v>
      </c>
      <c r="O38" s="64">
        <v>7300.0</v>
      </c>
      <c r="P38" s="62">
        <v>2000.0</v>
      </c>
      <c r="Q38" s="62">
        <v>2000.0</v>
      </c>
      <c r="R38" s="62">
        <v>6733.0</v>
      </c>
      <c r="S38" s="58">
        <v>0.67</v>
      </c>
      <c r="T38" s="59">
        <f>IFERROR(__xludf.DUMMYFUNCTION("((IFERROR(MIN(FILTER({L38, O38, R38}, ISNUMBER({L38, O38, R38}), {L38, O38, R38} &gt; 0)), """"))*S38)+IFERROR(MIN(FILTER({L38, O38, R38}, ISNUMBER({L38, O38, R38}), {L38, O38, R38} &gt; 0)), """")"),11244.11)</f>
        <v>11244.11</v>
      </c>
      <c r="U38" s="53">
        <f>IFERROR(__xludf.DUMMYFUNCTION("(T38-(IFERROR(MIN(FILTER({L38, O38, R38}, ISNUMBER({L38, O38, R38}), {L38, O38, R38} &gt; 0)), """")))/T38"),0.4011976047904192)</f>
        <v>0.4011976048</v>
      </c>
      <c r="V38" s="60">
        <v>300.0</v>
      </c>
      <c r="W38" s="60">
        <f t="shared" si="3"/>
        <v>11544.11</v>
      </c>
    </row>
    <row r="39" ht="22.5" customHeight="1">
      <c r="A39" s="61" t="str">
        <f t="shared" si="2"/>
        <v>R-TP-UNKNOWN-X-24 x 15 x 29,2</v>
      </c>
      <c r="B39" s="34" t="s">
        <v>264</v>
      </c>
      <c r="C39" s="34" t="s">
        <v>127</v>
      </c>
      <c r="D39" s="37" t="s">
        <v>149</v>
      </c>
      <c r="E39" s="38" t="s">
        <v>265</v>
      </c>
      <c r="F39" s="49" t="s">
        <v>55</v>
      </c>
      <c r="G39" s="34" t="s">
        <v>108</v>
      </c>
      <c r="H39" s="52" t="s">
        <v>41</v>
      </c>
      <c r="I39" s="34" t="s">
        <v>266</v>
      </c>
      <c r="J39" s="62"/>
      <c r="K39" s="62"/>
      <c r="L39" s="63"/>
      <c r="M39" s="64">
        <v>10000.0</v>
      </c>
      <c r="N39" s="64">
        <v>10000.0</v>
      </c>
      <c r="O39" s="64">
        <v>5200.0</v>
      </c>
      <c r="P39" s="62">
        <v>10000.0</v>
      </c>
      <c r="Q39" s="62">
        <v>10000.0</v>
      </c>
      <c r="R39" s="63"/>
      <c r="S39" s="58">
        <v>0.67</v>
      </c>
      <c r="T39" s="59">
        <f>IFERROR(__xludf.DUMMYFUNCTION("((IFERROR(MIN(FILTER({L39, O39, R39}, ISNUMBER({L39, O39, R39}), {L39, O39, R39} &gt; 0)), """"))*S39)+IFERROR(MIN(FILTER({L39, O39, R39}, ISNUMBER({L39, O39, R39}), {L39, O39, R39} &gt; 0)), """")"),8684.0)</f>
        <v>8684</v>
      </c>
      <c r="U39" s="53">
        <f>IFERROR(__xludf.DUMMYFUNCTION("(T39-(IFERROR(MIN(FILTER({L39, O39, R39}, ISNUMBER({L39, O39, R39}), {L39, O39, R39} &gt; 0)), """")))/T39"),0.40119760479041916)</f>
        <v>0.4011976048</v>
      </c>
      <c r="V39" s="60">
        <v>300.0</v>
      </c>
      <c r="W39" s="60">
        <f t="shared" si="3"/>
        <v>8984</v>
      </c>
    </row>
    <row r="40" ht="22.5" customHeight="1">
      <c r="A40" s="61" t="str">
        <f t="shared" si="2"/>
        <v>R-TP-UNKNOWN-X-24 x 15 x 29,2</v>
      </c>
      <c r="B40" s="34" t="s">
        <v>264</v>
      </c>
      <c r="C40" s="34" t="s">
        <v>127</v>
      </c>
      <c r="D40" s="37" t="s">
        <v>149</v>
      </c>
      <c r="E40" s="38" t="s">
        <v>265</v>
      </c>
      <c r="F40" s="49" t="s">
        <v>55</v>
      </c>
      <c r="G40" s="34" t="s">
        <v>108</v>
      </c>
      <c r="H40" s="52" t="s">
        <v>41</v>
      </c>
      <c r="I40" s="34" t="s">
        <v>266</v>
      </c>
      <c r="J40" s="62"/>
      <c r="K40" s="62"/>
      <c r="L40" s="63"/>
      <c r="M40" s="64">
        <v>15000.0</v>
      </c>
      <c r="N40" s="64">
        <v>15000.0</v>
      </c>
      <c r="O40" s="64">
        <v>5000.0</v>
      </c>
      <c r="P40" s="62">
        <v>15000.0</v>
      </c>
      <c r="Q40" s="62">
        <v>15000.0</v>
      </c>
      <c r="R40" s="63"/>
      <c r="S40" s="58">
        <v>0.67</v>
      </c>
      <c r="T40" s="59">
        <f>IFERROR(__xludf.DUMMYFUNCTION("((IFERROR(MIN(FILTER({L40, O40, R40}, ISNUMBER({L40, O40, R40}), {L40, O40, R40} &gt; 0)), """"))*S40)+IFERROR(MIN(FILTER({L40, O40, R40}, ISNUMBER({L40, O40, R40}), {L40, O40, R40} &gt; 0)), """")"),8350.0)</f>
        <v>8350</v>
      </c>
      <c r="U40" s="53">
        <f>IFERROR(__xludf.DUMMYFUNCTION("(T40-(IFERROR(MIN(FILTER({L40, O40, R40}, ISNUMBER({L40, O40, R40}), {L40, O40, R40} &gt; 0)), """")))/T40"),0.40119760479041916)</f>
        <v>0.4011976048</v>
      </c>
      <c r="V40" s="60">
        <v>300.0</v>
      </c>
      <c r="W40" s="60">
        <f t="shared" si="3"/>
        <v>8650</v>
      </c>
    </row>
    <row r="41" ht="22.5" customHeight="1">
      <c r="A41" s="61" t="str">
        <f t="shared" si="2"/>
        <v>R-TP-UNKNOWN-X-24 x 15 x 29,2</v>
      </c>
      <c r="B41" s="34" t="s">
        <v>264</v>
      </c>
      <c r="C41" s="34" t="s">
        <v>127</v>
      </c>
      <c r="D41" s="37" t="s">
        <v>149</v>
      </c>
      <c r="E41" s="38" t="s">
        <v>265</v>
      </c>
      <c r="F41" s="49" t="s">
        <v>55</v>
      </c>
      <c r="G41" s="34" t="s">
        <v>108</v>
      </c>
      <c r="H41" s="52" t="s">
        <v>41</v>
      </c>
      <c r="I41" s="34" t="s">
        <v>266</v>
      </c>
      <c r="J41" s="62">
        <v>25000.0</v>
      </c>
      <c r="K41" s="62">
        <v>25000.0</v>
      </c>
      <c r="L41" s="63"/>
      <c r="M41" s="64">
        <v>25000.0</v>
      </c>
      <c r="N41" s="64">
        <v>25000.0</v>
      </c>
      <c r="O41" s="64">
        <v>4800.0</v>
      </c>
      <c r="P41" s="62">
        <v>25000.0</v>
      </c>
      <c r="Q41" s="62">
        <v>25000.0</v>
      </c>
      <c r="R41" s="63"/>
      <c r="S41" s="58">
        <v>0.67</v>
      </c>
      <c r="T41" s="59">
        <f>IFERROR(__xludf.DUMMYFUNCTION("((IFERROR(MIN(FILTER({L41, O41, R41}, ISNUMBER({L41, O41, R41}), {L41, O41, R41} &gt; 0)), """"))*S41)+IFERROR(MIN(FILTER({L41, O41, R41}, ISNUMBER({L41, O41, R41}), {L41, O41, R41} &gt; 0)), """")"),8016.0)</f>
        <v>8016</v>
      </c>
      <c r="U41" s="53">
        <f>IFERROR(__xludf.DUMMYFUNCTION("(T41-(IFERROR(MIN(FILTER({L41, O41, R41}, ISNUMBER({L41, O41, R41}), {L41, O41, R41} &gt; 0)), """")))/T41"),0.40119760479041916)</f>
        <v>0.4011976048</v>
      </c>
      <c r="V41" s="60">
        <v>300.0</v>
      </c>
      <c r="W41" s="60">
        <f t="shared" si="3"/>
        <v>8316</v>
      </c>
    </row>
    <row r="42" ht="22.5" customHeight="1">
      <c r="A42" s="61" t="str">
        <f t="shared" si="2"/>
        <v>R-TP-UNKNOWN-X-20,5 x 10,5 x 28</v>
      </c>
      <c r="B42" s="34" t="s">
        <v>264</v>
      </c>
      <c r="C42" s="34" t="s">
        <v>127</v>
      </c>
      <c r="D42" s="37" t="s">
        <v>149</v>
      </c>
      <c r="E42" s="38" t="s">
        <v>268</v>
      </c>
      <c r="F42" s="49" t="s">
        <v>55</v>
      </c>
      <c r="G42" s="34" t="s">
        <v>108</v>
      </c>
      <c r="H42" s="52" t="s">
        <v>41</v>
      </c>
      <c r="I42" s="34" t="s">
        <v>266</v>
      </c>
      <c r="J42" s="62"/>
      <c r="K42" s="62"/>
      <c r="L42" s="63"/>
      <c r="M42" s="64">
        <v>10000.0</v>
      </c>
      <c r="N42" s="64">
        <v>10000.0</v>
      </c>
      <c r="O42" s="64">
        <v>4500.0</v>
      </c>
      <c r="P42" s="62">
        <v>10000.0</v>
      </c>
      <c r="Q42" s="62">
        <v>10000.0</v>
      </c>
      <c r="R42" s="63"/>
      <c r="S42" s="58">
        <v>0.67</v>
      </c>
      <c r="T42" s="59">
        <f>IFERROR(__xludf.DUMMYFUNCTION("((IFERROR(MIN(FILTER({L42, O42, R42}, ISNUMBER({L42, O42, R42}), {L42, O42, R42} &gt; 0)), """"))*S42)+IFERROR(MIN(FILTER({L42, O42, R42}, ISNUMBER({L42, O42, R42}), {L42, O42, R42} &gt; 0)), """")"),7515.0)</f>
        <v>7515</v>
      </c>
      <c r="U42" s="53">
        <f>IFERROR(__xludf.DUMMYFUNCTION("(T42-(IFERROR(MIN(FILTER({L42, O42, R42}, ISNUMBER({L42, O42, R42}), {L42, O42, R42} &gt; 0)), """")))/T42"),0.40119760479041916)</f>
        <v>0.4011976048</v>
      </c>
      <c r="V42" s="60">
        <v>300.0</v>
      </c>
      <c r="W42" s="60">
        <f t="shared" si="3"/>
        <v>7815</v>
      </c>
    </row>
    <row r="43" ht="22.5" customHeight="1">
      <c r="A43" s="61" t="str">
        <f t="shared" si="2"/>
        <v>R-TP-UNKNOWN-X-20,5 x 10,5 x 28</v>
      </c>
      <c r="B43" s="34" t="s">
        <v>264</v>
      </c>
      <c r="C43" s="34" t="s">
        <v>127</v>
      </c>
      <c r="D43" s="37" t="s">
        <v>149</v>
      </c>
      <c r="E43" s="38" t="s">
        <v>268</v>
      </c>
      <c r="F43" s="49" t="s">
        <v>55</v>
      </c>
      <c r="G43" s="34" t="s">
        <v>108</v>
      </c>
      <c r="H43" s="52" t="s">
        <v>41</v>
      </c>
      <c r="I43" s="34" t="s">
        <v>266</v>
      </c>
      <c r="J43" s="62"/>
      <c r="K43" s="62"/>
      <c r="L43" s="63"/>
      <c r="M43" s="64">
        <v>15000.0</v>
      </c>
      <c r="N43" s="64">
        <v>15000.0</v>
      </c>
      <c r="O43" s="64">
        <v>4300.0</v>
      </c>
      <c r="P43" s="62">
        <v>15000.0</v>
      </c>
      <c r="Q43" s="62">
        <v>15000.0</v>
      </c>
      <c r="R43" s="63"/>
      <c r="S43" s="58">
        <v>0.67</v>
      </c>
      <c r="T43" s="59">
        <f>IFERROR(__xludf.DUMMYFUNCTION("((IFERROR(MIN(FILTER({L43, O43, R43}, ISNUMBER({L43, O43, R43}), {L43, O43, R43} &gt; 0)), """"))*S43)+IFERROR(MIN(FILTER({L43, O43, R43}, ISNUMBER({L43, O43, R43}), {L43, O43, R43} &gt; 0)), """")"),7181.0)</f>
        <v>7181</v>
      </c>
      <c r="U43" s="53">
        <f>IFERROR(__xludf.DUMMYFUNCTION("(T43-(IFERROR(MIN(FILTER({L43, O43, R43}, ISNUMBER({L43, O43, R43}), {L43, O43, R43} &gt; 0)), """")))/T43"),0.40119760479041916)</f>
        <v>0.4011976048</v>
      </c>
      <c r="V43" s="60">
        <v>300.0</v>
      </c>
      <c r="W43" s="60">
        <f t="shared" si="3"/>
        <v>7481</v>
      </c>
    </row>
    <row r="44" ht="22.5" customHeight="1">
      <c r="A44" s="61" t="str">
        <f t="shared" si="2"/>
        <v>R-TP-UNKNOWN-X-20,5 x 10,5 x 28</v>
      </c>
      <c r="B44" s="34" t="s">
        <v>264</v>
      </c>
      <c r="C44" s="34" t="s">
        <v>127</v>
      </c>
      <c r="D44" s="37" t="s">
        <v>149</v>
      </c>
      <c r="E44" s="38" t="s">
        <v>268</v>
      </c>
      <c r="F44" s="49" t="s">
        <v>55</v>
      </c>
      <c r="G44" s="34" t="s">
        <v>108</v>
      </c>
      <c r="H44" s="52" t="s">
        <v>41</v>
      </c>
      <c r="I44" s="34" t="s">
        <v>266</v>
      </c>
      <c r="J44" s="62">
        <v>25000.0</v>
      </c>
      <c r="K44" s="62">
        <v>25000.0</v>
      </c>
      <c r="L44" s="63"/>
      <c r="M44" s="64">
        <v>25000.0</v>
      </c>
      <c r="N44" s="64">
        <v>25000.0</v>
      </c>
      <c r="O44" s="64">
        <v>4100.0</v>
      </c>
      <c r="P44" s="62">
        <v>25000.0</v>
      </c>
      <c r="Q44" s="62">
        <v>25000.0</v>
      </c>
      <c r="R44" s="63"/>
      <c r="S44" s="58">
        <v>0.67</v>
      </c>
      <c r="T44" s="59">
        <f>IFERROR(__xludf.DUMMYFUNCTION("((IFERROR(MIN(FILTER({L44, O44, R44}, ISNUMBER({L44, O44, R44}), {L44, O44, R44} &gt; 0)), """"))*S44)+IFERROR(MIN(FILTER({L44, O44, R44}, ISNUMBER({L44, O44, R44}), {L44, O44, R44} &gt; 0)), """")"),6847.0)</f>
        <v>6847</v>
      </c>
      <c r="U44" s="53">
        <f>IFERROR(__xludf.DUMMYFUNCTION("(T44-(IFERROR(MIN(FILTER({L44, O44, R44}, ISNUMBER({L44, O44, R44}), {L44, O44, R44} &gt; 0)), """")))/T44"),0.40119760479041916)</f>
        <v>0.4011976048</v>
      </c>
      <c r="V44" s="60">
        <v>300.0</v>
      </c>
      <c r="W44" s="60">
        <f t="shared" si="3"/>
        <v>7147</v>
      </c>
    </row>
    <row r="45" ht="22.5" customHeight="1">
      <c r="A45" s="61" t="str">
        <f t="shared" si="2"/>
        <v>R-TP-UNKNOWN-X-15 x 10 x 30</v>
      </c>
      <c r="B45" s="34" t="s">
        <v>272</v>
      </c>
      <c r="C45" s="34" t="s">
        <v>127</v>
      </c>
      <c r="D45" s="37" t="s">
        <v>72</v>
      </c>
      <c r="E45" s="38" t="s">
        <v>273</v>
      </c>
      <c r="F45" s="49" t="s">
        <v>36</v>
      </c>
      <c r="G45" s="34" t="s">
        <v>116</v>
      </c>
      <c r="H45" s="52" t="s">
        <v>41</v>
      </c>
      <c r="I45" s="34" t="s">
        <v>274</v>
      </c>
      <c r="J45" s="62"/>
      <c r="K45" s="62"/>
      <c r="L45" s="63"/>
      <c r="M45" s="64">
        <v>1000.0</v>
      </c>
      <c r="N45" s="64">
        <v>1000.0</v>
      </c>
      <c r="O45" s="64">
        <v>4200.0</v>
      </c>
      <c r="P45" s="62">
        <v>1000.0</v>
      </c>
      <c r="Q45" s="62">
        <v>1000.0</v>
      </c>
      <c r="R45" s="63"/>
      <c r="S45" s="58">
        <v>0.67</v>
      </c>
      <c r="T45" s="59">
        <f>IFERROR(__xludf.DUMMYFUNCTION("((IFERROR(MIN(FILTER({L45, O45, R45}, ISNUMBER({L45, O45, R45}), {L45, O45, R45} &gt; 0)), """"))*S45)+IFERROR(MIN(FILTER({L45, O45, R45}, ISNUMBER({L45, O45, R45}), {L45, O45, R45} &gt; 0)), """")"),7014.0)</f>
        <v>7014</v>
      </c>
      <c r="U45" s="53">
        <f>IFERROR(__xludf.DUMMYFUNCTION("(T45-(IFERROR(MIN(FILTER({L45, O45, R45}, ISNUMBER({L45, O45, R45}), {L45, O45, R45} &gt; 0)), """")))/T45"),0.40119760479041916)</f>
        <v>0.4011976048</v>
      </c>
      <c r="V45" s="60">
        <v>300.0</v>
      </c>
      <c r="W45" s="60">
        <f t="shared" si="3"/>
        <v>7314</v>
      </c>
    </row>
    <row r="46" ht="22.5" customHeight="1">
      <c r="A46" s="61" t="str">
        <f t="shared" si="2"/>
        <v>R-TP-UNKNOWN-X-20 x 10 x 30</v>
      </c>
      <c r="B46" s="34" t="s">
        <v>272</v>
      </c>
      <c r="C46" s="34" t="s">
        <v>127</v>
      </c>
      <c r="D46" s="37" t="s">
        <v>72</v>
      </c>
      <c r="E46" s="38" t="s">
        <v>276</v>
      </c>
      <c r="F46" s="49" t="s">
        <v>36</v>
      </c>
      <c r="G46" s="34" t="s">
        <v>116</v>
      </c>
      <c r="H46" s="52" t="s">
        <v>41</v>
      </c>
      <c r="I46" s="34" t="s">
        <v>274</v>
      </c>
      <c r="J46" s="62"/>
      <c r="K46" s="62"/>
      <c r="L46" s="63"/>
      <c r="M46" s="64">
        <v>1000.0</v>
      </c>
      <c r="N46" s="64">
        <v>1000.0</v>
      </c>
      <c r="O46" s="64">
        <v>5300.0</v>
      </c>
      <c r="P46" s="62">
        <v>1000.0</v>
      </c>
      <c r="Q46" s="62">
        <v>1000.0</v>
      </c>
      <c r="R46" s="63"/>
      <c r="S46" s="58">
        <v>0.67</v>
      </c>
      <c r="T46" s="59">
        <f>IFERROR(__xludf.DUMMYFUNCTION("((IFERROR(MIN(FILTER({L46, O46, R46}, ISNUMBER({L46, O46, R46}), {L46, O46, R46} &gt; 0)), """"))*S46)+IFERROR(MIN(FILTER({L46, O46, R46}, ISNUMBER({L46, O46, R46}), {L46, O46, R46} &gt; 0)), """")"),8851.0)</f>
        <v>8851</v>
      </c>
      <c r="U46" s="53">
        <f>IFERROR(__xludf.DUMMYFUNCTION("(T46-(IFERROR(MIN(FILTER({L46, O46, R46}, ISNUMBER({L46, O46, R46}), {L46, O46, R46} &gt; 0)), """")))/T46"),0.40119760479041916)</f>
        <v>0.4011976048</v>
      </c>
      <c r="V46" s="60">
        <v>300.0</v>
      </c>
      <c r="W46" s="60">
        <f t="shared" si="3"/>
        <v>9151</v>
      </c>
    </row>
    <row r="47" ht="22.5" customHeight="1">
      <c r="A47" s="61" t="str">
        <f t="shared" si="2"/>
        <v>R-TP-UNKNOWN-X-20 x 9 x 25</v>
      </c>
      <c r="B47" s="34" t="s">
        <v>279</v>
      </c>
      <c r="C47" s="34" t="s">
        <v>127</v>
      </c>
      <c r="D47" s="37" t="s">
        <v>149</v>
      </c>
      <c r="E47" s="38" t="s">
        <v>280</v>
      </c>
      <c r="F47" s="49" t="s">
        <v>36</v>
      </c>
      <c r="G47" s="34" t="s">
        <v>281</v>
      </c>
      <c r="H47" s="52" t="s">
        <v>41</v>
      </c>
      <c r="I47" s="34" t="s">
        <v>152</v>
      </c>
      <c r="J47" s="62"/>
      <c r="K47" s="62"/>
      <c r="L47" s="63"/>
      <c r="M47" s="64">
        <v>500.0</v>
      </c>
      <c r="N47" s="64">
        <v>500.0</v>
      </c>
      <c r="O47" s="64">
        <v>7500.0</v>
      </c>
      <c r="P47" s="62">
        <v>500.0</v>
      </c>
      <c r="Q47" s="62">
        <v>500.0</v>
      </c>
      <c r="R47" s="63"/>
      <c r="S47" s="58">
        <v>0.67</v>
      </c>
      <c r="T47" s="59">
        <f>IFERROR(__xludf.DUMMYFUNCTION("((IFERROR(MIN(FILTER({L47, O47, R47}, ISNUMBER({L47, O47, R47}), {L47, O47, R47} &gt; 0)), """"))*S47)+IFERROR(MIN(FILTER({L47, O47, R47}, ISNUMBER({L47, O47, R47}), {L47, O47, R47} &gt; 0)), """")"),12525.0)</f>
        <v>12525</v>
      </c>
      <c r="U47" s="53">
        <f>IFERROR(__xludf.DUMMYFUNCTION("(T47-(IFERROR(MIN(FILTER({L47, O47, R47}, ISNUMBER({L47, O47, R47}), {L47, O47, R47} &gt; 0)), """")))/T47"),0.40119760479041916)</f>
        <v>0.4011976048</v>
      </c>
      <c r="V47" s="60">
        <v>300.0</v>
      </c>
      <c r="W47" s="60">
        <f t="shared" si="3"/>
        <v>12825</v>
      </c>
    </row>
    <row r="48" ht="22.5" customHeight="1">
      <c r="A48" s="61" t="str">
        <f t="shared" si="2"/>
        <v>R-TP-UNKNOWN-X-12 x 6 x 15</v>
      </c>
      <c r="B48" s="34" t="s">
        <v>279</v>
      </c>
      <c r="C48" s="34" t="s">
        <v>127</v>
      </c>
      <c r="D48" s="37" t="s">
        <v>149</v>
      </c>
      <c r="E48" s="38" t="s">
        <v>285</v>
      </c>
      <c r="F48" s="49" t="s">
        <v>36</v>
      </c>
      <c r="G48" s="34" t="s">
        <v>281</v>
      </c>
      <c r="H48" s="52" t="s">
        <v>41</v>
      </c>
      <c r="I48" s="34" t="s">
        <v>152</v>
      </c>
      <c r="J48" s="62"/>
      <c r="K48" s="62"/>
      <c r="L48" s="63"/>
      <c r="M48" s="64">
        <v>500.0</v>
      </c>
      <c r="N48" s="64">
        <v>500.0</v>
      </c>
      <c r="O48" s="64">
        <v>6500.0</v>
      </c>
      <c r="P48" s="62">
        <v>500.0</v>
      </c>
      <c r="Q48" s="62">
        <v>500.0</v>
      </c>
      <c r="R48" s="63"/>
      <c r="S48" s="58">
        <v>0.67</v>
      </c>
      <c r="T48" s="59">
        <f>IFERROR(__xludf.DUMMYFUNCTION("((IFERROR(MIN(FILTER({L48, O48, R48}, ISNUMBER({L48, O48, R48}), {L48, O48, R48} &gt; 0)), """"))*S48)+IFERROR(MIN(FILTER({L48, O48, R48}, ISNUMBER({L48, O48, R48}), {L48, O48, R48} &gt; 0)), """")"),10855.0)</f>
        <v>10855</v>
      </c>
      <c r="U48" s="53">
        <f>IFERROR(__xludf.DUMMYFUNCTION("(T48-(IFERROR(MIN(FILTER({L48, O48, R48}, ISNUMBER({L48, O48, R48}), {L48, O48, R48} &gt; 0)), """")))/T48"),0.40119760479041916)</f>
        <v>0.4011976048</v>
      </c>
      <c r="V48" s="60">
        <v>300.0</v>
      </c>
      <c r="W48" s="60">
        <f t="shared" si="3"/>
        <v>11155</v>
      </c>
    </row>
    <row r="49" ht="22.5" customHeight="1">
      <c r="A49" s="61" t="str">
        <f t="shared" si="2"/>
        <v>R-TP-UNKNOWN-X-30 x 7 x 25</v>
      </c>
      <c r="B49" s="34" t="s">
        <v>288</v>
      </c>
      <c r="C49" s="34" t="s">
        <v>127</v>
      </c>
      <c r="D49" s="37" t="s">
        <v>289</v>
      </c>
      <c r="E49" s="38" t="s">
        <v>290</v>
      </c>
      <c r="F49" s="49" t="s">
        <v>36</v>
      </c>
      <c r="G49" s="34" t="s">
        <v>116</v>
      </c>
      <c r="H49" s="52" t="s">
        <v>41</v>
      </c>
      <c r="I49" s="34" t="s">
        <v>291</v>
      </c>
      <c r="J49" s="62"/>
      <c r="K49" s="62"/>
      <c r="L49" s="63"/>
      <c r="M49" s="64">
        <v>500.0</v>
      </c>
      <c r="N49" s="64">
        <v>500.0</v>
      </c>
      <c r="O49" s="64">
        <v>12500.0</v>
      </c>
      <c r="P49" s="62">
        <v>500.0</v>
      </c>
      <c r="Q49" s="62">
        <v>500.0</v>
      </c>
      <c r="R49" s="63"/>
      <c r="S49" s="58">
        <v>0.67</v>
      </c>
      <c r="T49" s="59">
        <f>IFERROR(__xludf.DUMMYFUNCTION("((IFERROR(MIN(FILTER({L49, O49, R49}, ISNUMBER({L49, O49, R49}), {L49, O49, R49} &gt; 0)), """"))*S49)+IFERROR(MIN(FILTER({L49, O49, R49}, ISNUMBER({L49, O49, R49}), {L49, O49, R49} &gt; 0)), """")"),20875.0)</f>
        <v>20875</v>
      </c>
      <c r="U49" s="53">
        <f>IFERROR(__xludf.DUMMYFUNCTION("(T49-(IFERROR(MIN(FILTER({L49, O49, R49}, ISNUMBER({L49, O49, R49}), {L49, O49, R49} &gt; 0)), """")))/T49"),0.40119760479041916)</f>
        <v>0.4011976048</v>
      </c>
      <c r="V49" s="60">
        <v>300.0</v>
      </c>
      <c r="W49" s="60">
        <f t="shared" si="3"/>
        <v>21175</v>
      </c>
    </row>
    <row r="50" ht="22.5" customHeight="1">
      <c r="A50" s="61" t="str">
        <f t="shared" si="2"/>
        <v>R-TP-UNKNOWN-X-30 x 7 x 25</v>
      </c>
      <c r="B50" s="34" t="s">
        <v>288</v>
      </c>
      <c r="C50" s="34" t="s">
        <v>127</v>
      </c>
      <c r="D50" s="37" t="s">
        <v>289</v>
      </c>
      <c r="E50" s="38" t="s">
        <v>290</v>
      </c>
      <c r="F50" s="49" t="s">
        <v>36</v>
      </c>
      <c r="G50" s="34" t="s">
        <v>116</v>
      </c>
      <c r="H50" s="52" t="s">
        <v>41</v>
      </c>
      <c r="I50" s="34" t="s">
        <v>291</v>
      </c>
      <c r="J50" s="62"/>
      <c r="K50" s="62"/>
      <c r="L50" s="63"/>
      <c r="M50" s="64">
        <v>1000.0</v>
      </c>
      <c r="N50" s="64">
        <v>1000.0</v>
      </c>
      <c r="O50" s="64">
        <v>10300.0</v>
      </c>
      <c r="P50" s="62">
        <v>1000.0</v>
      </c>
      <c r="Q50" s="62">
        <v>1000.0</v>
      </c>
      <c r="R50" s="63"/>
      <c r="S50" s="58">
        <v>0.67</v>
      </c>
      <c r="T50" s="59">
        <f>IFERROR(__xludf.DUMMYFUNCTION("((IFERROR(MIN(FILTER({L50, O50, R50}, ISNUMBER({L50, O50, R50}), {L50, O50, R50} &gt; 0)), """"))*S50)+IFERROR(MIN(FILTER({L50, O50, R50}, ISNUMBER({L50, O50, R50}), {L50, O50, R50} &gt; 0)), """")"),17201.0)</f>
        <v>17201</v>
      </c>
      <c r="U50" s="53">
        <f>IFERROR(__xludf.DUMMYFUNCTION("(T50-(IFERROR(MIN(FILTER({L50, O50, R50}, ISNUMBER({L50, O50, R50}), {L50, O50, R50} &gt; 0)), """")))/T50"),0.40119760479041916)</f>
        <v>0.4011976048</v>
      </c>
      <c r="V50" s="60">
        <v>300.0</v>
      </c>
      <c r="W50" s="60">
        <f t="shared" si="3"/>
        <v>17501</v>
      </c>
    </row>
    <row r="51" ht="22.5" customHeight="1">
      <c r="A51" s="61" t="str">
        <f t="shared" si="2"/>
        <v>R-TP-UNKNOWN-X-30 x 7 x 25</v>
      </c>
      <c r="B51" s="34" t="s">
        <v>288</v>
      </c>
      <c r="C51" s="34" t="s">
        <v>127</v>
      </c>
      <c r="D51" s="37" t="s">
        <v>289</v>
      </c>
      <c r="E51" s="38" t="s">
        <v>290</v>
      </c>
      <c r="F51" s="49" t="s">
        <v>36</v>
      </c>
      <c r="G51" s="34" t="s">
        <v>116</v>
      </c>
      <c r="H51" s="52" t="s">
        <v>41</v>
      </c>
      <c r="I51" s="34" t="s">
        <v>291</v>
      </c>
      <c r="J51" s="62"/>
      <c r="K51" s="62"/>
      <c r="L51" s="63"/>
      <c r="M51" s="64">
        <v>2000.0</v>
      </c>
      <c r="N51" s="64">
        <v>2000.0</v>
      </c>
      <c r="O51" s="64">
        <v>8500.0</v>
      </c>
      <c r="P51" s="62">
        <v>2000.0</v>
      </c>
      <c r="Q51" s="62">
        <v>2000.0</v>
      </c>
      <c r="R51" s="63"/>
      <c r="S51" s="58">
        <v>0.67</v>
      </c>
      <c r="T51" s="59">
        <f>IFERROR(__xludf.DUMMYFUNCTION("((IFERROR(MIN(FILTER({L51, O51, R51}, ISNUMBER({L51, O51, R51}), {L51, O51, R51} &gt; 0)), """"))*S51)+IFERROR(MIN(FILTER({L51, O51, R51}, ISNUMBER({L51, O51, R51}), {L51, O51, R51} &gt; 0)), """")"),14195.0)</f>
        <v>14195</v>
      </c>
      <c r="U51" s="53">
        <f>IFERROR(__xludf.DUMMYFUNCTION("(T51-(IFERROR(MIN(FILTER({L51, O51, R51}, ISNUMBER({L51, O51, R51}), {L51, O51, R51} &gt; 0)), """")))/T51"),0.40119760479041916)</f>
        <v>0.4011976048</v>
      </c>
      <c r="V51" s="60">
        <v>300.0</v>
      </c>
      <c r="W51" s="60">
        <f t="shared" si="3"/>
        <v>14495</v>
      </c>
    </row>
    <row r="52" ht="22.5" customHeight="1">
      <c r="A52" s="61" t="str">
        <f t="shared" si="2"/>
        <v>R-TP-UNKNOWN-X-12 x 5 x 19</v>
      </c>
      <c r="B52" s="34" t="s">
        <v>295</v>
      </c>
      <c r="C52" s="34" t="s">
        <v>127</v>
      </c>
      <c r="D52" s="37" t="s">
        <v>72</v>
      </c>
      <c r="E52" s="38" t="s">
        <v>296</v>
      </c>
      <c r="F52" s="49" t="s">
        <v>55</v>
      </c>
      <c r="G52" s="34" t="s">
        <v>297</v>
      </c>
      <c r="H52" s="52" t="s">
        <v>41</v>
      </c>
      <c r="I52" s="34" t="s">
        <v>44</v>
      </c>
      <c r="J52" s="62"/>
      <c r="K52" s="62"/>
      <c r="L52" s="63"/>
      <c r="M52" s="64">
        <v>1000.0</v>
      </c>
      <c r="N52" s="64">
        <v>1000.0</v>
      </c>
      <c r="O52" s="64">
        <v>2900.0</v>
      </c>
      <c r="P52" s="62">
        <v>1000.0</v>
      </c>
      <c r="Q52" s="62">
        <v>1000.0</v>
      </c>
      <c r="R52" s="63"/>
      <c r="S52" s="58">
        <v>0.67</v>
      </c>
      <c r="T52" s="59">
        <f>IFERROR(__xludf.DUMMYFUNCTION("((IFERROR(MIN(FILTER({L52, O52, R52}, ISNUMBER({L52, O52, R52}), {L52, O52, R52} &gt; 0)), """"))*S52)+IFERROR(MIN(FILTER({L52, O52, R52}, ISNUMBER({L52, O52, R52}), {L52, O52, R52} &gt; 0)), """")"),4843.0)</f>
        <v>4843</v>
      </c>
      <c r="U52" s="53">
        <f>IFERROR(__xludf.DUMMYFUNCTION("(T52-(IFERROR(MIN(FILTER({L52, O52, R52}, ISNUMBER({L52, O52, R52}), {L52, O52, R52} &gt; 0)), """")))/T52"),0.40119760479041916)</f>
        <v>0.4011976048</v>
      </c>
      <c r="V52" s="60">
        <v>300.0</v>
      </c>
      <c r="W52" s="60">
        <f t="shared" si="3"/>
        <v>5143</v>
      </c>
    </row>
    <row r="53" ht="22.5" customHeight="1">
      <c r="A53" s="61" t="str">
        <f t="shared" si="2"/>
        <v>R-TP-UNKNOWN-X-25 x 13 x 29</v>
      </c>
      <c r="B53" s="34" t="s">
        <v>299</v>
      </c>
      <c r="C53" s="34" t="s">
        <v>127</v>
      </c>
      <c r="D53" s="37" t="s">
        <v>149</v>
      </c>
      <c r="E53" s="38" t="s">
        <v>300</v>
      </c>
      <c r="F53" s="49" t="s">
        <v>36</v>
      </c>
      <c r="G53" s="34" t="s">
        <v>301</v>
      </c>
      <c r="H53" s="52" t="s">
        <v>41</v>
      </c>
      <c r="I53" s="34" t="s">
        <v>152</v>
      </c>
      <c r="J53" s="62"/>
      <c r="K53" s="62"/>
      <c r="L53" s="63"/>
      <c r="M53" s="64">
        <v>5000.0</v>
      </c>
      <c r="N53" s="64">
        <v>5000.0</v>
      </c>
      <c r="O53" s="64">
        <v>5800.0</v>
      </c>
      <c r="P53" s="62">
        <v>5000.0</v>
      </c>
      <c r="Q53" s="62">
        <v>5000.0</v>
      </c>
      <c r="R53" s="63"/>
      <c r="S53" s="58">
        <v>0.67</v>
      </c>
      <c r="T53" s="59">
        <f>IFERROR(__xludf.DUMMYFUNCTION("((IFERROR(MIN(FILTER({L53, O53, R53}, ISNUMBER({L53, O53, R53}), {L53, O53, R53} &gt; 0)), """"))*S53)+IFERROR(MIN(FILTER({L53, O53, R53}, ISNUMBER({L53, O53, R53}), {L53, O53, R53} &gt; 0)), """")"),9686.0)</f>
        <v>9686</v>
      </c>
      <c r="U53" s="53">
        <f>IFERROR(__xludf.DUMMYFUNCTION("(T53-(IFERROR(MIN(FILTER({L53, O53, R53}, ISNUMBER({L53, O53, R53}), {L53, O53, R53} &gt; 0)), """")))/T53"),0.40119760479041916)</f>
        <v>0.4011976048</v>
      </c>
      <c r="V53" s="60">
        <v>300.0</v>
      </c>
      <c r="W53" s="60">
        <f t="shared" si="3"/>
        <v>9986</v>
      </c>
    </row>
    <row r="54" ht="22.5" customHeight="1">
      <c r="A54" s="61" t="str">
        <f t="shared" si="2"/>
        <v>R-TP-UNKNOWN-X-25 x 13 x 29</v>
      </c>
      <c r="B54" s="34" t="s">
        <v>299</v>
      </c>
      <c r="C54" s="34" t="s">
        <v>127</v>
      </c>
      <c r="D54" s="37" t="s">
        <v>149</v>
      </c>
      <c r="E54" s="38" t="s">
        <v>300</v>
      </c>
      <c r="F54" s="49" t="s">
        <v>36</v>
      </c>
      <c r="G54" s="34" t="s">
        <v>301</v>
      </c>
      <c r="H54" s="52" t="s">
        <v>41</v>
      </c>
      <c r="I54" s="34" t="s">
        <v>152</v>
      </c>
      <c r="J54" s="62"/>
      <c r="K54" s="62"/>
      <c r="L54" s="63"/>
      <c r="M54" s="64">
        <v>10000.0</v>
      </c>
      <c r="N54" s="64">
        <v>10000.0</v>
      </c>
      <c r="O54" s="64">
        <v>5400.0</v>
      </c>
      <c r="P54" s="62">
        <v>10000.0</v>
      </c>
      <c r="Q54" s="62">
        <v>10000.0</v>
      </c>
      <c r="R54" s="63"/>
      <c r="S54" s="58">
        <v>0.67</v>
      </c>
      <c r="T54" s="59">
        <f>IFERROR(__xludf.DUMMYFUNCTION("((IFERROR(MIN(FILTER({L54, O54, R54}, ISNUMBER({L54, O54, R54}), {L54, O54, R54} &gt; 0)), """"))*S54)+IFERROR(MIN(FILTER({L54, O54, R54}, ISNUMBER({L54, O54, R54}), {L54, O54, R54} &gt; 0)), """")"),9018.0)</f>
        <v>9018</v>
      </c>
      <c r="U54" s="53">
        <f>IFERROR(__xludf.DUMMYFUNCTION("(T54-(IFERROR(MIN(FILTER({L54, O54, R54}, ISNUMBER({L54, O54, R54}), {L54, O54, R54} &gt; 0)), """")))/T54"),0.40119760479041916)</f>
        <v>0.4011976048</v>
      </c>
      <c r="V54" s="60">
        <v>300.0</v>
      </c>
      <c r="W54" s="60"/>
    </row>
    <row r="55" ht="22.5" customHeight="1">
      <c r="A55" s="61" t="str">
        <f t="shared" si="2"/>
        <v>R-TP-UNKNOWN-X-25 x 13 x 29</v>
      </c>
      <c r="B55" s="34" t="s">
        <v>299</v>
      </c>
      <c r="C55" s="34" t="s">
        <v>127</v>
      </c>
      <c r="D55" s="37" t="s">
        <v>149</v>
      </c>
      <c r="E55" s="38" t="s">
        <v>300</v>
      </c>
      <c r="F55" s="49" t="s">
        <v>36</v>
      </c>
      <c r="G55" s="34" t="s">
        <v>304</v>
      </c>
      <c r="H55" s="52" t="s">
        <v>41</v>
      </c>
      <c r="I55" s="34" t="s">
        <v>152</v>
      </c>
      <c r="J55" s="62"/>
      <c r="K55" s="62"/>
      <c r="L55" s="63"/>
      <c r="M55" s="64">
        <v>5000.0</v>
      </c>
      <c r="N55" s="64">
        <v>5000.0</v>
      </c>
      <c r="O55" s="64">
        <v>5000.0</v>
      </c>
      <c r="P55" s="62">
        <v>5000.0</v>
      </c>
      <c r="Q55" s="62">
        <v>5000.0</v>
      </c>
      <c r="R55" s="63"/>
      <c r="S55" s="58">
        <v>0.67</v>
      </c>
      <c r="T55" s="59">
        <f>IFERROR(__xludf.DUMMYFUNCTION("((IFERROR(MIN(FILTER({L55, O55, R55}, ISNUMBER({L55, O55, R55}), {L55, O55, R55} &gt; 0)), """"))*S55)+IFERROR(MIN(FILTER({L55, O55, R55}, ISNUMBER({L55, O55, R55}), {L55, O55, R55} &gt; 0)), """")"),8350.0)</f>
        <v>8350</v>
      </c>
      <c r="U55" s="53">
        <f>IFERROR(__xludf.DUMMYFUNCTION("(T55-(IFERROR(MIN(FILTER({L55, O55, R55}, ISNUMBER({L55, O55, R55}), {L55, O55, R55} &gt; 0)), """")))/T55"),0.40119760479041916)</f>
        <v>0.4011976048</v>
      </c>
      <c r="V55" s="60">
        <v>300.0</v>
      </c>
      <c r="W55" s="60"/>
    </row>
    <row r="56" ht="22.5" customHeight="1">
      <c r="A56" s="61" t="str">
        <f t="shared" si="2"/>
        <v>R-TP-UNKNOWN-X-25 x 13 x 29</v>
      </c>
      <c r="B56" s="34" t="s">
        <v>299</v>
      </c>
      <c r="C56" s="34" t="s">
        <v>127</v>
      </c>
      <c r="D56" s="37" t="s">
        <v>149</v>
      </c>
      <c r="E56" s="38" t="s">
        <v>300</v>
      </c>
      <c r="F56" s="49" t="s">
        <v>36</v>
      </c>
      <c r="G56" s="34" t="s">
        <v>304</v>
      </c>
      <c r="H56" s="52" t="s">
        <v>41</v>
      </c>
      <c r="I56" s="34" t="s">
        <v>152</v>
      </c>
      <c r="J56" s="62"/>
      <c r="K56" s="62"/>
      <c r="L56" s="63"/>
      <c r="M56" s="64">
        <v>10000.0</v>
      </c>
      <c r="N56" s="64">
        <v>10000.0</v>
      </c>
      <c r="O56" s="64">
        <v>5600.0</v>
      </c>
      <c r="P56" s="62">
        <v>10000.0</v>
      </c>
      <c r="Q56" s="62">
        <v>10000.0</v>
      </c>
      <c r="R56" s="63"/>
      <c r="S56" s="58">
        <v>0.67</v>
      </c>
      <c r="T56" s="59">
        <f>IFERROR(__xludf.DUMMYFUNCTION("((IFERROR(MIN(FILTER({L56, O56, R56}, ISNUMBER({L56, O56, R56}), {L56, O56, R56} &gt; 0)), """"))*S56)+IFERROR(MIN(FILTER({L56, O56, R56}, ISNUMBER({L56, O56, R56}), {L56, O56, R56} &gt; 0)), """")"),9352.0)</f>
        <v>9352</v>
      </c>
      <c r="U56" s="53">
        <f>IFERROR(__xludf.DUMMYFUNCTION("(T56-(IFERROR(MIN(FILTER({L56, O56, R56}, ISNUMBER({L56, O56, R56}), {L56, O56, R56} &gt; 0)), """")))/T56"),0.40119760479041916)</f>
        <v>0.4011976048</v>
      </c>
      <c r="V56" s="60">
        <v>300.0</v>
      </c>
      <c r="W56" s="60"/>
    </row>
    <row r="57" ht="22.5" customHeight="1">
      <c r="A57" s="61" t="str">
        <f t="shared" si="2"/>
        <v>R-TP-UNKNOWN-X-23,5 x 11,5 x 27,3</v>
      </c>
      <c r="B57" s="34" t="s">
        <v>305</v>
      </c>
      <c r="C57" s="34" t="s">
        <v>127</v>
      </c>
      <c r="D57" s="37" t="s">
        <v>149</v>
      </c>
      <c r="E57" s="38" t="s">
        <v>306</v>
      </c>
      <c r="F57" s="49" t="s">
        <v>55</v>
      </c>
      <c r="G57" s="34" t="s">
        <v>74</v>
      </c>
      <c r="H57" s="52" t="s">
        <v>41</v>
      </c>
      <c r="I57" s="34" t="s">
        <v>152</v>
      </c>
      <c r="J57" s="62"/>
      <c r="K57" s="62"/>
      <c r="L57" s="63"/>
      <c r="M57" s="64">
        <v>2000.0</v>
      </c>
      <c r="N57" s="64">
        <v>2000.0</v>
      </c>
      <c r="O57" s="64">
        <v>5700.0</v>
      </c>
      <c r="P57" s="62">
        <v>2000.0</v>
      </c>
      <c r="Q57" s="62">
        <v>2000.0</v>
      </c>
      <c r="R57" s="63"/>
      <c r="S57" s="58">
        <v>0.67</v>
      </c>
      <c r="T57" s="59">
        <f>IFERROR(__xludf.DUMMYFUNCTION("((IFERROR(MIN(FILTER({L57, O57, R57}, ISNUMBER({L57, O57, R57}), {L57, O57, R57} &gt; 0)), """"))*S57)+IFERROR(MIN(FILTER({L57, O57, R57}, ISNUMBER({L57, O57, R57}), {L57, O57, R57} &gt; 0)), """")"),9519.0)</f>
        <v>9519</v>
      </c>
      <c r="U57" s="53">
        <f>IFERROR(__xludf.DUMMYFUNCTION("(T57-(IFERROR(MIN(FILTER({L57, O57, R57}, ISNUMBER({L57, O57, R57}), {L57, O57, R57} &gt; 0)), """")))/T57"),0.40119760479041916)</f>
        <v>0.4011976048</v>
      </c>
      <c r="V57" s="60">
        <v>300.0</v>
      </c>
      <c r="W57" s="60"/>
    </row>
    <row r="58" ht="22.5" customHeight="1">
      <c r="A58" s="61" t="str">
        <f t="shared" si="2"/>
        <v>R-TP-UNKNOWN-X-23,5 x 11,5 x 27,3</v>
      </c>
      <c r="B58" s="34" t="s">
        <v>305</v>
      </c>
      <c r="C58" s="34" t="s">
        <v>127</v>
      </c>
      <c r="D58" s="37" t="s">
        <v>149</v>
      </c>
      <c r="E58" s="38" t="s">
        <v>306</v>
      </c>
      <c r="F58" s="49" t="s">
        <v>55</v>
      </c>
      <c r="G58" s="34" t="s">
        <v>74</v>
      </c>
      <c r="H58" s="52" t="s">
        <v>41</v>
      </c>
      <c r="I58" s="34" t="s">
        <v>152</v>
      </c>
      <c r="J58" s="62"/>
      <c r="K58" s="62"/>
      <c r="L58" s="63"/>
      <c r="M58" s="64">
        <v>5000.0</v>
      </c>
      <c r="N58" s="64">
        <v>5000.0</v>
      </c>
      <c r="O58" s="64">
        <v>5200.0</v>
      </c>
      <c r="P58" s="62">
        <v>5000.0</v>
      </c>
      <c r="Q58" s="62">
        <v>5000.0</v>
      </c>
      <c r="R58" s="63"/>
      <c r="S58" s="58">
        <v>0.67</v>
      </c>
      <c r="T58" s="59">
        <f>IFERROR(__xludf.DUMMYFUNCTION("((IFERROR(MIN(FILTER({L58, O58, R58}, ISNUMBER({L58, O58, R58}), {L58, O58, R58} &gt; 0)), """"))*S58)+IFERROR(MIN(FILTER({L58, O58, R58}, ISNUMBER({L58, O58, R58}), {L58, O58, R58} &gt; 0)), """")"),8684.0)</f>
        <v>8684</v>
      </c>
      <c r="U58" s="53">
        <f>IFERROR(__xludf.DUMMYFUNCTION("(T58-(IFERROR(MIN(FILTER({L58, O58, R58}, ISNUMBER({L58, O58, R58}), {L58, O58, R58} &gt; 0)), """")))/T58"),0.40119760479041916)</f>
        <v>0.4011976048</v>
      </c>
      <c r="V58" s="60">
        <v>300.0</v>
      </c>
      <c r="W58" s="60"/>
    </row>
    <row r="59" ht="22.5" customHeight="1">
      <c r="A59" s="61" t="str">
        <f t="shared" si="2"/>
        <v>R-TP-UNKNOWN-X-30 x 20 x 30</v>
      </c>
      <c r="B59" s="34" t="s">
        <v>307</v>
      </c>
      <c r="C59" s="34" t="s">
        <v>127</v>
      </c>
      <c r="D59" s="37" t="s">
        <v>175</v>
      </c>
      <c r="E59" s="38" t="s">
        <v>308</v>
      </c>
      <c r="F59" s="49" t="s">
        <v>55</v>
      </c>
      <c r="G59" s="34" t="s">
        <v>58</v>
      </c>
      <c r="H59" s="52" t="s">
        <v>41</v>
      </c>
      <c r="I59" s="34" t="s">
        <v>152</v>
      </c>
      <c r="J59" s="62"/>
      <c r="K59" s="62"/>
      <c r="L59" s="63"/>
      <c r="M59" s="64">
        <v>1000.0</v>
      </c>
      <c r="N59" s="64">
        <v>1000.0</v>
      </c>
      <c r="O59" s="64">
        <v>5200.0</v>
      </c>
      <c r="P59" s="62">
        <v>1000.0</v>
      </c>
      <c r="Q59" s="62">
        <v>1000.0</v>
      </c>
      <c r="R59" s="63"/>
      <c r="S59" s="58">
        <v>0.67</v>
      </c>
      <c r="T59" s="59">
        <f>IFERROR(__xludf.DUMMYFUNCTION("((IFERROR(MIN(FILTER({L59, O59, R59}, ISNUMBER({L59, O59, R59}), {L59, O59, R59} &gt; 0)), """"))*S59)+IFERROR(MIN(FILTER({L59, O59, R59}, ISNUMBER({L59, O59, R59}), {L59, O59, R59} &gt; 0)), """")"),8684.0)</f>
        <v>8684</v>
      </c>
      <c r="U59" s="53">
        <f>IFERROR(__xludf.DUMMYFUNCTION("(T59-(IFERROR(MIN(FILTER({L59, O59, R59}, ISNUMBER({L59, O59, R59}), {L59, O59, R59} &gt; 0)), """")))/T59"),0.40119760479041916)</f>
        <v>0.4011976048</v>
      </c>
      <c r="V59" s="60">
        <v>300.0</v>
      </c>
      <c r="W59" s="60"/>
    </row>
    <row r="60" ht="22.5" customHeight="1">
      <c r="A60" s="61" t="str">
        <f t="shared" si="2"/>
        <v>R-TP-UNKNOWN-X-24 x 12 x 28</v>
      </c>
      <c r="B60" s="34" t="s">
        <v>309</v>
      </c>
      <c r="C60" s="34" t="s">
        <v>127</v>
      </c>
      <c r="D60" s="37" t="s">
        <v>149</v>
      </c>
      <c r="E60" s="38" t="s">
        <v>310</v>
      </c>
      <c r="F60" s="49" t="s">
        <v>36</v>
      </c>
      <c r="G60" s="34" t="s">
        <v>311</v>
      </c>
      <c r="H60" s="52" t="s">
        <v>41</v>
      </c>
      <c r="I60" s="34" t="s">
        <v>312</v>
      </c>
      <c r="J60" s="62"/>
      <c r="K60" s="62"/>
      <c r="L60" s="63"/>
      <c r="M60" s="64">
        <v>500.0</v>
      </c>
      <c r="N60" s="64">
        <v>500.0</v>
      </c>
      <c r="O60" s="59"/>
      <c r="P60" s="62">
        <v>500.0</v>
      </c>
      <c r="Q60" s="62">
        <v>500.0</v>
      </c>
      <c r="R60" s="62">
        <v>12265.0</v>
      </c>
      <c r="S60" s="58">
        <v>0.67</v>
      </c>
      <c r="T60" s="59">
        <f>IFERROR(__xludf.DUMMYFUNCTION("((IFERROR(MIN(FILTER({L60, O60, R60}, ISNUMBER({L60, O60, R60}), {L60, O60, R60} &gt; 0)), """"))*S60)+IFERROR(MIN(FILTER({L60, O60, R60}, ISNUMBER({L60, O60, R60}), {L60, O60, R60} &gt; 0)), """")"),20482.550000000003)</f>
        <v>20482.55</v>
      </c>
      <c r="U60" s="53">
        <f>IFERROR(__xludf.DUMMYFUNCTION("(T60-(IFERROR(MIN(FILTER({L60, O60, R60}, ISNUMBER({L60, O60, R60}), {L60, O60, R60} &gt; 0)), """")))/T60"),0.40119760479041927)</f>
        <v>0.4011976048</v>
      </c>
      <c r="V60" s="60">
        <v>300.0</v>
      </c>
      <c r="W60" s="60"/>
    </row>
    <row r="61" ht="22.5" customHeight="1">
      <c r="A61" s="61" t="str">
        <f t="shared" si="2"/>
        <v>R-TP-UNKNOWN-X-24 x 12 x 28</v>
      </c>
      <c r="B61" s="34" t="s">
        <v>309</v>
      </c>
      <c r="C61" s="34" t="s">
        <v>127</v>
      </c>
      <c r="D61" s="37" t="s">
        <v>149</v>
      </c>
      <c r="E61" s="38" t="s">
        <v>310</v>
      </c>
      <c r="F61" s="49" t="s">
        <v>36</v>
      </c>
      <c r="G61" s="34" t="s">
        <v>311</v>
      </c>
      <c r="H61" s="52" t="s">
        <v>41</v>
      </c>
      <c r="I61" s="34" t="s">
        <v>312</v>
      </c>
      <c r="J61" s="62"/>
      <c r="K61" s="62"/>
      <c r="L61" s="63"/>
      <c r="M61" s="64">
        <v>1000.0</v>
      </c>
      <c r="N61" s="64">
        <v>1000.0</v>
      </c>
      <c r="O61" s="59"/>
      <c r="P61" s="62">
        <v>1000.0</v>
      </c>
      <c r="Q61" s="62">
        <v>1000.0</v>
      </c>
      <c r="R61" s="62">
        <v>8178.0</v>
      </c>
      <c r="S61" s="58">
        <v>0.67</v>
      </c>
      <c r="T61" s="59">
        <f>IFERROR(__xludf.DUMMYFUNCTION("((IFERROR(MIN(FILTER({L61, O61, R61}, ISNUMBER({L61, O61, R61}), {L61, O61, R61} &gt; 0)), """"))*S61)+IFERROR(MIN(FILTER({L61, O61, R61}, ISNUMBER({L61, O61, R61}), {L61, O61, R61} &gt; 0)), """")"),13657.26)</f>
        <v>13657.26</v>
      </c>
      <c r="U61" s="53">
        <f>IFERROR(__xludf.DUMMYFUNCTION("(T61-(IFERROR(MIN(FILTER({L61, O61, R61}, ISNUMBER({L61, O61, R61}), {L61, O61, R61} &gt; 0)), """")))/T61"),0.40119760479041916)</f>
        <v>0.4011976048</v>
      </c>
      <c r="V61" s="60">
        <v>300.0</v>
      </c>
      <c r="W61" s="60"/>
    </row>
    <row r="62" ht="22.5" customHeight="1">
      <c r="A62" s="61" t="str">
        <f t="shared" si="2"/>
        <v>R-TP-UNKNOWN-X-17 x 7 x 25</v>
      </c>
      <c r="B62" s="34" t="s">
        <v>316</v>
      </c>
      <c r="C62" s="34" t="s">
        <v>127</v>
      </c>
      <c r="D62" s="37" t="s">
        <v>149</v>
      </c>
      <c r="E62" s="38" t="s">
        <v>317</v>
      </c>
      <c r="F62" s="49" t="s">
        <v>55</v>
      </c>
      <c r="G62" s="34" t="s">
        <v>318</v>
      </c>
      <c r="H62" s="52" t="s">
        <v>41</v>
      </c>
      <c r="I62" s="34" t="s">
        <v>152</v>
      </c>
      <c r="J62" s="62"/>
      <c r="K62" s="62"/>
      <c r="L62" s="63"/>
      <c r="M62" s="64">
        <v>2000.0</v>
      </c>
      <c r="N62" s="64">
        <v>2000.0</v>
      </c>
      <c r="O62" s="59"/>
      <c r="P62" s="62">
        <v>2000.0</v>
      </c>
      <c r="Q62" s="62">
        <v>2000.0</v>
      </c>
      <c r="R62" s="62">
        <v>4595.0</v>
      </c>
      <c r="S62" s="58">
        <v>0.67</v>
      </c>
      <c r="T62" s="59">
        <f>IFERROR(__xludf.DUMMYFUNCTION("((IFERROR(MIN(FILTER({L62, O62, R62}, ISNUMBER({L62, O62, R62}), {L62, O62, R62} &gt; 0)), """"))*S62)+IFERROR(MIN(FILTER({L62, O62, R62}, ISNUMBER({L62, O62, R62}), {L62, O62, R62} &gt; 0)), """")"),7673.65)</f>
        <v>7673.65</v>
      </c>
      <c r="U62" s="53">
        <f>IFERROR(__xludf.DUMMYFUNCTION("(T62-(IFERROR(MIN(FILTER({L62, O62, R62}, ISNUMBER({L62, O62, R62}), {L62, O62, R62} &gt; 0)), """")))/T62"),0.40119760479041916)</f>
        <v>0.4011976048</v>
      </c>
      <c r="V62" s="60">
        <v>300.0</v>
      </c>
      <c r="W62" s="60"/>
    </row>
    <row r="63" ht="22.5" customHeight="1">
      <c r="A63" s="61" t="str">
        <f t="shared" si="2"/>
        <v>R-TP-UNKNOWN-X-17 x 7 x 25</v>
      </c>
      <c r="B63" s="34" t="s">
        <v>316</v>
      </c>
      <c r="C63" s="34" t="s">
        <v>127</v>
      </c>
      <c r="D63" s="37" t="s">
        <v>149</v>
      </c>
      <c r="E63" s="38" t="s">
        <v>317</v>
      </c>
      <c r="F63" s="49" t="s">
        <v>55</v>
      </c>
      <c r="G63" s="34" t="s">
        <v>318</v>
      </c>
      <c r="H63" s="52" t="s">
        <v>41</v>
      </c>
      <c r="I63" s="34" t="s">
        <v>152</v>
      </c>
      <c r="J63" s="62"/>
      <c r="K63" s="62"/>
      <c r="L63" s="63"/>
      <c r="M63" s="64">
        <v>5000.0</v>
      </c>
      <c r="N63" s="64">
        <v>5000.0</v>
      </c>
      <c r="O63" s="59"/>
      <c r="P63" s="62">
        <v>5000.0</v>
      </c>
      <c r="Q63" s="62">
        <v>5000.0</v>
      </c>
      <c r="R63" s="62">
        <v>4076.0</v>
      </c>
      <c r="S63" s="58">
        <v>0.67</v>
      </c>
      <c r="T63" s="59">
        <f>IFERROR(__xludf.DUMMYFUNCTION("((IFERROR(MIN(FILTER({L63, O63, R63}, ISNUMBER({L63, O63, R63}), {L63, O63, R63} &gt; 0)), """"))*S63)+IFERROR(MIN(FILTER({L63, O63, R63}, ISNUMBER({L63, O63, R63}), {L63, O63, R63} &gt; 0)), """")"),6806.92)</f>
        <v>6806.92</v>
      </c>
      <c r="U63" s="53">
        <f>IFERROR(__xludf.DUMMYFUNCTION("(T63-(IFERROR(MIN(FILTER({L63, O63, R63}, ISNUMBER({L63, O63, R63}), {L63, O63, R63} &gt; 0)), """")))/T63"),0.40119760479041916)</f>
        <v>0.4011976048</v>
      </c>
      <c r="V63" s="60">
        <v>300.0</v>
      </c>
      <c r="W63" s="60"/>
    </row>
    <row r="64" ht="22.5" customHeight="1">
      <c r="A64" s="61" t="str">
        <f t="shared" si="2"/>
        <v>R-TP-UNKNOWN-X-17 x 7 x 25</v>
      </c>
      <c r="B64" s="34" t="s">
        <v>316</v>
      </c>
      <c r="C64" s="34" t="s">
        <v>127</v>
      </c>
      <c r="D64" s="37" t="s">
        <v>149</v>
      </c>
      <c r="E64" s="38" t="s">
        <v>317</v>
      </c>
      <c r="F64" s="49" t="s">
        <v>55</v>
      </c>
      <c r="G64" s="34" t="s">
        <v>318</v>
      </c>
      <c r="H64" s="52" t="s">
        <v>41</v>
      </c>
      <c r="I64" s="34" t="s">
        <v>152</v>
      </c>
      <c r="J64" s="62"/>
      <c r="K64" s="62"/>
      <c r="L64" s="63"/>
      <c r="M64" s="64">
        <v>10000.0</v>
      </c>
      <c r="N64" s="64">
        <v>10000.0</v>
      </c>
      <c r="O64" s="59"/>
      <c r="P64" s="62">
        <v>10000.0</v>
      </c>
      <c r="Q64" s="62">
        <v>10000.0</v>
      </c>
      <c r="R64" s="62">
        <v>3851.0</v>
      </c>
      <c r="S64" s="58">
        <v>0.67</v>
      </c>
      <c r="T64" s="59">
        <f>IFERROR(__xludf.DUMMYFUNCTION("((IFERROR(MIN(FILTER({L64, O64, R64}, ISNUMBER({L64, O64, R64}), {L64, O64, R64} &gt; 0)), """"))*S64)+IFERROR(MIN(FILTER({L64, O64, R64}, ISNUMBER({L64, O64, R64}), {L64, O64, R64} &gt; 0)), """")"),6431.17)</f>
        <v>6431.17</v>
      </c>
      <c r="U64" s="53">
        <f>IFERROR(__xludf.DUMMYFUNCTION("(T64-(IFERROR(MIN(FILTER({L64, O64, R64}, ISNUMBER({L64, O64, R64}), {L64, O64, R64} &gt; 0)), """")))/T64"),0.40119760479041916)</f>
        <v>0.4011976048</v>
      </c>
      <c r="V64" s="60">
        <v>300.0</v>
      </c>
      <c r="W64" s="60"/>
    </row>
    <row r="65" ht="22.5" customHeight="1">
      <c r="A65" s="61" t="str">
        <f t="shared" si="2"/>
        <v>R-TP-UNKNOWN-X-14 x 8 x 25</v>
      </c>
      <c r="B65" s="34" t="s">
        <v>332</v>
      </c>
      <c r="C65" s="34" t="s">
        <v>127</v>
      </c>
      <c r="D65" s="37" t="s">
        <v>333</v>
      </c>
      <c r="E65" s="38" t="s">
        <v>334</v>
      </c>
      <c r="F65" s="49" t="s">
        <v>63</v>
      </c>
      <c r="G65" s="34" t="s">
        <v>67</v>
      </c>
      <c r="H65" s="52" t="s">
        <v>41</v>
      </c>
      <c r="I65" s="34" t="s">
        <v>335</v>
      </c>
      <c r="J65" s="62"/>
      <c r="K65" s="62"/>
      <c r="L65" s="63"/>
      <c r="M65" s="64">
        <v>2000.0</v>
      </c>
      <c r="N65" s="64">
        <v>2000.0</v>
      </c>
      <c r="O65" s="64">
        <v>4800.0</v>
      </c>
      <c r="P65" s="62">
        <v>2000.0</v>
      </c>
      <c r="Q65" s="62">
        <v>2000.0</v>
      </c>
      <c r="R65" s="63"/>
      <c r="S65" s="58">
        <v>0.67</v>
      </c>
      <c r="T65" s="59">
        <f>IFERROR(__xludf.DUMMYFUNCTION("((IFERROR(MIN(FILTER({L65, O65, R65}, ISNUMBER({L65, O65, R65}), {L65, O65, R65} &gt; 0)), """"))*S65)+IFERROR(MIN(FILTER({L65, O65, R65}, ISNUMBER({L65, O65, R65}), {L65, O65, R65} &gt; 0)), """")"),8016.0)</f>
        <v>8016</v>
      </c>
      <c r="U65" s="53">
        <f>IFERROR(__xludf.DUMMYFUNCTION("(T65-(IFERROR(MIN(FILTER({L65, O65, R65}, ISNUMBER({L65, O65, R65}), {L65, O65, R65} &gt; 0)), """")))/T65"),0.40119760479041916)</f>
        <v>0.4011976048</v>
      </c>
      <c r="V65" s="60">
        <v>300.0</v>
      </c>
      <c r="W65" s="60"/>
    </row>
    <row r="66" ht="22.5" customHeight="1">
      <c r="A66" s="61" t="str">
        <f t="shared" si="2"/>
        <v>R-TP-UNKNOWN-X-14 x 8 x 25</v>
      </c>
      <c r="B66" s="34" t="s">
        <v>332</v>
      </c>
      <c r="C66" s="34" t="s">
        <v>127</v>
      </c>
      <c r="D66" s="37" t="s">
        <v>333</v>
      </c>
      <c r="E66" s="38" t="s">
        <v>334</v>
      </c>
      <c r="F66" s="49" t="s">
        <v>63</v>
      </c>
      <c r="G66" s="34" t="s">
        <v>67</v>
      </c>
      <c r="H66" s="52" t="s">
        <v>41</v>
      </c>
      <c r="I66" s="34" t="s">
        <v>335</v>
      </c>
      <c r="J66" s="62"/>
      <c r="K66" s="62"/>
      <c r="L66" s="63"/>
      <c r="M66" s="64">
        <v>5000.0</v>
      </c>
      <c r="N66" s="64">
        <v>5000.0</v>
      </c>
      <c r="O66" s="64">
        <v>4300.0</v>
      </c>
      <c r="P66" s="62">
        <v>5000.0</v>
      </c>
      <c r="Q66" s="62">
        <v>5000.0</v>
      </c>
      <c r="R66" s="63"/>
      <c r="S66" s="58">
        <v>0.67</v>
      </c>
      <c r="T66" s="59">
        <f>IFERROR(__xludf.DUMMYFUNCTION("((IFERROR(MIN(FILTER({L66, O66, R66}, ISNUMBER({L66, O66, R66}), {L66, O66, R66} &gt; 0)), """"))*S66)+IFERROR(MIN(FILTER({L66, O66, R66}, ISNUMBER({L66, O66, R66}), {L66, O66, R66} &gt; 0)), """")"),7181.0)</f>
        <v>7181</v>
      </c>
      <c r="U66" s="53">
        <f>IFERROR(__xludf.DUMMYFUNCTION("(T66-(IFERROR(MIN(FILTER({L66, O66, R66}, ISNUMBER({L66, O66, R66}), {L66, O66, R66} &gt; 0)), """")))/T66"),0.40119760479041916)</f>
        <v>0.4011976048</v>
      </c>
      <c r="V66" s="60">
        <v>300.0</v>
      </c>
      <c r="W66" s="60"/>
    </row>
    <row r="67" ht="22.5" customHeight="1">
      <c r="A67" s="61" t="str">
        <f t="shared" si="2"/>
        <v>R-TP-UNKNOWN-X-18 x 18 x 25</v>
      </c>
      <c r="B67" s="34" t="s">
        <v>344</v>
      </c>
      <c r="C67" s="34" t="s">
        <v>127</v>
      </c>
      <c r="D67" s="37" t="s">
        <v>345</v>
      </c>
      <c r="E67" s="38" t="s">
        <v>346</v>
      </c>
      <c r="F67" s="49" t="s">
        <v>55</v>
      </c>
      <c r="G67" s="34" t="s">
        <v>100</v>
      </c>
      <c r="H67" s="52" t="s">
        <v>41</v>
      </c>
      <c r="I67" s="34" t="s">
        <v>152</v>
      </c>
      <c r="J67" s="62"/>
      <c r="K67" s="62"/>
      <c r="L67" s="63"/>
      <c r="M67" s="64">
        <v>5000.0</v>
      </c>
      <c r="N67" s="64">
        <v>5000.0</v>
      </c>
      <c r="O67" s="59"/>
      <c r="P67" s="62">
        <v>5000.0</v>
      </c>
      <c r="Q67" s="62">
        <v>5000.0</v>
      </c>
      <c r="R67" s="62">
        <v>5084.0</v>
      </c>
      <c r="S67" s="58">
        <v>0.67</v>
      </c>
      <c r="T67" s="59">
        <f>IFERROR(__xludf.DUMMYFUNCTION("((IFERROR(MIN(FILTER({L67, O67, R67}, ISNUMBER({L67, O67, R67}), {L67, O67, R67} &gt; 0)), """"))*S67)+IFERROR(MIN(FILTER({L67, O67, R67}, ISNUMBER({L67, O67, R67}), {L67, O67, R67} &gt; 0)), """")"),8490.28)</f>
        <v>8490.28</v>
      </c>
      <c r="U67" s="53">
        <f>IFERROR(__xludf.DUMMYFUNCTION("(T67-(IFERROR(MIN(FILTER({L67, O67, R67}, ISNUMBER({L67, O67, R67}), {L67, O67, R67} &gt; 0)), """")))/T67"),0.4011976047904192)</f>
        <v>0.4011976048</v>
      </c>
      <c r="V67" s="60">
        <v>300.0</v>
      </c>
      <c r="W67" s="60"/>
    </row>
    <row r="68" ht="22.5" customHeight="1">
      <c r="A68" s="61" t="str">
        <f t="shared" si="2"/>
        <v>R-TP-UNKNOWN-X-27 x 27 x 27</v>
      </c>
      <c r="B68" s="34" t="s">
        <v>348</v>
      </c>
      <c r="C68" s="34" t="s">
        <v>127</v>
      </c>
      <c r="D68" s="37" t="s">
        <v>349</v>
      </c>
      <c r="E68" s="38" t="s">
        <v>350</v>
      </c>
      <c r="F68" s="49" t="s">
        <v>55</v>
      </c>
      <c r="G68" s="34" t="s">
        <v>351</v>
      </c>
      <c r="H68" s="52" t="s">
        <v>41</v>
      </c>
      <c r="I68" s="34" t="s">
        <v>353</v>
      </c>
      <c r="J68" s="62"/>
      <c r="K68" s="62"/>
      <c r="L68" s="63"/>
      <c r="M68" s="64">
        <v>2000.0</v>
      </c>
      <c r="N68" s="64">
        <v>2000.0</v>
      </c>
      <c r="O68" s="59"/>
      <c r="P68" s="62">
        <v>2000.0</v>
      </c>
      <c r="Q68" s="62">
        <v>2000.0</v>
      </c>
      <c r="R68" s="62">
        <v>9998.0</v>
      </c>
      <c r="S68" s="58">
        <v>0.67</v>
      </c>
      <c r="T68" s="59">
        <f>IFERROR(__xludf.DUMMYFUNCTION("((IFERROR(MIN(FILTER({L68, O68, R68}, ISNUMBER({L68, O68, R68}), {L68, O68, R68} &gt; 0)), """"))*S68)+IFERROR(MIN(FILTER({L68, O68, R68}, ISNUMBER({L68, O68, R68}), {L68, O68, R68} &gt; 0)), """")"),16696.66)</f>
        <v>16696.66</v>
      </c>
      <c r="U68" s="53">
        <f>IFERROR(__xludf.DUMMYFUNCTION("(T68-(IFERROR(MIN(FILTER({L68, O68, R68}, ISNUMBER({L68, O68, R68}), {L68, O68, R68} &gt; 0)), """")))/T68"),0.40119760479041916)</f>
        <v>0.4011976048</v>
      </c>
      <c r="V68" s="60">
        <v>300.0</v>
      </c>
      <c r="W68" s="60"/>
    </row>
    <row r="69" ht="22.5" customHeight="1">
      <c r="A69" s="61" t="str">
        <f t="shared" si="2"/>
        <v>R-TP-UNKNOWN-X-36,5 x 9 x 28</v>
      </c>
      <c r="B69" s="34" t="s">
        <v>348</v>
      </c>
      <c r="C69" s="34" t="s">
        <v>127</v>
      </c>
      <c r="D69" s="37" t="s">
        <v>349</v>
      </c>
      <c r="E69" s="38" t="s">
        <v>357</v>
      </c>
      <c r="F69" s="49" t="s">
        <v>55</v>
      </c>
      <c r="G69" s="34" t="s">
        <v>351</v>
      </c>
      <c r="H69" s="52" t="s">
        <v>41</v>
      </c>
      <c r="I69" s="34" t="s">
        <v>353</v>
      </c>
      <c r="J69" s="62"/>
      <c r="K69" s="62"/>
      <c r="L69" s="63"/>
      <c r="M69" s="64">
        <v>2000.0</v>
      </c>
      <c r="N69" s="64">
        <v>2000.0</v>
      </c>
      <c r="O69" s="59"/>
      <c r="P69" s="62">
        <v>2000.0</v>
      </c>
      <c r="Q69" s="62">
        <v>2000.0</v>
      </c>
      <c r="R69" s="62">
        <v>7959.0</v>
      </c>
      <c r="S69" s="58">
        <v>0.67</v>
      </c>
      <c r="T69" s="59">
        <f>IFERROR(__xludf.DUMMYFUNCTION("((IFERROR(MIN(FILTER({L69, O69, R69}, ISNUMBER({L69, O69, R69}), {L69, O69, R69} &gt; 0)), """"))*S69)+IFERROR(MIN(FILTER({L69, O69, R69}, ISNUMBER({L69, O69, R69}), {L69, O69, R69} &gt; 0)), """")"),13291.53)</f>
        <v>13291.53</v>
      </c>
      <c r="U69" s="53">
        <f>IFERROR(__xludf.DUMMYFUNCTION("(T69-(IFERROR(MIN(FILTER({L69, O69, R69}, ISNUMBER({L69, O69, R69}), {L69, O69, R69} &gt; 0)), """")))/T69"),0.4011976047904192)</f>
        <v>0.4011976048</v>
      </c>
      <c r="V69" s="60">
        <v>300.0</v>
      </c>
      <c r="W69" s="60"/>
    </row>
    <row r="70" ht="22.5" customHeight="1">
      <c r="A70" s="61" t="str">
        <f t="shared" si="2"/>
        <v>R-TP-UNKNOWN-X-24 x 12 x 23</v>
      </c>
      <c r="B70" s="34" t="s">
        <v>358</v>
      </c>
      <c r="C70" s="34" t="s">
        <v>127</v>
      </c>
      <c r="D70" s="37" t="s">
        <v>128</v>
      </c>
      <c r="E70" s="38" t="s">
        <v>359</v>
      </c>
      <c r="F70" s="49" t="s">
        <v>36</v>
      </c>
      <c r="G70" s="34" t="s">
        <v>360</v>
      </c>
      <c r="H70" s="52" t="s">
        <v>41</v>
      </c>
      <c r="I70" s="34" t="s">
        <v>361</v>
      </c>
      <c r="J70" s="62"/>
      <c r="K70" s="62"/>
      <c r="L70" s="63"/>
      <c r="M70" s="64">
        <v>1000.0</v>
      </c>
      <c r="N70" s="64">
        <v>1000.0</v>
      </c>
      <c r="O70" s="59"/>
      <c r="P70" s="62">
        <v>1000.0</v>
      </c>
      <c r="Q70" s="62">
        <v>1000.0</v>
      </c>
      <c r="R70" s="62">
        <v>9578.0</v>
      </c>
      <c r="S70" s="58">
        <v>0.67</v>
      </c>
      <c r="T70" s="59">
        <f>IFERROR(__xludf.DUMMYFUNCTION("((IFERROR(MIN(FILTER({L70, O70, R70}, ISNUMBER({L70, O70, R70}), {L70, O70, R70} &gt; 0)), """"))*S70)+IFERROR(MIN(FILTER({L70, O70, R70}, ISNUMBER({L70, O70, R70}), {L70, O70, R70} &gt; 0)), """")"),15995.26)</f>
        <v>15995.26</v>
      </c>
      <c r="U70" s="53">
        <f>IFERROR(__xludf.DUMMYFUNCTION("(T70-(IFERROR(MIN(FILTER({L70, O70, R70}, ISNUMBER({L70, O70, R70}), {L70, O70, R70} &gt; 0)), """")))/T70"),0.40119760479041916)</f>
        <v>0.4011976048</v>
      </c>
      <c r="V70" s="60">
        <v>300.0</v>
      </c>
      <c r="W70" s="60"/>
    </row>
    <row r="71" ht="22.5" customHeight="1">
      <c r="A71" s="61" t="str">
        <f t="shared" si="2"/>
        <v>R-TP-UNKNOWN-X-21 x 10 x 27</v>
      </c>
      <c r="B71" s="34" t="s">
        <v>365</v>
      </c>
      <c r="C71" s="34" t="s">
        <v>127</v>
      </c>
      <c r="D71" s="37" t="s">
        <v>149</v>
      </c>
      <c r="E71" s="38" t="s">
        <v>366</v>
      </c>
      <c r="F71" s="49" t="s">
        <v>55</v>
      </c>
      <c r="G71" s="34" t="s">
        <v>58</v>
      </c>
      <c r="H71" s="52" t="s">
        <v>41</v>
      </c>
      <c r="I71" s="34" t="s">
        <v>152</v>
      </c>
      <c r="J71" s="62"/>
      <c r="K71" s="62"/>
      <c r="L71" s="63"/>
      <c r="M71" s="64">
        <v>2000.0</v>
      </c>
      <c r="N71" s="64">
        <v>2000.0</v>
      </c>
      <c r="O71" s="59"/>
      <c r="P71" s="62">
        <v>2000.0</v>
      </c>
      <c r="Q71" s="62">
        <v>2000.0</v>
      </c>
      <c r="R71" s="62">
        <v>6273.0</v>
      </c>
      <c r="S71" s="58">
        <v>0.67</v>
      </c>
      <c r="T71" s="59">
        <f>IFERROR(__xludf.DUMMYFUNCTION("((IFERROR(MIN(FILTER({L71, O71, R71}, ISNUMBER({L71, O71, R71}), {L71, O71, R71} &gt; 0)), """"))*S71)+IFERROR(MIN(FILTER({L71, O71, R71}, ISNUMBER({L71, O71, R71}), {L71, O71, R71} &gt; 0)), """")"),10475.91)</f>
        <v>10475.91</v>
      </c>
      <c r="U71" s="53">
        <f>IFERROR(__xludf.DUMMYFUNCTION("(T71-(IFERROR(MIN(FILTER({L71, O71, R71}, ISNUMBER({L71, O71, R71}), {L71, O71, R71} &gt; 0)), """")))/T71"),0.40119760479041916)</f>
        <v>0.4011976048</v>
      </c>
      <c r="V71" s="60">
        <v>300.0</v>
      </c>
      <c r="W71" s="60"/>
    </row>
    <row r="72" ht="22.5" customHeight="1">
      <c r="A72" s="61" t="str">
        <f t="shared" si="2"/>
        <v>R-TP-UNKNOWN-X-31 x 12 x 40</v>
      </c>
      <c r="B72" s="34" t="s">
        <v>365</v>
      </c>
      <c r="C72" s="34" t="s">
        <v>127</v>
      </c>
      <c r="D72" s="37" t="s">
        <v>149</v>
      </c>
      <c r="E72" s="38" t="s">
        <v>373</v>
      </c>
      <c r="F72" s="49" t="s">
        <v>55</v>
      </c>
      <c r="G72" s="34" t="s">
        <v>58</v>
      </c>
      <c r="H72" s="52" t="s">
        <v>41</v>
      </c>
      <c r="I72" s="34" t="s">
        <v>152</v>
      </c>
      <c r="J72" s="62"/>
      <c r="K72" s="62"/>
      <c r="L72" s="63"/>
      <c r="M72" s="64">
        <v>2000.0</v>
      </c>
      <c r="N72" s="64">
        <v>2000.0</v>
      </c>
      <c r="O72" s="59"/>
      <c r="P72" s="62">
        <v>2000.0</v>
      </c>
      <c r="Q72" s="62">
        <v>2000.0</v>
      </c>
      <c r="R72" s="62">
        <v>6953.0</v>
      </c>
      <c r="S72" s="58">
        <v>0.67</v>
      </c>
      <c r="T72" s="59">
        <f>IFERROR(__xludf.DUMMYFUNCTION("((IFERROR(MIN(FILTER({L72, O72, R72}, ISNUMBER({L72, O72, R72}), {L72, O72, R72} &gt; 0)), """"))*S72)+IFERROR(MIN(FILTER({L72, O72, R72}, ISNUMBER({L72, O72, R72}), {L72, O72, R72} &gt; 0)), """")"),11611.51)</f>
        <v>11611.51</v>
      </c>
      <c r="U72" s="53">
        <f>IFERROR(__xludf.DUMMYFUNCTION("(T72-(IFERROR(MIN(FILTER({L72, O72, R72}, ISNUMBER({L72, O72, R72}), {L72, O72, R72} &gt; 0)), """")))/T72"),0.40119760479041916)</f>
        <v>0.4011976048</v>
      </c>
      <c r="V72" s="60">
        <v>300.0</v>
      </c>
      <c r="W72" s="60"/>
    </row>
    <row r="73" ht="22.5" customHeight="1">
      <c r="A73" s="61" t="str">
        <f t="shared" si="2"/>
        <v>R-TP-UNKNOWN-X-30 x 22 x 20</v>
      </c>
      <c r="B73" s="34" t="s">
        <v>383</v>
      </c>
      <c r="C73" s="34" t="s">
        <v>127</v>
      </c>
      <c r="D73" s="37" t="s">
        <v>139</v>
      </c>
      <c r="E73" s="38" t="s">
        <v>385</v>
      </c>
      <c r="F73" s="49" t="s">
        <v>55</v>
      </c>
      <c r="G73" s="34" t="s">
        <v>100</v>
      </c>
      <c r="H73" s="52" t="s">
        <v>41</v>
      </c>
      <c r="I73" s="34" t="s">
        <v>386</v>
      </c>
      <c r="J73" s="62"/>
      <c r="K73" s="62"/>
      <c r="L73" s="63"/>
      <c r="M73" s="64">
        <v>1000.0</v>
      </c>
      <c r="N73" s="64">
        <v>1000.0</v>
      </c>
      <c r="O73" s="59"/>
      <c r="P73" s="62">
        <v>1000.0</v>
      </c>
      <c r="Q73" s="62">
        <v>1000.0</v>
      </c>
      <c r="R73" s="62">
        <v>8292.0</v>
      </c>
      <c r="S73" s="58">
        <v>0.67</v>
      </c>
      <c r="T73" s="59">
        <f>IFERROR(__xludf.DUMMYFUNCTION("((IFERROR(MIN(FILTER({L73, O73, R73}, ISNUMBER({L73, O73, R73}), {L73, O73, R73} &gt; 0)), """"))*S73)+IFERROR(MIN(FILTER({L73, O73, R73}, ISNUMBER({L73, O73, R73}), {L73, O73, R73} &gt; 0)), """")"),13847.64)</f>
        <v>13847.64</v>
      </c>
      <c r="U73" s="53">
        <f>IFERROR(__xludf.DUMMYFUNCTION("(T73-(IFERROR(MIN(FILTER({L73, O73, R73}, ISNUMBER({L73, O73, R73}), {L73, O73, R73} &gt; 0)), """")))/T73"),0.40119760479041916)</f>
        <v>0.4011976048</v>
      </c>
      <c r="V73" s="60">
        <v>300.0</v>
      </c>
      <c r="W73" s="60"/>
    </row>
    <row r="74" ht="22.5" customHeight="1">
      <c r="A74" s="61" t="str">
        <f t="shared" si="2"/>
        <v>R-TP-UNKNOWN-X-30 x 22 x 20</v>
      </c>
      <c r="B74" s="34" t="s">
        <v>383</v>
      </c>
      <c r="C74" s="34" t="s">
        <v>127</v>
      </c>
      <c r="D74" s="37" t="s">
        <v>139</v>
      </c>
      <c r="E74" s="38" t="s">
        <v>385</v>
      </c>
      <c r="F74" s="49" t="s">
        <v>55</v>
      </c>
      <c r="G74" s="34" t="s">
        <v>100</v>
      </c>
      <c r="H74" s="52" t="s">
        <v>41</v>
      </c>
      <c r="I74" s="34" t="s">
        <v>386</v>
      </c>
      <c r="J74" s="62"/>
      <c r="K74" s="62"/>
      <c r="L74" s="63"/>
      <c r="M74" s="64">
        <v>2000.0</v>
      </c>
      <c r="N74" s="64">
        <v>2000.0</v>
      </c>
      <c r="O74" s="59"/>
      <c r="P74" s="62">
        <v>2000.0</v>
      </c>
      <c r="Q74" s="62">
        <v>2000.0</v>
      </c>
      <c r="R74" s="62">
        <v>6347.0</v>
      </c>
      <c r="S74" s="58">
        <v>0.67</v>
      </c>
      <c r="T74" s="59">
        <f>IFERROR(__xludf.DUMMYFUNCTION("((IFERROR(MIN(FILTER({L74, O74, R74}, ISNUMBER({L74, O74, R74}), {L74, O74, R74} &gt; 0)), """"))*S74)+IFERROR(MIN(FILTER({L74, O74, R74}, ISNUMBER({L74, O74, R74}), {L74, O74, R74} &gt; 0)), """")"),10599.490000000002)</f>
        <v>10599.49</v>
      </c>
      <c r="U74" s="53">
        <f>IFERROR(__xludf.DUMMYFUNCTION("(T74-(IFERROR(MIN(FILTER({L74, O74, R74}, ISNUMBER({L74, O74, R74}), {L74, O74, R74} &gt; 0)), """")))/T74"),0.40119760479041927)</f>
        <v>0.4011976048</v>
      </c>
      <c r="V74" s="60">
        <v>300.0</v>
      </c>
      <c r="W74" s="60"/>
    </row>
    <row r="75" ht="22.5" customHeight="1">
      <c r="A75" s="61" t="str">
        <f t="shared" si="2"/>
        <v>R-TP-UNKNOWN-X-24 x 15 x 31</v>
      </c>
      <c r="B75" s="34" t="s">
        <v>394</v>
      </c>
      <c r="C75" s="34" t="s">
        <v>127</v>
      </c>
      <c r="D75" s="37" t="s">
        <v>149</v>
      </c>
      <c r="E75" s="38" t="s">
        <v>397</v>
      </c>
      <c r="F75" s="49" t="s">
        <v>55</v>
      </c>
      <c r="G75" s="34" t="s">
        <v>58</v>
      </c>
      <c r="H75" s="52" t="s">
        <v>41</v>
      </c>
      <c r="I75" s="34" t="s">
        <v>152</v>
      </c>
      <c r="J75" s="62">
        <v>25000.0</v>
      </c>
      <c r="K75" s="62">
        <v>25000.0</v>
      </c>
      <c r="L75" s="62">
        <v>1800.0</v>
      </c>
      <c r="M75" s="64">
        <v>25000.0</v>
      </c>
      <c r="N75" s="64">
        <v>25000.0</v>
      </c>
      <c r="O75" s="64"/>
      <c r="P75" s="62">
        <v>25000.0</v>
      </c>
      <c r="Q75" s="62">
        <v>25000.0</v>
      </c>
      <c r="R75" s="62"/>
      <c r="S75" s="58">
        <v>0.67</v>
      </c>
      <c r="T75" s="59">
        <f>IFERROR(__xludf.DUMMYFUNCTION("((IFERROR(MIN(FILTER({L75, O75, R75}, ISNUMBER({L75, O75, R75}), {L75, O75, R75} &gt; 0)), """"))*S75)+IFERROR(MIN(FILTER({L75, O75, R75}, ISNUMBER({L75, O75, R75}), {L75, O75, R75} &gt; 0)), """")"),3006.0)</f>
        <v>3006</v>
      </c>
      <c r="U75" s="53">
        <f>IFERROR(__xludf.DUMMYFUNCTION("(T75-(IFERROR(MIN(FILTER({L75, O75, R75}, ISNUMBER({L75, O75, R75}), {L75, O75, R75} &gt; 0)), """")))/T75"),0.40119760479041916)</f>
        <v>0.4011976048</v>
      </c>
      <c r="V75" s="60">
        <v>300.0</v>
      </c>
      <c r="W75" s="60"/>
    </row>
    <row r="76" ht="22.5" customHeight="1">
      <c r="A76" s="61" t="str">
        <f t="shared" si="2"/>
        <v>R-TP-UNKNOWN-X-25 x 6 x 32</v>
      </c>
      <c r="B76" s="34" t="s">
        <v>178</v>
      </c>
      <c r="C76" s="34" t="s">
        <v>127</v>
      </c>
      <c r="D76" s="37" t="s">
        <v>155</v>
      </c>
      <c r="E76" s="38" t="s">
        <v>401</v>
      </c>
      <c r="F76" s="49" t="s">
        <v>55</v>
      </c>
      <c r="G76" s="34" t="s">
        <v>108</v>
      </c>
      <c r="H76" s="52" t="s">
        <v>41</v>
      </c>
      <c r="I76" s="34" t="s">
        <v>142</v>
      </c>
      <c r="J76" s="62">
        <v>300000.0</v>
      </c>
      <c r="K76" s="62">
        <v>300000.0</v>
      </c>
      <c r="L76" s="62">
        <v>1500.0</v>
      </c>
      <c r="M76" s="64">
        <v>300000.0</v>
      </c>
      <c r="N76" s="64">
        <v>300000.0</v>
      </c>
      <c r="O76" s="64"/>
      <c r="P76" s="62">
        <v>300000.0</v>
      </c>
      <c r="Q76" s="62">
        <v>300000.0</v>
      </c>
      <c r="R76" s="62"/>
      <c r="S76" s="58">
        <v>0.67</v>
      </c>
      <c r="T76" s="59">
        <f>IFERROR(__xludf.DUMMYFUNCTION("((IFERROR(MIN(FILTER({L76, O76, R76}, ISNUMBER({L76, O76, R76}), {L76, O76, R76} &gt; 0)), """"))*S76)+IFERROR(MIN(FILTER({L76, O76, R76}, ISNUMBER({L76, O76, R76}), {L76, O76, R76} &gt; 0)), """")"),2505.0)</f>
        <v>2505</v>
      </c>
      <c r="U76" s="53">
        <f>IFERROR(__xludf.DUMMYFUNCTION("(T76-(IFERROR(MIN(FILTER({L76, O76, R76}, ISNUMBER({L76, O76, R76}), {L76, O76, R76} &gt; 0)), """")))/T76"),0.40119760479041916)</f>
        <v>0.4011976048</v>
      </c>
      <c r="V76" s="60">
        <v>300.0</v>
      </c>
      <c r="W76" s="60"/>
    </row>
    <row r="77" ht="22.5" customHeight="1">
      <c r="A77" s="61" t="str">
        <f t="shared" si="2"/>
        <v>R-TP-UNKNOWN-X-25 x 10 x 32</v>
      </c>
      <c r="B77" s="34" t="s">
        <v>178</v>
      </c>
      <c r="C77" s="34" t="s">
        <v>127</v>
      </c>
      <c r="D77" s="37" t="s">
        <v>139</v>
      </c>
      <c r="E77" s="38" t="s">
        <v>179</v>
      </c>
      <c r="F77" s="49" t="s">
        <v>55</v>
      </c>
      <c r="G77" s="34" t="s">
        <v>108</v>
      </c>
      <c r="H77" s="52" t="s">
        <v>41</v>
      </c>
      <c r="I77" s="34" t="s">
        <v>142</v>
      </c>
      <c r="J77" s="62">
        <v>300000.0</v>
      </c>
      <c r="K77" s="62">
        <v>300000.0</v>
      </c>
      <c r="L77" s="62">
        <v>1200.0</v>
      </c>
      <c r="M77" s="64">
        <v>300000.0</v>
      </c>
      <c r="N77" s="64">
        <v>300000.0</v>
      </c>
      <c r="O77" s="64"/>
      <c r="P77" s="62">
        <v>300000.0</v>
      </c>
      <c r="Q77" s="62">
        <v>300000.0</v>
      </c>
      <c r="R77" s="62"/>
      <c r="S77" s="58">
        <v>0.67</v>
      </c>
      <c r="T77" s="59">
        <f>IFERROR(__xludf.DUMMYFUNCTION("((IFERROR(MIN(FILTER({L77, O77, R77}, ISNUMBER({L77, O77, R77}), {L77, O77, R77} &gt; 0)), """"))*S77)+IFERROR(MIN(FILTER({L77, O77, R77}, ISNUMBER({L77, O77, R77}), {L77, O77, R77} &gt; 0)), """")"),2004.0)</f>
        <v>2004</v>
      </c>
      <c r="U77" s="53">
        <f>IFERROR(__xludf.DUMMYFUNCTION("(T77-(IFERROR(MIN(FILTER({L77, O77, R77}, ISNUMBER({L77, O77, R77}), {L77, O77, R77} &gt; 0)), """")))/T77"),0.40119760479041916)</f>
        <v>0.4011976048</v>
      </c>
      <c r="V77" s="60">
        <v>300.0</v>
      </c>
      <c r="W77" s="60"/>
    </row>
    <row r="78" ht="22.5" customHeight="1">
      <c r="A78" s="61" t="str">
        <f t="shared" si="2"/>
        <v>R-TP-UNKNOWN-X-28 x 15 x 28</v>
      </c>
      <c r="B78" s="34" t="s">
        <v>409</v>
      </c>
      <c r="C78" s="34" t="s">
        <v>127</v>
      </c>
      <c r="D78" s="37" t="s">
        <v>139</v>
      </c>
      <c r="E78" s="38" t="s">
        <v>410</v>
      </c>
      <c r="F78" s="49" t="s">
        <v>55</v>
      </c>
      <c r="G78" s="34" t="s">
        <v>411</v>
      </c>
      <c r="H78" s="52" t="s">
        <v>41</v>
      </c>
      <c r="I78" s="34" t="s">
        <v>142</v>
      </c>
      <c r="J78" s="62">
        <v>50000.0</v>
      </c>
      <c r="K78" s="62">
        <v>50000.0</v>
      </c>
      <c r="L78" s="62">
        <v>1350.0</v>
      </c>
      <c r="M78" s="64">
        <v>50000.0</v>
      </c>
      <c r="N78" s="64">
        <v>50000.0</v>
      </c>
      <c r="O78" s="64"/>
      <c r="P78" s="62">
        <v>50000.0</v>
      </c>
      <c r="Q78" s="62">
        <v>50000.0</v>
      </c>
      <c r="R78" s="62"/>
      <c r="S78" s="58">
        <v>0.67</v>
      </c>
      <c r="T78" s="59">
        <f>IFERROR(__xludf.DUMMYFUNCTION("((IFERROR(MIN(FILTER({L78, O78, R78}, ISNUMBER({L78, O78, R78}), {L78, O78, R78} &gt; 0)), """"))*S78)+IFERROR(MIN(FILTER({L78, O78, R78}, ISNUMBER({L78, O78, R78}), {L78, O78, R78} &gt; 0)), """")"),2254.5)</f>
        <v>2254.5</v>
      </c>
      <c r="U78" s="53">
        <f>IFERROR(__xludf.DUMMYFUNCTION("(T78-(IFERROR(MIN(FILTER({L78, O78, R78}, ISNUMBER({L78, O78, R78}), {L78, O78, R78} &gt; 0)), """")))/T78"),0.40119760479041916)</f>
        <v>0.4011976048</v>
      </c>
      <c r="V78" s="60">
        <v>300.0</v>
      </c>
      <c r="W78" s="60"/>
    </row>
    <row r="79" ht="22.5" customHeight="1">
      <c r="A79" s="61" t="str">
        <f t="shared" si="2"/>
        <v>R-TP-UNKNOWN-X-28 x 15 x 28</v>
      </c>
      <c r="B79" s="34" t="s">
        <v>409</v>
      </c>
      <c r="C79" s="34" t="s">
        <v>127</v>
      </c>
      <c r="D79" s="37" t="s">
        <v>139</v>
      </c>
      <c r="E79" s="38" t="s">
        <v>410</v>
      </c>
      <c r="F79" s="49" t="s">
        <v>55</v>
      </c>
      <c r="G79" s="34" t="s">
        <v>411</v>
      </c>
      <c r="H79" s="52" t="s">
        <v>41</v>
      </c>
      <c r="I79" s="34" t="s">
        <v>142</v>
      </c>
      <c r="J79" s="62">
        <v>100000.0</v>
      </c>
      <c r="K79" s="62">
        <v>100000.0</v>
      </c>
      <c r="L79" s="62">
        <v>1300.0</v>
      </c>
      <c r="M79" s="64">
        <v>100000.0</v>
      </c>
      <c r="N79" s="64">
        <v>100000.0</v>
      </c>
      <c r="O79" s="64"/>
      <c r="P79" s="62">
        <v>100000.0</v>
      </c>
      <c r="Q79" s="62">
        <v>100000.0</v>
      </c>
      <c r="R79" s="62"/>
      <c r="S79" s="58">
        <v>0.67</v>
      </c>
      <c r="T79" s="59">
        <f>IFERROR(__xludf.DUMMYFUNCTION("((IFERROR(MIN(FILTER({L79, O79, R79}, ISNUMBER({L79, O79, R79}), {L79, O79, R79} &gt; 0)), """"))*S79)+IFERROR(MIN(FILTER({L79, O79, R79}, ISNUMBER({L79, O79, R79}), {L79, O79, R79} &gt; 0)), """")"),2171.0)</f>
        <v>2171</v>
      </c>
      <c r="U79" s="53">
        <f>IFERROR(__xludf.DUMMYFUNCTION("(T79-(IFERROR(MIN(FILTER({L79, O79, R79}, ISNUMBER({L79, O79, R79}), {L79, O79, R79} &gt; 0)), """")))/T79"),0.40119760479041916)</f>
        <v>0.4011976048</v>
      </c>
      <c r="V79" s="60">
        <v>300.0</v>
      </c>
      <c r="W79" s="60"/>
    </row>
    <row r="80" ht="22.5" customHeight="1">
      <c r="A80" s="61" t="str">
        <f t="shared" si="2"/>
        <v>R-TP-UNKNOWN-X-28 x 15 x 28</v>
      </c>
      <c r="B80" s="34" t="s">
        <v>409</v>
      </c>
      <c r="C80" s="34" t="s">
        <v>127</v>
      </c>
      <c r="D80" s="37" t="s">
        <v>139</v>
      </c>
      <c r="E80" s="38" t="s">
        <v>410</v>
      </c>
      <c r="F80" s="49" t="s">
        <v>55</v>
      </c>
      <c r="G80" s="34" t="s">
        <v>411</v>
      </c>
      <c r="H80" s="52" t="s">
        <v>41</v>
      </c>
      <c r="I80" s="34" t="s">
        <v>142</v>
      </c>
      <c r="J80" s="62">
        <v>200000.0</v>
      </c>
      <c r="K80" s="62">
        <v>200000.0</v>
      </c>
      <c r="L80" s="62">
        <v>1200.0</v>
      </c>
      <c r="M80" s="64">
        <v>200000.0</v>
      </c>
      <c r="N80" s="64">
        <v>200000.0</v>
      </c>
      <c r="O80" s="64"/>
      <c r="P80" s="62">
        <v>200000.0</v>
      </c>
      <c r="Q80" s="62">
        <v>200000.0</v>
      </c>
      <c r="R80" s="62"/>
      <c r="S80" s="58">
        <v>0.67</v>
      </c>
      <c r="T80" s="59">
        <f>IFERROR(__xludf.DUMMYFUNCTION("((IFERROR(MIN(FILTER({L80, O80, R80}, ISNUMBER({L80, O80, R80}), {L80, O80, R80} &gt; 0)), """"))*S80)+IFERROR(MIN(FILTER({L80, O80, R80}, ISNUMBER({L80, O80, R80}), {L80, O80, R80} &gt; 0)), """")"),2004.0)</f>
        <v>2004</v>
      </c>
      <c r="U80" s="53">
        <f>IFERROR(__xludf.DUMMYFUNCTION("(T80-(IFERROR(MIN(FILTER({L80, O80, R80}, ISNUMBER({L80, O80, R80}), {L80, O80, R80} &gt; 0)), """")))/T80"),0.40119760479041916)</f>
        <v>0.4011976048</v>
      </c>
      <c r="V80" s="60">
        <v>300.0</v>
      </c>
      <c r="W80" s="60"/>
    </row>
    <row r="81" ht="22.5" customHeight="1">
      <c r="A81" s="61" t="str">
        <f t="shared" si="2"/>
        <v>R-TP-UNKNOWN-X-25 x 15 x 28</v>
      </c>
      <c r="B81" s="34" t="s">
        <v>409</v>
      </c>
      <c r="C81" s="34" t="s">
        <v>127</v>
      </c>
      <c r="D81" s="37" t="s">
        <v>175</v>
      </c>
      <c r="E81" s="38" t="s">
        <v>423</v>
      </c>
      <c r="F81" s="49" t="s">
        <v>55</v>
      </c>
      <c r="G81" s="37" t="s">
        <v>411</v>
      </c>
      <c r="H81" s="52" t="s">
        <v>41</v>
      </c>
      <c r="I81" s="34" t="s">
        <v>152</v>
      </c>
      <c r="J81" s="62">
        <v>50000.0</v>
      </c>
      <c r="K81" s="62">
        <v>50000.0</v>
      </c>
      <c r="L81" s="62">
        <v>1450.0</v>
      </c>
      <c r="M81" s="64">
        <v>50000.0</v>
      </c>
      <c r="N81" s="64">
        <v>50000.0</v>
      </c>
      <c r="O81" s="64"/>
      <c r="P81" s="62">
        <v>50000.0</v>
      </c>
      <c r="Q81" s="62">
        <v>50000.0</v>
      </c>
      <c r="R81" s="62"/>
      <c r="S81" s="58">
        <v>0.67</v>
      </c>
      <c r="T81" s="59">
        <f>IFERROR(__xludf.DUMMYFUNCTION("((IFERROR(MIN(FILTER({L81, O81, R81}, ISNUMBER({L81, O81, R81}), {L81, O81, R81} &gt; 0)), """"))*S81)+IFERROR(MIN(FILTER({L81, O81, R81}, ISNUMBER({L81, O81, R81}), {L81, O81, R81} &gt; 0)), """")"),2421.5)</f>
        <v>2421.5</v>
      </c>
      <c r="U81" s="53">
        <f>IFERROR(__xludf.DUMMYFUNCTION("(T81-(IFERROR(MIN(FILTER({L81, O81, R81}, ISNUMBER({L81, O81, R81}), {L81, O81, R81} &gt; 0)), """")))/T81"),0.40119760479041916)</f>
        <v>0.4011976048</v>
      </c>
      <c r="V81" s="60">
        <v>300.0</v>
      </c>
      <c r="W81" s="60"/>
    </row>
    <row r="82" ht="22.5" customHeight="1">
      <c r="A82" s="61" t="str">
        <f t="shared" si="2"/>
        <v>R-TP-UNKNOWN-X-25 x 15 x 28</v>
      </c>
      <c r="B82" s="34" t="s">
        <v>409</v>
      </c>
      <c r="C82" s="34" t="s">
        <v>127</v>
      </c>
      <c r="D82" s="37" t="s">
        <v>175</v>
      </c>
      <c r="E82" s="38" t="s">
        <v>423</v>
      </c>
      <c r="F82" s="49" t="s">
        <v>55</v>
      </c>
      <c r="G82" s="37" t="s">
        <v>411</v>
      </c>
      <c r="H82" s="52" t="s">
        <v>41</v>
      </c>
      <c r="I82" s="34" t="s">
        <v>152</v>
      </c>
      <c r="J82" s="62">
        <v>100000.0</v>
      </c>
      <c r="K82" s="62">
        <v>100000.0</v>
      </c>
      <c r="L82" s="62">
        <v>1350.0</v>
      </c>
      <c r="M82" s="64">
        <v>100000.0</v>
      </c>
      <c r="N82" s="64">
        <v>100000.0</v>
      </c>
      <c r="O82" s="64"/>
      <c r="P82" s="62">
        <v>100000.0</v>
      </c>
      <c r="Q82" s="62">
        <v>100000.0</v>
      </c>
      <c r="R82" s="62"/>
      <c r="S82" s="58">
        <v>0.67</v>
      </c>
      <c r="T82" s="59">
        <f>IFERROR(__xludf.DUMMYFUNCTION("((IFERROR(MIN(FILTER({L82, O82, R82}, ISNUMBER({L82, O82, R82}), {L82, O82, R82} &gt; 0)), """"))*S82)+IFERROR(MIN(FILTER({L82, O82, R82}, ISNUMBER({L82, O82, R82}), {L82, O82, R82} &gt; 0)), """")"),2254.5)</f>
        <v>2254.5</v>
      </c>
      <c r="U82" s="53">
        <f>IFERROR(__xludf.DUMMYFUNCTION("(T82-(IFERROR(MIN(FILTER({L82, O82, R82}, ISNUMBER({L82, O82, R82}), {L82, O82, R82} &gt; 0)), """")))/T82"),0.40119760479041916)</f>
        <v>0.4011976048</v>
      </c>
      <c r="V82" s="60">
        <v>300.0</v>
      </c>
      <c r="W82" s="60"/>
    </row>
    <row r="83" ht="22.5" customHeight="1">
      <c r="A83" s="61" t="str">
        <f t="shared" si="2"/>
        <v>R-TP-UNKNOWN-X-25 x 15 x 28</v>
      </c>
      <c r="B83" s="34" t="s">
        <v>409</v>
      </c>
      <c r="C83" s="34" t="s">
        <v>127</v>
      </c>
      <c r="D83" s="37" t="s">
        <v>175</v>
      </c>
      <c r="E83" s="38" t="s">
        <v>423</v>
      </c>
      <c r="F83" s="49" t="s">
        <v>55</v>
      </c>
      <c r="G83" s="37" t="s">
        <v>411</v>
      </c>
      <c r="H83" s="52" t="s">
        <v>41</v>
      </c>
      <c r="I83" s="34" t="s">
        <v>152</v>
      </c>
      <c r="J83" s="62">
        <v>200000.0</v>
      </c>
      <c r="K83" s="62">
        <v>200000.0</v>
      </c>
      <c r="L83" s="62">
        <v>1300.0</v>
      </c>
      <c r="M83" s="64">
        <v>200000.0</v>
      </c>
      <c r="N83" s="64">
        <v>200000.0</v>
      </c>
      <c r="O83" s="64"/>
      <c r="P83" s="62">
        <v>200000.0</v>
      </c>
      <c r="Q83" s="62">
        <v>200000.0</v>
      </c>
      <c r="R83" s="62"/>
      <c r="S83" s="58">
        <v>0.67</v>
      </c>
      <c r="T83" s="59">
        <f>IFERROR(__xludf.DUMMYFUNCTION("((IFERROR(MIN(FILTER({L83, O83, R83}, ISNUMBER({L83, O83, R83}), {L83, O83, R83} &gt; 0)), """"))*S83)+IFERROR(MIN(FILTER({L83, O83, R83}, ISNUMBER({L83, O83, R83}), {L83, O83, R83} &gt; 0)), """")"),2171.0)</f>
        <v>2171</v>
      </c>
      <c r="U83" s="53">
        <f>IFERROR(__xludf.DUMMYFUNCTION("(T83-(IFERROR(MIN(FILTER({L83, O83, R83}, ISNUMBER({L83, O83, R83}), {L83, O83, R83} &gt; 0)), """")))/T83"),0.40119760479041916)</f>
        <v>0.4011976048</v>
      </c>
      <c r="V83" s="60">
        <v>300.0</v>
      </c>
      <c r="W83" s="60"/>
    </row>
    <row r="84" ht="22.5" customHeight="1">
      <c r="A84" s="61" t="str">
        <f t="shared" si="2"/>
        <v>R-TP-UNKNOWN-X-20,5 x 11,5 x 30</v>
      </c>
      <c r="B84" s="34" t="s">
        <v>387</v>
      </c>
      <c r="C84" s="34" t="s">
        <v>127</v>
      </c>
      <c r="D84" s="37" t="s">
        <v>149</v>
      </c>
      <c r="E84" s="38" t="s">
        <v>435</v>
      </c>
      <c r="F84" s="49" t="s">
        <v>36</v>
      </c>
      <c r="G84" s="37" t="s">
        <v>436</v>
      </c>
      <c r="H84" s="52" t="s">
        <v>41</v>
      </c>
      <c r="I84" s="34" t="s">
        <v>152</v>
      </c>
      <c r="J84" s="62">
        <v>25000.0</v>
      </c>
      <c r="K84" s="62">
        <v>25000.0</v>
      </c>
      <c r="L84" s="62">
        <v>1600.0</v>
      </c>
      <c r="M84" s="64">
        <v>25000.0</v>
      </c>
      <c r="N84" s="64">
        <v>25000.0</v>
      </c>
      <c r="O84" s="64"/>
      <c r="P84" s="62">
        <v>25000.0</v>
      </c>
      <c r="Q84" s="62">
        <v>25000.0</v>
      </c>
      <c r="R84" s="62"/>
      <c r="S84" s="58">
        <v>0.67</v>
      </c>
      <c r="T84" s="59">
        <f>IFERROR(__xludf.DUMMYFUNCTION("((IFERROR(MIN(FILTER({L84, O84, R84}, ISNUMBER({L84, O84, R84}), {L84, O84, R84} &gt; 0)), """"))*S84)+IFERROR(MIN(FILTER({L84, O84, R84}, ISNUMBER({L84, O84, R84}), {L84, O84, R84} &gt; 0)), """")"),2672.0)</f>
        <v>2672</v>
      </c>
      <c r="U84" s="53">
        <f>IFERROR(__xludf.DUMMYFUNCTION("(T84-(IFERROR(MIN(FILTER({L84, O84, R84}, ISNUMBER({L84, O84, R84}), {L84, O84, R84} &gt; 0)), """")))/T84"),0.40119760479041916)</f>
        <v>0.4011976048</v>
      </c>
      <c r="V84" s="60">
        <v>300.0</v>
      </c>
      <c r="W84" s="60"/>
    </row>
    <row r="85" ht="22.5" customHeight="1">
      <c r="A85" s="61" t="str">
        <f t="shared" si="2"/>
        <v>R-TP-UNKNOWN-X-20,5 x 11,5 x 30</v>
      </c>
      <c r="B85" s="34" t="s">
        <v>387</v>
      </c>
      <c r="C85" s="34" t="s">
        <v>127</v>
      </c>
      <c r="D85" s="37" t="s">
        <v>149</v>
      </c>
      <c r="E85" s="38" t="s">
        <v>435</v>
      </c>
      <c r="F85" s="49" t="s">
        <v>36</v>
      </c>
      <c r="G85" s="37" t="s">
        <v>436</v>
      </c>
      <c r="H85" s="52" t="s">
        <v>41</v>
      </c>
      <c r="I85" s="34" t="s">
        <v>152</v>
      </c>
      <c r="J85" s="62">
        <v>50000.0</v>
      </c>
      <c r="K85" s="62">
        <v>50000.0</v>
      </c>
      <c r="L85" s="62">
        <v>1500.0</v>
      </c>
      <c r="M85" s="64">
        <v>50000.0</v>
      </c>
      <c r="N85" s="64">
        <v>50000.0</v>
      </c>
      <c r="O85" s="64"/>
      <c r="P85" s="62">
        <v>50000.0</v>
      </c>
      <c r="Q85" s="62">
        <v>50000.0</v>
      </c>
      <c r="R85" s="62"/>
      <c r="S85" s="58">
        <v>0.67</v>
      </c>
      <c r="T85" s="59">
        <f>IFERROR(__xludf.DUMMYFUNCTION("((IFERROR(MIN(FILTER({L85, O85, R85}, ISNUMBER({L85, O85, R85}), {L85, O85, R85} &gt; 0)), """"))*S85)+IFERROR(MIN(FILTER({L85, O85, R85}, ISNUMBER({L85, O85, R85}), {L85, O85, R85} &gt; 0)), """")"),2505.0)</f>
        <v>2505</v>
      </c>
      <c r="U85" s="53">
        <f>IFERROR(__xludf.DUMMYFUNCTION("(T85-(IFERROR(MIN(FILTER({L85, O85, R85}, ISNUMBER({L85, O85, R85}), {L85, O85, R85} &gt; 0)), """")))/T85"),0.40119760479041916)</f>
        <v>0.4011976048</v>
      </c>
      <c r="V85" s="60">
        <v>300.0</v>
      </c>
      <c r="W85" s="60"/>
    </row>
    <row r="86" ht="22.5" customHeight="1">
      <c r="A86" s="61" t="str">
        <f t="shared" si="2"/>
        <v>R-TP-UNKNOWN-X-20,5 x 11,5 x 30</v>
      </c>
      <c r="B86" s="34" t="s">
        <v>387</v>
      </c>
      <c r="C86" s="34" t="s">
        <v>127</v>
      </c>
      <c r="D86" s="37" t="s">
        <v>149</v>
      </c>
      <c r="E86" s="38" t="s">
        <v>435</v>
      </c>
      <c r="F86" s="49" t="s">
        <v>36</v>
      </c>
      <c r="G86" s="37" t="s">
        <v>436</v>
      </c>
      <c r="H86" s="52" t="s">
        <v>41</v>
      </c>
      <c r="I86" s="34" t="s">
        <v>152</v>
      </c>
      <c r="J86" s="62"/>
      <c r="K86" s="62"/>
      <c r="L86" s="63"/>
      <c r="M86" s="64">
        <v>5000.0</v>
      </c>
      <c r="N86" s="64">
        <v>5000.0</v>
      </c>
      <c r="O86" s="59"/>
      <c r="P86" s="62">
        <v>5000.0</v>
      </c>
      <c r="Q86" s="62">
        <v>5000.0</v>
      </c>
      <c r="R86" s="62">
        <v>4698.0</v>
      </c>
      <c r="S86" s="58">
        <v>0.67</v>
      </c>
      <c r="T86" s="59">
        <f>IFERROR(__xludf.DUMMYFUNCTION("((IFERROR(MIN(FILTER({L86, O86, R86}, ISNUMBER({L86, O86, R86}), {L86, O86, R86} &gt; 0)), """"))*S86)+IFERROR(MIN(FILTER({L86, O86, R86}, ISNUMBER({L86, O86, R86}), {L86, O86, R86} &gt; 0)), """")"),7845.66)</f>
        <v>7845.66</v>
      </c>
      <c r="U86" s="53">
        <f>IFERROR(__xludf.DUMMYFUNCTION("(T86-(IFERROR(MIN(FILTER({L86, O86, R86}, ISNUMBER({L86, O86, R86}), {L86, O86, R86} &gt; 0)), """")))/T86"),0.40119760479041916)</f>
        <v>0.4011976048</v>
      </c>
      <c r="V86" s="60">
        <v>300.0</v>
      </c>
      <c r="W86" s="60"/>
    </row>
    <row r="87" ht="22.5" customHeight="1">
      <c r="A87" s="61" t="str">
        <f t="shared" si="2"/>
        <v>R-TP-UNKNOWN-X-20,5 x 11,5 x 30</v>
      </c>
      <c r="B87" s="34" t="s">
        <v>387</v>
      </c>
      <c r="C87" s="34" t="s">
        <v>127</v>
      </c>
      <c r="D87" s="37" t="s">
        <v>149</v>
      </c>
      <c r="E87" s="38" t="s">
        <v>435</v>
      </c>
      <c r="F87" s="49" t="s">
        <v>36</v>
      </c>
      <c r="G87" s="37" t="s">
        <v>436</v>
      </c>
      <c r="H87" s="52" t="s">
        <v>41</v>
      </c>
      <c r="I87" s="34" t="s">
        <v>152</v>
      </c>
      <c r="J87" s="62"/>
      <c r="K87" s="62"/>
      <c r="L87" s="63"/>
      <c r="M87" s="64">
        <v>10000.0</v>
      </c>
      <c r="N87" s="64">
        <v>10000.0</v>
      </c>
      <c r="O87" s="59"/>
      <c r="P87" s="62">
        <v>10000.0</v>
      </c>
      <c r="Q87" s="62">
        <v>10000.0</v>
      </c>
      <c r="R87" s="62">
        <v>4312.0</v>
      </c>
      <c r="S87" s="58">
        <v>0.67</v>
      </c>
      <c r="T87" s="59">
        <f>IFERROR(__xludf.DUMMYFUNCTION("((IFERROR(MIN(FILTER({L87, O87, R87}, ISNUMBER({L87, O87, R87}), {L87, O87, R87} &gt; 0)), """"))*S87)+IFERROR(MIN(FILTER({L87, O87, R87}, ISNUMBER({L87, O87, R87}), {L87, O87, R87} &gt; 0)), """")"),7201.04)</f>
        <v>7201.04</v>
      </c>
      <c r="U87" s="53">
        <f>IFERROR(__xludf.DUMMYFUNCTION("(T87-(IFERROR(MIN(FILTER({L87, O87, R87}, ISNUMBER({L87, O87, R87}), {L87, O87, R87} &gt; 0)), """")))/T87"),0.40119760479041916)</f>
        <v>0.4011976048</v>
      </c>
      <c r="V87" s="60">
        <v>300.0</v>
      </c>
      <c r="W87" s="60"/>
    </row>
    <row r="88" ht="22.5" customHeight="1">
      <c r="A88" s="61" t="str">
        <f t="shared" si="2"/>
        <v>R-TP-UNKNOWN-X-20,5 x 11,5 x 30</v>
      </c>
      <c r="B88" s="34" t="s">
        <v>387</v>
      </c>
      <c r="C88" s="34" t="s">
        <v>127</v>
      </c>
      <c r="D88" s="37" t="s">
        <v>149</v>
      </c>
      <c r="E88" s="38" t="s">
        <v>435</v>
      </c>
      <c r="F88" s="49" t="s">
        <v>36</v>
      </c>
      <c r="G88" s="37" t="s">
        <v>436</v>
      </c>
      <c r="H88" s="52" t="s">
        <v>41</v>
      </c>
      <c r="I88" s="34" t="s">
        <v>152</v>
      </c>
      <c r="J88" s="62"/>
      <c r="K88" s="62"/>
      <c r="L88" s="63"/>
      <c r="M88" s="64">
        <v>15000.0</v>
      </c>
      <c r="N88" s="64">
        <v>15000.0</v>
      </c>
      <c r="O88" s="59"/>
      <c r="P88" s="62">
        <v>15000.0</v>
      </c>
      <c r="Q88" s="62">
        <v>15000.0</v>
      </c>
      <c r="R88" s="62">
        <v>4185.0</v>
      </c>
      <c r="S88" s="58">
        <v>0.67</v>
      </c>
      <c r="T88" s="59">
        <f>IFERROR(__xludf.DUMMYFUNCTION("((IFERROR(MIN(FILTER({L88, O88, R88}, ISNUMBER({L88, O88, R88}), {L88, O88, R88} &gt; 0)), """"))*S88)+IFERROR(MIN(FILTER({L88, O88, R88}, ISNUMBER({L88, O88, R88}), {L88, O88, R88} &gt; 0)), """")"),6988.950000000001)</f>
        <v>6988.95</v>
      </c>
      <c r="U88" s="53">
        <f>IFERROR(__xludf.DUMMYFUNCTION("(T88-(IFERROR(MIN(FILTER({L88, O88, R88}, ISNUMBER({L88, O88, R88}), {L88, O88, R88} &gt; 0)), """")))/T88"),0.4011976047904192)</f>
        <v>0.4011976048</v>
      </c>
      <c r="V88" s="60">
        <v>300.0</v>
      </c>
      <c r="W88" s="60"/>
    </row>
    <row r="89" ht="22.5" customHeight="1">
      <c r="A89" s="61" t="str">
        <f t="shared" si="2"/>
        <v>R-TP-UNKNOWN-X-20,5 x 11,5 x 30</v>
      </c>
      <c r="B89" s="34" t="s">
        <v>387</v>
      </c>
      <c r="C89" s="34" t="s">
        <v>127</v>
      </c>
      <c r="D89" s="37" t="s">
        <v>149</v>
      </c>
      <c r="E89" s="38" t="s">
        <v>435</v>
      </c>
      <c r="F89" s="49" t="s">
        <v>36</v>
      </c>
      <c r="G89" s="37" t="s">
        <v>436</v>
      </c>
      <c r="H89" s="52" t="s">
        <v>41</v>
      </c>
      <c r="I89" s="34" t="s">
        <v>152</v>
      </c>
      <c r="J89" s="62"/>
      <c r="K89" s="62"/>
      <c r="L89" s="63"/>
      <c r="M89" s="64">
        <v>20000.0</v>
      </c>
      <c r="N89" s="64">
        <v>20000.0</v>
      </c>
      <c r="O89" s="59"/>
      <c r="P89" s="62">
        <v>20000.0</v>
      </c>
      <c r="Q89" s="62">
        <v>20000.0</v>
      </c>
      <c r="R89" s="62">
        <v>4077.0</v>
      </c>
      <c r="S89" s="58">
        <v>0.67</v>
      </c>
      <c r="T89" s="59">
        <f>IFERROR(__xludf.DUMMYFUNCTION("((IFERROR(MIN(FILTER({L89, O89, R89}, ISNUMBER({L89, O89, R89}), {L89, O89, R89} &gt; 0)), """"))*S89)+IFERROR(MIN(FILTER({L89, O89, R89}, ISNUMBER({L89, O89, R89}), {L89, O89, R89} &gt; 0)), """")"),6808.59)</f>
        <v>6808.59</v>
      </c>
      <c r="U89" s="53">
        <f>IFERROR(__xludf.DUMMYFUNCTION("(T89-(IFERROR(MIN(FILTER({L89, O89, R89}, ISNUMBER({L89, O89, R89}), {L89, O89, R89} &gt; 0)), """")))/T89"),0.40119760479041916)</f>
        <v>0.4011976048</v>
      </c>
      <c r="V89" s="60">
        <v>300.0</v>
      </c>
      <c r="W89" s="60"/>
    </row>
    <row r="90" ht="22.5" customHeight="1">
      <c r="A90" s="61" t="str">
        <f t="shared" si="2"/>
        <v>R-TP-UNKNOWN-X-20,5 x 11,5 x 30</v>
      </c>
      <c r="B90" s="34" t="s">
        <v>387</v>
      </c>
      <c r="C90" s="34" t="s">
        <v>127</v>
      </c>
      <c r="D90" s="37" t="s">
        <v>149</v>
      </c>
      <c r="E90" s="38" t="s">
        <v>435</v>
      </c>
      <c r="F90" s="49" t="s">
        <v>46</v>
      </c>
      <c r="G90" s="37" t="s">
        <v>464</v>
      </c>
      <c r="H90" s="52" t="s">
        <v>41</v>
      </c>
      <c r="I90" s="34" t="s">
        <v>152</v>
      </c>
      <c r="J90" s="62">
        <v>25000.0</v>
      </c>
      <c r="K90" s="62">
        <v>25000.0</v>
      </c>
      <c r="L90" s="62">
        <v>1600.0</v>
      </c>
      <c r="M90" s="64">
        <v>25000.0</v>
      </c>
      <c r="N90" s="64">
        <v>25000.0</v>
      </c>
      <c r="O90" s="64"/>
      <c r="P90" s="62">
        <v>25000.0</v>
      </c>
      <c r="Q90" s="62">
        <v>25000.0</v>
      </c>
      <c r="R90" s="62"/>
      <c r="S90" s="58">
        <v>0.67</v>
      </c>
      <c r="T90" s="59">
        <f>IFERROR(__xludf.DUMMYFUNCTION("((IFERROR(MIN(FILTER({L90, O90, R90}, ISNUMBER({L90, O90, R90}), {L90, O90, R90} &gt; 0)), """"))*S90)+IFERROR(MIN(FILTER({L90, O90, R90}, ISNUMBER({L90, O90, R90}), {L90, O90, R90} &gt; 0)), """")"),2672.0)</f>
        <v>2672</v>
      </c>
      <c r="U90" s="53">
        <f>IFERROR(__xludf.DUMMYFUNCTION("(T90-(IFERROR(MIN(FILTER({L90, O90, R90}, ISNUMBER({L90, O90, R90}), {L90, O90, R90} &gt; 0)), """")))/T90"),0.40119760479041916)</f>
        <v>0.4011976048</v>
      </c>
      <c r="V90" s="60">
        <v>300.0</v>
      </c>
      <c r="W90" s="60"/>
    </row>
    <row r="91" ht="22.5" customHeight="1">
      <c r="A91" s="61" t="str">
        <f t="shared" si="2"/>
        <v>R-TP-UNKNOWN-X-20,5 x 11,5 x 30</v>
      </c>
      <c r="B91" s="34" t="s">
        <v>387</v>
      </c>
      <c r="C91" s="34" t="s">
        <v>127</v>
      </c>
      <c r="D91" s="37" t="s">
        <v>149</v>
      </c>
      <c r="E91" s="38" t="s">
        <v>435</v>
      </c>
      <c r="F91" s="49" t="s">
        <v>46</v>
      </c>
      <c r="G91" s="37" t="s">
        <v>464</v>
      </c>
      <c r="H91" s="52" t="s">
        <v>41</v>
      </c>
      <c r="I91" s="34" t="s">
        <v>152</v>
      </c>
      <c r="J91" s="62">
        <v>50000.0</v>
      </c>
      <c r="K91" s="62">
        <v>50000.0</v>
      </c>
      <c r="L91" s="62">
        <v>1500.0</v>
      </c>
      <c r="M91" s="64">
        <v>50000.0</v>
      </c>
      <c r="N91" s="64">
        <v>50000.0</v>
      </c>
      <c r="O91" s="64"/>
      <c r="P91" s="62">
        <v>50000.0</v>
      </c>
      <c r="Q91" s="62">
        <v>50000.0</v>
      </c>
      <c r="R91" s="62"/>
      <c r="S91" s="58">
        <v>0.67</v>
      </c>
      <c r="T91" s="59">
        <f>IFERROR(__xludf.DUMMYFUNCTION("((IFERROR(MIN(FILTER({L91, O91, R91}, ISNUMBER({L91, O91, R91}), {L91, O91, R91} &gt; 0)), """"))*S91)+IFERROR(MIN(FILTER({L91, O91, R91}, ISNUMBER({L91, O91, R91}), {L91, O91, R91} &gt; 0)), """")"),2505.0)</f>
        <v>2505</v>
      </c>
      <c r="U91" s="53">
        <f>IFERROR(__xludf.DUMMYFUNCTION("(T91-(IFERROR(MIN(FILTER({L91, O91, R91}, ISNUMBER({L91, O91, R91}), {L91, O91, R91} &gt; 0)), """")))/T91"),0.40119760479041916)</f>
        <v>0.4011976048</v>
      </c>
      <c r="V91" s="60">
        <v>300.0</v>
      </c>
      <c r="W91" s="60"/>
    </row>
    <row r="92" ht="22.5" customHeight="1">
      <c r="A92" s="61" t="str">
        <f t="shared" si="2"/>
        <v>R-TP-UNKNOWN-X-20,5 x 11,5 x 30</v>
      </c>
      <c r="B92" s="34" t="s">
        <v>387</v>
      </c>
      <c r="C92" s="34" t="s">
        <v>127</v>
      </c>
      <c r="D92" s="37" t="s">
        <v>149</v>
      </c>
      <c r="E92" s="38" t="s">
        <v>435</v>
      </c>
      <c r="F92" s="49" t="s">
        <v>46</v>
      </c>
      <c r="G92" s="37" t="s">
        <v>464</v>
      </c>
      <c r="H92" s="52" t="s">
        <v>41</v>
      </c>
      <c r="I92" s="34" t="s">
        <v>152</v>
      </c>
      <c r="J92" s="62"/>
      <c r="K92" s="62"/>
      <c r="L92" s="63"/>
      <c r="M92" s="64">
        <v>5000.0</v>
      </c>
      <c r="N92" s="64">
        <v>5000.0</v>
      </c>
      <c r="O92" s="59"/>
      <c r="P92" s="62">
        <v>5000.0</v>
      </c>
      <c r="Q92" s="62">
        <v>5000.0</v>
      </c>
      <c r="R92" s="62">
        <v>4406.0</v>
      </c>
      <c r="S92" s="58">
        <v>0.67</v>
      </c>
      <c r="T92" s="59">
        <f>IFERROR(__xludf.DUMMYFUNCTION("((IFERROR(MIN(FILTER({L92, O92, R92}, ISNUMBER({L92, O92, R92}), {L92, O92, R92} &gt; 0)), """"))*S92)+IFERROR(MIN(FILTER({L92, O92, R92}, ISNUMBER({L92, O92, R92}), {L92, O92, R92} &gt; 0)), """")"),7358.02)</f>
        <v>7358.02</v>
      </c>
      <c r="U92" s="53">
        <f>IFERROR(__xludf.DUMMYFUNCTION("(T92-(IFERROR(MIN(FILTER({L92, O92, R92}, ISNUMBER({L92, O92, R92}), {L92, O92, R92} &gt; 0)), """")))/T92"),0.4011976047904192)</f>
        <v>0.4011976048</v>
      </c>
      <c r="V92" s="60">
        <v>300.0</v>
      </c>
      <c r="W92" s="60"/>
    </row>
    <row r="93" ht="22.5" customHeight="1">
      <c r="A93" s="61" t="str">
        <f t="shared" si="2"/>
        <v>R-TP-UNKNOWN-X-20,5 x 11,5 x 30</v>
      </c>
      <c r="B93" s="34" t="s">
        <v>387</v>
      </c>
      <c r="C93" s="34" t="s">
        <v>127</v>
      </c>
      <c r="D93" s="37" t="s">
        <v>149</v>
      </c>
      <c r="E93" s="38" t="s">
        <v>435</v>
      </c>
      <c r="F93" s="49" t="s">
        <v>46</v>
      </c>
      <c r="G93" s="37" t="s">
        <v>464</v>
      </c>
      <c r="H93" s="52" t="s">
        <v>41</v>
      </c>
      <c r="I93" s="34" t="s">
        <v>152</v>
      </c>
      <c r="J93" s="62"/>
      <c r="K93" s="62"/>
      <c r="L93" s="63"/>
      <c r="M93" s="64">
        <v>10000.0</v>
      </c>
      <c r="N93" s="64">
        <v>10000.0</v>
      </c>
      <c r="O93" s="59"/>
      <c r="P93" s="62">
        <v>10000.0</v>
      </c>
      <c r="Q93" s="62">
        <v>10000.0</v>
      </c>
      <c r="R93" s="62">
        <v>4044.0</v>
      </c>
      <c r="S93" s="58">
        <v>0.67</v>
      </c>
      <c r="T93" s="59">
        <f>IFERROR(__xludf.DUMMYFUNCTION("((IFERROR(MIN(FILTER({L93, O93, R93}, ISNUMBER({L93, O93, R93}), {L93, O93, R93} &gt; 0)), """"))*S93)+IFERROR(MIN(FILTER({L93, O93, R93}, ISNUMBER({L93, O93, R93}), {L93, O93, R93} &gt; 0)), """")"),6753.48)</f>
        <v>6753.48</v>
      </c>
      <c r="U93" s="53">
        <f>IFERROR(__xludf.DUMMYFUNCTION("(T93-(IFERROR(MIN(FILTER({L93, O93, R93}, ISNUMBER({L93, O93, R93}), {L93, O93, R93} &gt; 0)), """")))/T93"),0.4011976047904191)</f>
        <v>0.4011976048</v>
      </c>
      <c r="V93" s="60">
        <v>300.0</v>
      </c>
      <c r="W93" s="60"/>
    </row>
    <row r="94" ht="22.5" customHeight="1">
      <c r="A94" s="61" t="str">
        <f t="shared" si="2"/>
        <v>R-TP-UNKNOWN-X-20,5 x 11,5 x 30</v>
      </c>
      <c r="B94" s="34" t="s">
        <v>387</v>
      </c>
      <c r="C94" s="34" t="s">
        <v>127</v>
      </c>
      <c r="D94" s="37" t="s">
        <v>149</v>
      </c>
      <c r="E94" s="38" t="s">
        <v>435</v>
      </c>
      <c r="F94" s="49" t="s">
        <v>46</v>
      </c>
      <c r="G94" s="37" t="s">
        <v>464</v>
      </c>
      <c r="H94" s="52" t="s">
        <v>41</v>
      </c>
      <c r="I94" s="34" t="s">
        <v>152</v>
      </c>
      <c r="J94" s="62"/>
      <c r="K94" s="62"/>
      <c r="L94" s="63"/>
      <c r="M94" s="64">
        <v>15000.0</v>
      </c>
      <c r="N94" s="64">
        <v>15000.0</v>
      </c>
      <c r="O94" s="59"/>
      <c r="P94" s="62">
        <v>15000.0</v>
      </c>
      <c r="Q94" s="62">
        <v>15000.0</v>
      </c>
      <c r="R94" s="62">
        <v>3949.0</v>
      </c>
      <c r="S94" s="58">
        <v>0.67</v>
      </c>
      <c r="T94" s="59">
        <f>IFERROR(__xludf.DUMMYFUNCTION("((IFERROR(MIN(FILTER({L94, O94, R94}, ISNUMBER({L94, O94, R94}), {L94, O94, R94} &gt; 0)), """"))*S94)+IFERROR(MIN(FILTER({L94, O94, R94}, ISNUMBER({L94, O94, R94}), {L94, O94, R94} &gt; 0)), """")"),6594.83)</f>
        <v>6594.83</v>
      </c>
      <c r="U94" s="53">
        <f>IFERROR(__xludf.DUMMYFUNCTION("(T94-(IFERROR(MIN(FILTER({L94, O94, R94}, ISNUMBER({L94, O94, R94}), {L94, O94, R94} &gt; 0)), """")))/T94"),0.40119760479041916)</f>
        <v>0.4011976048</v>
      </c>
      <c r="V94" s="60">
        <v>300.0</v>
      </c>
      <c r="W94" s="60"/>
    </row>
    <row r="95" ht="22.5" customHeight="1">
      <c r="A95" s="61" t="str">
        <f t="shared" si="2"/>
        <v>R-TP-UNKNOWN-X-20,5 x 11,5 x 30</v>
      </c>
      <c r="B95" s="34" t="s">
        <v>387</v>
      </c>
      <c r="C95" s="34" t="s">
        <v>127</v>
      </c>
      <c r="D95" s="37" t="s">
        <v>149</v>
      </c>
      <c r="E95" s="38" t="s">
        <v>435</v>
      </c>
      <c r="F95" s="49" t="s">
        <v>46</v>
      </c>
      <c r="G95" s="37" t="s">
        <v>464</v>
      </c>
      <c r="H95" s="52" t="s">
        <v>41</v>
      </c>
      <c r="I95" s="34" t="s">
        <v>152</v>
      </c>
      <c r="J95" s="62"/>
      <c r="K95" s="62"/>
      <c r="L95" s="63"/>
      <c r="M95" s="64">
        <v>20000.0</v>
      </c>
      <c r="N95" s="64">
        <v>20000.0</v>
      </c>
      <c r="O95" s="59"/>
      <c r="P95" s="62">
        <v>20000.0</v>
      </c>
      <c r="Q95" s="62">
        <v>20000.0</v>
      </c>
      <c r="R95" s="62">
        <v>3921.0</v>
      </c>
      <c r="S95" s="58">
        <v>0.67</v>
      </c>
      <c r="T95" s="59">
        <f>IFERROR(__xludf.DUMMYFUNCTION("((IFERROR(MIN(FILTER({L95, O95, R95}, ISNUMBER({L95, O95, R95}), {L95, O95, R95} &gt; 0)), """"))*S95)+IFERROR(MIN(FILTER({L95, O95, R95}, ISNUMBER({L95, O95, R95}), {L95, O95, R95} &gt; 0)), """")"),6548.07)</f>
        <v>6548.07</v>
      </c>
      <c r="U95" s="53">
        <f>IFERROR(__xludf.DUMMYFUNCTION("(T95-(IFERROR(MIN(FILTER({L95, O95, R95}, ISNUMBER({L95, O95, R95}), {L95, O95, R95} &gt; 0)), """")))/T95"),0.40119760479041916)</f>
        <v>0.4011976048</v>
      </c>
      <c r="V95" s="60">
        <v>300.0</v>
      </c>
      <c r="W95" s="60"/>
    </row>
    <row r="96" ht="22.5" customHeight="1">
      <c r="A96" s="61" t="str">
        <f t="shared" si="2"/>
        <v>R-TP-UNKNOWN-X-24 x 15 x 28,5</v>
      </c>
      <c r="B96" s="34" t="s">
        <v>264</v>
      </c>
      <c r="C96" s="34" t="s">
        <v>127</v>
      </c>
      <c r="D96" s="37" t="s">
        <v>149</v>
      </c>
      <c r="E96" s="38" t="s">
        <v>489</v>
      </c>
      <c r="F96" s="49" t="s">
        <v>55</v>
      </c>
      <c r="G96" s="37" t="s">
        <v>108</v>
      </c>
      <c r="H96" s="52" t="s">
        <v>41</v>
      </c>
      <c r="I96" s="34" t="s">
        <v>266</v>
      </c>
      <c r="J96" s="62"/>
      <c r="K96" s="62"/>
      <c r="L96" s="63"/>
      <c r="M96" s="64">
        <v>10000.0</v>
      </c>
      <c r="N96" s="64">
        <v>10000.0</v>
      </c>
      <c r="O96" s="59"/>
      <c r="P96" s="62">
        <v>10000.0</v>
      </c>
      <c r="Q96" s="62">
        <v>10000.0</v>
      </c>
      <c r="R96" s="62">
        <v>4843.0</v>
      </c>
      <c r="S96" s="58">
        <v>0.67</v>
      </c>
      <c r="T96" s="59">
        <f>IFERROR(__xludf.DUMMYFUNCTION("((IFERROR(MIN(FILTER({L96, O96, R96}, ISNUMBER({L96, O96, R96}), {L96, O96, R96} &gt; 0)), """"))*S96)+IFERROR(MIN(FILTER({L96, O96, R96}, ISNUMBER({L96, O96, R96}), {L96, O96, R96} &gt; 0)), """")"),8087.81)</f>
        <v>8087.81</v>
      </c>
      <c r="U96" s="53">
        <f>IFERROR(__xludf.DUMMYFUNCTION("(T96-(IFERROR(MIN(FILTER({L96, O96, R96}, ISNUMBER({L96, O96, R96}), {L96, O96, R96} &gt; 0)), """")))/T96"),0.4011976047904192)</f>
        <v>0.4011976048</v>
      </c>
      <c r="V96" s="60">
        <v>300.0</v>
      </c>
      <c r="W96" s="60"/>
    </row>
    <row r="97" ht="22.5" customHeight="1">
      <c r="A97" s="61" t="str">
        <f t="shared" si="2"/>
        <v>R-TP-UNKNOWN-X-24 x 15 x 28,5</v>
      </c>
      <c r="B97" s="34" t="s">
        <v>264</v>
      </c>
      <c r="C97" s="34" t="s">
        <v>127</v>
      </c>
      <c r="D97" s="37" t="s">
        <v>149</v>
      </c>
      <c r="E97" s="38" t="s">
        <v>489</v>
      </c>
      <c r="F97" s="49" t="s">
        <v>55</v>
      </c>
      <c r="G97" s="37" t="s">
        <v>108</v>
      </c>
      <c r="H97" s="52" t="s">
        <v>41</v>
      </c>
      <c r="I97" s="34" t="s">
        <v>266</v>
      </c>
      <c r="J97" s="62"/>
      <c r="K97" s="62"/>
      <c r="L97" s="63"/>
      <c r="M97" s="64">
        <v>15000.0</v>
      </c>
      <c r="N97" s="64">
        <v>15000.0</v>
      </c>
      <c r="O97" s="59"/>
      <c r="P97" s="62">
        <v>15000.0</v>
      </c>
      <c r="Q97" s="62">
        <v>15000.0</v>
      </c>
      <c r="R97" s="62">
        <v>4769.0</v>
      </c>
      <c r="S97" s="58">
        <v>0.67</v>
      </c>
      <c r="T97" s="59">
        <f>IFERROR(__xludf.DUMMYFUNCTION("((IFERROR(MIN(FILTER({L97, O97, R97}, ISNUMBER({L97, O97, R97}), {L97, O97, R97} &gt; 0)), """"))*S97)+IFERROR(MIN(FILTER({L97, O97, R97}, ISNUMBER({L97, O97, R97}), {L97, O97, R97} &gt; 0)), """")"),7964.23)</f>
        <v>7964.23</v>
      </c>
      <c r="U97" s="53">
        <f>IFERROR(__xludf.DUMMYFUNCTION("(T97-(IFERROR(MIN(FILTER({L97, O97, R97}, ISNUMBER({L97, O97, R97}), {L97, O97, R97} &gt; 0)), """")))/T97"),0.4011976047904191)</f>
        <v>0.4011976048</v>
      </c>
      <c r="V97" s="60">
        <v>300.0</v>
      </c>
      <c r="W97" s="60"/>
    </row>
    <row r="98" ht="22.5" customHeight="1">
      <c r="A98" s="61" t="str">
        <f t="shared" si="2"/>
        <v>R-TP-UNKNOWN-X-24 x 15 x 28,5</v>
      </c>
      <c r="B98" s="34" t="s">
        <v>264</v>
      </c>
      <c r="C98" s="34" t="s">
        <v>127</v>
      </c>
      <c r="D98" s="37" t="s">
        <v>149</v>
      </c>
      <c r="E98" s="38" t="s">
        <v>489</v>
      </c>
      <c r="F98" s="49" t="s">
        <v>55</v>
      </c>
      <c r="G98" s="37" t="s">
        <v>108</v>
      </c>
      <c r="H98" s="52" t="s">
        <v>41</v>
      </c>
      <c r="I98" s="34" t="s">
        <v>266</v>
      </c>
      <c r="J98" s="62">
        <v>25000.0</v>
      </c>
      <c r="K98" s="62">
        <v>25000.0</v>
      </c>
      <c r="L98" s="63"/>
      <c r="M98" s="64">
        <v>25000.0</v>
      </c>
      <c r="N98" s="64">
        <v>25000.0</v>
      </c>
      <c r="O98" s="59"/>
      <c r="P98" s="62">
        <v>25000.0</v>
      </c>
      <c r="Q98" s="62">
        <v>25000.0</v>
      </c>
      <c r="R98" s="62">
        <v>4710.0</v>
      </c>
      <c r="S98" s="58">
        <v>0.67</v>
      </c>
      <c r="T98" s="59">
        <f>IFERROR(__xludf.DUMMYFUNCTION("((IFERROR(MIN(FILTER({L98, O98, R98}, ISNUMBER({L98, O98, R98}), {L98, O98, R98} &gt; 0)), """"))*S98)+IFERROR(MIN(FILTER({L98, O98, R98}, ISNUMBER({L98, O98, R98}), {L98, O98, R98} &gt; 0)), """")"),7865.700000000001)</f>
        <v>7865.7</v>
      </c>
      <c r="U98" s="53">
        <f>IFERROR(__xludf.DUMMYFUNCTION("(T98-(IFERROR(MIN(FILTER({L98, O98, R98}, ISNUMBER({L98, O98, R98}), {L98, O98, R98} &gt; 0)), """")))/T98"),0.4011976047904192)</f>
        <v>0.4011976048</v>
      </c>
      <c r="V98" s="60">
        <v>300.0</v>
      </c>
      <c r="W98" s="60"/>
    </row>
    <row r="99" ht="22.5" customHeight="1">
      <c r="A99" s="61" t="str">
        <f t="shared" si="2"/>
        <v>R-TP-UNKNOWN-X-19,5 x 10,5 x 28</v>
      </c>
      <c r="B99" s="34" t="s">
        <v>264</v>
      </c>
      <c r="C99" s="34" t="s">
        <v>127</v>
      </c>
      <c r="D99" s="37" t="s">
        <v>149</v>
      </c>
      <c r="E99" s="38" t="s">
        <v>508</v>
      </c>
      <c r="F99" s="49" t="s">
        <v>55</v>
      </c>
      <c r="G99" s="37" t="s">
        <v>108</v>
      </c>
      <c r="H99" s="52" t="s">
        <v>41</v>
      </c>
      <c r="I99" s="34" t="s">
        <v>266</v>
      </c>
      <c r="J99" s="62"/>
      <c r="K99" s="62"/>
      <c r="L99" s="63"/>
      <c r="M99" s="64">
        <v>10000.0</v>
      </c>
      <c r="N99" s="64">
        <v>10000.0</v>
      </c>
      <c r="O99" s="59"/>
      <c r="P99" s="62">
        <v>10000.0</v>
      </c>
      <c r="Q99" s="62">
        <v>10000.0</v>
      </c>
      <c r="R99" s="62">
        <v>4327.0</v>
      </c>
      <c r="S99" s="58">
        <v>0.67</v>
      </c>
      <c r="T99" s="59">
        <f>IFERROR(__xludf.DUMMYFUNCTION("((IFERROR(MIN(FILTER({L99, O99, R99}, ISNUMBER({L99, O99, R99}), {L99, O99, R99} &gt; 0)), """"))*S99)+IFERROR(MIN(FILTER({L99, O99, R99}, ISNUMBER({L99, O99, R99}), {L99, O99, R99} &gt; 0)), """")"),7226.09)</f>
        <v>7226.09</v>
      </c>
      <c r="U99" s="53">
        <f>IFERROR(__xludf.DUMMYFUNCTION("(T99-(IFERROR(MIN(FILTER({L99, O99, R99}, ISNUMBER({L99, O99, R99}), {L99, O99, R99} &gt; 0)), """")))/T99"),0.40119760479041916)</f>
        <v>0.4011976048</v>
      </c>
      <c r="V99" s="60">
        <v>300.0</v>
      </c>
      <c r="W99" s="60"/>
    </row>
    <row r="100" ht="22.5" customHeight="1">
      <c r="A100" s="61" t="str">
        <f t="shared" si="2"/>
        <v>R-TP-UNKNOWN-X-19,5 x 10,5 x 28</v>
      </c>
      <c r="B100" s="34" t="s">
        <v>264</v>
      </c>
      <c r="C100" s="34" t="s">
        <v>127</v>
      </c>
      <c r="D100" s="37" t="s">
        <v>149</v>
      </c>
      <c r="E100" s="38" t="s">
        <v>508</v>
      </c>
      <c r="F100" s="49" t="s">
        <v>55</v>
      </c>
      <c r="G100" s="37" t="s">
        <v>108</v>
      </c>
      <c r="H100" s="52" t="s">
        <v>41</v>
      </c>
      <c r="I100" s="34" t="s">
        <v>266</v>
      </c>
      <c r="J100" s="62"/>
      <c r="K100" s="62"/>
      <c r="L100" s="63"/>
      <c r="M100" s="64">
        <v>15000.0</v>
      </c>
      <c r="N100" s="64">
        <v>15000.0</v>
      </c>
      <c r="O100" s="59"/>
      <c r="P100" s="62">
        <v>15000.0</v>
      </c>
      <c r="Q100" s="62">
        <v>15000.0</v>
      </c>
      <c r="R100" s="62">
        <v>4323.0</v>
      </c>
      <c r="S100" s="58">
        <v>0.67</v>
      </c>
      <c r="T100" s="59">
        <f>IFERROR(__xludf.DUMMYFUNCTION("((IFERROR(MIN(FILTER({L100, O100, R100}, ISNUMBER({L100, O100, R100}), {L100, O100, R100} &gt; 0)), """"))*S100)+IFERROR(MIN(FILTER({L100, O100, R100}, ISNUMBER({L100, O100, R100}), {L100, O100, R100} &gt; 0)), """")"),7219.41)</f>
        <v>7219.41</v>
      </c>
      <c r="U100" s="53">
        <f>IFERROR(__xludf.DUMMYFUNCTION("(T100-(IFERROR(MIN(FILTER({L100, O100, R100}, ISNUMBER({L100, O100, R100}), {L100, O100, R100} &gt; 0)), """")))/T100"),0.40119760479041916)</f>
        <v>0.4011976048</v>
      </c>
      <c r="V100" s="60">
        <v>300.0</v>
      </c>
      <c r="W100" s="60"/>
    </row>
    <row r="101" ht="22.5" customHeight="1">
      <c r="A101" s="61" t="str">
        <f t="shared" si="2"/>
        <v>R-TP-UNKNOWN-X-19,5 x 10,5 x 28</v>
      </c>
      <c r="B101" s="34" t="s">
        <v>264</v>
      </c>
      <c r="C101" s="34" t="s">
        <v>127</v>
      </c>
      <c r="D101" s="37" t="s">
        <v>149</v>
      </c>
      <c r="E101" s="38" t="s">
        <v>508</v>
      </c>
      <c r="F101" s="49" t="s">
        <v>55</v>
      </c>
      <c r="G101" s="37" t="s">
        <v>108</v>
      </c>
      <c r="H101" s="52" t="s">
        <v>41</v>
      </c>
      <c r="I101" s="34" t="s">
        <v>266</v>
      </c>
      <c r="J101" s="62">
        <v>25000.0</v>
      </c>
      <c r="K101" s="62">
        <v>25000.0</v>
      </c>
      <c r="L101" s="63"/>
      <c r="M101" s="64">
        <v>25000.0</v>
      </c>
      <c r="N101" s="64">
        <v>25000.0</v>
      </c>
      <c r="O101" s="59"/>
      <c r="P101" s="62">
        <v>25000.0</v>
      </c>
      <c r="Q101" s="62">
        <v>25000.0</v>
      </c>
      <c r="R101" s="62">
        <v>4159.0</v>
      </c>
      <c r="S101" s="58">
        <v>0.67</v>
      </c>
      <c r="T101" s="59">
        <f>IFERROR(__xludf.DUMMYFUNCTION("((IFERROR(MIN(FILTER({L101, O101, R101}, ISNUMBER({L101, O101, R101}), {L101, O101, R101} &gt; 0)), """"))*S101)+IFERROR(MIN(FILTER({L101, O101, R101}, ISNUMBER({L101, O101, R101}), {L101, O101, R101} &gt; 0)), """")"),6945.530000000001)</f>
        <v>6945.53</v>
      </c>
      <c r="U101" s="53">
        <f>IFERROR(__xludf.DUMMYFUNCTION("(T101-(IFERROR(MIN(FILTER({L101, O101, R101}, ISNUMBER({L101, O101, R101}), {L101, O101, R101} &gt; 0)), """")))/T101"),0.4011976047904192)</f>
        <v>0.4011976048</v>
      </c>
      <c r="V101" s="60">
        <v>300.0</v>
      </c>
      <c r="W101" s="60"/>
    </row>
    <row r="102" ht="22.5" customHeight="1">
      <c r="A102" s="61" t="str">
        <f t="shared" si="2"/>
        <v>R-TP-UNKNOWN-X-20 x 13 x 28</v>
      </c>
      <c r="B102" s="34" t="s">
        <v>518</v>
      </c>
      <c r="C102" s="34" t="s">
        <v>127</v>
      </c>
      <c r="D102" s="37" t="s">
        <v>149</v>
      </c>
      <c r="E102" s="38" t="s">
        <v>519</v>
      </c>
      <c r="F102" s="49" t="s">
        <v>55</v>
      </c>
      <c r="G102" s="37" t="s">
        <v>108</v>
      </c>
      <c r="H102" s="52" t="s">
        <v>41</v>
      </c>
      <c r="I102" s="34" t="s">
        <v>152</v>
      </c>
      <c r="J102" s="62">
        <v>25000.0</v>
      </c>
      <c r="K102" s="62">
        <v>25000.0</v>
      </c>
      <c r="L102" s="62">
        <v>1600.0</v>
      </c>
      <c r="M102" s="64">
        <v>25000.0</v>
      </c>
      <c r="N102" s="64">
        <v>25000.0</v>
      </c>
      <c r="O102" s="64"/>
      <c r="P102" s="62">
        <v>25000.0</v>
      </c>
      <c r="Q102" s="62">
        <v>25000.0</v>
      </c>
      <c r="R102" s="62"/>
      <c r="S102" s="58">
        <v>0.67</v>
      </c>
      <c r="T102" s="59">
        <f>IFERROR(__xludf.DUMMYFUNCTION("((IFERROR(MIN(FILTER({L102, O102, R102}, ISNUMBER({L102, O102, R102}), {L102, O102, R102} &gt; 0)), """"))*S102)+IFERROR(MIN(FILTER({L102, O102, R102}, ISNUMBER({L102, O102, R102}), {L102, O102, R102} &gt; 0)), """")"),2672.0)</f>
        <v>2672</v>
      </c>
      <c r="U102" s="53">
        <f>IFERROR(__xludf.DUMMYFUNCTION("(T102-(IFERROR(MIN(FILTER({L102, O102, R102}, ISNUMBER({L102, O102, R102}), {L102, O102, R102} &gt; 0)), """")))/T102"),0.40119760479041916)</f>
        <v>0.4011976048</v>
      </c>
      <c r="V102" s="60">
        <v>300.0</v>
      </c>
      <c r="W102" s="60"/>
    </row>
    <row r="103" ht="22.5" customHeight="1">
      <c r="A103" s="61" t="str">
        <f t="shared" si="2"/>
        <v>R-TP-UNKNOWN-X-25 x 12 x 24</v>
      </c>
      <c r="B103" s="34" t="s">
        <v>523</v>
      </c>
      <c r="C103" s="34" t="s">
        <v>127</v>
      </c>
      <c r="D103" s="37" t="s">
        <v>149</v>
      </c>
      <c r="E103" s="38" t="s">
        <v>525</v>
      </c>
      <c r="F103" s="49" t="s">
        <v>46</v>
      </c>
      <c r="G103" s="37" t="s">
        <v>526</v>
      </c>
      <c r="H103" s="52" t="s">
        <v>41</v>
      </c>
      <c r="I103" s="34" t="s">
        <v>152</v>
      </c>
      <c r="J103" s="62"/>
      <c r="K103" s="62"/>
      <c r="L103" s="63"/>
      <c r="M103" s="64">
        <v>1000.0</v>
      </c>
      <c r="N103" s="64">
        <v>1000.0</v>
      </c>
      <c r="O103" s="59"/>
      <c r="P103" s="62">
        <v>1000.0</v>
      </c>
      <c r="Q103" s="62">
        <v>1000.0</v>
      </c>
      <c r="R103" s="62">
        <v>7563.0</v>
      </c>
      <c r="S103" s="58">
        <v>0.67</v>
      </c>
      <c r="T103" s="59">
        <f>IFERROR(__xludf.DUMMYFUNCTION("((IFERROR(MIN(FILTER({L103, O103, R103}, ISNUMBER({L103, O103, R103}), {L103, O103, R103} &gt; 0)), """"))*S103)+IFERROR(MIN(FILTER({L103, O103, R103}, ISNUMBER({L103, O103, R103}), {L103, O103, R103} &gt; 0)), """")"),12630.21)</f>
        <v>12630.21</v>
      </c>
      <c r="U103" s="53">
        <f>IFERROR(__xludf.DUMMYFUNCTION("(T103-(IFERROR(MIN(FILTER({L103, O103, R103}, ISNUMBER({L103, O103, R103}), {L103, O103, R103} &gt; 0)), """")))/T103"),0.4011976047904191)</f>
        <v>0.4011976048</v>
      </c>
      <c r="V103" s="60">
        <v>300.0</v>
      </c>
      <c r="W103" s="60"/>
    </row>
    <row r="104" ht="22.5" customHeight="1">
      <c r="A104" s="61" t="str">
        <f t="shared" si="2"/>
        <v>R-TP-UNKNOWN-X-37 x 14 x 28</v>
      </c>
      <c r="B104" s="34" t="s">
        <v>217</v>
      </c>
      <c r="C104" s="34" t="s">
        <v>127</v>
      </c>
      <c r="D104" s="37" t="s">
        <v>139</v>
      </c>
      <c r="E104" s="38" t="s">
        <v>221</v>
      </c>
      <c r="F104" s="49" t="s">
        <v>55</v>
      </c>
      <c r="G104" s="37" t="s">
        <v>108</v>
      </c>
      <c r="H104" s="52" t="s">
        <v>41</v>
      </c>
      <c r="I104" s="34" t="s">
        <v>59</v>
      </c>
      <c r="J104" s="62"/>
      <c r="K104" s="62"/>
      <c r="L104" s="63"/>
      <c r="M104" s="64">
        <v>2000.0</v>
      </c>
      <c r="N104" s="64">
        <v>2000.0</v>
      </c>
      <c r="O104" s="59"/>
      <c r="P104" s="62">
        <v>2000.0</v>
      </c>
      <c r="Q104" s="62">
        <v>2000.0</v>
      </c>
      <c r="R104" s="62">
        <v>4665.0</v>
      </c>
      <c r="S104" s="58">
        <v>0.67</v>
      </c>
      <c r="T104" s="59">
        <f>IFERROR(__xludf.DUMMYFUNCTION("((IFERROR(MIN(FILTER({L104, O104, R104}, ISNUMBER({L104, O104, R104}), {L104, O104, R104} &gt; 0)), """"))*S104)+IFERROR(MIN(FILTER({L104, O104, R104}, ISNUMBER({L104, O104, R104}), {L104, O104, R104} &gt; 0)), """")"),7790.55)</f>
        <v>7790.55</v>
      </c>
      <c r="U104" s="53">
        <f>IFERROR(__xludf.DUMMYFUNCTION("(T104-(IFERROR(MIN(FILTER({L104, O104, R104}, ISNUMBER({L104, O104, R104}), {L104, O104, R104} &gt; 0)), """")))/T104"),0.40119760479041916)</f>
        <v>0.4011976048</v>
      </c>
      <c r="V104" s="60">
        <v>300.0</v>
      </c>
      <c r="W104" s="60"/>
    </row>
    <row r="105" ht="22.5" customHeight="1">
      <c r="A105" s="61" t="str">
        <f t="shared" si="2"/>
        <v>R-TP-UNKNOWN-X-37 x 14 x 28</v>
      </c>
      <c r="B105" s="34" t="s">
        <v>217</v>
      </c>
      <c r="C105" s="34" t="s">
        <v>127</v>
      </c>
      <c r="D105" s="37" t="s">
        <v>139</v>
      </c>
      <c r="E105" s="38" t="s">
        <v>221</v>
      </c>
      <c r="F105" s="49" t="s">
        <v>55</v>
      </c>
      <c r="G105" s="37" t="s">
        <v>108</v>
      </c>
      <c r="H105" s="52" t="s">
        <v>41</v>
      </c>
      <c r="I105" s="34" t="s">
        <v>59</v>
      </c>
      <c r="J105" s="62"/>
      <c r="K105" s="62"/>
      <c r="L105" s="63"/>
      <c r="M105" s="64">
        <v>5000.0</v>
      </c>
      <c r="N105" s="64">
        <v>5000.0</v>
      </c>
      <c r="O105" s="59"/>
      <c r="P105" s="62">
        <v>5000.0</v>
      </c>
      <c r="Q105" s="62">
        <v>5000.0</v>
      </c>
      <c r="R105" s="62">
        <v>4059.0</v>
      </c>
      <c r="S105" s="58">
        <v>0.67</v>
      </c>
      <c r="T105" s="59">
        <f>IFERROR(__xludf.DUMMYFUNCTION("((IFERROR(MIN(FILTER({L105, O105, R105}, ISNUMBER({L105, O105, R105}), {L105, O105, R105} &gt; 0)), """"))*S105)+IFERROR(MIN(FILTER({L105, O105, R105}, ISNUMBER({L105, O105, R105}), {L105, O105, R105} &gt; 0)), """")"),6778.530000000001)</f>
        <v>6778.53</v>
      </c>
      <c r="U105" s="53">
        <f>IFERROR(__xludf.DUMMYFUNCTION("(T105-(IFERROR(MIN(FILTER({L105, O105, R105}, ISNUMBER({L105, O105, R105}), {L105, O105, R105} &gt; 0)), """")))/T105"),0.4011976047904192)</f>
        <v>0.4011976048</v>
      </c>
      <c r="V105" s="60">
        <v>300.0</v>
      </c>
      <c r="W105" s="60"/>
    </row>
    <row r="106" ht="22.5" customHeight="1">
      <c r="A106" s="61" t="str">
        <f t="shared" si="2"/>
        <v>R-TP-UNKNOWN-X-24 x 15 x 29</v>
      </c>
      <c r="B106" s="34" t="s">
        <v>430</v>
      </c>
      <c r="C106" s="34" t="s">
        <v>127</v>
      </c>
      <c r="D106" s="37" t="s">
        <v>149</v>
      </c>
      <c r="E106" s="38" t="s">
        <v>530</v>
      </c>
      <c r="F106" s="49" t="s">
        <v>46</v>
      </c>
      <c r="G106" s="37" t="s">
        <v>531</v>
      </c>
      <c r="H106" s="52" t="s">
        <v>41</v>
      </c>
      <c r="I106" s="34" t="s">
        <v>533</v>
      </c>
      <c r="J106" s="62"/>
      <c r="K106" s="62"/>
      <c r="L106" s="63"/>
      <c r="M106" s="64">
        <v>3000.0</v>
      </c>
      <c r="N106" s="64">
        <v>3000.0</v>
      </c>
      <c r="O106" s="59"/>
      <c r="P106" s="62">
        <v>3000.0</v>
      </c>
      <c r="Q106" s="62">
        <v>3000.0</v>
      </c>
      <c r="R106" s="62">
        <v>5495.0</v>
      </c>
      <c r="S106" s="58">
        <v>0.67</v>
      </c>
      <c r="T106" s="59">
        <f>IFERROR(__xludf.DUMMYFUNCTION("((IFERROR(MIN(FILTER({L106, O106, R106}, ISNUMBER({L106, O106, R106}), {L106, O106, R106} &gt; 0)), """"))*S106)+IFERROR(MIN(FILTER({L106, O106, R106}, ISNUMBER({L106, O106, R106}), {L106, O106, R106} &gt; 0)), """")"),9176.65)</f>
        <v>9176.65</v>
      </c>
      <c r="U106" s="53">
        <f>IFERROR(__xludf.DUMMYFUNCTION("(T106-(IFERROR(MIN(FILTER({L106, O106, R106}, ISNUMBER({L106, O106, R106}), {L106, O106, R106} &gt; 0)), """")))/T106"),0.40119760479041916)</f>
        <v>0.4011976048</v>
      </c>
      <c r="V106" s="60">
        <v>300.0</v>
      </c>
      <c r="W106" s="60"/>
    </row>
    <row r="107" ht="22.5" customHeight="1">
      <c r="A107" s="61" t="str">
        <f t="shared" si="2"/>
        <v>R-TP-UNKNOWN-X-24 x 15 x 29</v>
      </c>
      <c r="B107" s="34" t="s">
        <v>430</v>
      </c>
      <c r="C107" s="34" t="s">
        <v>127</v>
      </c>
      <c r="D107" s="37" t="s">
        <v>149</v>
      </c>
      <c r="E107" s="38" t="s">
        <v>530</v>
      </c>
      <c r="F107" s="49" t="s">
        <v>46</v>
      </c>
      <c r="G107" s="37" t="s">
        <v>531</v>
      </c>
      <c r="H107" s="52" t="s">
        <v>41</v>
      </c>
      <c r="I107" s="34" t="s">
        <v>533</v>
      </c>
      <c r="J107" s="62"/>
      <c r="K107" s="62"/>
      <c r="L107" s="63"/>
      <c r="M107" s="64">
        <v>3300.0</v>
      </c>
      <c r="N107" s="64">
        <v>3300.0</v>
      </c>
      <c r="O107" s="59"/>
      <c r="P107" s="62">
        <v>3300.0</v>
      </c>
      <c r="Q107" s="62">
        <v>3300.0</v>
      </c>
      <c r="R107" s="62">
        <v>5287.0</v>
      </c>
      <c r="S107" s="58">
        <v>0.67</v>
      </c>
      <c r="T107" s="59">
        <f>IFERROR(__xludf.DUMMYFUNCTION("((IFERROR(MIN(FILTER({L107, O107, R107}, ISNUMBER({L107, O107, R107}), {L107, O107, R107} &gt; 0)), """"))*S107)+IFERROR(MIN(FILTER({L107, O107, R107}, ISNUMBER({L107, O107, R107}), {L107, O107, R107} &gt; 0)), """")"),8829.29)</f>
        <v>8829.29</v>
      </c>
      <c r="U107" s="53">
        <f>IFERROR(__xludf.DUMMYFUNCTION("(T107-(IFERROR(MIN(FILTER({L107, O107, R107}, ISNUMBER({L107, O107, R107}), {L107, O107, R107} &gt; 0)), """")))/T107"),0.4011976047904192)</f>
        <v>0.4011976048</v>
      </c>
      <c r="V107" s="60">
        <v>300.0</v>
      </c>
      <c r="W107" s="60"/>
    </row>
    <row r="108" ht="22.5" customHeight="1">
      <c r="A108" s="61" t="str">
        <f t="shared" si="2"/>
        <v>R-TP-UNKNOWN-X-24 x 15 x 29</v>
      </c>
      <c r="B108" s="34" t="s">
        <v>430</v>
      </c>
      <c r="C108" s="34" t="s">
        <v>127</v>
      </c>
      <c r="D108" s="37" t="s">
        <v>546</v>
      </c>
      <c r="E108" s="38" t="s">
        <v>530</v>
      </c>
      <c r="F108" s="49" t="s">
        <v>46</v>
      </c>
      <c r="G108" s="37" t="s">
        <v>531</v>
      </c>
      <c r="H108" s="52" t="s">
        <v>41</v>
      </c>
      <c r="I108" s="34" t="s">
        <v>533</v>
      </c>
      <c r="J108" s="62"/>
      <c r="K108" s="62"/>
      <c r="L108" s="63"/>
      <c r="M108" s="64">
        <v>3300.0</v>
      </c>
      <c r="N108" s="64">
        <v>3300.0</v>
      </c>
      <c r="O108" s="59"/>
      <c r="P108" s="62">
        <v>3300.0</v>
      </c>
      <c r="Q108" s="62">
        <v>3300.0</v>
      </c>
      <c r="R108" s="62">
        <v>5594.0</v>
      </c>
      <c r="S108" s="58">
        <v>0.67</v>
      </c>
      <c r="T108" s="59">
        <f>IFERROR(__xludf.DUMMYFUNCTION("((IFERROR(MIN(FILTER({L108, O108, R108}, ISNUMBER({L108, O108, R108}), {L108, O108, R108} &gt; 0)), """"))*S108)+IFERROR(MIN(FILTER({L108, O108, R108}, ISNUMBER({L108, O108, R108}), {L108, O108, R108} &gt; 0)), """")"),9341.98)</f>
        <v>9341.98</v>
      </c>
      <c r="U108" s="53">
        <f>IFERROR(__xludf.DUMMYFUNCTION("(T108-(IFERROR(MIN(FILTER({L108, O108, R108}, ISNUMBER({L108, O108, R108}), {L108, O108, R108} &gt; 0)), """")))/T108"),0.40119760479041916)</f>
        <v>0.4011976048</v>
      </c>
      <c r="V108" s="60">
        <v>300.0</v>
      </c>
      <c r="W108" s="60"/>
    </row>
    <row r="109" ht="22.5" customHeight="1">
      <c r="A109" s="61" t="str">
        <f t="shared" si="2"/>
        <v>R-TP-UNKNOWN-X-24 x 15 x 29</v>
      </c>
      <c r="B109" s="34" t="s">
        <v>430</v>
      </c>
      <c r="C109" s="34" t="s">
        <v>127</v>
      </c>
      <c r="D109" s="37" t="s">
        <v>546</v>
      </c>
      <c r="E109" s="38" t="s">
        <v>530</v>
      </c>
      <c r="F109" s="49" t="s">
        <v>46</v>
      </c>
      <c r="G109" s="37" t="s">
        <v>531</v>
      </c>
      <c r="H109" s="52" t="s">
        <v>41</v>
      </c>
      <c r="I109" s="34" t="s">
        <v>550</v>
      </c>
      <c r="J109" s="62"/>
      <c r="K109" s="62"/>
      <c r="L109" s="63"/>
      <c r="M109" s="64">
        <v>3000.0</v>
      </c>
      <c r="N109" s="64">
        <v>3000.0</v>
      </c>
      <c r="O109" s="59"/>
      <c r="P109" s="62">
        <v>3000.0</v>
      </c>
      <c r="Q109" s="62">
        <v>3000.0</v>
      </c>
      <c r="R109" s="62">
        <v>5388.0</v>
      </c>
      <c r="S109" s="58">
        <v>0.67</v>
      </c>
      <c r="T109" s="59">
        <f>IFERROR(__xludf.DUMMYFUNCTION("((IFERROR(MIN(FILTER({L109, O109, R109}, ISNUMBER({L109, O109, R109}), {L109, O109, R109} &gt; 0)), """"))*S109)+IFERROR(MIN(FILTER({L109, O109, R109}, ISNUMBER({L109, O109, R109}), {L109, O109, R109} &gt; 0)), """")"),8997.96)</f>
        <v>8997.96</v>
      </c>
      <c r="U109" s="53">
        <f>IFERROR(__xludf.DUMMYFUNCTION("(T109-(IFERROR(MIN(FILTER({L109, O109, R109}, ISNUMBER({L109, O109, R109}), {L109, O109, R109} &gt; 0)), """")))/T109"),0.4011976047904191)</f>
        <v>0.4011976048</v>
      </c>
      <c r="V109" s="60">
        <v>300.0</v>
      </c>
      <c r="W109" s="60"/>
    </row>
    <row r="110" ht="22.5" customHeight="1">
      <c r="A110" s="61" t="str">
        <f t="shared" si="2"/>
        <v>R-TP-UNKNOWN-X-24 x 15 x 29</v>
      </c>
      <c r="B110" s="34" t="s">
        <v>430</v>
      </c>
      <c r="C110" s="34" t="s">
        <v>127</v>
      </c>
      <c r="D110" s="37" t="s">
        <v>546</v>
      </c>
      <c r="E110" s="38" t="s">
        <v>530</v>
      </c>
      <c r="F110" s="49" t="s">
        <v>46</v>
      </c>
      <c r="G110" s="37" t="s">
        <v>531</v>
      </c>
      <c r="H110" s="52" t="s">
        <v>41</v>
      </c>
      <c r="I110" s="34" t="s">
        <v>152</v>
      </c>
      <c r="J110" s="62"/>
      <c r="K110" s="62"/>
      <c r="L110" s="63"/>
      <c r="M110" s="64">
        <v>3000.0</v>
      </c>
      <c r="N110" s="64">
        <v>3000.0</v>
      </c>
      <c r="O110" s="59"/>
      <c r="P110" s="62">
        <v>3000.0</v>
      </c>
      <c r="Q110" s="62">
        <v>3000.0</v>
      </c>
      <c r="R110" s="62">
        <v>5287.0</v>
      </c>
      <c r="S110" s="58">
        <v>0.67</v>
      </c>
      <c r="T110" s="59">
        <f>IFERROR(__xludf.DUMMYFUNCTION("((IFERROR(MIN(FILTER({L110, O110, R110}, ISNUMBER({L110, O110, R110}), {L110, O110, R110} &gt; 0)), """"))*S110)+IFERROR(MIN(FILTER({L110, O110, R110}, ISNUMBER({L110, O110, R110}), {L110, O110, R110} &gt; 0)), """")"),8829.29)</f>
        <v>8829.29</v>
      </c>
      <c r="U110" s="53">
        <f>IFERROR(__xludf.DUMMYFUNCTION("(T110-(IFERROR(MIN(FILTER({L110, O110, R110}, ISNUMBER({L110, O110, R110}), {L110, O110, R110} &gt; 0)), """")))/T110"),0.4011976047904192)</f>
        <v>0.4011976048</v>
      </c>
      <c r="V110" s="60">
        <v>300.0</v>
      </c>
      <c r="W110" s="60"/>
    </row>
    <row r="111" ht="22.5" customHeight="1">
      <c r="A111" s="61" t="str">
        <f t="shared" si="2"/>
        <v>R-TP-UNKNOWN-X-40 x 30 x 17</v>
      </c>
      <c r="B111" s="34" t="s">
        <v>564</v>
      </c>
      <c r="C111" s="34" t="s">
        <v>127</v>
      </c>
      <c r="D111" s="37" t="s">
        <v>516</v>
      </c>
      <c r="E111" s="38" t="s">
        <v>566</v>
      </c>
      <c r="F111" s="49" t="s">
        <v>63</v>
      </c>
      <c r="G111" s="97"/>
      <c r="H111" s="52" t="s">
        <v>41</v>
      </c>
      <c r="I111" s="34" t="s">
        <v>567</v>
      </c>
      <c r="J111" s="62"/>
      <c r="K111" s="62"/>
      <c r="L111" s="63"/>
      <c r="M111" s="64">
        <v>300.0</v>
      </c>
      <c r="N111" s="64">
        <v>300.0</v>
      </c>
      <c r="O111" s="59"/>
      <c r="P111" s="62">
        <v>300.0</v>
      </c>
      <c r="Q111" s="62">
        <v>300.0</v>
      </c>
      <c r="R111" s="62">
        <v>28629.0</v>
      </c>
      <c r="S111" s="58">
        <v>0.67</v>
      </c>
      <c r="T111" s="59">
        <f>IFERROR(__xludf.DUMMYFUNCTION("((IFERROR(MIN(FILTER({L111, O111, R111}, ISNUMBER({L111, O111, R111}), {L111, O111, R111} &gt; 0)), """"))*S111)+IFERROR(MIN(FILTER({L111, O111, R111}, ISNUMBER({L111, O111, R111}), {L111, O111, R111} &gt; 0)), """")"),47810.43)</f>
        <v>47810.43</v>
      </c>
      <c r="U111" s="53">
        <f>IFERROR(__xludf.DUMMYFUNCTION("(T111-(IFERROR(MIN(FILTER({L111, O111, R111}, ISNUMBER({L111, O111, R111}), {L111, O111, R111} &gt; 0)), """")))/T111"),0.40119760479041916)</f>
        <v>0.4011976048</v>
      </c>
      <c r="V111" s="60">
        <v>300.0</v>
      </c>
      <c r="W111" s="60"/>
    </row>
    <row r="112" ht="22.5" customHeight="1">
      <c r="A112" s="61" t="str">
        <f t="shared" si="2"/>
        <v>R-TP-UNKNOWN-X-40 x 30 x 17</v>
      </c>
      <c r="B112" s="34" t="s">
        <v>564</v>
      </c>
      <c r="C112" s="34" t="s">
        <v>127</v>
      </c>
      <c r="D112" s="37" t="s">
        <v>516</v>
      </c>
      <c r="E112" s="38" t="s">
        <v>566</v>
      </c>
      <c r="F112" s="49" t="s">
        <v>55</v>
      </c>
      <c r="G112" s="97"/>
      <c r="H112" s="52" t="s">
        <v>41</v>
      </c>
      <c r="I112" s="34" t="s">
        <v>572</v>
      </c>
      <c r="J112" s="62"/>
      <c r="K112" s="62"/>
      <c r="L112" s="63"/>
      <c r="M112" s="64">
        <v>500.0</v>
      </c>
      <c r="N112" s="64">
        <v>500.0</v>
      </c>
      <c r="O112" s="59"/>
      <c r="P112" s="62">
        <v>500.0</v>
      </c>
      <c r="Q112" s="62">
        <v>500.0</v>
      </c>
      <c r="R112" s="62">
        <v>20152.0</v>
      </c>
      <c r="S112" s="58">
        <v>0.67</v>
      </c>
      <c r="T112" s="59">
        <f>IFERROR(__xludf.DUMMYFUNCTION("((IFERROR(MIN(FILTER({L112, O112, R112}, ISNUMBER({L112, O112, R112}), {L112, O112, R112} &gt; 0)), """"))*S112)+IFERROR(MIN(FILTER({L112, O112, R112}, ISNUMBER({L112, O112, R112}), {L112, O112, R112} &gt; 0)), """")"),33653.84)</f>
        <v>33653.84</v>
      </c>
      <c r="U112" s="53">
        <f>IFERROR(__xludf.DUMMYFUNCTION("(T112-(IFERROR(MIN(FILTER({L112, O112, R112}, ISNUMBER({L112, O112, R112}), {L112, O112, R112} &gt; 0)), """")))/T112"),0.4011976047904191)</f>
        <v>0.4011976048</v>
      </c>
      <c r="V112" s="60">
        <v>300.0</v>
      </c>
      <c r="W112" s="60"/>
    </row>
    <row r="113" ht="22.5" customHeight="1">
      <c r="A113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SUBSTITUTE(E113, """", """")"),"#REF!")</f>
        <v>#REF!</v>
      </c>
      <c r="B113" s="34" t="s">
        <v>579</v>
      </c>
      <c r="C113" s="34" t="s">
        <v>127</v>
      </c>
      <c r="D113" s="37" t="s">
        <v>149</v>
      </c>
      <c r="E113" s="38" t="s">
        <v>310</v>
      </c>
      <c r="F113" s="49" t="s">
        <v>36</v>
      </c>
      <c r="G113" s="37" t="s">
        <v>580</v>
      </c>
      <c r="H113" s="52" t="s">
        <v>41</v>
      </c>
      <c r="I113" s="34" t="s">
        <v>582</v>
      </c>
      <c r="J113" s="62"/>
      <c r="K113" s="62"/>
      <c r="L113" s="63"/>
      <c r="M113" s="64">
        <v>1000.0</v>
      </c>
      <c r="N113" s="64">
        <v>1000.0</v>
      </c>
      <c r="O113" s="59"/>
      <c r="P113" s="62">
        <v>1000.0</v>
      </c>
      <c r="Q113" s="62">
        <v>1000.0</v>
      </c>
      <c r="R113" s="62">
        <v>9154.0</v>
      </c>
      <c r="S113" s="58">
        <v>0.67</v>
      </c>
      <c r="T113" s="59">
        <f>IFERROR(__xludf.DUMMYFUNCTION("((IFERROR(MIN(FILTER({L113, O113, R113}, ISNUMBER({L113, O113, R113}), {L113, O113, R113} &gt; 0)), """"))*S113)+IFERROR(MIN(FILTER({L113, O113, R113}, ISNUMBER({L113, O113, R113}), {L113, O113, R113} &gt; 0)), """")"),15287.18)</f>
        <v>15287.18</v>
      </c>
      <c r="U113" s="53">
        <f>IFERROR(__xludf.DUMMYFUNCTION("(T113-(IFERROR(MIN(FILTER({L113, O113, R113}, ISNUMBER({L113, O113, R113}), {L113, O113, R113} &gt; 0)), """")))/T113"),0.40119760479041916)</f>
        <v>0.4011976048</v>
      </c>
      <c r="V113" s="60">
        <v>300.0</v>
      </c>
      <c r="W113" s="60"/>
    </row>
    <row r="114" ht="22.5" customHeight="1">
      <c r="A114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SUBSTITUTE(E114, """", """")"),"#REF!")</f>
        <v>#REF!</v>
      </c>
      <c r="B114" s="34" t="s">
        <v>259</v>
      </c>
      <c r="C114" s="34" t="s">
        <v>127</v>
      </c>
      <c r="D114" s="37" t="s">
        <v>149</v>
      </c>
      <c r="E114" s="38" t="s">
        <v>588</v>
      </c>
      <c r="F114" s="49" t="s">
        <v>55</v>
      </c>
      <c r="G114" s="37" t="s">
        <v>108</v>
      </c>
      <c r="H114" s="52" t="s">
        <v>41</v>
      </c>
      <c r="I114" s="34" t="s">
        <v>152</v>
      </c>
      <c r="J114" s="62"/>
      <c r="K114" s="62"/>
      <c r="L114" s="63"/>
      <c r="M114" s="64">
        <v>2000.0</v>
      </c>
      <c r="N114" s="64">
        <v>2000.0</v>
      </c>
      <c r="O114" s="59"/>
      <c r="P114" s="62">
        <v>2000.0</v>
      </c>
      <c r="Q114" s="62">
        <v>2000.0</v>
      </c>
      <c r="R114" s="62">
        <v>6733.0</v>
      </c>
      <c r="S114" s="58">
        <v>0.67</v>
      </c>
      <c r="T114" s="59">
        <f>IFERROR(__xludf.DUMMYFUNCTION("((IFERROR(MIN(FILTER({L114, O114, R114}, ISNUMBER({L114, O114, R114}), {L114, O114, R114} &gt; 0)), """"))*S114)+IFERROR(MIN(FILTER({L114, O114, R114}, ISNUMBER({L114, O114, R114}), {L114, O114, R114} &gt; 0)), """")"),11244.11)</f>
        <v>11244.11</v>
      </c>
      <c r="U114" s="53">
        <f>IFERROR(__xludf.DUMMYFUNCTION("(T114-(IFERROR(MIN(FILTER({L114, O114, R114}, ISNUMBER({L114, O114, R114}), {L114, O114, R114} &gt; 0)), """")))/T114"),0.4011976047904192)</f>
        <v>0.4011976048</v>
      </c>
      <c r="V114" s="60">
        <v>300.0</v>
      </c>
      <c r="W114" s="60"/>
    </row>
    <row r="115" ht="22.5" customHeight="1">
      <c r="A115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SUBSTITUTE(E115, """", """")"),"#REF!")</f>
        <v>#REF!</v>
      </c>
      <c r="B115" s="34" t="s">
        <v>279</v>
      </c>
      <c r="C115" s="34" t="s">
        <v>127</v>
      </c>
      <c r="D115" s="37" t="s">
        <v>149</v>
      </c>
      <c r="E115" s="38" t="s">
        <v>280</v>
      </c>
      <c r="F115" s="49" t="s">
        <v>36</v>
      </c>
      <c r="G115" s="37" t="s">
        <v>281</v>
      </c>
      <c r="H115" s="52" t="s">
        <v>41</v>
      </c>
      <c r="I115" s="34" t="s">
        <v>152</v>
      </c>
      <c r="J115" s="62"/>
      <c r="K115" s="62"/>
      <c r="L115" s="63"/>
      <c r="M115" s="64">
        <v>500.0</v>
      </c>
      <c r="N115" s="64">
        <v>500.0</v>
      </c>
      <c r="O115" s="59"/>
      <c r="P115" s="62">
        <v>500.0</v>
      </c>
      <c r="Q115" s="62">
        <v>500.0</v>
      </c>
      <c r="R115" s="62">
        <v>10297.0</v>
      </c>
      <c r="S115" s="58">
        <v>0.67</v>
      </c>
      <c r="T115" s="59">
        <f>IFERROR(__xludf.DUMMYFUNCTION("((IFERROR(MIN(FILTER({L115, O115, R115}, ISNUMBER({L115, O115, R115}), {L115, O115, R115} &gt; 0)), """"))*S115)+IFERROR(MIN(FILTER({L115, O115, R115}, ISNUMBER({L115, O115, R115}), {L115, O115, R115} &gt; 0)), """")"),17195.99)</f>
        <v>17195.99</v>
      </c>
      <c r="U115" s="53">
        <f>IFERROR(__xludf.DUMMYFUNCTION("(T115-(IFERROR(MIN(FILTER({L115, O115, R115}, ISNUMBER({L115, O115, R115}), {L115, O115, R115} &gt; 0)), """")))/T115"),0.4011976047904192)</f>
        <v>0.4011976048</v>
      </c>
      <c r="V115" s="60">
        <v>300.0</v>
      </c>
      <c r="W115" s="60"/>
    </row>
    <row r="116" ht="22.5" customHeight="1">
      <c r="A116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SUBSTITUTE(E116, """", """")"),"#REF!")</f>
        <v>#REF!</v>
      </c>
      <c r="B116" s="34" t="s">
        <v>279</v>
      </c>
      <c r="C116" s="34" t="s">
        <v>127</v>
      </c>
      <c r="D116" s="37" t="s">
        <v>149</v>
      </c>
      <c r="E116" s="38" t="s">
        <v>285</v>
      </c>
      <c r="F116" s="49" t="s">
        <v>36</v>
      </c>
      <c r="G116" s="37" t="s">
        <v>281</v>
      </c>
      <c r="H116" s="52" t="s">
        <v>41</v>
      </c>
      <c r="I116" s="34" t="s">
        <v>152</v>
      </c>
      <c r="J116" s="62"/>
      <c r="K116" s="62"/>
      <c r="L116" s="63"/>
      <c r="M116" s="64">
        <v>500.0</v>
      </c>
      <c r="N116" s="64">
        <v>500.0</v>
      </c>
      <c r="O116" s="59"/>
      <c r="P116" s="62">
        <v>500.0</v>
      </c>
      <c r="Q116" s="62">
        <v>500.0</v>
      </c>
      <c r="R116" s="62">
        <v>6188.0</v>
      </c>
      <c r="S116" s="58">
        <v>0.67</v>
      </c>
      <c r="T116" s="59">
        <f>IFERROR(__xludf.DUMMYFUNCTION("((IFERROR(MIN(FILTER({L116, O116, R116}, ISNUMBER({L116, O116, R116}), {L116, O116, R116} &gt; 0)), """"))*S116)+IFERROR(MIN(FILTER({L116, O116, R116}, ISNUMBER({L116, O116, R116}), {L116, O116, R116} &gt; 0)), """")"),10333.96)</f>
        <v>10333.96</v>
      </c>
      <c r="U116" s="53">
        <f>IFERROR(__xludf.DUMMYFUNCTION("(T116-(IFERROR(MIN(FILTER({L116, O116, R116}, ISNUMBER({L116, O116, R116}), {L116, O116, R116} &gt; 0)), """")))/T116"),0.4011976047904191)</f>
        <v>0.4011976048</v>
      </c>
      <c r="V116" s="60">
        <v>300.0</v>
      </c>
      <c r="W116" s="60"/>
    </row>
    <row r="117" ht="22.5" customHeight="1">
      <c r="A117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SUBSTITUTE(E117, """", """")"),"#REF!")</f>
        <v>#REF!</v>
      </c>
      <c r="B117" s="34" t="s">
        <v>603</v>
      </c>
      <c r="C117" s="34" t="s">
        <v>127</v>
      </c>
      <c r="D117" s="37" t="s">
        <v>149</v>
      </c>
      <c r="E117" s="38" t="s">
        <v>604</v>
      </c>
      <c r="F117" s="49" t="s">
        <v>36</v>
      </c>
      <c r="G117" s="37" t="s">
        <v>605</v>
      </c>
      <c r="H117" s="52" t="s">
        <v>41</v>
      </c>
      <c r="I117" s="34" t="s">
        <v>152</v>
      </c>
      <c r="J117" s="62"/>
      <c r="K117" s="62"/>
      <c r="L117" s="63"/>
      <c r="M117" s="64">
        <v>1000.0</v>
      </c>
      <c r="N117" s="64">
        <v>1000.0</v>
      </c>
      <c r="O117" s="59"/>
      <c r="P117" s="62">
        <v>1000.0</v>
      </c>
      <c r="Q117" s="62">
        <v>1000.0</v>
      </c>
      <c r="R117" s="62">
        <v>11967.0</v>
      </c>
      <c r="S117" s="58">
        <v>0.67</v>
      </c>
      <c r="T117" s="59">
        <f>IFERROR(__xludf.DUMMYFUNCTION("((IFERROR(MIN(FILTER({L117, O117, R117}, ISNUMBER({L117, O117, R117}), {L117, O117, R117} &gt; 0)), """"))*S117)+IFERROR(MIN(FILTER({L117, O117, R117}, ISNUMBER({L117, O117, R117}), {L117, O117, R117} &gt; 0)), """")"),19984.89)</f>
        <v>19984.89</v>
      </c>
      <c r="U117" s="53">
        <f>IFERROR(__xludf.DUMMYFUNCTION("(T117-(IFERROR(MIN(FILTER({L117, O117, R117}, ISNUMBER({L117, O117, R117}), {L117, O117, R117} &gt; 0)), """")))/T117"),0.40119760479041916)</f>
        <v>0.4011976048</v>
      </c>
      <c r="V117" s="60">
        <v>300.0</v>
      </c>
      <c r="W117" s="60"/>
    </row>
    <row r="118" ht="22.5" customHeight="1">
      <c r="A118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SUBSTITUTE(E118, """", """")"),"#REF!")</f>
        <v>#REF!</v>
      </c>
      <c r="B118" s="34" t="s">
        <v>603</v>
      </c>
      <c r="C118" s="34" t="s">
        <v>127</v>
      </c>
      <c r="D118" s="37" t="s">
        <v>149</v>
      </c>
      <c r="E118" s="38" t="s">
        <v>604</v>
      </c>
      <c r="F118" s="49" t="s">
        <v>36</v>
      </c>
      <c r="G118" s="37" t="s">
        <v>605</v>
      </c>
      <c r="H118" s="52" t="s">
        <v>41</v>
      </c>
      <c r="I118" s="34" t="s">
        <v>152</v>
      </c>
      <c r="J118" s="62"/>
      <c r="K118" s="62"/>
      <c r="L118" s="63"/>
      <c r="M118" s="64">
        <v>5000.0</v>
      </c>
      <c r="N118" s="64">
        <v>5000.0</v>
      </c>
      <c r="O118" s="59"/>
      <c r="P118" s="62">
        <v>5000.0</v>
      </c>
      <c r="Q118" s="62">
        <v>5000.0</v>
      </c>
      <c r="R118" s="62">
        <v>9412.0</v>
      </c>
      <c r="S118" s="58">
        <v>0.67</v>
      </c>
      <c r="T118" s="59">
        <f>IFERROR(__xludf.DUMMYFUNCTION("((IFERROR(MIN(FILTER({L118, O118, R118}, ISNUMBER({L118, O118, R118}), {L118, O118, R118} &gt; 0)), """"))*S118)+IFERROR(MIN(FILTER({L118, O118, R118}, ISNUMBER({L118, O118, R118}), {L118, O118, R118} &gt; 0)), """")"),15718.04)</f>
        <v>15718.04</v>
      </c>
      <c r="U118" s="53">
        <f>IFERROR(__xludf.DUMMYFUNCTION("(T118-(IFERROR(MIN(FILTER({L118, O118, R118}, ISNUMBER({L118, O118, R118}), {L118, O118, R118} &gt; 0)), """")))/T118"),0.4011976047904192)</f>
        <v>0.4011976048</v>
      </c>
      <c r="V118" s="60">
        <v>300.0</v>
      </c>
      <c r="W118" s="60"/>
    </row>
    <row r="119" ht="22.5" customHeight="1">
      <c r="A119" s="61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SUBSTITUTE(E119, """", """")"),"#REF!")</f>
        <v>#REF!</v>
      </c>
      <c r="B119" s="34" t="s">
        <v>603</v>
      </c>
      <c r="C119" s="34" t="s">
        <v>127</v>
      </c>
      <c r="D119" s="37" t="s">
        <v>149</v>
      </c>
      <c r="E119" s="38" t="s">
        <v>604</v>
      </c>
      <c r="F119" s="49" t="s">
        <v>36</v>
      </c>
      <c r="G119" s="37" t="s">
        <v>605</v>
      </c>
      <c r="H119" s="52" t="s">
        <v>41</v>
      </c>
      <c r="I119" s="34" t="s">
        <v>152</v>
      </c>
      <c r="J119" s="62"/>
      <c r="K119" s="62"/>
      <c r="L119" s="63"/>
      <c r="M119" s="64">
        <v>10000.0</v>
      </c>
      <c r="N119" s="64">
        <v>10000.0</v>
      </c>
      <c r="O119" s="59"/>
      <c r="P119" s="62">
        <v>10000.0</v>
      </c>
      <c r="Q119" s="62">
        <v>10000.0</v>
      </c>
      <c r="R119" s="62">
        <v>8945.0</v>
      </c>
      <c r="S119" s="58">
        <v>0.67</v>
      </c>
      <c r="T119" s="59">
        <f>IFERROR(__xludf.DUMMYFUNCTION("((IFERROR(MIN(FILTER({L119, O119, R119}, ISNUMBER({L119, O119, R119}), {L119, O119, R119} &gt; 0)), """"))*S119)+IFERROR(MIN(FILTER({L119, O119, R119}, ISNUMBER({L119, O119, R119}), {L119, O119, R119} &gt; 0)), """")"),14938.150000000001)</f>
        <v>14938.15</v>
      </c>
      <c r="U119" s="53">
        <f>IFERROR(__xludf.DUMMYFUNCTION("(T119-(IFERROR(MIN(FILTER({L119, O119, R119}, ISNUMBER({L119, O119, R119}), {L119, O119, R119} &gt; 0)), """")))/T119"),0.4011976047904192)</f>
        <v>0.4011976048</v>
      </c>
      <c r="V119" s="60">
        <v>300.0</v>
      </c>
      <c r="W119" s="60"/>
    </row>
    <row r="120" ht="22.5" customHeight="1">
      <c r="A12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SUBSTITUTE(E120, """", """")"),"#REF!")</f>
        <v>#REF!</v>
      </c>
      <c r="B120" s="34" t="s">
        <v>603</v>
      </c>
      <c r="C120" s="34" t="s">
        <v>127</v>
      </c>
      <c r="D120" s="37" t="s">
        <v>149</v>
      </c>
      <c r="E120" s="38" t="s">
        <v>604</v>
      </c>
      <c r="F120" s="49" t="s">
        <v>36</v>
      </c>
      <c r="G120" s="37" t="s">
        <v>605</v>
      </c>
      <c r="H120" s="52" t="s">
        <v>41</v>
      </c>
      <c r="I120" s="34" t="s">
        <v>152</v>
      </c>
      <c r="J120" s="62">
        <v>25000.0</v>
      </c>
      <c r="K120" s="62">
        <v>25000.0</v>
      </c>
      <c r="L120" s="63"/>
      <c r="M120" s="64">
        <v>25000.0</v>
      </c>
      <c r="N120" s="64">
        <v>25000.0</v>
      </c>
      <c r="O120" s="59"/>
      <c r="P120" s="62">
        <v>25000.0</v>
      </c>
      <c r="Q120" s="62">
        <v>25000.0</v>
      </c>
      <c r="R120" s="62">
        <v>8748.0</v>
      </c>
      <c r="S120" s="58">
        <v>0.67</v>
      </c>
      <c r="T120" s="59">
        <f>IFERROR(__xludf.DUMMYFUNCTION("((IFERROR(MIN(FILTER({L120, O120, R120}, ISNUMBER({L120, O120, R120}), {L120, O120, R120} &gt; 0)), """"))*S120)+IFERROR(MIN(FILTER({L120, O120, R120}, ISNUMBER({L120, O120, R120}), {L120, O120, R120} &gt; 0)), """")"),14609.16)</f>
        <v>14609.16</v>
      </c>
      <c r="U120" s="53">
        <f>IFERROR(__xludf.DUMMYFUNCTION("(T120-(IFERROR(MIN(FILTER({L120, O120, R120}, ISNUMBER({L120, O120, R120}), {L120, O120, R120} &gt; 0)), """")))/T120"),0.40119760479041916)</f>
        <v>0.4011976048</v>
      </c>
      <c r="V120" s="60">
        <v>300.0</v>
      </c>
      <c r="W120" s="60"/>
    </row>
    <row r="121" ht="22.5" customHeight="1">
      <c r="A12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SUBSTITUTE(E121, """", """")"),"#REF!")</f>
        <v>#REF!</v>
      </c>
      <c r="B121" s="34" t="s">
        <v>603</v>
      </c>
      <c r="C121" s="34" t="s">
        <v>127</v>
      </c>
      <c r="D121" s="37" t="s">
        <v>149</v>
      </c>
      <c r="E121" s="38" t="s">
        <v>631</v>
      </c>
      <c r="F121" s="49" t="s">
        <v>36</v>
      </c>
      <c r="G121" s="37" t="s">
        <v>605</v>
      </c>
      <c r="H121" s="52" t="s">
        <v>41</v>
      </c>
      <c r="I121" s="34" t="s">
        <v>152</v>
      </c>
      <c r="J121" s="62"/>
      <c r="K121" s="62"/>
      <c r="L121" s="63"/>
      <c r="M121" s="64">
        <v>1000.0</v>
      </c>
      <c r="N121" s="64">
        <v>1000.0</v>
      </c>
      <c r="O121" s="59"/>
      <c r="P121" s="62">
        <v>1000.0</v>
      </c>
      <c r="Q121" s="62">
        <v>1000.0</v>
      </c>
      <c r="R121" s="62">
        <v>6367.0</v>
      </c>
      <c r="S121" s="58">
        <v>0.67</v>
      </c>
      <c r="T121" s="59">
        <f>IFERROR(__xludf.DUMMYFUNCTION("((IFERROR(MIN(FILTER({L121, O121, R121}, ISNUMBER({L121, O121, R121}), {L121, O121, R121} &gt; 0)), """"))*S121)+IFERROR(MIN(FILTER({L121, O121, R121}, ISNUMBER({L121, O121, R121}), {L121, O121, R121} &gt; 0)), """")"),10632.89)</f>
        <v>10632.89</v>
      </c>
      <c r="U121" s="53">
        <f>IFERROR(__xludf.DUMMYFUNCTION("(T121-(IFERROR(MIN(FILTER({L121, O121, R121}, ISNUMBER({L121, O121, R121}), {L121, O121, R121} &gt; 0)), """")))/T121"),0.4011976047904191)</f>
        <v>0.4011976048</v>
      </c>
      <c r="V121" s="60">
        <v>300.0</v>
      </c>
      <c r="W121" s="60"/>
    </row>
    <row r="122" ht="22.5" customHeight="1">
      <c r="A12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SUBSTITUTE(E122, """", """")"),"#REF!")</f>
        <v>#REF!</v>
      </c>
      <c r="B122" s="34" t="s">
        <v>603</v>
      </c>
      <c r="C122" s="34" t="s">
        <v>127</v>
      </c>
      <c r="D122" s="37" t="s">
        <v>149</v>
      </c>
      <c r="E122" s="38" t="s">
        <v>631</v>
      </c>
      <c r="F122" s="49" t="s">
        <v>36</v>
      </c>
      <c r="G122" s="37" t="s">
        <v>605</v>
      </c>
      <c r="H122" s="52" t="s">
        <v>41</v>
      </c>
      <c r="I122" s="34" t="s">
        <v>152</v>
      </c>
      <c r="J122" s="62"/>
      <c r="K122" s="62"/>
      <c r="L122" s="63"/>
      <c r="M122" s="64">
        <v>5000.0</v>
      </c>
      <c r="N122" s="64">
        <v>5000.0</v>
      </c>
      <c r="O122" s="59"/>
      <c r="P122" s="62">
        <v>5000.0</v>
      </c>
      <c r="Q122" s="62">
        <v>5000.0</v>
      </c>
      <c r="R122" s="62">
        <v>4611.0</v>
      </c>
      <c r="S122" s="58">
        <v>0.67</v>
      </c>
      <c r="T122" s="59">
        <f>IFERROR(__xludf.DUMMYFUNCTION("((IFERROR(MIN(FILTER({L122, O122, R122}, ISNUMBER({L122, O122, R122}), {L122, O122, R122} &gt; 0)), """"))*S122)+IFERROR(MIN(FILTER({L122, O122, R122}, ISNUMBER({L122, O122, R122}), {L122, O122, R122} &gt; 0)), """")"),7700.370000000001)</f>
        <v>7700.37</v>
      </c>
      <c r="U122" s="53">
        <f>IFERROR(__xludf.DUMMYFUNCTION("(T122-(IFERROR(MIN(FILTER({L122, O122, R122}, ISNUMBER({L122, O122, R122}), {L122, O122, R122} &gt; 0)), """")))/T122"),0.4011976047904192)</f>
        <v>0.4011976048</v>
      </c>
      <c r="V122" s="60">
        <v>300.0</v>
      </c>
      <c r="W122" s="60"/>
    </row>
    <row r="123" ht="22.5" customHeight="1">
      <c r="A12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SUBSTITUTE(E123, """", """")"),"#REF!")</f>
        <v>#REF!</v>
      </c>
      <c r="B123" s="34" t="s">
        <v>603</v>
      </c>
      <c r="C123" s="34" t="s">
        <v>127</v>
      </c>
      <c r="D123" s="37" t="s">
        <v>149</v>
      </c>
      <c r="E123" s="38" t="s">
        <v>631</v>
      </c>
      <c r="F123" s="49" t="s">
        <v>36</v>
      </c>
      <c r="G123" s="37" t="s">
        <v>605</v>
      </c>
      <c r="H123" s="52" t="s">
        <v>41</v>
      </c>
      <c r="I123" s="34" t="s">
        <v>152</v>
      </c>
      <c r="J123" s="62"/>
      <c r="K123" s="62"/>
      <c r="L123" s="63"/>
      <c r="M123" s="64">
        <v>10000.0</v>
      </c>
      <c r="N123" s="64">
        <v>10000.0</v>
      </c>
      <c r="O123" s="59"/>
      <c r="P123" s="62">
        <v>10000.0</v>
      </c>
      <c r="Q123" s="62">
        <v>10000.0</v>
      </c>
      <c r="R123" s="62">
        <v>4328.0</v>
      </c>
      <c r="S123" s="58">
        <v>0.67</v>
      </c>
      <c r="T123" s="59">
        <f>IFERROR(__xludf.DUMMYFUNCTION("((IFERROR(MIN(FILTER({L123, O123, R123}, ISNUMBER({L123, O123, R123}), {L123, O123, R123} &gt; 0)), """"))*S123)+IFERROR(MIN(FILTER({L123, O123, R123}, ISNUMBER({L123, O123, R123}), {L123, O123, R123} &gt; 0)), """")"),7227.76)</f>
        <v>7227.76</v>
      </c>
      <c r="U123" s="53">
        <f>IFERROR(__xludf.DUMMYFUNCTION("(T123-(IFERROR(MIN(FILTER({L123, O123, R123}, ISNUMBER({L123, O123, R123}), {L123, O123, R123} &gt; 0)), """")))/T123"),0.40119760479041916)</f>
        <v>0.4011976048</v>
      </c>
      <c r="V123" s="60">
        <v>300.0</v>
      </c>
      <c r="W123" s="60"/>
    </row>
    <row r="124" ht="22.5" customHeight="1">
      <c r="A12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SUBSTITUTE(E124, """", """")"),"#REF!")</f>
        <v>#REF!</v>
      </c>
      <c r="B124" s="34" t="s">
        <v>603</v>
      </c>
      <c r="C124" s="34" t="s">
        <v>127</v>
      </c>
      <c r="D124" s="37" t="s">
        <v>149</v>
      </c>
      <c r="E124" s="38" t="s">
        <v>631</v>
      </c>
      <c r="F124" s="49" t="s">
        <v>36</v>
      </c>
      <c r="G124" s="37" t="s">
        <v>605</v>
      </c>
      <c r="H124" s="52" t="s">
        <v>41</v>
      </c>
      <c r="I124" s="34" t="s">
        <v>152</v>
      </c>
      <c r="J124" s="62">
        <v>25000.0</v>
      </c>
      <c r="K124" s="62">
        <v>25000.0</v>
      </c>
      <c r="L124" s="62">
        <v>1600.0</v>
      </c>
      <c r="M124" s="64">
        <v>25000.0</v>
      </c>
      <c r="N124" s="64">
        <v>25000.0</v>
      </c>
      <c r="O124" s="64"/>
      <c r="P124" s="62">
        <v>25000.0</v>
      </c>
      <c r="Q124" s="62">
        <v>25000.0</v>
      </c>
      <c r="R124" s="62">
        <v>4250.0</v>
      </c>
      <c r="S124" s="58">
        <v>0.67</v>
      </c>
      <c r="T124" s="59">
        <f>IFERROR(__xludf.DUMMYFUNCTION("((IFERROR(MIN(FILTER({L124, O124, R124}, ISNUMBER({L124, O124, R124}), {L124, O124, R124} &gt; 0)), """"))*S124)+IFERROR(MIN(FILTER({L124, O124, R124}, ISNUMBER({L124, O124, R124}), {L124, O124, R124} &gt; 0)), """")"),2672.0)</f>
        <v>2672</v>
      </c>
      <c r="U124" s="53">
        <f>IFERROR(__xludf.DUMMYFUNCTION("(T124-(IFERROR(MIN(FILTER({L124, O124, R124}, ISNUMBER({L124, O124, R124}), {L124, O124, R124} &gt; 0)), """")))/T124"),0.40119760479041916)</f>
        <v>0.4011976048</v>
      </c>
      <c r="V124" s="60">
        <v>300.0</v>
      </c>
      <c r="W124" s="60"/>
    </row>
    <row r="125" ht="22.5" customHeight="1">
      <c r="A12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SUBSTITUTE(E125, """", """")"),"#REF!")</f>
        <v>#REF!</v>
      </c>
      <c r="B125" s="34" t="s">
        <v>603</v>
      </c>
      <c r="C125" s="34" t="s">
        <v>127</v>
      </c>
      <c r="D125" s="37" t="s">
        <v>149</v>
      </c>
      <c r="E125" s="38" t="s">
        <v>644</v>
      </c>
      <c r="F125" s="49" t="s">
        <v>36</v>
      </c>
      <c r="G125" s="37" t="s">
        <v>605</v>
      </c>
      <c r="H125" s="52" t="s">
        <v>41</v>
      </c>
      <c r="I125" s="34" t="s">
        <v>152</v>
      </c>
      <c r="J125" s="62"/>
      <c r="K125" s="62"/>
      <c r="L125" s="63"/>
      <c r="M125" s="64">
        <v>1000.0</v>
      </c>
      <c r="N125" s="64">
        <v>1000.0</v>
      </c>
      <c r="O125" s="59"/>
      <c r="P125" s="62">
        <v>1000.0</v>
      </c>
      <c r="Q125" s="62">
        <v>1000.0</v>
      </c>
      <c r="R125" s="62">
        <v>9834.0</v>
      </c>
      <c r="S125" s="58">
        <v>0.67</v>
      </c>
      <c r="T125" s="59">
        <f>IFERROR(__xludf.DUMMYFUNCTION("((IFERROR(MIN(FILTER({L125, O125, R125}, ISNUMBER({L125, O125, R125}), {L125, O125, R125} &gt; 0)), """"))*S125)+IFERROR(MIN(FILTER({L125, O125, R125}, ISNUMBER({L125, O125, R125}), {L125, O125, R125} &gt; 0)), """")"),16422.78)</f>
        <v>16422.78</v>
      </c>
      <c r="U125" s="53">
        <f>IFERROR(__xludf.DUMMYFUNCTION("(T125-(IFERROR(MIN(FILTER({L125, O125, R125}, ISNUMBER({L125, O125, R125}), {L125, O125, R125} &gt; 0)), """")))/T125"),0.4011976047904191)</f>
        <v>0.4011976048</v>
      </c>
      <c r="V125" s="60">
        <v>300.0</v>
      </c>
      <c r="W125" s="60"/>
    </row>
    <row r="126" ht="22.5" customHeight="1">
      <c r="A12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SUBSTITUTE(E126, """", """")"),"#REF!")</f>
        <v>#REF!</v>
      </c>
      <c r="B126" s="34" t="s">
        <v>603</v>
      </c>
      <c r="C126" s="34" t="s">
        <v>127</v>
      </c>
      <c r="D126" s="37" t="s">
        <v>149</v>
      </c>
      <c r="E126" s="38" t="s">
        <v>644</v>
      </c>
      <c r="F126" s="49" t="s">
        <v>36</v>
      </c>
      <c r="G126" s="37" t="s">
        <v>605</v>
      </c>
      <c r="H126" s="52" t="s">
        <v>41</v>
      </c>
      <c r="I126" s="34" t="s">
        <v>152</v>
      </c>
      <c r="J126" s="62"/>
      <c r="K126" s="62"/>
      <c r="L126" s="63"/>
      <c r="M126" s="64">
        <v>5000.0</v>
      </c>
      <c r="N126" s="64">
        <v>5000.0</v>
      </c>
      <c r="O126" s="59"/>
      <c r="P126" s="62">
        <v>5000.0</v>
      </c>
      <c r="Q126" s="62">
        <v>5000.0</v>
      </c>
      <c r="R126" s="62">
        <v>6309.0</v>
      </c>
      <c r="S126" s="58">
        <v>0.67</v>
      </c>
      <c r="T126" s="59">
        <f>IFERROR(__xludf.DUMMYFUNCTION("((IFERROR(MIN(FILTER({L126, O126, R126}, ISNUMBER({L126, O126, R126}), {L126, O126, R126} &gt; 0)), """"))*S126)+IFERROR(MIN(FILTER({L126, O126, R126}, ISNUMBER({L126, O126, R126}), {L126, O126, R126} &gt; 0)), """")"),10536.03)</f>
        <v>10536.03</v>
      </c>
      <c r="U126" s="53">
        <f>IFERROR(__xludf.DUMMYFUNCTION("(T126-(IFERROR(MIN(FILTER({L126, O126, R126}, ISNUMBER({L126, O126, R126}), {L126, O126, R126} &gt; 0)), """")))/T126"),0.4011976047904192)</f>
        <v>0.4011976048</v>
      </c>
      <c r="V126" s="60">
        <v>300.0</v>
      </c>
      <c r="W126" s="60"/>
    </row>
    <row r="127" ht="22.5" customHeight="1">
      <c r="A12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SUBSTITUTE(E127, """", """")"),"#REF!")</f>
        <v>#REF!</v>
      </c>
      <c r="B127" s="34" t="s">
        <v>603</v>
      </c>
      <c r="C127" s="34" t="s">
        <v>127</v>
      </c>
      <c r="D127" s="37" t="s">
        <v>149</v>
      </c>
      <c r="E127" s="38" t="s">
        <v>644</v>
      </c>
      <c r="F127" s="49" t="s">
        <v>36</v>
      </c>
      <c r="G127" s="37" t="s">
        <v>605</v>
      </c>
      <c r="H127" s="52" t="s">
        <v>41</v>
      </c>
      <c r="I127" s="34" t="s">
        <v>152</v>
      </c>
      <c r="J127" s="62"/>
      <c r="K127" s="62"/>
      <c r="L127" s="63"/>
      <c r="M127" s="64">
        <v>10000.0</v>
      </c>
      <c r="N127" s="64">
        <v>10000.0</v>
      </c>
      <c r="O127" s="59"/>
      <c r="P127" s="62">
        <v>10000.0</v>
      </c>
      <c r="Q127" s="62">
        <v>10000.0</v>
      </c>
      <c r="R127" s="62">
        <v>6014.0</v>
      </c>
      <c r="S127" s="58">
        <v>0.67</v>
      </c>
      <c r="T127" s="59">
        <f>IFERROR(__xludf.DUMMYFUNCTION("((IFERROR(MIN(FILTER({L127, O127, R127}, ISNUMBER({L127, O127, R127}), {L127, O127, R127} &gt; 0)), """"))*S127)+IFERROR(MIN(FILTER({L127, O127, R127}, ISNUMBER({L127, O127, R127}), {L127, O127, R127} &gt; 0)), """")"),10043.380000000001)</f>
        <v>10043.38</v>
      </c>
      <c r="U127" s="53">
        <f>IFERROR(__xludf.DUMMYFUNCTION("(T127-(IFERROR(MIN(FILTER({L127, O127, R127}, ISNUMBER({L127, O127, R127}), {L127, O127, R127} &gt; 0)), """")))/T127"),0.4011976047904192)</f>
        <v>0.4011976048</v>
      </c>
      <c r="V127" s="60">
        <v>300.0</v>
      </c>
      <c r="W127" s="60"/>
    </row>
    <row r="128" ht="22.5" customHeight="1">
      <c r="A12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SUBSTITUTE(E128, """", """")"),"#REF!")</f>
        <v>#REF!</v>
      </c>
      <c r="B128" s="34" t="s">
        <v>603</v>
      </c>
      <c r="C128" s="34" t="s">
        <v>127</v>
      </c>
      <c r="D128" s="37" t="s">
        <v>149</v>
      </c>
      <c r="E128" s="38" t="s">
        <v>644</v>
      </c>
      <c r="F128" s="49" t="s">
        <v>36</v>
      </c>
      <c r="G128" s="37" t="s">
        <v>605</v>
      </c>
      <c r="H128" s="52" t="s">
        <v>41</v>
      </c>
      <c r="I128" s="34" t="s">
        <v>152</v>
      </c>
      <c r="J128" s="62">
        <v>25000.0</v>
      </c>
      <c r="K128" s="62">
        <v>25000.0</v>
      </c>
      <c r="L128" s="62">
        <v>2100.0</v>
      </c>
      <c r="M128" s="64">
        <v>25000.0</v>
      </c>
      <c r="N128" s="64">
        <v>25000.0</v>
      </c>
      <c r="O128" s="64"/>
      <c r="P128" s="62">
        <v>25000.0</v>
      </c>
      <c r="Q128" s="62">
        <v>25000.0</v>
      </c>
      <c r="R128" s="62">
        <v>5763.0</v>
      </c>
      <c r="S128" s="58">
        <v>0.67</v>
      </c>
      <c r="T128" s="59">
        <f>IFERROR(__xludf.DUMMYFUNCTION("((IFERROR(MIN(FILTER({L128, O128, R128}, ISNUMBER({L128, O128, R128}), {L128, O128, R128} &gt; 0)), """"))*S128)+IFERROR(MIN(FILTER({L128, O128, R128}, ISNUMBER({L128, O128, R128}), {L128, O128, R128} &gt; 0)), """")"),3507.0)</f>
        <v>3507</v>
      </c>
      <c r="U128" s="53">
        <f>IFERROR(__xludf.DUMMYFUNCTION("(T128-(IFERROR(MIN(FILTER({L128, O128, R128}, ISNUMBER({L128, O128, R128}), {L128, O128, R128} &gt; 0)), """")))/T128"),0.40119760479041916)</f>
        <v>0.4011976048</v>
      </c>
      <c r="V128" s="60">
        <v>300.0</v>
      </c>
      <c r="W128" s="60"/>
    </row>
    <row r="129" ht="22.5" customHeight="1">
      <c r="A12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SUBSTITUTE(E129, """", """")"),"#REF!")</f>
        <v>#REF!</v>
      </c>
      <c r="B129" s="34" t="s">
        <v>332</v>
      </c>
      <c r="C129" s="34" t="s">
        <v>127</v>
      </c>
      <c r="D129" s="37" t="s">
        <v>657</v>
      </c>
      <c r="E129" s="38" t="s">
        <v>334</v>
      </c>
      <c r="F129" s="49" t="s">
        <v>63</v>
      </c>
      <c r="G129" s="37" t="s">
        <v>67</v>
      </c>
      <c r="H129" s="52" t="s">
        <v>41</v>
      </c>
      <c r="I129" s="34" t="s">
        <v>335</v>
      </c>
      <c r="J129" s="62"/>
      <c r="K129" s="62"/>
      <c r="L129" s="63"/>
      <c r="M129" s="64">
        <v>2000.0</v>
      </c>
      <c r="N129" s="64">
        <v>2000.0</v>
      </c>
      <c r="O129" s="59"/>
      <c r="P129" s="62">
        <v>2000.0</v>
      </c>
      <c r="Q129" s="62">
        <v>2000.0</v>
      </c>
      <c r="R129" s="62">
        <v>5963.0</v>
      </c>
      <c r="S129" s="58">
        <v>0.67</v>
      </c>
      <c r="T129" s="59">
        <f>IFERROR(__xludf.DUMMYFUNCTION("((IFERROR(MIN(FILTER({L129, O129, R129}, ISNUMBER({L129, O129, R129}), {L129, O129, R129} &gt; 0)), """"))*S129)+IFERROR(MIN(FILTER({L129, O129, R129}, ISNUMBER({L129, O129, R129}), {L129, O129, R129} &gt; 0)), """")"),9958.21)</f>
        <v>9958.21</v>
      </c>
      <c r="U129" s="53">
        <f>IFERROR(__xludf.DUMMYFUNCTION("(T129-(IFERROR(MIN(FILTER({L129, O129, R129}, ISNUMBER({L129, O129, R129}), {L129, O129, R129} &gt; 0)), """")))/T129"),0.4011976047904191)</f>
        <v>0.4011976048</v>
      </c>
      <c r="V129" s="60">
        <v>300.0</v>
      </c>
      <c r="W129" s="60"/>
    </row>
    <row r="130" ht="22.5" customHeight="1">
      <c r="A13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SUBSTITUTE(E130, """", """")"),"#REF!")</f>
        <v>#REF!</v>
      </c>
      <c r="B130" s="34" t="s">
        <v>332</v>
      </c>
      <c r="C130" s="34" t="s">
        <v>127</v>
      </c>
      <c r="D130" s="37" t="s">
        <v>657</v>
      </c>
      <c r="E130" s="38" t="s">
        <v>334</v>
      </c>
      <c r="F130" s="49" t="s">
        <v>63</v>
      </c>
      <c r="G130" s="37" t="s">
        <v>67</v>
      </c>
      <c r="H130" s="52" t="s">
        <v>41</v>
      </c>
      <c r="I130" s="34" t="s">
        <v>335</v>
      </c>
      <c r="J130" s="62"/>
      <c r="K130" s="62"/>
      <c r="L130" s="63"/>
      <c r="M130" s="64">
        <v>5000.0</v>
      </c>
      <c r="N130" s="64">
        <v>5000.0</v>
      </c>
      <c r="O130" s="59"/>
      <c r="P130" s="62">
        <v>5000.0</v>
      </c>
      <c r="Q130" s="62">
        <v>5000.0</v>
      </c>
      <c r="R130" s="62">
        <v>5222.0</v>
      </c>
      <c r="S130" s="58">
        <v>0.67</v>
      </c>
      <c r="T130" s="59">
        <f>IFERROR(__xludf.DUMMYFUNCTION("((IFERROR(MIN(FILTER({L130, O130, R130}, ISNUMBER({L130, O130, R130}), {L130, O130, R130} &gt; 0)), """"))*S130)+IFERROR(MIN(FILTER({L130, O130, R130}, ISNUMBER({L130, O130, R130}), {L130, O130, R130} &gt; 0)), """")"),8720.74)</f>
        <v>8720.74</v>
      </c>
      <c r="U130" s="53">
        <f>IFERROR(__xludf.DUMMYFUNCTION("(T130-(IFERROR(MIN(FILTER({L130, O130, R130}, ISNUMBER({L130, O130, R130}), {L130, O130, R130} &gt; 0)), """")))/T130"),0.40119760479041916)</f>
        <v>0.4011976048</v>
      </c>
      <c r="V130" s="60">
        <v>300.0</v>
      </c>
      <c r="W130" s="60"/>
    </row>
    <row r="131" ht="22.5" customHeight="1">
      <c r="A13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SUBSTITUTE(E131, """", """")"),"#REF!")</f>
        <v>#REF!</v>
      </c>
      <c r="B131" s="34" t="s">
        <v>332</v>
      </c>
      <c r="C131" s="34" t="s">
        <v>127</v>
      </c>
      <c r="D131" s="37" t="s">
        <v>128</v>
      </c>
      <c r="E131" s="38" t="s">
        <v>334</v>
      </c>
      <c r="F131" s="49" t="s">
        <v>63</v>
      </c>
      <c r="G131" s="37" t="s">
        <v>67</v>
      </c>
      <c r="H131" s="52" t="s">
        <v>41</v>
      </c>
      <c r="I131" s="34" t="s">
        <v>335</v>
      </c>
      <c r="J131" s="62"/>
      <c r="K131" s="62"/>
      <c r="L131" s="63"/>
      <c r="M131" s="64">
        <v>2000.0</v>
      </c>
      <c r="N131" s="64">
        <v>2000.0</v>
      </c>
      <c r="O131" s="59"/>
      <c r="P131" s="62">
        <v>2000.0</v>
      </c>
      <c r="Q131" s="62">
        <v>2000.0</v>
      </c>
      <c r="R131" s="62">
        <v>6044.0</v>
      </c>
      <c r="S131" s="58">
        <v>0.67</v>
      </c>
      <c r="T131" s="59">
        <f>IFERROR(__xludf.DUMMYFUNCTION("((IFERROR(MIN(FILTER({L131, O131, R131}, ISNUMBER({L131, O131, R131}), {L131, O131, R131} &gt; 0)), """"))*S131)+IFERROR(MIN(FILTER({L131, O131, R131}, ISNUMBER({L131, O131, R131}), {L131, O131, R131} &gt; 0)), """")"),10093.48)</f>
        <v>10093.48</v>
      </c>
      <c r="U131" s="53">
        <f>IFERROR(__xludf.DUMMYFUNCTION("(T131-(IFERROR(MIN(FILTER({L131, O131, R131}, ISNUMBER({L131, O131, R131}), {L131, O131, R131} &gt; 0)), """")))/T131"),0.40119760479041916)</f>
        <v>0.4011976048</v>
      </c>
      <c r="V131" s="60">
        <v>300.0</v>
      </c>
      <c r="W131" s="60"/>
    </row>
    <row r="132" ht="22.5" customHeight="1">
      <c r="A13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SUBSTITUTE(E132, """", """")"),"#REF!")</f>
        <v>#REF!</v>
      </c>
      <c r="B132" s="34" t="s">
        <v>332</v>
      </c>
      <c r="C132" s="34" t="s">
        <v>127</v>
      </c>
      <c r="D132" s="37" t="s">
        <v>128</v>
      </c>
      <c r="E132" s="38" t="s">
        <v>334</v>
      </c>
      <c r="F132" s="49" t="s">
        <v>63</v>
      </c>
      <c r="G132" s="37" t="s">
        <v>67</v>
      </c>
      <c r="H132" s="52" t="s">
        <v>41</v>
      </c>
      <c r="I132" s="34" t="s">
        <v>335</v>
      </c>
      <c r="J132" s="62"/>
      <c r="K132" s="62"/>
      <c r="L132" s="63"/>
      <c r="M132" s="64">
        <v>5000.0</v>
      </c>
      <c r="N132" s="64">
        <v>5000.0</v>
      </c>
      <c r="O132" s="59"/>
      <c r="P132" s="62">
        <v>5000.0</v>
      </c>
      <c r="Q132" s="62">
        <v>5000.0</v>
      </c>
      <c r="R132" s="62">
        <v>6297.0</v>
      </c>
      <c r="S132" s="58">
        <v>0.67</v>
      </c>
      <c r="T132" s="59">
        <f>IFERROR(__xludf.DUMMYFUNCTION("((IFERROR(MIN(FILTER({L132, O132, R132}, ISNUMBER({L132, O132, R132}), {L132, O132, R132} &gt; 0)), """"))*S132)+IFERROR(MIN(FILTER({L132, O132, R132}, ISNUMBER({L132, O132, R132}), {L132, O132, R132} &gt; 0)), """")"),10515.990000000002)</f>
        <v>10515.99</v>
      </c>
      <c r="U132" s="53">
        <f>IFERROR(__xludf.DUMMYFUNCTION("(T132-(IFERROR(MIN(FILTER({L132, O132, R132}, ISNUMBER({L132, O132, R132}), {L132, O132, R132} &gt; 0)), """")))/T132"),0.40119760479041927)</f>
        <v>0.4011976048</v>
      </c>
      <c r="V132" s="60">
        <v>300.0</v>
      </c>
      <c r="W132" s="60"/>
    </row>
    <row r="133" ht="22.5" customHeight="1">
      <c r="A13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SUBSTITUTE(E133, """", """")"),"#REF!")</f>
        <v>#REF!</v>
      </c>
      <c r="B133" s="34" t="s">
        <v>667</v>
      </c>
      <c r="C133" s="34" t="s">
        <v>127</v>
      </c>
      <c r="D133" s="37" t="s">
        <v>149</v>
      </c>
      <c r="E133" s="38" t="s">
        <v>668</v>
      </c>
      <c r="F133" s="49" t="s">
        <v>55</v>
      </c>
      <c r="G133" s="37" t="s">
        <v>74</v>
      </c>
      <c r="H133" s="52" t="s">
        <v>41</v>
      </c>
      <c r="I133" s="34" t="s">
        <v>386</v>
      </c>
      <c r="J133" s="62"/>
      <c r="K133" s="62"/>
      <c r="L133" s="63"/>
      <c r="M133" s="64">
        <v>500.0</v>
      </c>
      <c r="N133" s="64">
        <v>500.0</v>
      </c>
      <c r="O133" s="59"/>
      <c r="P133" s="62">
        <v>500.0</v>
      </c>
      <c r="Q133" s="62">
        <v>500.0</v>
      </c>
      <c r="R133" s="62">
        <v>11181.0</v>
      </c>
      <c r="S133" s="58">
        <v>0.67</v>
      </c>
      <c r="T133" s="59">
        <f>IFERROR(__xludf.DUMMYFUNCTION("((IFERROR(MIN(FILTER({L133, O133, R133}, ISNUMBER({L133, O133, R133}), {L133, O133, R133} &gt; 0)), """"))*S133)+IFERROR(MIN(FILTER({L133, O133, R133}, ISNUMBER({L133, O133, R133}), {L133, O133, R133} &gt; 0)), """")"),18672.27)</f>
        <v>18672.27</v>
      </c>
      <c r="U133" s="53">
        <f>IFERROR(__xludf.DUMMYFUNCTION("(T133-(IFERROR(MIN(FILTER({L133, O133, R133}, ISNUMBER({L133, O133, R133}), {L133, O133, R133} &gt; 0)), """")))/T133"),0.40119760479041916)</f>
        <v>0.4011976048</v>
      </c>
      <c r="V133" s="60">
        <v>300.0</v>
      </c>
      <c r="W133" s="60"/>
    </row>
    <row r="134" ht="22.5" customHeight="1">
      <c r="A13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SUBSTITUTE(E134, """", """")"),"#REF!")</f>
        <v>#REF!</v>
      </c>
      <c r="B134" s="34" t="s">
        <v>667</v>
      </c>
      <c r="C134" s="34" t="s">
        <v>127</v>
      </c>
      <c r="D134" s="37" t="s">
        <v>149</v>
      </c>
      <c r="E134" s="38" t="s">
        <v>668</v>
      </c>
      <c r="F134" s="49" t="s">
        <v>55</v>
      </c>
      <c r="G134" s="37" t="s">
        <v>74</v>
      </c>
      <c r="H134" s="52" t="s">
        <v>41</v>
      </c>
      <c r="I134" s="34" t="s">
        <v>386</v>
      </c>
      <c r="J134" s="62"/>
      <c r="K134" s="62"/>
      <c r="L134" s="63"/>
      <c r="M134" s="64">
        <v>1000.0</v>
      </c>
      <c r="N134" s="64">
        <v>1000.0</v>
      </c>
      <c r="O134" s="59"/>
      <c r="P134" s="62">
        <v>1000.0</v>
      </c>
      <c r="Q134" s="62">
        <v>1000.0</v>
      </c>
      <c r="R134" s="62">
        <v>7728.0</v>
      </c>
      <c r="S134" s="58">
        <v>0.67</v>
      </c>
      <c r="T134" s="59">
        <f>IFERROR(__xludf.DUMMYFUNCTION("((IFERROR(MIN(FILTER({L134, O134, R134}, ISNUMBER({L134, O134, R134}), {L134, O134, R134} &gt; 0)), """"))*S134)+IFERROR(MIN(FILTER({L134, O134, R134}, ISNUMBER({L134, O134, R134}), {L134, O134, R134} &gt; 0)), """")"),12905.76)</f>
        <v>12905.76</v>
      </c>
      <c r="U134" s="53">
        <f>IFERROR(__xludf.DUMMYFUNCTION("(T134-(IFERROR(MIN(FILTER({L134, O134, R134}, ISNUMBER({L134, O134, R134}), {L134, O134, R134} &gt; 0)), """")))/T134"),0.40119760479041916)</f>
        <v>0.4011976048</v>
      </c>
      <c r="V134" s="60">
        <v>300.0</v>
      </c>
      <c r="W134" s="60"/>
    </row>
    <row r="135" ht="22.5" customHeight="1">
      <c r="A13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SUBSTITUTE(E135, """", """")"),"#REF!")</f>
        <v>#REF!</v>
      </c>
      <c r="B135" s="34" t="s">
        <v>667</v>
      </c>
      <c r="C135" s="34" t="s">
        <v>127</v>
      </c>
      <c r="D135" s="37" t="s">
        <v>149</v>
      </c>
      <c r="E135" s="38" t="s">
        <v>668</v>
      </c>
      <c r="F135" s="49" t="s">
        <v>55</v>
      </c>
      <c r="G135" s="37" t="s">
        <v>74</v>
      </c>
      <c r="H135" s="52" t="s">
        <v>41</v>
      </c>
      <c r="I135" s="34" t="s">
        <v>386</v>
      </c>
      <c r="J135" s="62"/>
      <c r="K135" s="62"/>
      <c r="L135" s="63"/>
      <c r="M135" s="64">
        <v>2000.0</v>
      </c>
      <c r="N135" s="64">
        <v>2000.0</v>
      </c>
      <c r="O135" s="59"/>
      <c r="P135" s="62">
        <v>2000.0</v>
      </c>
      <c r="Q135" s="62">
        <v>2000.0</v>
      </c>
      <c r="R135" s="62">
        <v>6244.0</v>
      </c>
      <c r="S135" s="58">
        <v>0.67</v>
      </c>
      <c r="T135" s="59">
        <f>IFERROR(__xludf.DUMMYFUNCTION("((IFERROR(MIN(FILTER({L135, O135, R135}, ISNUMBER({L135, O135, R135}), {L135, O135, R135} &gt; 0)), """"))*S135)+IFERROR(MIN(FILTER({L135, O135, R135}, ISNUMBER({L135, O135, R135}), {L135, O135, R135} &gt; 0)), """")"),10427.48)</f>
        <v>10427.48</v>
      </c>
      <c r="U135" s="53">
        <f>IFERROR(__xludf.DUMMYFUNCTION("(T135-(IFERROR(MIN(FILTER({L135, O135, R135}, ISNUMBER({L135, O135, R135}), {L135, O135, R135} &gt; 0)), """")))/T135"),0.40119760479041916)</f>
        <v>0.4011976048</v>
      </c>
      <c r="V135" s="60">
        <v>300.0</v>
      </c>
      <c r="W135" s="60"/>
    </row>
    <row r="136" ht="22.5" customHeight="1">
      <c r="A13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SUBSTITUTE(E136, """", """")"),"#REF!")</f>
        <v>#REF!</v>
      </c>
      <c r="B136" s="34" t="s">
        <v>681</v>
      </c>
      <c r="C136" s="34" t="s">
        <v>127</v>
      </c>
      <c r="D136" s="37" t="s">
        <v>149</v>
      </c>
      <c r="E136" s="38" t="s">
        <v>668</v>
      </c>
      <c r="F136" s="49" t="s">
        <v>55</v>
      </c>
      <c r="G136" s="37" t="s">
        <v>536</v>
      </c>
      <c r="H136" s="52" t="s">
        <v>41</v>
      </c>
      <c r="I136" s="34" t="s">
        <v>152</v>
      </c>
      <c r="J136" s="62"/>
      <c r="K136" s="62"/>
      <c r="L136" s="63"/>
      <c r="M136" s="64">
        <v>500.0</v>
      </c>
      <c r="N136" s="64">
        <v>500.0</v>
      </c>
      <c r="O136" s="59"/>
      <c r="P136" s="62">
        <v>500.0</v>
      </c>
      <c r="Q136" s="62">
        <v>500.0</v>
      </c>
      <c r="R136" s="62">
        <v>11181.0</v>
      </c>
      <c r="S136" s="58">
        <v>0.67</v>
      </c>
      <c r="T136" s="59">
        <f>IFERROR(__xludf.DUMMYFUNCTION("((IFERROR(MIN(FILTER({L136, O136, R136}, ISNUMBER({L136, O136, R136}), {L136, O136, R136} &gt; 0)), """"))*S136)+IFERROR(MIN(FILTER({L136, O136, R136}, ISNUMBER({L136, O136, R136}), {L136, O136, R136} &gt; 0)), """")"),18672.27)</f>
        <v>18672.27</v>
      </c>
      <c r="U136" s="53">
        <f>IFERROR(__xludf.DUMMYFUNCTION("(T136-(IFERROR(MIN(FILTER({L136, O136, R136}, ISNUMBER({L136, O136, R136}), {L136, O136, R136} &gt; 0)), """")))/T136"),0.40119760479041916)</f>
        <v>0.4011976048</v>
      </c>
      <c r="V136" s="60">
        <v>300.0</v>
      </c>
      <c r="W136" s="60"/>
    </row>
    <row r="137" ht="22.5" customHeight="1">
      <c r="A13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SUBSTITUTE(E137, """", """")"),"#REF!")</f>
        <v>#REF!</v>
      </c>
      <c r="B137" s="34" t="s">
        <v>681</v>
      </c>
      <c r="C137" s="34" t="s">
        <v>127</v>
      </c>
      <c r="D137" s="37" t="s">
        <v>149</v>
      </c>
      <c r="E137" s="38" t="s">
        <v>668</v>
      </c>
      <c r="F137" s="49" t="s">
        <v>55</v>
      </c>
      <c r="G137" s="37" t="s">
        <v>536</v>
      </c>
      <c r="H137" s="52" t="s">
        <v>41</v>
      </c>
      <c r="I137" s="34" t="s">
        <v>152</v>
      </c>
      <c r="J137" s="62"/>
      <c r="K137" s="62"/>
      <c r="L137" s="63"/>
      <c r="M137" s="64">
        <v>1000.0</v>
      </c>
      <c r="N137" s="64">
        <v>1000.0</v>
      </c>
      <c r="O137" s="59"/>
      <c r="P137" s="62">
        <v>1000.0</v>
      </c>
      <c r="Q137" s="62">
        <v>1000.0</v>
      </c>
      <c r="R137" s="62">
        <v>7728.0</v>
      </c>
      <c r="S137" s="58">
        <v>0.67</v>
      </c>
      <c r="T137" s="59">
        <f>IFERROR(__xludf.DUMMYFUNCTION("((IFERROR(MIN(FILTER({L137, O137, R137}, ISNUMBER({L137, O137, R137}), {L137, O137, R137} &gt; 0)), """"))*S137)+IFERROR(MIN(FILTER({L137, O137, R137}, ISNUMBER({L137, O137, R137}), {L137, O137, R137} &gt; 0)), """")"),12905.76)</f>
        <v>12905.76</v>
      </c>
      <c r="U137" s="53">
        <f>IFERROR(__xludf.DUMMYFUNCTION("(T137-(IFERROR(MIN(FILTER({L137, O137, R137}, ISNUMBER({L137, O137, R137}), {L137, O137, R137} &gt; 0)), """")))/T137"),0.40119760479041916)</f>
        <v>0.4011976048</v>
      </c>
      <c r="V137" s="60">
        <v>300.0</v>
      </c>
      <c r="W137" s="60"/>
    </row>
    <row r="138" ht="22.5" customHeight="1">
      <c r="A13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SUBSTITUTE(E138, """", """")"),"#REF!")</f>
        <v>#REF!</v>
      </c>
      <c r="B138" s="34" t="s">
        <v>681</v>
      </c>
      <c r="C138" s="34" t="s">
        <v>127</v>
      </c>
      <c r="D138" s="37" t="s">
        <v>149</v>
      </c>
      <c r="E138" s="38" t="s">
        <v>668</v>
      </c>
      <c r="F138" s="49" t="s">
        <v>55</v>
      </c>
      <c r="G138" s="37" t="s">
        <v>536</v>
      </c>
      <c r="H138" s="52" t="s">
        <v>41</v>
      </c>
      <c r="I138" s="34" t="s">
        <v>152</v>
      </c>
      <c r="J138" s="62"/>
      <c r="K138" s="62"/>
      <c r="L138" s="63"/>
      <c r="M138" s="64">
        <v>2000.0</v>
      </c>
      <c r="N138" s="64">
        <v>2000.0</v>
      </c>
      <c r="O138" s="59"/>
      <c r="P138" s="62">
        <v>2000.0</v>
      </c>
      <c r="Q138" s="62">
        <v>2000.0</v>
      </c>
      <c r="R138" s="62">
        <v>6244.0</v>
      </c>
      <c r="S138" s="58">
        <v>0.67</v>
      </c>
      <c r="T138" s="59">
        <f>IFERROR(__xludf.DUMMYFUNCTION("((IFERROR(MIN(FILTER({L138, O138, R138}, ISNUMBER({L138, O138, R138}), {L138, O138, R138} &gt; 0)), """"))*S138)+IFERROR(MIN(FILTER({L138, O138, R138}, ISNUMBER({L138, O138, R138}), {L138, O138, R138} &gt; 0)), """")"),10427.48)</f>
        <v>10427.48</v>
      </c>
      <c r="U138" s="53">
        <f>IFERROR(__xludf.DUMMYFUNCTION("(T138-(IFERROR(MIN(FILTER({L138, O138, R138}, ISNUMBER({L138, O138, R138}), {L138, O138, R138} &gt; 0)), """")))/T138"),0.40119760479041916)</f>
        <v>0.4011976048</v>
      </c>
      <c r="V138" s="60">
        <v>300.0</v>
      </c>
      <c r="W138" s="60"/>
    </row>
    <row r="139" ht="22.5" customHeight="1">
      <c r="A13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SUBSTITUTE(E139, """", """")"),"#REF!")</f>
        <v>#REF!</v>
      </c>
      <c r="B139" s="34" t="s">
        <v>694</v>
      </c>
      <c r="C139" s="34" t="s">
        <v>127</v>
      </c>
      <c r="D139" s="37" t="s">
        <v>333</v>
      </c>
      <c r="E139" s="38" t="s">
        <v>696</v>
      </c>
      <c r="F139" s="49" t="s">
        <v>63</v>
      </c>
      <c r="G139" s="37" t="s">
        <v>67</v>
      </c>
      <c r="H139" s="52" t="s">
        <v>41</v>
      </c>
      <c r="I139" s="34" t="s">
        <v>699</v>
      </c>
      <c r="J139" s="62"/>
      <c r="K139" s="62"/>
      <c r="L139" s="63"/>
      <c r="M139" s="64">
        <v>1000.0</v>
      </c>
      <c r="N139" s="64">
        <v>1000.0</v>
      </c>
      <c r="O139" s="59"/>
      <c r="P139" s="62">
        <v>1000.0</v>
      </c>
      <c r="Q139" s="62">
        <v>1000.0</v>
      </c>
      <c r="R139" s="62">
        <v>1622.0</v>
      </c>
      <c r="S139" s="58">
        <v>0.67</v>
      </c>
      <c r="T139" s="59">
        <f>IFERROR(__xludf.DUMMYFUNCTION("((IFERROR(MIN(FILTER({L139, O139, R139}, ISNUMBER({L139, O139, R139}), {L139, O139, R139} &gt; 0)), """"))*S139)+IFERROR(MIN(FILTER({L139, O139, R139}, ISNUMBER({L139, O139, R139}), {L139, O139, R139} &gt; 0)), """")"),2708.74)</f>
        <v>2708.74</v>
      </c>
      <c r="U139" s="53">
        <f>IFERROR(__xludf.DUMMYFUNCTION("(T139-(IFERROR(MIN(FILTER({L139, O139, R139}, ISNUMBER({L139, O139, R139}), {L139, O139, R139} &gt; 0)), """")))/T139"),0.4011976047904191)</f>
        <v>0.4011976048</v>
      </c>
      <c r="V139" s="60">
        <v>300.0</v>
      </c>
      <c r="W139" s="60"/>
    </row>
    <row r="140" ht="22.5" customHeight="1">
      <c r="A14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SUBSTITUTE(E140, """", """")"),"#REF!")</f>
        <v>#REF!</v>
      </c>
      <c r="B140" s="34" t="s">
        <v>701</v>
      </c>
      <c r="C140" s="34" t="s">
        <v>127</v>
      </c>
      <c r="D140" s="37" t="s">
        <v>175</v>
      </c>
      <c r="E140" s="38" t="s">
        <v>310</v>
      </c>
      <c r="F140" s="49" t="s">
        <v>55</v>
      </c>
      <c r="G140" s="37" t="s">
        <v>58</v>
      </c>
      <c r="H140" s="52" t="s">
        <v>41</v>
      </c>
      <c r="I140" s="34" t="s">
        <v>152</v>
      </c>
      <c r="J140" s="62"/>
      <c r="K140" s="62"/>
      <c r="L140" s="63"/>
      <c r="M140" s="64">
        <v>500.0</v>
      </c>
      <c r="N140" s="64">
        <v>500.0</v>
      </c>
      <c r="O140" s="64">
        <v>5200.0</v>
      </c>
      <c r="P140" s="62">
        <v>500.0</v>
      </c>
      <c r="Q140" s="62">
        <v>500.0</v>
      </c>
      <c r="R140" s="63"/>
      <c r="S140" s="58">
        <v>0.67</v>
      </c>
      <c r="T140" s="59">
        <f>IFERROR(__xludf.DUMMYFUNCTION("((IFERROR(MIN(FILTER({L140, O140, R140}, ISNUMBER({L140, O140, R140}), {L140, O140, R140} &gt; 0)), """"))*S140)+IFERROR(MIN(FILTER({L140, O140, R140}, ISNUMBER({L140, O140, R140}), {L140, O140, R140} &gt; 0)), """")"),8684.0)</f>
        <v>8684</v>
      </c>
      <c r="U140" s="53">
        <f>IFERROR(__xludf.DUMMYFUNCTION("(T140-(IFERROR(MIN(FILTER({L140, O140, R140}, ISNUMBER({L140, O140, R140}), {L140, O140, R140} &gt; 0)), """")))/T140"),0.40119760479041916)</f>
        <v>0.4011976048</v>
      </c>
      <c r="V140" s="60">
        <v>300.0</v>
      </c>
      <c r="W140" s="60"/>
    </row>
    <row r="141" ht="22.5" customHeight="1">
      <c r="A14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SUBSTITUTE(E141, """", """")"),"#REF!")</f>
        <v>#REF!</v>
      </c>
      <c r="B141" s="34" t="s">
        <v>213</v>
      </c>
      <c r="C141" s="34" t="s">
        <v>127</v>
      </c>
      <c r="D141" s="37" t="s">
        <v>149</v>
      </c>
      <c r="E141" s="38" t="s">
        <v>707</v>
      </c>
      <c r="F141" s="49" t="s">
        <v>55</v>
      </c>
      <c r="G141" s="37" t="s">
        <v>108</v>
      </c>
      <c r="H141" s="52" t="s">
        <v>41</v>
      </c>
      <c r="I141" s="34" t="s">
        <v>312</v>
      </c>
      <c r="J141" s="62"/>
      <c r="K141" s="62"/>
      <c r="L141" s="63"/>
      <c r="M141" s="64">
        <v>2000.0</v>
      </c>
      <c r="N141" s="64">
        <v>2000.0</v>
      </c>
      <c r="O141" s="59"/>
      <c r="P141" s="62">
        <v>2000.0</v>
      </c>
      <c r="Q141" s="62">
        <v>2000.0</v>
      </c>
      <c r="R141" s="62">
        <v>6284.0</v>
      </c>
      <c r="S141" s="58">
        <v>0.67</v>
      </c>
      <c r="T141" s="59">
        <f>IFERROR(__xludf.DUMMYFUNCTION("((IFERROR(MIN(FILTER({L141, O141, R141}, ISNUMBER({L141, O141, R141}), {L141, O141, R141} &gt; 0)), """"))*S141)+IFERROR(MIN(FILTER({L141, O141, R141}, ISNUMBER({L141, O141, R141}), {L141, O141, R141} &gt; 0)), """")"),10494.28)</f>
        <v>10494.28</v>
      </c>
      <c r="U141" s="53">
        <f>IFERROR(__xludf.DUMMYFUNCTION("(T141-(IFERROR(MIN(FILTER({L141, O141, R141}, ISNUMBER({L141, O141, R141}), {L141, O141, R141} &gt; 0)), """")))/T141"),0.4011976047904192)</f>
        <v>0.4011976048</v>
      </c>
      <c r="V141" s="60">
        <v>300.0</v>
      </c>
      <c r="W141" s="60"/>
    </row>
    <row r="142" ht="22.5" customHeight="1">
      <c r="A14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SUBSTITUTE(E142, """", """")"),"#REF!")</f>
        <v>#REF!</v>
      </c>
      <c r="B142" s="34" t="s">
        <v>213</v>
      </c>
      <c r="C142" s="34" t="s">
        <v>127</v>
      </c>
      <c r="D142" s="37" t="s">
        <v>149</v>
      </c>
      <c r="E142" s="38" t="s">
        <v>707</v>
      </c>
      <c r="F142" s="49" t="s">
        <v>55</v>
      </c>
      <c r="G142" s="37" t="s">
        <v>108</v>
      </c>
      <c r="H142" s="52" t="s">
        <v>41</v>
      </c>
      <c r="I142" s="34" t="s">
        <v>312</v>
      </c>
      <c r="J142" s="62"/>
      <c r="K142" s="62"/>
      <c r="L142" s="63"/>
      <c r="M142" s="64">
        <v>5000.0</v>
      </c>
      <c r="N142" s="64">
        <v>5000.0</v>
      </c>
      <c r="O142" s="59"/>
      <c r="P142" s="62">
        <v>5000.0</v>
      </c>
      <c r="Q142" s="62">
        <v>5000.0</v>
      </c>
      <c r="R142" s="62">
        <v>5359.0</v>
      </c>
      <c r="S142" s="58">
        <v>0.67</v>
      </c>
      <c r="T142" s="59">
        <f>IFERROR(__xludf.DUMMYFUNCTION("((IFERROR(MIN(FILTER({L142, O142, R142}, ISNUMBER({L142, O142, R142}), {L142, O142, R142} &gt; 0)), """"))*S142)+IFERROR(MIN(FILTER({L142, O142, R142}, ISNUMBER({L142, O142, R142}), {L142, O142, R142} &gt; 0)), """")"),8949.53)</f>
        <v>8949.53</v>
      </c>
      <c r="U142" s="53">
        <f>IFERROR(__xludf.DUMMYFUNCTION("(T142-(IFERROR(MIN(FILTER({L142, O142, R142}, ISNUMBER({L142, O142, R142}), {L142, O142, R142} &gt; 0)), """")))/T142"),0.4011976047904192)</f>
        <v>0.4011976048</v>
      </c>
      <c r="V142" s="60">
        <v>300.0</v>
      </c>
      <c r="W142" s="60"/>
    </row>
    <row r="143" ht="22.5" customHeight="1">
      <c r="A14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SUBSTITUTE(E143, """", """")"),"#REF!")</f>
        <v>#REF!</v>
      </c>
      <c r="B143" s="34" t="s">
        <v>711</v>
      </c>
      <c r="C143" s="34" t="s">
        <v>127</v>
      </c>
      <c r="D143" s="37" t="s">
        <v>349</v>
      </c>
      <c r="E143" s="38" t="s">
        <v>712</v>
      </c>
      <c r="F143" s="49" t="s">
        <v>55</v>
      </c>
      <c r="G143" s="37" t="s">
        <v>351</v>
      </c>
      <c r="H143" s="52" t="s">
        <v>41</v>
      </c>
      <c r="I143" s="34" t="s">
        <v>713</v>
      </c>
      <c r="J143" s="62"/>
      <c r="K143" s="62"/>
      <c r="L143" s="63"/>
      <c r="M143" s="64">
        <v>500.0</v>
      </c>
      <c r="N143" s="64">
        <v>500.0</v>
      </c>
      <c r="O143" s="59"/>
      <c r="P143" s="62">
        <v>500.0</v>
      </c>
      <c r="Q143" s="62">
        <v>500.0</v>
      </c>
      <c r="R143" s="62">
        <v>9048.0</v>
      </c>
      <c r="S143" s="58">
        <v>0.67</v>
      </c>
      <c r="T143" s="59">
        <f>IFERROR(__xludf.DUMMYFUNCTION("((IFERROR(MIN(FILTER({L143, O143, R143}, ISNUMBER({L143, O143, R143}), {L143, O143, R143} &gt; 0)), """"))*S143)+IFERROR(MIN(FILTER({L143, O143, R143}, ISNUMBER({L143, O143, R143}), {L143, O143, R143} &gt; 0)), """")"),15110.16)</f>
        <v>15110.16</v>
      </c>
      <c r="U143" s="53">
        <f>IFERROR(__xludf.DUMMYFUNCTION("(T143-(IFERROR(MIN(FILTER({L143, O143, R143}, ISNUMBER({L143, O143, R143}), {L143, O143, R143} &gt; 0)), """")))/T143"),0.40119760479041916)</f>
        <v>0.4011976048</v>
      </c>
      <c r="V143" s="60">
        <v>300.0</v>
      </c>
      <c r="W143" s="60"/>
    </row>
    <row r="144" ht="22.5" customHeight="1">
      <c r="A14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SUBSTITUTE(E144, """", """")"),"#REF!")</f>
        <v>#REF!</v>
      </c>
      <c r="B144" s="34" t="s">
        <v>711</v>
      </c>
      <c r="C144" s="34" t="s">
        <v>127</v>
      </c>
      <c r="D144" s="37" t="s">
        <v>349</v>
      </c>
      <c r="E144" s="38" t="s">
        <v>712</v>
      </c>
      <c r="F144" s="49" t="s">
        <v>55</v>
      </c>
      <c r="G144" s="37" t="s">
        <v>351</v>
      </c>
      <c r="H144" s="52" t="s">
        <v>41</v>
      </c>
      <c r="I144" s="34" t="s">
        <v>713</v>
      </c>
      <c r="J144" s="62"/>
      <c r="K144" s="62"/>
      <c r="L144" s="63"/>
      <c r="M144" s="64">
        <v>1000.0</v>
      </c>
      <c r="N144" s="64">
        <v>1000.0</v>
      </c>
      <c r="O144" s="59"/>
      <c r="P144" s="62">
        <v>1000.0</v>
      </c>
      <c r="Q144" s="62">
        <v>1000.0</v>
      </c>
      <c r="R144" s="62">
        <v>6304.0</v>
      </c>
      <c r="S144" s="58">
        <v>0.67</v>
      </c>
      <c r="T144" s="59">
        <f>IFERROR(__xludf.DUMMYFUNCTION("((IFERROR(MIN(FILTER({L144, O144, R144}, ISNUMBER({L144, O144, R144}), {L144, O144, R144} &gt; 0)), """"))*S144)+IFERROR(MIN(FILTER({L144, O144, R144}, ISNUMBER({L144, O144, R144}), {L144, O144, R144} &gt; 0)), """")"),10527.68)</f>
        <v>10527.68</v>
      </c>
      <c r="U144" s="53">
        <f>IFERROR(__xludf.DUMMYFUNCTION("(T144-(IFERROR(MIN(FILTER({L144, O144, R144}, ISNUMBER({L144, O144, R144}), {L144, O144, R144} &gt; 0)), """")))/T144"),0.40119760479041916)</f>
        <v>0.4011976048</v>
      </c>
      <c r="V144" s="60">
        <v>300.0</v>
      </c>
      <c r="W144" s="60"/>
    </row>
    <row r="145" ht="22.5" customHeight="1">
      <c r="A14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SUBSTITUTE(E145, """", """")"),"#REF!")</f>
        <v>#REF!</v>
      </c>
      <c r="B145" s="34" t="s">
        <v>711</v>
      </c>
      <c r="C145" s="34" t="s">
        <v>127</v>
      </c>
      <c r="D145" s="37" t="s">
        <v>349</v>
      </c>
      <c r="E145" s="38" t="s">
        <v>712</v>
      </c>
      <c r="F145" s="49" t="s">
        <v>55</v>
      </c>
      <c r="G145" s="37" t="s">
        <v>351</v>
      </c>
      <c r="H145" s="52" t="s">
        <v>41</v>
      </c>
      <c r="I145" s="34" t="s">
        <v>713</v>
      </c>
      <c r="J145" s="62"/>
      <c r="K145" s="62"/>
      <c r="L145" s="63"/>
      <c r="M145" s="64">
        <v>1200.0</v>
      </c>
      <c r="N145" s="64">
        <v>1200.0</v>
      </c>
      <c r="O145" s="59"/>
      <c r="P145" s="62">
        <v>1200.0</v>
      </c>
      <c r="Q145" s="62">
        <v>1200.0</v>
      </c>
      <c r="R145" s="62">
        <v>5849.0</v>
      </c>
      <c r="S145" s="58">
        <v>0.67</v>
      </c>
      <c r="T145" s="59">
        <f>IFERROR(__xludf.DUMMYFUNCTION("((IFERROR(MIN(FILTER({L145, O145, R145}, ISNUMBER({L145, O145, R145}), {L145, O145, R145} &gt; 0)), """"))*S145)+IFERROR(MIN(FILTER({L145, O145, R145}, ISNUMBER({L145, O145, R145}), {L145, O145, R145} &gt; 0)), """")"),9767.83)</f>
        <v>9767.83</v>
      </c>
      <c r="U145" s="53">
        <f>IFERROR(__xludf.DUMMYFUNCTION("(T145-(IFERROR(MIN(FILTER({L145, O145, R145}, ISNUMBER({L145, O145, R145}), {L145, O145, R145} &gt; 0)), """")))/T145"),0.40119760479041916)</f>
        <v>0.4011976048</v>
      </c>
      <c r="V145" s="60">
        <v>300.0</v>
      </c>
      <c r="W145" s="60"/>
    </row>
    <row r="146" ht="22.5" customHeight="1">
      <c r="A14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SUBSTITUTE(E146, """", """")"),"#REF!")</f>
        <v>#REF!</v>
      </c>
      <c r="B146" s="34" t="s">
        <v>711</v>
      </c>
      <c r="C146" s="34" t="s">
        <v>127</v>
      </c>
      <c r="D146" s="37" t="s">
        <v>349</v>
      </c>
      <c r="E146" s="38" t="s">
        <v>712</v>
      </c>
      <c r="F146" s="49" t="s">
        <v>55</v>
      </c>
      <c r="G146" s="37" t="s">
        <v>351</v>
      </c>
      <c r="H146" s="52" t="s">
        <v>41</v>
      </c>
      <c r="I146" s="34" t="s">
        <v>723</v>
      </c>
      <c r="J146" s="62"/>
      <c r="K146" s="62"/>
      <c r="L146" s="63"/>
      <c r="M146" s="64">
        <v>500.0</v>
      </c>
      <c r="N146" s="64">
        <v>500.0</v>
      </c>
      <c r="O146" s="59"/>
      <c r="P146" s="62">
        <v>500.0</v>
      </c>
      <c r="Q146" s="62">
        <v>500.0</v>
      </c>
      <c r="R146" s="62">
        <v>8995.0</v>
      </c>
      <c r="S146" s="58">
        <v>0.67</v>
      </c>
      <c r="T146" s="59">
        <f>IFERROR(__xludf.DUMMYFUNCTION("((IFERROR(MIN(FILTER({L146, O146, R146}, ISNUMBER({L146, O146, R146}), {L146, O146, R146} &gt; 0)), """"))*S146)+IFERROR(MIN(FILTER({L146, O146, R146}, ISNUMBER({L146, O146, R146}), {L146, O146, R146} &gt; 0)), """")"),15021.650000000001)</f>
        <v>15021.65</v>
      </c>
      <c r="U146" s="53">
        <f>IFERROR(__xludf.DUMMYFUNCTION("(T146-(IFERROR(MIN(FILTER({L146, O146, R146}, ISNUMBER({L146, O146, R146}), {L146, O146, R146} &gt; 0)), """")))/T146"),0.4011976047904192)</f>
        <v>0.4011976048</v>
      </c>
      <c r="V146" s="60">
        <v>300.0</v>
      </c>
      <c r="W146" s="60"/>
    </row>
    <row r="147" ht="22.5" customHeight="1">
      <c r="A14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SUBSTITUTE(E147, """", """")"),"#REF!")</f>
        <v>#REF!</v>
      </c>
      <c r="B147" s="34" t="s">
        <v>711</v>
      </c>
      <c r="C147" s="34" t="s">
        <v>127</v>
      </c>
      <c r="D147" s="37" t="s">
        <v>349</v>
      </c>
      <c r="E147" s="38" t="s">
        <v>712</v>
      </c>
      <c r="F147" s="49" t="s">
        <v>55</v>
      </c>
      <c r="G147" s="37" t="s">
        <v>351</v>
      </c>
      <c r="H147" s="52" t="s">
        <v>41</v>
      </c>
      <c r="I147" s="34" t="s">
        <v>723</v>
      </c>
      <c r="J147" s="62"/>
      <c r="K147" s="62"/>
      <c r="L147" s="63"/>
      <c r="M147" s="64">
        <v>1000.0</v>
      </c>
      <c r="N147" s="64">
        <v>1000.0</v>
      </c>
      <c r="O147" s="59"/>
      <c r="P147" s="62">
        <v>1000.0</v>
      </c>
      <c r="Q147" s="62">
        <v>1000.0</v>
      </c>
      <c r="R147" s="62">
        <v>6432.0</v>
      </c>
      <c r="S147" s="58">
        <v>0.67</v>
      </c>
      <c r="T147" s="59">
        <f>IFERROR(__xludf.DUMMYFUNCTION("((IFERROR(MIN(FILTER({L147, O147, R147}, ISNUMBER({L147, O147, R147}), {L147, O147, R147} &gt; 0)), """"))*S147)+IFERROR(MIN(FILTER({L147, O147, R147}, ISNUMBER({L147, O147, R147}), {L147, O147, R147} &gt; 0)), """")"),10741.44)</f>
        <v>10741.44</v>
      </c>
      <c r="U147" s="53">
        <f>IFERROR(__xludf.DUMMYFUNCTION("(T147-(IFERROR(MIN(FILTER({L147, O147, R147}, ISNUMBER({L147, O147, R147}), {L147, O147, R147} &gt; 0)), """")))/T147"),0.4011976047904192)</f>
        <v>0.4011976048</v>
      </c>
      <c r="V147" s="60">
        <v>300.0</v>
      </c>
      <c r="W147" s="60"/>
    </row>
    <row r="148" ht="22.5" customHeight="1">
      <c r="A14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SUBSTITUTE(E148, """", """")"),"#REF!")</f>
        <v>#REF!</v>
      </c>
      <c r="B148" s="34" t="s">
        <v>711</v>
      </c>
      <c r="C148" s="34" t="s">
        <v>127</v>
      </c>
      <c r="D148" s="37" t="s">
        <v>349</v>
      </c>
      <c r="E148" s="38" t="s">
        <v>712</v>
      </c>
      <c r="F148" s="49" t="s">
        <v>55</v>
      </c>
      <c r="G148" s="37" t="s">
        <v>351</v>
      </c>
      <c r="H148" s="52" t="s">
        <v>41</v>
      </c>
      <c r="I148" s="34" t="s">
        <v>723</v>
      </c>
      <c r="J148" s="62"/>
      <c r="K148" s="62"/>
      <c r="L148" s="63"/>
      <c r="M148" s="64">
        <v>1200.0</v>
      </c>
      <c r="N148" s="64">
        <v>1200.0</v>
      </c>
      <c r="O148" s="59"/>
      <c r="P148" s="62">
        <v>1200.0</v>
      </c>
      <c r="Q148" s="62">
        <v>1200.0</v>
      </c>
      <c r="R148" s="62">
        <v>5996.0</v>
      </c>
      <c r="S148" s="58">
        <v>0.67</v>
      </c>
      <c r="T148" s="59">
        <f>IFERROR(__xludf.DUMMYFUNCTION("((IFERROR(MIN(FILTER({L148, O148, R148}, ISNUMBER({L148, O148, R148}), {L148, O148, R148} &gt; 0)), """"))*S148)+IFERROR(MIN(FILTER({L148, O148, R148}, ISNUMBER({L148, O148, R148}), {L148, O148, R148} &gt; 0)), """")"),10013.32)</f>
        <v>10013.32</v>
      </c>
      <c r="U148" s="53">
        <f>IFERROR(__xludf.DUMMYFUNCTION("(T148-(IFERROR(MIN(FILTER({L148, O148, R148}, ISNUMBER({L148, O148, R148}), {L148, O148, R148} &gt; 0)), """")))/T148"),0.40119760479041916)</f>
        <v>0.4011976048</v>
      </c>
      <c r="V148" s="60">
        <v>300.0</v>
      </c>
      <c r="W148" s="60"/>
    </row>
    <row r="149" ht="22.5" customHeight="1">
      <c r="A14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SUBSTITUTE(E149, """", """")"),"#REF!")</f>
        <v>#REF!</v>
      </c>
      <c r="B149" s="34" t="s">
        <v>736</v>
      </c>
      <c r="C149" s="34" t="s">
        <v>127</v>
      </c>
      <c r="D149" s="37" t="s">
        <v>737</v>
      </c>
      <c r="E149" s="38" t="s">
        <v>212</v>
      </c>
      <c r="F149" s="49" t="s">
        <v>55</v>
      </c>
      <c r="G149" s="37" t="s">
        <v>210</v>
      </c>
      <c r="H149" s="52" t="s">
        <v>41</v>
      </c>
      <c r="I149" s="34" t="s">
        <v>738</v>
      </c>
      <c r="J149" s="62"/>
      <c r="K149" s="62"/>
      <c r="L149" s="63"/>
      <c r="M149" s="64">
        <v>5000.0</v>
      </c>
      <c r="N149" s="64">
        <v>5000.0</v>
      </c>
      <c r="O149" s="59"/>
      <c r="P149" s="62">
        <v>5000.0</v>
      </c>
      <c r="Q149" s="62">
        <v>5000.0</v>
      </c>
      <c r="R149" s="62">
        <v>5647.0</v>
      </c>
      <c r="S149" s="58">
        <v>0.67</v>
      </c>
      <c r="T149" s="59">
        <f>IFERROR(__xludf.DUMMYFUNCTION("((IFERROR(MIN(FILTER({L149, O149, R149}, ISNUMBER({L149, O149, R149}), {L149, O149, R149} &gt; 0)), """"))*S149)+IFERROR(MIN(FILTER({L149, O149, R149}, ISNUMBER({L149, O149, R149}), {L149, O149, R149} &gt; 0)), """")"),9430.49)</f>
        <v>9430.49</v>
      </c>
      <c r="U149" s="53">
        <f>IFERROR(__xludf.DUMMYFUNCTION("(T149-(IFERROR(MIN(FILTER({L149, O149, R149}, ISNUMBER({L149, O149, R149}), {L149, O149, R149} &gt; 0)), """")))/T149"),0.40119760479041916)</f>
        <v>0.4011976048</v>
      </c>
      <c r="V149" s="60">
        <v>300.0</v>
      </c>
      <c r="W149" s="60"/>
    </row>
    <row r="150" ht="22.5" customHeight="1">
      <c r="A15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SUBSTITUTE(E150, """", """")"),"#REF!")</f>
        <v>#REF!</v>
      </c>
      <c r="B150" s="34" t="s">
        <v>736</v>
      </c>
      <c r="C150" s="34" t="s">
        <v>127</v>
      </c>
      <c r="D150" s="37" t="s">
        <v>737</v>
      </c>
      <c r="E150" s="38" t="s">
        <v>212</v>
      </c>
      <c r="F150" s="49" t="s">
        <v>55</v>
      </c>
      <c r="G150" s="37" t="s">
        <v>210</v>
      </c>
      <c r="H150" s="52" t="s">
        <v>41</v>
      </c>
      <c r="I150" s="34" t="s">
        <v>738</v>
      </c>
      <c r="J150" s="62"/>
      <c r="K150" s="62"/>
      <c r="L150" s="63"/>
      <c r="M150" s="64">
        <v>10000.0</v>
      </c>
      <c r="N150" s="64">
        <v>10000.0</v>
      </c>
      <c r="O150" s="59"/>
      <c r="P150" s="62">
        <v>10000.0</v>
      </c>
      <c r="Q150" s="62">
        <v>10000.0</v>
      </c>
      <c r="R150" s="62">
        <v>5247.0</v>
      </c>
      <c r="S150" s="58">
        <v>0.67</v>
      </c>
      <c r="T150" s="59">
        <f>IFERROR(__xludf.DUMMYFUNCTION("((IFERROR(MIN(FILTER({L150, O150, R150}, ISNUMBER({L150, O150, R150}), {L150, O150, R150} &gt; 0)), """"))*S150)+IFERROR(MIN(FILTER({L150, O150, R150}, ISNUMBER({L150, O150, R150}), {L150, O150, R150} &gt; 0)), """")"),8762.49)</f>
        <v>8762.49</v>
      </c>
      <c r="U150" s="53">
        <f>IFERROR(__xludf.DUMMYFUNCTION("(T150-(IFERROR(MIN(FILTER({L150, O150, R150}, ISNUMBER({L150, O150, R150}), {L150, O150, R150} &gt; 0)), """")))/T150"),0.40119760479041916)</f>
        <v>0.4011976048</v>
      </c>
      <c r="V150" s="60">
        <v>300.0</v>
      </c>
      <c r="W150" s="60"/>
    </row>
    <row r="151" ht="22.5" customHeight="1">
      <c r="A15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SUBSTITUTE(E151, """", """")"),"#REF!")</f>
        <v>#REF!</v>
      </c>
      <c r="B151" s="34" t="s">
        <v>744</v>
      </c>
      <c r="C151" s="34" t="s">
        <v>127</v>
      </c>
      <c r="D151" s="37" t="s">
        <v>149</v>
      </c>
      <c r="E151" s="38" t="s">
        <v>745</v>
      </c>
      <c r="F151" s="49" t="s">
        <v>36</v>
      </c>
      <c r="G151" s="37" t="s">
        <v>746</v>
      </c>
      <c r="H151" s="52" t="s">
        <v>41</v>
      </c>
      <c r="I151" s="34" t="s">
        <v>152</v>
      </c>
      <c r="J151" s="62"/>
      <c r="K151" s="62"/>
      <c r="L151" s="63"/>
      <c r="M151" s="64">
        <v>1000.0</v>
      </c>
      <c r="N151" s="64">
        <v>1000.0</v>
      </c>
      <c r="O151" s="59"/>
      <c r="P151" s="62">
        <v>1000.0</v>
      </c>
      <c r="Q151" s="62">
        <v>1000.0</v>
      </c>
      <c r="R151" s="62">
        <v>8629.0</v>
      </c>
      <c r="S151" s="58">
        <v>0.67</v>
      </c>
      <c r="T151" s="59">
        <f>IFERROR(__xludf.DUMMYFUNCTION("((IFERROR(MIN(FILTER({L151, O151, R151}, ISNUMBER({L151, O151, R151}), {L151, O151, R151} &gt; 0)), """"))*S151)+IFERROR(MIN(FILTER({L151, O151, R151}, ISNUMBER({L151, O151, R151}), {L151, O151, R151} &gt; 0)), """")"),14410.43)</f>
        <v>14410.43</v>
      </c>
      <c r="U151" s="53">
        <f>IFERROR(__xludf.DUMMYFUNCTION("(T151-(IFERROR(MIN(FILTER({L151, O151, R151}, ISNUMBER({L151, O151, R151}), {L151, O151, R151} &gt; 0)), """")))/T151"),0.40119760479041916)</f>
        <v>0.4011976048</v>
      </c>
      <c r="V151" s="60">
        <v>300.0</v>
      </c>
      <c r="W151" s="60"/>
    </row>
    <row r="152" ht="22.5" customHeight="1">
      <c r="A15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SUBSTITUTE(E152, """", """")"),"#REF!")</f>
        <v>#REF!</v>
      </c>
      <c r="B152" s="34" t="s">
        <v>744</v>
      </c>
      <c r="C152" s="34" t="s">
        <v>127</v>
      </c>
      <c r="D152" s="37" t="s">
        <v>149</v>
      </c>
      <c r="E152" s="38" t="s">
        <v>745</v>
      </c>
      <c r="F152" s="49" t="s">
        <v>36</v>
      </c>
      <c r="G152" s="37" t="s">
        <v>746</v>
      </c>
      <c r="H152" s="52" t="s">
        <v>41</v>
      </c>
      <c r="I152" s="34" t="s">
        <v>152</v>
      </c>
      <c r="J152" s="62"/>
      <c r="K152" s="62"/>
      <c r="L152" s="63"/>
      <c r="M152" s="64">
        <v>2000.0</v>
      </c>
      <c r="N152" s="64">
        <v>2000.0</v>
      </c>
      <c r="O152" s="59"/>
      <c r="P152" s="62">
        <v>2000.0</v>
      </c>
      <c r="Q152" s="62">
        <v>2000.0</v>
      </c>
      <c r="R152" s="62">
        <v>6193.0</v>
      </c>
      <c r="S152" s="58">
        <v>0.67</v>
      </c>
      <c r="T152" s="59">
        <f>IFERROR(__xludf.DUMMYFUNCTION("((IFERROR(MIN(FILTER({L152, O152, R152}, ISNUMBER({L152, O152, R152}), {L152, O152, R152} &gt; 0)), """"))*S152)+IFERROR(MIN(FILTER({L152, O152, R152}, ISNUMBER({L152, O152, R152}), {L152, O152, R152} &gt; 0)), """")"),10342.310000000001)</f>
        <v>10342.31</v>
      </c>
      <c r="U152" s="53">
        <f>IFERROR(__xludf.DUMMYFUNCTION("(T152-(IFERROR(MIN(FILTER({L152, O152, R152}, ISNUMBER({L152, O152, R152}), {L152, O152, R152} &gt; 0)), """")))/T152"),0.4011976047904192)</f>
        <v>0.4011976048</v>
      </c>
      <c r="V152" s="60">
        <v>300.0</v>
      </c>
      <c r="W152" s="60"/>
    </row>
    <row r="153" ht="22.5" customHeight="1">
      <c r="A15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SUBSTITUTE(E153, """", """")"),"#REF!")</f>
        <v>#REF!</v>
      </c>
      <c r="B153" s="34" t="s">
        <v>711</v>
      </c>
      <c r="C153" s="34" t="s">
        <v>127</v>
      </c>
      <c r="D153" s="37" t="s">
        <v>333</v>
      </c>
      <c r="E153" s="38" t="s">
        <v>747</v>
      </c>
      <c r="F153" s="49" t="s">
        <v>748</v>
      </c>
      <c r="G153" s="37" t="s">
        <v>749</v>
      </c>
      <c r="H153" s="52" t="s">
        <v>41</v>
      </c>
      <c r="I153" s="34" t="s">
        <v>750</v>
      </c>
      <c r="J153" s="62"/>
      <c r="K153" s="62"/>
      <c r="L153" s="63"/>
      <c r="M153" s="64">
        <v>500.0</v>
      </c>
      <c r="N153" s="64">
        <v>500.0</v>
      </c>
      <c r="O153" s="59"/>
      <c r="P153" s="62">
        <v>500.0</v>
      </c>
      <c r="Q153" s="62">
        <v>500.0</v>
      </c>
      <c r="R153" s="62">
        <v>13664.0</v>
      </c>
      <c r="S153" s="58">
        <v>0.67</v>
      </c>
      <c r="T153" s="59">
        <f>IFERROR(__xludf.DUMMYFUNCTION("((IFERROR(MIN(FILTER({L153, O153, R153}, ISNUMBER({L153, O153, R153}), {L153, O153, R153} &gt; 0)), """"))*S153)+IFERROR(MIN(FILTER({L153, O153, R153}, ISNUMBER({L153, O153, R153}), {L153, O153, R153} &gt; 0)), """")"),22818.88)</f>
        <v>22818.88</v>
      </c>
      <c r="U153" s="53">
        <f>IFERROR(__xludf.DUMMYFUNCTION("(T153-(IFERROR(MIN(FILTER({L153, O153, R153}, ISNUMBER({L153, O153, R153}), {L153, O153, R153} &gt; 0)), """")))/T153"),0.4011976047904192)</f>
        <v>0.4011976048</v>
      </c>
      <c r="V153" s="60">
        <v>300.0</v>
      </c>
      <c r="W153" s="60"/>
    </row>
    <row r="154" ht="22.5" customHeight="1">
      <c r="A15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SUBSTITUTE(E154, """", """")"),"#REF!")</f>
        <v>#REF!</v>
      </c>
      <c r="B154" s="34" t="s">
        <v>711</v>
      </c>
      <c r="C154" s="34" t="s">
        <v>127</v>
      </c>
      <c r="D154" s="37" t="s">
        <v>333</v>
      </c>
      <c r="E154" s="38" t="s">
        <v>747</v>
      </c>
      <c r="F154" s="49" t="s">
        <v>748</v>
      </c>
      <c r="G154" s="37" t="s">
        <v>749</v>
      </c>
      <c r="H154" s="52" t="s">
        <v>41</v>
      </c>
      <c r="I154" s="34" t="s">
        <v>751</v>
      </c>
      <c r="J154" s="62"/>
      <c r="K154" s="62"/>
      <c r="L154" s="63"/>
      <c r="M154" s="64">
        <v>1000.0</v>
      </c>
      <c r="N154" s="64">
        <v>1000.0</v>
      </c>
      <c r="O154" s="59"/>
      <c r="P154" s="62">
        <v>1000.0</v>
      </c>
      <c r="Q154" s="62">
        <v>1000.0</v>
      </c>
      <c r="R154" s="62">
        <v>8480.0</v>
      </c>
      <c r="S154" s="58">
        <v>0.67</v>
      </c>
      <c r="T154" s="59">
        <f>IFERROR(__xludf.DUMMYFUNCTION("((IFERROR(MIN(FILTER({L154, O154, R154}, ISNUMBER({L154, O154, R154}), {L154, O154, R154} &gt; 0)), """"))*S154)+IFERROR(MIN(FILTER({L154, O154, R154}, ISNUMBER({L154, O154, R154}), {L154, O154, R154} &gt; 0)), """")"),14161.6)</f>
        <v>14161.6</v>
      </c>
      <c r="U154" s="53">
        <f>IFERROR(__xludf.DUMMYFUNCTION("(T154-(IFERROR(MIN(FILTER({L154, O154, R154}, ISNUMBER({L154, O154, R154}), {L154, O154, R154} &gt; 0)), """")))/T154"),0.40119760479041916)</f>
        <v>0.4011976048</v>
      </c>
      <c r="V154" s="60">
        <v>300.0</v>
      </c>
      <c r="W154" s="60"/>
    </row>
    <row r="155" ht="22.5" customHeight="1">
      <c r="A15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SUBSTITUTE(E155, """", """")"),"#REF!")</f>
        <v>#REF!</v>
      </c>
      <c r="B155" s="34" t="s">
        <v>711</v>
      </c>
      <c r="C155" s="34" t="s">
        <v>127</v>
      </c>
      <c r="D155" s="37" t="s">
        <v>333</v>
      </c>
      <c r="E155" s="38" t="s">
        <v>747</v>
      </c>
      <c r="F155" s="49" t="s">
        <v>748</v>
      </c>
      <c r="G155" s="37" t="s">
        <v>749</v>
      </c>
      <c r="H155" s="52" t="s">
        <v>41</v>
      </c>
      <c r="I155" s="34" t="s">
        <v>753</v>
      </c>
      <c r="J155" s="62"/>
      <c r="K155" s="62"/>
      <c r="L155" s="63"/>
      <c r="M155" s="64">
        <v>1200.0</v>
      </c>
      <c r="N155" s="64">
        <v>1200.0</v>
      </c>
      <c r="O155" s="59"/>
      <c r="P155" s="62">
        <v>1200.0</v>
      </c>
      <c r="Q155" s="62">
        <v>1200.0</v>
      </c>
      <c r="R155" s="62">
        <v>7725.0</v>
      </c>
      <c r="S155" s="58">
        <v>0.67</v>
      </c>
      <c r="T155" s="59">
        <f>IFERROR(__xludf.DUMMYFUNCTION("((IFERROR(MIN(FILTER({L155, O155, R155}, ISNUMBER({L155, O155, R155}), {L155, O155, R155} &gt; 0)), """"))*S155)+IFERROR(MIN(FILTER({L155, O155, R155}, ISNUMBER({L155, O155, R155}), {L155, O155, R155} &gt; 0)), """")"),12900.75)</f>
        <v>12900.75</v>
      </c>
      <c r="U155" s="53">
        <f>IFERROR(__xludf.DUMMYFUNCTION("(T155-(IFERROR(MIN(FILTER({L155, O155, R155}, ISNUMBER({L155, O155, R155}), {L155, O155, R155} &gt; 0)), """")))/T155"),0.40119760479041916)</f>
        <v>0.4011976048</v>
      </c>
      <c r="V155" s="60">
        <v>300.0</v>
      </c>
      <c r="W155" s="60"/>
    </row>
    <row r="156" ht="22.5" customHeight="1">
      <c r="A15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SUBSTITUTE(E156, """", """")"),"#REF!")</f>
        <v>#REF!</v>
      </c>
      <c r="B156" s="34" t="s">
        <v>711</v>
      </c>
      <c r="C156" s="34" t="s">
        <v>127</v>
      </c>
      <c r="D156" s="37" t="s">
        <v>349</v>
      </c>
      <c r="E156" s="38" t="s">
        <v>747</v>
      </c>
      <c r="F156" s="49" t="s">
        <v>748</v>
      </c>
      <c r="G156" s="37" t="s">
        <v>749</v>
      </c>
      <c r="H156" s="52" t="s">
        <v>41</v>
      </c>
      <c r="I156" s="34" t="s">
        <v>756</v>
      </c>
      <c r="J156" s="62"/>
      <c r="K156" s="62"/>
      <c r="L156" s="63"/>
      <c r="M156" s="64">
        <v>500.0</v>
      </c>
      <c r="N156" s="64">
        <v>500.0</v>
      </c>
      <c r="O156" s="59"/>
      <c r="P156" s="62">
        <v>500.0</v>
      </c>
      <c r="Q156" s="62">
        <v>500.0</v>
      </c>
      <c r="R156" s="62">
        <v>13932.0</v>
      </c>
      <c r="S156" s="58">
        <v>0.67</v>
      </c>
      <c r="T156" s="59">
        <f>IFERROR(__xludf.DUMMYFUNCTION("((IFERROR(MIN(FILTER({L156, O156, R156}, ISNUMBER({L156, O156, R156}), {L156, O156, R156} &gt; 0)), """"))*S156)+IFERROR(MIN(FILTER({L156, O156, R156}, ISNUMBER({L156, O156, R156}), {L156, O156, R156} &gt; 0)), """")"),23266.440000000002)</f>
        <v>23266.44</v>
      </c>
      <c r="U156" s="53">
        <f>IFERROR(__xludf.DUMMYFUNCTION("(T156-(IFERROR(MIN(FILTER({L156, O156, R156}, ISNUMBER({L156, O156, R156}), {L156, O156, R156} &gt; 0)), """")))/T156"),0.4011976047904192)</f>
        <v>0.4011976048</v>
      </c>
      <c r="V156" s="60">
        <v>300.0</v>
      </c>
      <c r="W156" s="60"/>
    </row>
    <row r="157" ht="22.5" customHeight="1">
      <c r="A15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SUBSTITUTE(E157, """", """")"),"#REF!")</f>
        <v>#REF!</v>
      </c>
      <c r="B157" s="34" t="s">
        <v>711</v>
      </c>
      <c r="C157" s="34" t="s">
        <v>127</v>
      </c>
      <c r="D157" s="37" t="s">
        <v>349</v>
      </c>
      <c r="E157" s="38" t="s">
        <v>747</v>
      </c>
      <c r="F157" s="49" t="s">
        <v>748</v>
      </c>
      <c r="G157" s="37" t="s">
        <v>749</v>
      </c>
      <c r="H157" s="52" t="s">
        <v>41</v>
      </c>
      <c r="I157" s="34" t="s">
        <v>759</v>
      </c>
      <c r="J157" s="62"/>
      <c r="K157" s="62"/>
      <c r="L157" s="63"/>
      <c r="M157" s="64">
        <v>1000.0</v>
      </c>
      <c r="N157" s="64">
        <v>1000.0</v>
      </c>
      <c r="O157" s="59"/>
      <c r="P157" s="62">
        <v>1000.0</v>
      </c>
      <c r="Q157" s="62">
        <v>1000.0</v>
      </c>
      <c r="R157" s="62">
        <v>8678.0</v>
      </c>
      <c r="S157" s="58">
        <v>0.67</v>
      </c>
      <c r="T157" s="59">
        <f>IFERROR(__xludf.DUMMYFUNCTION("((IFERROR(MIN(FILTER({L157, O157, R157}, ISNUMBER({L157, O157, R157}), {L157, O157, R157} &gt; 0)), """"))*S157)+IFERROR(MIN(FILTER({L157, O157, R157}, ISNUMBER({L157, O157, R157}), {L157, O157, R157} &gt; 0)), """")"),14492.26)</f>
        <v>14492.26</v>
      </c>
      <c r="U157" s="53">
        <f>IFERROR(__xludf.DUMMYFUNCTION("(T157-(IFERROR(MIN(FILTER({L157, O157, R157}, ISNUMBER({L157, O157, R157}), {L157, O157, R157} &gt; 0)), """")))/T157"),0.40119760479041916)</f>
        <v>0.4011976048</v>
      </c>
      <c r="V157" s="60">
        <v>300.0</v>
      </c>
      <c r="W157" s="60"/>
    </row>
    <row r="158" ht="22.5" customHeight="1">
      <c r="A15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SUBSTITUTE(E158, """", """")"),"#REF!")</f>
        <v>#REF!</v>
      </c>
      <c r="B158" s="34" t="s">
        <v>711</v>
      </c>
      <c r="C158" s="34" t="s">
        <v>127</v>
      </c>
      <c r="D158" s="37" t="s">
        <v>349</v>
      </c>
      <c r="E158" s="38" t="s">
        <v>747</v>
      </c>
      <c r="F158" s="49" t="s">
        <v>748</v>
      </c>
      <c r="G158" s="37" t="s">
        <v>749</v>
      </c>
      <c r="H158" s="52" t="s">
        <v>41</v>
      </c>
      <c r="I158" s="34" t="s">
        <v>764</v>
      </c>
      <c r="J158" s="62"/>
      <c r="K158" s="62"/>
      <c r="L158" s="63"/>
      <c r="M158" s="64">
        <v>1200.0</v>
      </c>
      <c r="N158" s="64">
        <v>1200.0</v>
      </c>
      <c r="O158" s="59"/>
      <c r="P158" s="62">
        <v>1200.0</v>
      </c>
      <c r="Q158" s="62">
        <v>1200.0</v>
      </c>
      <c r="R158" s="62">
        <v>7932.0</v>
      </c>
      <c r="S158" s="58">
        <v>0.67</v>
      </c>
      <c r="T158" s="59">
        <f>IFERROR(__xludf.DUMMYFUNCTION("((IFERROR(MIN(FILTER({L158, O158, R158}, ISNUMBER({L158, O158, R158}), {L158, O158, R158} &gt; 0)), """"))*S158)+IFERROR(MIN(FILTER({L158, O158, R158}, ISNUMBER({L158, O158, R158}), {L158, O158, R158} &gt; 0)), """")"),13246.44)</f>
        <v>13246.44</v>
      </c>
      <c r="U158" s="53">
        <f>IFERROR(__xludf.DUMMYFUNCTION("(T158-(IFERROR(MIN(FILTER({L158, O158, R158}, ISNUMBER({L158, O158, R158}), {L158, O158, R158} &gt; 0)), """")))/T158"),0.40119760479041916)</f>
        <v>0.4011976048</v>
      </c>
      <c r="V158" s="60">
        <v>300.0</v>
      </c>
      <c r="W158" s="60"/>
    </row>
    <row r="159" ht="22.5" customHeight="1">
      <c r="A15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SUBSTITUTE(E159, """", """")"),"#REF!")</f>
        <v>#REF!</v>
      </c>
      <c r="B159" s="34" t="s">
        <v>711</v>
      </c>
      <c r="C159" s="34" t="s">
        <v>127</v>
      </c>
      <c r="D159" s="37" t="s">
        <v>767</v>
      </c>
      <c r="E159" s="38" t="s">
        <v>747</v>
      </c>
      <c r="F159" s="49" t="s">
        <v>748</v>
      </c>
      <c r="G159" s="37" t="s">
        <v>749</v>
      </c>
      <c r="H159" s="52" t="s">
        <v>41</v>
      </c>
      <c r="I159" s="34" t="s">
        <v>770</v>
      </c>
      <c r="J159" s="62"/>
      <c r="K159" s="62"/>
      <c r="L159" s="63"/>
      <c r="M159" s="64">
        <v>500.0</v>
      </c>
      <c r="N159" s="64">
        <v>500.0</v>
      </c>
      <c r="O159" s="59"/>
      <c r="P159" s="62">
        <v>500.0</v>
      </c>
      <c r="Q159" s="62">
        <v>500.0</v>
      </c>
      <c r="R159" s="62">
        <v>16552.0</v>
      </c>
      <c r="S159" s="58">
        <v>0.67</v>
      </c>
      <c r="T159" s="59">
        <f>IFERROR(__xludf.DUMMYFUNCTION("((IFERROR(MIN(FILTER({L159, O159, R159}, ISNUMBER({L159, O159, R159}), {L159, O159, R159} &gt; 0)), """"))*S159)+IFERROR(MIN(FILTER({L159, O159, R159}, ISNUMBER({L159, O159, R159}), {L159, O159, R159} &gt; 0)), """")"),27641.84)</f>
        <v>27641.84</v>
      </c>
      <c r="U159" s="53">
        <f>IFERROR(__xludf.DUMMYFUNCTION("(T159-(IFERROR(MIN(FILTER({L159, O159, R159}, ISNUMBER({L159, O159, R159}), {L159, O159, R159} &gt; 0)), """")))/T159"),0.40119760479041916)</f>
        <v>0.4011976048</v>
      </c>
      <c r="V159" s="60">
        <v>300.0</v>
      </c>
      <c r="W159" s="60"/>
    </row>
    <row r="160" ht="22.5" customHeight="1">
      <c r="A16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SUBSTITUTE(E160, """", """")"),"#REF!")</f>
        <v>#REF!</v>
      </c>
      <c r="B160" s="34" t="s">
        <v>711</v>
      </c>
      <c r="C160" s="34" t="s">
        <v>127</v>
      </c>
      <c r="D160" s="37" t="s">
        <v>767</v>
      </c>
      <c r="E160" s="38" t="s">
        <v>747</v>
      </c>
      <c r="F160" s="49" t="s">
        <v>748</v>
      </c>
      <c r="G160" s="37" t="s">
        <v>749</v>
      </c>
      <c r="H160" s="52" t="s">
        <v>41</v>
      </c>
      <c r="I160" s="34" t="s">
        <v>774</v>
      </c>
      <c r="J160" s="62"/>
      <c r="K160" s="62"/>
      <c r="L160" s="63"/>
      <c r="M160" s="64">
        <v>1000.0</v>
      </c>
      <c r="N160" s="64">
        <v>1000.0</v>
      </c>
      <c r="O160" s="59"/>
      <c r="P160" s="62">
        <v>1000.0</v>
      </c>
      <c r="Q160" s="62">
        <v>1000.0</v>
      </c>
      <c r="R160" s="62">
        <v>10356.0</v>
      </c>
      <c r="S160" s="58">
        <v>0.67</v>
      </c>
      <c r="T160" s="59">
        <f>IFERROR(__xludf.DUMMYFUNCTION("((IFERROR(MIN(FILTER({L160, O160, R160}, ISNUMBER({L160, O160, R160}), {L160, O160, R160} &gt; 0)), """"))*S160)+IFERROR(MIN(FILTER({L160, O160, R160}, ISNUMBER({L160, O160, R160}), {L160, O160, R160} &gt; 0)), """")"),17294.52)</f>
        <v>17294.52</v>
      </c>
      <c r="U160" s="53">
        <f>IFERROR(__xludf.DUMMYFUNCTION("(T160-(IFERROR(MIN(FILTER({L160, O160, R160}, ISNUMBER({L160, O160, R160}), {L160, O160, R160} &gt; 0)), """")))/T160"),0.40119760479041916)</f>
        <v>0.4011976048</v>
      </c>
      <c r="V160" s="60">
        <v>300.0</v>
      </c>
      <c r="W160" s="60"/>
    </row>
    <row r="161" ht="22.5" customHeight="1">
      <c r="A16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SUBSTITUTE(E161, """", """")"),"#REF!")</f>
        <v>#REF!</v>
      </c>
      <c r="B161" s="34" t="s">
        <v>711</v>
      </c>
      <c r="C161" s="34" t="s">
        <v>127</v>
      </c>
      <c r="D161" s="37" t="s">
        <v>767</v>
      </c>
      <c r="E161" s="38" t="s">
        <v>747</v>
      </c>
      <c r="F161" s="49" t="s">
        <v>748</v>
      </c>
      <c r="G161" s="37" t="s">
        <v>749</v>
      </c>
      <c r="H161" s="52" t="s">
        <v>41</v>
      </c>
      <c r="I161" s="34" t="s">
        <v>777</v>
      </c>
      <c r="J161" s="62"/>
      <c r="K161" s="62"/>
      <c r="L161" s="63"/>
      <c r="M161" s="64">
        <v>1200.0</v>
      </c>
      <c r="N161" s="64">
        <v>1200.0</v>
      </c>
      <c r="O161" s="59"/>
      <c r="P161" s="62">
        <v>1200.0</v>
      </c>
      <c r="Q161" s="62">
        <v>1200.0</v>
      </c>
      <c r="R161" s="62">
        <v>9068.0</v>
      </c>
      <c r="S161" s="58">
        <v>0.67</v>
      </c>
      <c r="T161" s="59">
        <f>IFERROR(__xludf.DUMMYFUNCTION("((IFERROR(MIN(FILTER({L161, O161, R161}, ISNUMBER({L161, O161, R161}), {L161, O161, R161} &gt; 0)), """"))*S161)+IFERROR(MIN(FILTER({L161, O161, R161}, ISNUMBER({L161, O161, R161}), {L161, O161, R161} &gt; 0)), """")"),15143.560000000001)</f>
        <v>15143.56</v>
      </c>
      <c r="U161" s="53">
        <f>IFERROR(__xludf.DUMMYFUNCTION("(T161-(IFERROR(MIN(FILTER({L161, O161, R161}, ISNUMBER({L161, O161, R161}), {L161, O161, R161} &gt; 0)), """")))/T161"),0.4011976047904192)</f>
        <v>0.4011976048</v>
      </c>
      <c r="V161" s="60">
        <v>300.0</v>
      </c>
      <c r="W161" s="60"/>
    </row>
    <row r="162" ht="22.5" customHeight="1">
      <c r="A16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SUBSTITUTE(E162, """", """")"),"#REF!")</f>
        <v>#REF!</v>
      </c>
      <c r="B162" s="34" t="s">
        <v>781</v>
      </c>
      <c r="C162" s="34" t="s">
        <v>127</v>
      </c>
      <c r="D162" s="37" t="s">
        <v>782</v>
      </c>
      <c r="E162" s="38" t="s">
        <v>783</v>
      </c>
      <c r="F162" s="49" t="s">
        <v>55</v>
      </c>
      <c r="G162" s="37" t="s">
        <v>108</v>
      </c>
      <c r="H162" s="52" t="s">
        <v>41</v>
      </c>
      <c r="I162" s="34" t="s">
        <v>784</v>
      </c>
      <c r="J162" s="62"/>
      <c r="K162" s="62"/>
      <c r="L162" s="63"/>
      <c r="M162" s="64">
        <v>1000.0</v>
      </c>
      <c r="N162" s="64">
        <v>1000.0</v>
      </c>
      <c r="O162" s="59"/>
      <c r="P162" s="62">
        <v>1000.0</v>
      </c>
      <c r="Q162" s="62">
        <v>1000.0</v>
      </c>
      <c r="R162" s="62">
        <v>7069.0</v>
      </c>
      <c r="S162" s="58">
        <v>0.67</v>
      </c>
      <c r="T162" s="59">
        <f>IFERROR(__xludf.DUMMYFUNCTION("((IFERROR(MIN(FILTER({L162, O162, R162}, ISNUMBER({L162, O162, R162}), {L162, O162, R162} &gt; 0)), """"))*S162)+IFERROR(MIN(FILTER({L162, O162, R162}, ISNUMBER({L162, O162, R162}), {L162, O162, R162} &gt; 0)), """")"),11805.23)</f>
        <v>11805.23</v>
      </c>
      <c r="U162" s="53">
        <f>IFERROR(__xludf.DUMMYFUNCTION("(T162-(IFERROR(MIN(FILTER({L162, O162, R162}, ISNUMBER({L162, O162, R162}), {L162, O162, R162} &gt; 0)), """")))/T162"),0.40119760479041916)</f>
        <v>0.4011976048</v>
      </c>
      <c r="V162" s="60">
        <v>300.0</v>
      </c>
      <c r="W162" s="60"/>
    </row>
    <row r="163" ht="22.5" customHeight="1">
      <c r="A16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SUBSTITUTE(E163, """", """")"),"#REF!")</f>
        <v>#REF!</v>
      </c>
      <c r="B163" s="34" t="s">
        <v>781</v>
      </c>
      <c r="C163" s="34" t="s">
        <v>127</v>
      </c>
      <c r="D163" s="37" t="s">
        <v>789</v>
      </c>
      <c r="E163" s="38" t="s">
        <v>783</v>
      </c>
      <c r="F163" s="49" t="s">
        <v>55</v>
      </c>
      <c r="G163" s="37" t="s">
        <v>108</v>
      </c>
      <c r="H163" s="52" t="s">
        <v>41</v>
      </c>
      <c r="I163" s="34" t="s">
        <v>784</v>
      </c>
      <c r="J163" s="62"/>
      <c r="K163" s="62"/>
      <c r="L163" s="63"/>
      <c r="M163" s="64">
        <v>2000.0</v>
      </c>
      <c r="N163" s="64">
        <v>2000.0</v>
      </c>
      <c r="O163" s="59"/>
      <c r="P163" s="62">
        <v>2000.0</v>
      </c>
      <c r="Q163" s="62">
        <v>2000.0</v>
      </c>
      <c r="R163" s="62">
        <v>5450.0</v>
      </c>
      <c r="S163" s="58">
        <v>0.67</v>
      </c>
      <c r="T163" s="59">
        <f>IFERROR(__xludf.DUMMYFUNCTION("((IFERROR(MIN(FILTER({L163, O163, R163}, ISNUMBER({L163, O163, R163}), {L163, O163, R163} &gt; 0)), """"))*S163)+IFERROR(MIN(FILTER({L163, O163, R163}, ISNUMBER({L163, O163, R163}), {L163, O163, R163} &gt; 0)), """")"),9101.5)</f>
        <v>9101.5</v>
      </c>
      <c r="U163" s="53">
        <f>IFERROR(__xludf.DUMMYFUNCTION("(T163-(IFERROR(MIN(FILTER({L163, O163, R163}, ISNUMBER({L163, O163, R163}), {L163, O163, R163} &gt; 0)), """")))/T163"),0.40119760479041916)</f>
        <v>0.4011976048</v>
      </c>
      <c r="V163" s="60">
        <v>300.0</v>
      </c>
      <c r="W163" s="60"/>
    </row>
    <row r="164" ht="22.5" customHeight="1">
      <c r="A16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SUBSTITUTE(E164, """", """")"),"#REF!")</f>
        <v>#REF!</v>
      </c>
      <c r="B164" s="34" t="s">
        <v>781</v>
      </c>
      <c r="C164" s="34" t="s">
        <v>127</v>
      </c>
      <c r="D164" s="37" t="s">
        <v>793</v>
      </c>
      <c r="E164" s="38" t="s">
        <v>794</v>
      </c>
      <c r="F164" s="49" t="s">
        <v>55</v>
      </c>
      <c r="G164" s="37" t="s">
        <v>108</v>
      </c>
      <c r="H164" s="52" t="s">
        <v>41</v>
      </c>
      <c r="I164" s="34" t="s">
        <v>784</v>
      </c>
      <c r="J164" s="62"/>
      <c r="K164" s="62"/>
      <c r="L164" s="63"/>
      <c r="M164" s="64">
        <v>1000.0</v>
      </c>
      <c r="N164" s="64">
        <v>1000.0</v>
      </c>
      <c r="O164" s="59"/>
      <c r="P164" s="62">
        <v>1000.0</v>
      </c>
      <c r="Q164" s="62">
        <v>1000.0</v>
      </c>
      <c r="R164" s="62">
        <v>8126.0</v>
      </c>
      <c r="S164" s="58">
        <v>0.67</v>
      </c>
      <c r="T164" s="59">
        <f>IFERROR(__xludf.DUMMYFUNCTION("((IFERROR(MIN(FILTER({L164, O164, R164}, ISNUMBER({L164, O164, R164}), {L164, O164, R164} &gt; 0)), """"))*S164)+IFERROR(MIN(FILTER({L164, O164, R164}, ISNUMBER({L164, O164, R164}), {L164, O164, R164} &gt; 0)), """")"),13570.42)</f>
        <v>13570.42</v>
      </c>
      <c r="U164" s="53">
        <f>IFERROR(__xludf.DUMMYFUNCTION("(T164-(IFERROR(MIN(FILTER({L164, O164, R164}, ISNUMBER({L164, O164, R164}), {L164, O164, R164} &gt; 0)), """")))/T164"),0.40119760479041916)</f>
        <v>0.4011976048</v>
      </c>
      <c r="V164" s="60">
        <v>300.0</v>
      </c>
      <c r="W164" s="60"/>
    </row>
    <row r="165" ht="22.5" customHeight="1">
      <c r="A16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SUBSTITUTE(E165, """", """")"),"#REF!")</f>
        <v>#REF!</v>
      </c>
      <c r="B165" s="34" t="s">
        <v>781</v>
      </c>
      <c r="C165" s="34" t="s">
        <v>127</v>
      </c>
      <c r="D165" s="37" t="s">
        <v>796</v>
      </c>
      <c r="E165" s="38" t="s">
        <v>794</v>
      </c>
      <c r="F165" s="49" t="s">
        <v>55</v>
      </c>
      <c r="G165" s="37" t="s">
        <v>108</v>
      </c>
      <c r="H165" s="52" t="s">
        <v>41</v>
      </c>
      <c r="I165" s="34" t="s">
        <v>784</v>
      </c>
      <c r="J165" s="62"/>
      <c r="K165" s="62"/>
      <c r="L165" s="63"/>
      <c r="M165" s="64">
        <v>2000.0</v>
      </c>
      <c r="N165" s="64">
        <v>2000.0</v>
      </c>
      <c r="O165" s="59"/>
      <c r="P165" s="62">
        <v>2000.0</v>
      </c>
      <c r="Q165" s="62">
        <v>2000.0</v>
      </c>
      <c r="R165" s="62">
        <v>6602.0</v>
      </c>
      <c r="S165" s="58">
        <v>0.67</v>
      </c>
      <c r="T165" s="59">
        <f>IFERROR(__xludf.DUMMYFUNCTION("((IFERROR(MIN(FILTER({L165, O165, R165}, ISNUMBER({L165, O165, R165}), {L165, O165, R165} &gt; 0)), """"))*S165)+IFERROR(MIN(FILTER({L165, O165, R165}, ISNUMBER({L165, O165, R165}), {L165, O165, R165} &gt; 0)), """")"),11025.34)</f>
        <v>11025.34</v>
      </c>
      <c r="U165" s="53">
        <f>IFERROR(__xludf.DUMMYFUNCTION("(T165-(IFERROR(MIN(FILTER({L165, O165, R165}, ISNUMBER({L165, O165, R165}), {L165, O165, R165} &gt; 0)), """")))/T165"),0.40119760479041916)</f>
        <v>0.4011976048</v>
      </c>
      <c r="V165" s="60">
        <v>300.0</v>
      </c>
      <c r="W165" s="60"/>
    </row>
    <row r="166" ht="22.5" customHeight="1">
      <c r="A1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SUBSTITUTE(E166, """", """")"),"#REF!")</f>
        <v>#REF!</v>
      </c>
      <c r="B166" s="45" t="s">
        <v>557</v>
      </c>
      <c r="C166" s="45" t="s">
        <v>127</v>
      </c>
      <c r="D166" s="47" t="s">
        <v>87</v>
      </c>
      <c r="E166" s="48" t="s">
        <v>801</v>
      </c>
      <c r="F166" s="49" t="s">
        <v>63</v>
      </c>
      <c r="G166" s="47" t="s">
        <v>802</v>
      </c>
      <c r="H166" s="52" t="s">
        <v>41</v>
      </c>
      <c r="I166" s="34" t="s">
        <v>803</v>
      </c>
      <c r="J166" s="54"/>
      <c r="K166" s="54"/>
      <c r="L166" s="57"/>
      <c r="M166" s="56">
        <v>1000.0</v>
      </c>
      <c r="N166" s="56">
        <v>1000.0</v>
      </c>
      <c r="O166" s="106"/>
      <c r="P166" s="54">
        <v>1000.0</v>
      </c>
      <c r="Q166" s="54">
        <v>1000.0</v>
      </c>
      <c r="R166" s="54">
        <v>10808.0</v>
      </c>
      <c r="S166" s="58">
        <v>0.67</v>
      </c>
      <c r="T166" s="59">
        <f>IFERROR(__xludf.DUMMYFUNCTION("((IFERROR(MIN(FILTER({L166, O166, R166}, ISNUMBER({L166, O166, R166}), {L166, O166, R166} &gt; 0)), """"))*S166)+IFERROR(MIN(FILTER({L166, O166, R166}, ISNUMBER({L166, O166, R166}), {L166, O166, R166} &gt; 0)), """")"),18049.36)</f>
        <v>18049.36</v>
      </c>
      <c r="U166" s="53">
        <f>IFERROR(__xludf.DUMMYFUNCTION("(T166-(IFERROR(MIN(FILTER({L166, O166, R166}, ISNUMBER({L166, O166, R166}), {L166, O166, R166} &gt; 0)), """")))/T166"),0.40119760479041916)</f>
        <v>0.4011976048</v>
      </c>
      <c r="V166" s="60">
        <v>300.0</v>
      </c>
      <c r="W166" s="60"/>
    </row>
    <row r="167" ht="22.5" customHeight="1">
      <c r="A1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SUBSTITUTE(E167, """", """")"),"#REF!")</f>
        <v>#REF!</v>
      </c>
      <c r="B167" s="45" t="s">
        <v>557</v>
      </c>
      <c r="C167" s="45" t="s">
        <v>127</v>
      </c>
      <c r="D167" s="47" t="s">
        <v>87</v>
      </c>
      <c r="E167" s="48" t="s">
        <v>801</v>
      </c>
      <c r="F167" s="49" t="s">
        <v>63</v>
      </c>
      <c r="G167" s="47" t="s">
        <v>802</v>
      </c>
      <c r="H167" s="52" t="s">
        <v>41</v>
      </c>
      <c r="I167" s="34" t="s">
        <v>803</v>
      </c>
      <c r="J167" s="54"/>
      <c r="K167" s="54"/>
      <c r="L167" s="57"/>
      <c r="M167" s="56">
        <v>2000.0</v>
      </c>
      <c r="N167" s="56">
        <v>2000.0</v>
      </c>
      <c r="O167" s="106"/>
      <c r="P167" s="54">
        <v>2000.0</v>
      </c>
      <c r="Q167" s="54">
        <v>2000.0</v>
      </c>
      <c r="R167" s="54">
        <v>8328.0</v>
      </c>
      <c r="S167" s="58">
        <v>0.67</v>
      </c>
      <c r="T167" s="59">
        <f>IFERROR(__xludf.DUMMYFUNCTION("((IFERROR(MIN(FILTER({L167, O167, R167}, ISNUMBER({L167, O167, R167}), {L167, O167, R167} &gt; 0)), """"))*S167)+IFERROR(MIN(FILTER({L167, O167, R167}, ISNUMBER({L167, O167, R167}), {L167, O167, R167} &gt; 0)), """")"),13907.76)</f>
        <v>13907.76</v>
      </c>
      <c r="U167" s="53">
        <f>IFERROR(__xludf.DUMMYFUNCTION("(T167-(IFERROR(MIN(FILTER({L167, O167, R167}, ISNUMBER({L167, O167, R167}), {L167, O167, R167} &gt; 0)), """")))/T167"),0.40119760479041916)</f>
        <v>0.4011976048</v>
      </c>
      <c r="V167" s="60">
        <v>300.0</v>
      </c>
      <c r="W167" s="60"/>
    </row>
    <row r="168" ht="22.5" customHeight="1">
      <c r="A16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SUBSTITUTE(E168, """", """")"),"#REF!")</f>
        <v>#REF!</v>
      </c>
      <c r="B168" s="34" t="s">
        <v>557</v>
      </c>
      <c r="C168" s="34" t="s">
        <v>810</v>
      </c>
      <c r="D168" s="37" t="s">
        <v>811</v>
      </c>
      <c r="E168" s="38" t="s">
        <v>812</v>
      </c>
      <c r="F168" s="49" t="s">
        <v>63</v>
      </c>
      <c r="G168" s="37" t="s">
        <v>67</v>
      </c>
      <c r="H168" s="52" t="s">
        <v>41</v>
      </c>
      <c r="I168" s="34" t="s">
        <v>813</v>
      </c>
      <c r="J168" s="62"/>
      <c r="K168" s="62"/>
      <c r="L168" s="63"/>
      <c r="M168" s="64">
        <v>250.0</v>
      </c>
      <c r="N168" s="64">
        <v>250.0</v>
      </c>
      <c r="O168" s="64">
        <v>28221.0</v>
      </c>
      <c r="P168" s="62">
        <v>250.0</v>
      </c>
      <c r="Q168" s="62">
        <v>250.0</v>
      </c>
      <c r="R168" s="63"/>
      <c r="S168" s="58">
        <v>0.67</v>
      </c>
      <c r="T168" s="59">
        <f>IFERROR(__xludf.DUMMYFUNCTION("((IFERROR(MIN(FILTER({L168, O168, R168}, ISNUMBER({L168, O168, R168}), {L168, O168, R168} &gt; 0)), """"))*S168)+IFERROR(MIN(FILTER({L168, O168, R168}, ISNUMBER({L168, O168, R168}), {L168, O168, R168} &gt; 0)), """")"),47129.07)</f>
        <v>47129.07</v>
      </c>
      <c r="U168" s="53">
        <f>IFERROR(__xludf.DUMMYFUNCTION("(T168-(IFERROR(MIN(FILTER({L168, O168, R168}, ISNUMBER({L168, O168, R168}), {L168, O168, R168} &gt; 0)), """")))/T168"),0.40119760479041916)</f>
        <v>0.4011976048</v>
      </c>
      <c r="V168" s="60">
        <v>300.0</v>
      </c>
      <c r="W168" s="60"/>
    </row>
    <row r="169" ht="22.5" customHeight="1">
      <c r="A16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SUBSTITUTE(E169, """", """")"),"#REF!")</f>
        <v>#REF!</v>
      </c>
      <c r="B169" s="34" t="s">
        <v>557</v>
      </c>
      <c r="C169" s="34" t="s">
        <v>810</v>
      </c>
      <c r="D169" s="37" t="s">
        <v>811</v>
      </c>
      <c r="E169" s="38" t="s">
        <v>812</v>
      </c>
      <c r="F169" s="49" t="s">
        <v>63</v>
      </c>
      <c r="G169" s="37" t="s">
        <v>67</v>
      </c>
      <c r="H169" s="52" t="s">
        <v>41</v>
      </c>
      <c r="I169" s="34" t="s">
        <v>813</v>
      </c>
      <c r="J169" s="62"/>
      <c r="K169" s="62"/>
      <c r="L169" s="63"/>
      <c r="M169" s="64">
        <v>500.0</v>
      </c>
      <c r="N169" s="64">
        <v>500.0</v>
      </c>
      <c r="O169" s="64">
        <v>16807.0</v>
      </c>
      <c r="P169" s="62">
        <v>500.0</v>
      </c>
      <c r="Q169" s="62">
        <v>500.0</v>
      </c>
      <c r="R169" s="63"/>
      <c r="S169" s="58">
        <v>0.67</v>
      </c>
      <c r="T169" s="59">
        <f>IFERROR(__xludf.DUMMYFUNCTION("((IFERROR(MIN(FILTER({L169, O169, R169}, ISNUMBER({L169, O169, R169}), {L169, O169, R169} &gt; 0)), """"))*S169)+IFERROR(MIN(FILTER({L169, O169, R169}, ISNUMBER({L169, O169, R169}), {L169, O169, R169} &gt; 0)), """")"),28067.690000000002)</f>
        <v>28067.69</v>
      </c>
      <c r="U169" s="53">
        <f>IFERROR(__xludf.DUMMYFUNCTION("(T169-(IFERROR(MIN(FILTER({L169, O169, R169}, ISNUMBER({L169, O169, R169}), {L169, O169, R169} &gt; 0)), """")))/T169"),0.4011976047904192)</f>
        <v>0.4011976048</v>
      </c>
      <c r="V169" s="60">
        <v>300.0</v>
      </c>
      <c r="W169" s="60"/>
    </row>
    <row r="170" ht="22.5" customHeight="1">
      <c r="A17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SUBSTITUTE(E170, """", """")"),"#REF!")</f>
        <v>#REF!</v>
      </c>
      <c r="B170" s="34" t="s">
        <v>557</v>
      </c>
      <c r="C170" s="34" t="s">
        <v>810</v>
      </c>
      <c r="D170" s="37" t="s">
        <v>811</v>
      </c>
      <c r="E170" s="38" t="s">
        <v>812</v>
      </c>
      <c r="F170" s="49" t="s">
        <v>63</v>
      </c>
      <c r="G170" s="37" t="s">
        <v>67</v>
      </c>
      <c r="H170" s="52" t="s">
        <v>41</v>
      </c>
      <c r="I170" s="34" t="s">
        <v>813</v>
      </c>
      <c r="J170" s="62"/>
      <c r="K170" s="62"/>
      <c r="L170" s="63"/>
      <c r="M170" s="64">
        <v>1000.0</v>
      </c>
      <c r="N170" s="64">
        <v>1000.0</v>
      </c>
      <c r="O170" s="64">
        <v>11782.0</v>
      </c>
      <c r="P170" s="62">
        <v>1000.0</v>
      </c>
      <c r="Q170" s="62">
        <v>1000.0</v>
      </c>
      <c r="R170" s="63"/>
      <c r="S170" s="58">
        <v>0.67</v>
      </c>
      <c r="T170" s="59">
        <f>IFERROR(__xludf.DUMMYFUNCTION("((IFERROR(MIN(FILTER({L170, O170, R170}, ISNUMBER({L170, O170, R170}), {L170, O170, R170} &gt; 0)), """"))*S170)+IFERROR(MIN(FILTER({L170, O170, R170}, ISNUMBER({L170, O170, R170}), {L170, O170, R170} &gt; 0)), """")"),19675.940000000002)</f>
        <v>19675.94</v>
      </c>
      <c r="U170" s="53">
        <f>IFERROR(__xludf.DUMMYFUNCTION("(T170-(IFERROR(MIN(FILTER({L170, O170, R170}, ISNUMBER({L170, O170, R170}), {L170, O170, R170} &gt; 0)), """")))/T170"),0.4011976047904192)</f>
        <v>0.4011976048</v>
      </c>
      <c r="V170" s="60">
        <v>300.0</v>
      </c>
      <c r="W170" s="60"/>
    </row>
    <row r="171" ht="22.5" customHeight="1">
      <c r="A17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SUBSTITUTE(E171, """", """")"),"#REF!")</f>
        <v>#REF!</v>
      </c>
      <c r="B171" s="34" t="s">
        <v>818</v>
      </c>
      <c r="C171" s="34" t="s">
        <v>820</v>
      </c>
      <c r="D171" s="37" t="s">
        <v>821</v>
      </c>
      <c r="E171" s="38" t="s">
        <v>822</v>
      </c>
      <c r="F171" s="49" t="s">
        <v>63</v>
      </c>
      <c r="G171" s="37" t="s">
        <v>67</v>
      </c>
      <c r="H171" s="52" t="s">
        <v>41</v>
      </c>
      <c r="I171" s="34" t="s">
        <v>823</v>
      </c>
      <c r="J171" s="62"/>
      <c r="K171" s="62"/>
      <c r="L171" s="63"/>
      <c r="M171" s="64">
        <v>500.0</v>
      </c>
      <c r="N171" s="64">
        <v>500.0</v>
      </c>
      <c r="O171" s="64">
        <v>12720.0</v>
      </c>
      <c r="P171" s="62">
        <v>500.0</v>
      </c>
      <c r="Q171" s="62">
        <v>500.0</v>
      </c>
      <c r="R171" s="62">
        <v>13801.0</v>
      </c>
      <c r="S171" s="58">
        <v>0.67</v>
      </c>
      <c r="T171" s="59">
        <f>IFERROR(__xludf.DUMMYFUNCTION("((IFERROR(MIN(FILTER({L171, O171, R171}, ISNUMBER({L171, O171, R171}), {L171, O171, R171} &gt; 0)), """"))*S171)+IFERROR(MIN(FILTER({L171, O171, R171}, ISNUMBER({L171, O171, R171}), {L171, O171, R171} &gt; 0)), """")"),21242.4)</f>
        <v>21242.4</v>
      </c>
      <c r="U171" s="53">
        <f>IFERROR(__xludf.DUMMYFUNCTION("(T171-(IFERROR(MIN(FILTER({L171, O171, R171}, ISNUMBER({L171, O171, R171}), {L171, O171, R171} &gt; 0)), """")))/T171"),0.4011976047904192)</f>
        <v>0.4011976048</v>
      </c>
      <c r="V171" s="60">
        <v>300.0</v>
      </c>
      <c r="W171" s="60"/>
    </row>
    <row r="172" ht="22.5" customHeight="1">
      <c r="A17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SUBSTITUTE(E172, """", """")"),"#REF!")</f>
        <v>#REF!</v>
      </c>
      <c r="B172" s="34" t="s">
        <v>818</v>
      </c>
      <c r="C172" s="34" t="s">
        <v>820</v>
      </c>
      <c r="D172" s="37" t="s">
        <v>821</v>
      </c>
      <c r="E172" s="38" t="s">
        <v>822</v>
      </c>
      <c r="F172" s="49" t="s">
        <v>63</v>
      </c>
      <c r="G172" s="37" t="s">
        <v>67</v>
      </c>
      <c r="H172" s="52" t="s">
        <v>41</v>
      </c>
      <c r="I172" s="34" t="s">
        <v>823</v>
      </c>
      <c r="J172" s="62"/>
      <c r="K172" s="62"/>
      <c r="L172" s="63"/>
      <c r="M172" s="64">
        <v>1000.0</v>
      </c>
      <c r="N172" s="64">
        <v>1000.0</v>
      </c>
      <c r="O172" s="64">
        <v>8023.0</v>
      </c>
      <c r="P172" s="62">
        <v>1000.0</v>
      </c>
      <c r="Q172" s="62">
        <v>1000.0</v>
      </c>
      <c r="R172" s="62">
        <v>8900.0</v>
      </c>
      <c r="S172" s="58">
        <v>0.67</v>
      </c>
      <c r="T172" s="59">
        <f>IFERROR(__xludf.DUMMYFUNCTION("((IFERROR(MIN(FILTER({L172, O172, R172}, ISNUMBER({L172, O172, R172}), {L172, O172, R172} &gt; 0)), """"))*S172)+IFERROR(MIN(FILTER({L172, O172, R172}, ISNUMBER({L172, O172, R172}), {L172, O172, R172} &gt; 0)), """")"),13398.41)</f>
        <v>13398.41</v>
      </c>
      <c r="U172" s="53">
        <f>IFERROR(__xludf.DUMMYFUNCTION("(T172-(IFERROR(MIN(FILTER({L172, O172, R172}, ISNUMBER({L172, O172, R172}), {L172, O172, R172} &gt; 0)), """")))/T172"),0.40119760479041916)</f>
        <v>0.4011976048</v>
      </c>
      <c r="V172" s="60">
        <v>300.0</v>
      </c>
      <c r="W172" s="60"/>
    </row>
    <row r="173" ht="22.5" customHeight="1">
      <c r="A17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SUBSTITUTE(E173, """", """")"),"#REF!")</f>
        <v>#REF!</v>
      </c>
      <c r="B173" s="34" t="s">
        <v>818</v>
      </c>
      <c r="C173" s="34" t="s">
        <v>825</v>
      </c>
      <c r="D173" s="37" t="s">
        <v>821</v>
      </c>
      <c r="E173" s="38" t="s">
        <v>822</v>
      </c>
      <c r="F173" s="49" t="s">
        <v>63</v>
      </c>
      <c r="G173" s="37" t="s">
        <v>67</v>
      </c>
      <c r="H173" s="52" t="s">
        <v>41</v>
      </c>
      <c r="I173" s="34" t="s">
        <v>826</v>
      </c>
      <c r="J173" s="62"/>
      <c r="K173" s="62"/>
      <c r="L173" s="63"/>
      <c r="M173" s="64">
        <v>500.0</v>
      </c>
      <c r="N173" s="64">
        <v>500.0</v>
      </c>
      <c r="O173" s="64">
        <v>13801.0</v>
      </c>
      <c r="P173" s="62">
        <v>500.0</v>
      </c>
      <c r="Q173" s="62">
        <v>500.0</v>
      </c>
      <c r="R173" s="62">
        <v>12720.0</v>
      </c>
      <c r="S173" s="58">
        <v>0.67</v>
      </c>
      <c r="T173" s="59">
        <f>IFERROR(__xludf.DUMMYFUNCTION("((IFERROR(MIN(FILTER({L173, O173, R173}, ISNUMBER({L173, O173, R173}), {L173, O173, R173} &gt; 0)), """"))*S173)+IFERROR(MIN(FILTER({L173, O173, R173}, ISNUMBER({L173, O173, R173}), {L173, O173, R173} &gt; 0)), """")"),21242.4)</f>
        <v>21242.4</v>
      </c>
      <c r="U173" s="53">
        <f>IFERROR(__xludf.DUMMYFUNCTION("(T173-(IFERROR(MIN(FILTER({L173, O173, R173}, ISNUMBER({L173, O173, R173}), {L173, O173, R173} &gt; 0)), """")))/T173"),0.4011976047904192)</f>
        <v>0.4011976048</v>
      </c>
      <c r="V173" s="60">
        <v>300.0</v>
      </c>
      <c r="W173" s="60"/>
    </row>
    <row r="174" ht="22.5" customHeight="1">
      <c r="A17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SUBSTITUTE(E174, """", """")"),"#REF!")</f>
        <v>#REF!</v>
      </c>
      <c r="B174" s="34" t="s">
        <v>818</v>
      </c>
      <c r="C174" s="34" t="s">
        <v>825</v>
      </c>
      <c r="D174" s="37" t="s">
        <v>821</v>
      </c>
      <c r="E174" s="38" t="s">
        <v>822</v>
      </c>
      <c r="F174" s="49" t="s">
        <v>63</v>
      </c>
      <c r="G174" s="37" t="s">
        <v>67</v>
      </c>
      <c r="H174" s="52" t="s">
        <v>41</v>
      </c>
      <c r="I174" s="34" t="s">
        <v>826</v>
      </c>
      <c r="J174" s="62"/>
      <c r="K174" s="62"/>
      <c r="L174" s="63"/>
      <c r="M174" s="64">
        <v>1000.0</v>
      </c>
      <c r="N174" s="64">
        <v>1000.0</v>
      </c>
      <c r="O174" s="64">
        <v>8900.0</v>
      </c>
      <c r="P174" s="62">
        <v>1000.0</v>
      </c>
      <c r="Q174" s="62">
        <v>1000.0</v>
      </c>
      <c r="R174" s="62">
        <v>8023.0</v>
      </c>
      <c r="S174" s="58">
        <v>0.67</v>
      </c>
      <c r="T174" s="59">
        <f>IFERROR(__xludf.DUMMYFUNCTION("((IFERROR(MIN(FILTER({L174, O174, R174}, ISNUMBER({L174, O174, R174}), {L174, O174, R174} &gt; 0)), """"))*S174)+IFERROR(MIN(FILTER({L174, O174, R174}, ISNUMBER({L174, O174, R174}), {L174, O174, R174} &gt; 0)), """")"),13398.41)</f>
        <v>13398.41</v>
      </c>
      <c r="U174" s="53">
        <f>IFERROR(__xludf.DUMMYFUNCTION("(T174-(IFERROR(MIN(FILTER({L174, O174, R174}, ISNUMBER({L174, O174, R174}), {L174, O174, R174} &gt; 0)), """")))/T174"),0.40119760479041916)</f>
        <v>0.4011976048</v>
      </c>
      <c r="V174" s="60">
        <v>300.0</v>
      </c>
      <c r="W174" s="60"/>
    </row>
    <row r="175" ht="22.5" customHeight="1">
      <c r="A17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SUBSTITUTE(E175, """", """")"),"#REF!")</f>
        <v>#REF!</v>
      </c>
      <c r="B175" s="34" t="s">
        <v>818</v>
      </c>
      <c r="C175" s="34" t="s">
        <v>825</v>
      </c>
      <c r="D175" s="37" t="s">
        <v>821</v>
      </c>
      <c r="E175" s="38" t="s">
        <v>827</v>
      </c>
      <c r="F175" s="49" t="s">
        <v>63</v>
      </c>
      <c r="G175" s="37" t="s">
        <v>67</v>
      </c>
      <c r="H175" s="52" t="s">
        <v>41</v>
      </c>
      <c r="I175" s="34" t="s">
        <v>826</v>
      </c>
      <c r="J175" s="62"/>
      <c r="K175" s="62"/>
      <c r="L175" s="63"/>
      <c r="M175" s="64">
        <v>1000.0</v>
      </c>
      <c r="N175" s="64">
        <v>1000.0</v>
      </c>
      <c r="O175" s="59"/>
      <c r="P175" s="62">
        <v>1000.0</v>
      </c>
      <c r="Q175" s="62">
        <v>1000.0</v>
      </c>
      <c r="R175" s="62">
        <v>6974.0</v>
      </c>
      <c r="S175" s="58">
        <v>0.67</v>
      </c>
      <c r="T175" s="59">
        <f>IFERROR(__xludf.DUMMYFUNCTION("((IFERROR(MIN(FILTER({L175, O175, R175}, ISNUMBER({L175, O175, R175}), {L175, O175, R175} &gt; 0)), """"))*S175)+IFERROR(MIN(FILTER({L175, O175, R175}, ISNUMBER({L175, O175, R175}), {L175, O175, R175} &gt; 0)), """")"),11646.58)</f>
        <v>11646.58</v>
      </c>
      <c r="U175" s="53">
        <f>IFERROR(__xludf.DUMMYFUNCTION("(T175-(IFERROR(MIN(FILTER({L175, O175, R175}, ISNUMBER({L175, O175, R175}), {L175, O175, R175} &gt; 0)), """")))/T175"),0.40119760479041916)</f>
        <v>0.4011976048</v>
      </c>
      <c r="V175" s="60">
        <v>300.0</v>
      </c>
      <c r="W175" s="60"/>
    </row>
    <row r="176" ht="22.5" customHeight="1">
      <c r="A17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SUBSTITUTE(E176, """", """")"),"#REF!")</f>
        <v>#REF!</v>
      </c>
      <c r="B176" s="34" t="s">
        <v>818</v>
      </c>
      <c r="C176" s="34" t="s">
        <v>825</v>
      </c>
      <c r="D176" s="37" t="s">
        <v>821</v>
      </c>
      <c r="E176" s="38" t="s">
        <v>827</v>
      </c>
      <c r="F176" s="49" t="s">
        <v>63</v>
      </c>
      <c r="G176" s="37" t="s">
        <v>67</v>
      </c>
      <c r="H176" s="52" t="s">
        <v>41</v>
      </c>
      <c r="I176" s="34" t="s">
        <v>826</v>
      </c>
      <c r="J176" s="62"/>
      <c r="K176" s="62"/>
      <c r="L176" s="63"/>
      <c r="M176" s="64">
        <v>500.0</v>
      </c>
      <c r="N176" s="64">
        <v>500.0</v>
      </c>
      <c r="O176" s="59"/>
      <c r="P176" s="62">
        <v>500.0</v>
      </c>
      <c r="Q176" s="62">
        <v>500.0</v>
      </c>
      <c r="R176" s="62">
        <v>11270.0</v>
      </c>
      <c r="S176" s="58">
        <v>0.67</v>
      </c>
      <c r="T176" s="59">
        <f>IFERROR(__xludf.DUMMYFUNCTION("((IFERROR(MIN(FILTER({L176, O176, R176}, ISNUMBER({L176, O176, R176}), {L176, O176, R176} &gt; 0)), """"))*S176)+IFERROR(MIN(FILTER({L176, O176, R176}, ISNUMBER({L176, O176, R176}), {L176, O176, R176} &gt; 0)), """")"),18820.9)</f>
        <v>18820.9</v>
      </c>
      <c r="U176" s="53">
        <f>IFERROR(__xludf.DUMMYFUNCTION("(T176-(IFERROR(MIN(FILTER({L176, O176, R176}, ISNUMBER({L176, O176, R176}), {L176, O176, R176} &gt; 0)), """")))/T176"),0.4011976047904192)</f>
        <v>0.4011976048</v>
      </c>
      <c r="V176" s="60">
        <v>300.0</v>
      </c>
      <c r="W176" s="60"/>
    </row>
    <row r="177" ht="22.5" customHeight="1">
      <c r="A17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SUBSTITUTE(E177, """", """")"),"#REF!")</f>
        <v>#REF!</v>
      </c>
      <c r="B177" s="34" t="s">
        <v>818</v>
      </c>
      <c r="C177" s="34" t="s">
        <v>825</v>
      </c>
      <c r="D177" s="37" t="s">
        <v>821</v>
      </c>
      <c r="E177" s="38" t="s">
        <v>827</v>
      </c>
      <c r="F177" s="49" t="s">
        <v>63</v>
      </c>
      <c r="G177" s="37" t="s">
        <v>67</v>
      </c>
      <c r="H177" s="52" t="s">
        <v>41</v>
      </c>
      <c r="I177" s="34" t="s">
        <v>826</v>
      </c>
      <c r="J177" s="62"/>
      <c r="K177" s="62"/>
      <c r="L177" s="63"/>
      <c r="M177" s="64">
        <v>1000.0</v>
      </c>
      <c r="N177" s="64">
        <v>1000.0</v>
      </c>
      <c r="O177" s="59"/>
      <c r="P177" s="62">
        <v>1000.0</v>
      </c>
      <c r="Q177" s="62">
        <v>1000.0</v>
      </c>
      <c r="R177" s="62">
        <v>7111.0</v>
      </c>
      <c r="S177" s="58">
        <v>0.67</v>
      </c>
      <c r="T177" s="59">
        <f>IFERROR(__xludf.DUMMYFUNCTION("((IFERROR(MIN(FILTER({L177, O177, R177}, ISNUMBER({L177, O177, R177}), {L177, O177, R177} &gt; 0)), """"))*S177)+IFERROR(MIN(FILTER({L177, O177, R177}, ISNUMBER({L177, O177, R177}), {L177, O177, R177} &gt; 0)), """")"),11875.369999999999)</f>
        <v>11875.37</v>
      </c>
      <c r="U177" s="53">
        <f>IFERROR(__xludf.DUMMYFUNCTION("(T177-(IFERROR(MIN(FILTER({L177, O177, R177}, ISNUMBER({L177, O177, R177}), {L177, O177, R177} &gt; 0)), """")))/T177"),0.4011976047904191)</f>
        <v>0.4011976048</v>
      </c>
      <c r="V177" s="60">
        <v>300.0</v>
      </c>
      <c r="W177" s="60"/>
    </row>
    <row r="178" ht="22.5" customHeight="1">
      <c r="A178" s="61" t="str">
        <f t="shared" ref="A178:A273" si="4">"R-TP-" &amp; 
IFS(
  ISNUMBER(SEARCH("Satchel Envelope", #REF!)), "ESB",
  ISNUMBER(SEARCH("Satchel Bag", #REF!)), "SB",
  ISNUMBER(SEARCH("Satchel (hanya berlaku", #REF!)), "FSB",
  ISNUMBER(SEARCH("Satchel Window", #REF!)), "WSB",
  ISNUMBER(SEARCH("Satchel Aluminium", #REF!)), "ASB",
  ISNUMBER(SEARCH("SOS Bag", #REF!)), "PB",
  ISNUMBER(SEARCH("Paper Bag Handle", #REF!)), "PBT",
  TRUE, "UNKNOWN"
) &amp; "-" &amp; 
IFS(
  ISNUMBER(SEARCH("White", #REF!)), "W",
  ISNUMBER(SEARCH("Greaseproof", #REF!)), "W",
  ISNUMBER(SEARCH("HVS", #REF!)), "W",
  ISNUMBER(SEARCH("Aluminium", #REF!)), "W",
  ISNUMBER(SEARCH("White Kraft", #REF!)), "W",
  ISNUMBER(SEARCH("Brown", #REF!)), "B",
  ISNUMBER(SEARCH("Brown Kraft", #REF!)), "B",
  TRUE, "X"
) &amp; "-" &amp; E178</f>
        <v>R-TP-UNKNOWN-X-28 x 15 x 28</v>
      </c>
      <c r="B178" s="34" t="s">
        <v>834</v>
      </c>
      <c r="C178" s="34" t="s">
        <v>835</v>
      </c>
      <c r="D178" s="37" t="s">
        <v>139</v>
      </c>
      <c r="E178" s="38" t="s">
        <v>410</v>
      </c>
      <c r="F178" s="49" t="s">
        <v>55</v>
      </c>
      <c r="G178" s="37" t="s">
        <v>74</v>
      </c>
      <c r="H178" s="52" t="s">
        <v>41</v>
      </c>
      <c r="I178" s="34" t="s">
        <v>836</v>
      </c>
      <c r="J178" s="62"/>
      <c r="K178" s="62"/>
      <c r="L178" s="63"/>
      <c r="M178" s="64">
        <v>1000.0</v>
      </c>
      <c r="N178" s="64">
        <v>1000.0</v>
      </c>
      <c r="O178" s="59"/>
      <c r="P178" s="62">
        <v>1000.0</v>
      </c>
      <c r="Q178" s="62">
        <v>1000.0</v>
      </c>
      <c r="R178" s="62">
        <v>6066.0</v>
      </c>
      <c r="S178" s="58">
        <v>0.67</v>
      </c>
      <c r="T178" s="59">
        <f>IFERROR(__xludf.DUMMYFUNCTION("((IFERROR(MIN(FILTER({L178, O178, R178}, ISNUMBER({L178, O178, R178}), {L178, O178, R178} &gt; 0)), """"))*S178)+IFERROR(MIN(FILTER({L178, O178, R178}, ISNUMBER({L178, O178, R178}), {L178, O178, R178} &gt; 0)), """")"),10130.220000000001)</f>
        <v>10130.22</v>
      </c>
      <c r="U178" s="53">
        <f>IFERROR(__xludf.DUMMYFUNCTION("(T178-(IFERROR(MIN(FILTER({L178, O178, R178}, ISNUMBER({L178, O178, R178}), {L178, O178, R178} &gt; 0)), """")))/T178"),0.4011976047904192)</f>
        <v>0.4011976048</v>
      </c>
      <c r="V178" s="60">
        <v>300.0</v>
      </c>
      <c r="W178" s="60"/>
    </row>
    <row r="179" ht="22.5" customHeight="1">
      <c r="A179" s="61" t="str">
        <f t="shared" si="4"/>
        <v>R-TP-UNKNOWN-X-28 x 15 x 28</v>
      </c>
      <c r="B179" s="34" t="s">
        <v>834</v>
      </c>
      <c r="C179" s="34" t="s">
        <v>835</v>
      </c>
      <c r="D179" s="37" t="s">
        <v>139</v>
      </c>
      <c r="E179" s="38" t="s">
        <v>410</v>
      </c>
      <c r="F179" s="49" t="s">
        <v>55</v>
      </c>
      <c r="G179" s="37" t="s">
        <v>74</v>
      </c>
      <c r="H179" s="52" t="s">
        <v>41</v>
      </c>
      <c r="I179" s="34" t="s">
        <v>836</v>
      </c>
      <c r="J179" s="62"/>
      <c r="K179" s="62"/>
      <c r="L179" s="63"/>
      <c r="M179" s="64">
        <v>2000.0</v>
      </c>
      <c r="N179" s="64">
        <v>2000.0</v>
      </c>
      <c r="O179" s="59"/>
      <c r="P179" s="62">
        <v>2000.0</v>
      </c>
      <c r="Q179" s="62">
        <v>2000.0</v>
      </c>
      <c r="R179" s="62">
        <v>4117.0</v>
      </c>
      <c r="S179" s="58">
        <v>0.67</v>
      </c>
      <c r="T179" s="59">
        <f>IFERROR(__xludf.DUMMYFUNCTION("((IFERROR(MIN(FILTER({L179, O179, R179}, ISNUMBER({L179, O179, R179}), {L179, O179, R179} &gt; 0)), """"))*S179)+IFERROR(MIN(FILTER({L179, O179, R179}, ISNUMBER({L179, O179, R179}), {L179, O179, R179} &gt; 0)), """")"),6875.39)</f>
        <v>6875.39</v>
      </c>
      <c r="U179" s="53">
        <f>IFERROR(__xludf.DUMMYFUNCTION("(T179-(IFERROR(MIN(FILTER({L179, O179, R179}, ISNUMBER({L179, O179, R179}), {L179, O179, R179} &gt; 0)), """")))/T179"),0.4011976047904192)</f>
        <v>0.4011976048</v>
      </c>
      <c r="V179" s="60">
        <v>300.0</v>
      </c>
      <c r="W179" s="60"/>
    </row>
    <row r="180" ht="22.5" customHeight="1">
      <c r="A180" s="61" t="str">
        <f t="shared" si="4"/>
        <v>R-TP-UNKNOWN-X-28 x 15 x 28</v>
      </c>
      <c r="B180" s="34" t="s">
        <v>834</v>
      </c>
      <c r="C180" s="34" t="s">
        <v>835</v>
      </c>
      <c r="D180" s="37" t="s">
        <v>149</v>
      </c>
      <c r="E180" s="38" t="s">
        <v>410</v>
      </c>
      <c r="F180" s="49" t="s">
        <v>55</v>
      </c>
      <c r="G180" s="37" t="s">
        <v>74</v>
      </c>
      <c r="H180" s="52" t="s">
        <v>41</v>
      </c>
      <c r="I180" s="34" t="s">
        <v>550</v>
      </c>
      <c r="J180" s="62"/>
      <c r="K180" s="62"/>
      <c r="L180" s="63"/>
      <c r="M180" s="64">
        <v>1000.0</v>
      </c>
      <c r="N180" s="64">
        <v>1000.0</v>
      </c>
      <c r="O180" s="59"/>
      <c r="P180" s="62">
        <v>1000.0</v>
      </c>
      <c r="Q180" s="62">
        <v>1000.0</v>
      </c>
      <c r="R180" s="62">
        <v>7709.0</v>
      </c>
      <c r="S180" s="58">
        <v>0.67</v>
      </c>
      <c r="T180" s="59">
        <f>IFERROR(__xludf.DUMMYFUNCTION("((IFERROR(MIN(FILTER({L180, O180, R180}, ISNUMBER({L180, O180, R180}), {L180, O180, R180} &gt; 0)), """"))*S180)+IFERROR(MIN(FILTER({L180, O180, R180}, ISNUMBER({L180, O180, R180}), {L180, O180, R180} &gt; 0)), """")"),12874.03)</f>
        <v>12874.03</v>
      </c>
      <c r="U180" s="53">
        <f>IFERROR(__xludf.DUMMYFUNCTION("(T180-(IFERROR(MIN(FILTER({L180, O180, R180}, ISNUMBER({L180, O180, R180}), {L180, O180, R180} &gt; 0)), """")))/T180"),0.4011976047904192)</f>
        <v>0.4011976048</v>
      </c>
      <c r="V180" s="60">
        <v>300.0</v>
      </c>
      <c r="W180" s="60"/>
    </row>
    <row r="181" ht="22.5" customHeight="1">
      <c r="A181" s="61" t="str">
        <f t="shared" si="4"/>
        <v>R-TP-UNKNOWN-X-28 x 15 x 28</v>
      </c>
      <c r="B181" s="34" t="s">
        <v>834</v>
      </c>
      <c r="C181" s="34" t="s">
        <v>835</v>
      </c>
      <c r="D181" s="37" t="s">
        <v>149</v>
      </c>
      <c r="E181" s="38" t="s">
        <v>410</v>
      </c>
      <c r="F181" s="49" t="s">
        <v>55</v>
      </c>
      <c r="G181" s="37" t="s">
        <v>74</v>
      </c>
      <c r="H181" s="52" t="s">
        <v>41</v>
      </c>
      <c r="I181" s="34" t="s">
        <v>550</v>
      </c>
      <c r="J181" s="62"/>
      <c r="K181" s="62"/>
      <c r="L181" s="63"/>
      <c r="M181" s="64">
        <v>2000.0</v>
      </c>
      <c r="N181" s="64">
        <v>2000.0</v>
      </c>
      <c r="O181" s="59"/>
      <c r="P181" s="62">
        <v>2000.0</v>
      </c>
      <c r="Q181" s="62">
        <v>2000.0</v>
      </c>
      <c r="R181" s="62">
        <v>5252.0</v>
      </c>
      <c r="S181" s="58">
        <v>0.67</v>
      </c>
      <c r="T181" s="59">
        <f>IFERROR(__xludf.DUMMYFUNCTION("((IFERROR(MIN(FILTER({L181, O181, R181}, ISNUMBER({L181, O181, R181}), {L181, O181, R181} &gt; 0)), """"))*S181)+IFERROR(MIN(FILTER({L181, O181, R181}, ISNUMBER({L181, O181, R181}), {L181, O181, R181} &gt; 0)), """")"),8770.84)</f>
        <v>8770.84</v>
      </c>
      <c r="U181" s="53">
        <f>IFERROR(__xludf.DUMMYFUNCTION("(T181-(IFERROR(MIN(FILTER({L181, O181, R181}, ISNUMBER({L181, O181, R181}), {L181, O181, R181} &gt; 0)), """")))/T181"),0.40119760479041916)</f>
        <v>0.4011976048</v>
      </c>
      <c r="V181" s="60">
        <v>300.0</v>
      </c>
      <c r="W181" s="60"/>
    </row>
    <row r="182" ht="22.5" customHeight="1">
      <c r="A182" s="61" t="str">
        <f t="shared" si="4"/>
        <v>R-TP-UNKNOWN-X-24 x 18 x 19</v>
      </c>
      <c r="B182" s="34" t="s">
        <v>834</v>
      </c>
      <c r="C182" s="34" t="s">
        <v>850</v>
      </c>
      <c r="D182" s="37" t="s">
        <v>139</v>
      </c>
      <c r="E182" s="38" t="s">
        <v>851</v>
      </c>
      <c r="F182" s="49" t="s">
        <v>55</v>
      </c>
      <c r="G182" s="37" t="s">
        <v>74</v>
      </c>
      <c r="H182" s="52" t="s">
        <v>41</v>
      </c>
      <c r="I182" s="34" t="s">
        <v>836</v>
      </c>
      <c r="J182" s="62"/>
      <c r="K182" s="62"/>
      <c r="L182" s="63"/>
      <c r="M182" s="64">
        <v>1000.0</v>
      </c>
      <c r="N182" s="64">
        <v>1000.0</v>
      </c>
      <c r="O182" s="59"/>
      <c r="P182" s="62">
        <v>1000.0</v>
      </c>
      <c r="Q182" s="62">
        <v>1000.0</v>
      </c>
      <c r="R182" s="62">
        <v>7190.0</v>
      </c>
      <c r="S182" s="58">
        <v>0.67</v>
      </c>
      <c r="T182" s="59">
        <f>IFERROR(__xludf.DUMMYFUNCTION("((IFERROR(MIN(FILTER({L182, O182, R182}, ISNUMBER({L182, O182, R182}), {L182, O182, R182} &gt; 0)), """"))*S182)+IFERROR(MIN(FILTER({L182, O182, R182}, ISNUMBER({L182, O182, R182}), {L182, O182, R182} &gt; 0)), """")"),12007.3)</f>
        <v>12007.3</v>
      </c>
      <c r="U182" s="53">
        <f>IFERROR(__xludf.DUMMYFUNCTION("(T182-(IFERROR(MIN(FILTER({L182, O182, R182}, ISNUMBER({L182, O182, R182}), {L182, O182, R182} &gt; 0)), """")))/T182"),0.4011976047904191)</f>
        <v>0.4011976048</v>
      </c>
      <c r="V182" s="60">
        <v>300.0</v>
      </c>
      <c r="W182" s="60"/>
    </row>
    <row r="183" ht="22.5" customHeight="1">
      <c r="A183" s="61" t="str">
        <f t="shared" si="4"/>
        <v>R-TP-UNKNOWN-X-24 x 18 x 19</v>
      </c>
      <c r="B183" s="34" t="s">
        <v>834</v>
      </c>
      <c r="C183" s="34" t="s">
        <v>850</v>
      </c>
      <c r="D183" s="37" t="s">
        <v>139</v>
      </c>
      <c r="E183" s="38" t="s">
        <v>851</v>
      </c>
      <c r="F183" s="49" t="s">
        <v>55</v>
      </c>
      <c r="G183" s="37" t="s">
        <v>74</v>
      </c>
      <c r="H183" s="52" t="s">
        <v>41</v>
      </c>
      <c r="I183" s="34" t="s">
        <v>836</v>
      </c>
      <c r="J183" s="62"/>
      <c r="K183" s="62"/>
      <c r="L183" s="63"/>
      <c r="M183" s="64">
        <v>2000.0</v>
      </c>
      <c r="N183" s="64">
        <v>2000.0</v>
      </c>
      <c r="O183" s="59"/>
      <c r="P183" s="62">
        <v>2000.0</v>
      </c>
      <c r="Q183" s="62">
        <v>2000.0</v>
      </c>
      <c r="R183" s="62">
        <v>5268.0</v>
      </c>
      <c r="S183" s="58">
        <v>0.67</v>
      </c>
      <c r="T183" s="59">
        <f>IFERROR(__xludf.DUMMYFUNCTION("((IFERROR(MIN(FILTER({L183, O183, R183}, ISNUMBER({L183, O183, R183}), {L183, O183, R183} &gt; 0)), """"))*S183)+IFERROR(MIN(FILTER({L183, O183, R183}, ISNUMBER({L183, O183, R183}), {L183, O183, R183} &gt; 0)), """")"),8797.560000000001)</f>
        <v>8797.56</v>
      </c>
      <c r="U183" s="53">
        <f>IFERROR(__xludf.DUMMYFUNCTION("(T183-(IFERROR(MIN(FILTER({L183, O183, R183}, ISNUMBER({L183, O183, R183}), {L183, O183, R183} &gt; 0)), """")))/T183"),0.40119760479041927)</f>
        <v>0.4011976048</v>
      </c>
      <c r="V183" s="60">
        <v>300.0</v>
      </c>
      <c r="W183" s="60"/>
    </row>
    <row r="184" ht="22.5" customHeight="1">
      <c r="A184" s="61" t="str">
        <f t="shared" si="4"/>
        <v>R-TP-UNKNOWN-X-24 x 18 x 19</v>
      </c>
      <c r="B184" s="34" t="s">
        <v>834</v>
      </c>
      <c r="C184" s="34" t="s">
        <v>850</v>
      </c>
      <c r="D184" s="37" t="s">
        <v>149</v>
      </c>
      <c r="E184" s="38" t="s">
        <v>851</v>
      </c>
      <c r="F184" s="49" t="s">
        <v>55</v>
      </c>
      <c r="G184" s="37" t="s">
        <v>74</v>
      </c>
      <c r="H184" s="52" t="s">
        <v>41</v>
      </c>
      <c r="I184" s="34" t="s">
        <v>550</v>
      </c>
      <c r="J184" s="62"/>
      <c r="K184" s="62"/>
      <c r="L184" s="63"/>
      <c r="M184" s="64">
        <v>1000.0</v>
      </c>
      <c r="N184" s="64">
        <v>1000.0</v>
      </c>
      <c r="O184" s="59"/>
      <c r="P184" s="62">
        <v>1000.0</v>
      </c>
      <c r="Q184" s="62">
        <v>1000.0</v>
      </c>
      <c r="R184" s="62">
        <v>7816.0</v>
      </c>
      <c r="S184" s="58">
        <v>0.67</v>
      </c>
      <c r="T184" s="59">
        <f>IFERROR(__xludf.DUMMYFUNCTION("((IFERROR(MIN(FILTER({L184, O184, R184}, ISNUMBER({L184, O184, R184}), {L184, O184, R184} &gt; 0)), """"))*S184)+IFERROR(MIN(FILTER({L184, O184, R184}, ISNUMBER({L184, O184, R184}), {L184, O184, R184} &gt; 0)), """")"),13052.720000000001)</f>
        <v>13052.72</v>
      </c>
      <c r="U184" s="53">
        <f>IFERROR(__xludf.DUMMYFUNCTION("(T184-(IFERROR(MIN(FILTER({L184, O184, R184}, ISNUMBER({L184, O184, R184}), {L184, O184, R184} &gt; 0)), """")))/T184"),0.4011976047904192)</f>
        <v>0.4011976048</v>
      </c>
      <c r="V184" s="60">
        <v>300.0</v>
      </c>
      <c r="W184" s="60"/>
    </row>
    <row r="185" ht="22.5" customHeight="1">
      <c r="A185" s="61" t="str">
        <f t="shared" si="4"/>
        <v>R-TP-UNKNOWN-X-24 x 18 x 19</v>
      </c>
      <c r="B185" s="34" t="s">
        <v>834</v>
      </c>
      <c r="C185" s="34" t="s">
        <v>850</v>
      </c>
      <c r="D185" s="37" t="s">
        <v>149</v>
      </c>
      <c r="E185" s="38" t="s">
        <v>851</v>
      </c>
      <c r="F185" s="49" t="s">
        <v>55</v>
      </c>
      <c r="G185" s="37" t="s">
        <v>74</v>
      </c>
      <c r="H185" s="52" t="s">
        <v>41</v>
      </c>
      <c r="I185" s="34" t="s">
        <v>550</v>
      </c>
      <c r="J185" s="62"/>
      <c r="K185" s="62"/>
      <c r="L185" s="63"/>
      <c r="M185" s="64">
        <v>2000.0</v>
      </c>
      <c r="N185" s="64">
        <v>2000.0</v>
      </c>
      <c r="O185" s="59"/>
      <c r="P185" s="62">
        <v>2000.0</v>
      </c>
      <c r="Q185" s="62">
        <v>2000.0</v>
      </c>
      <c r="R185" s="62">
        <v>6122.0</v>
      </c>
      <c r="S185" s="58">
        <v>0.67</v>
      </c>
      <c r="T185" s="59">
        <f>IFERROR(__xludf.DUMMYFUNCTION("((IFERROR(MIN(FILTER({L185, O185, R185}, ISNUMBER({L185, O185, R185}), {L185, O185, R185} &gt; 0)), """"))*S185)+IFERROR(MIN(FILTER({L185, O185, R185}, ISNUMBER({L185, O185, R185}), {L185, O185, R185} &gt; 0)), """")"),10223.740000000002)</f>
        <v>10223.74</v>
      </c>
      <c r="U185" s="53">
        <f>IFERROR(__xludf.DUMMYFUNCTION("(T185-(IFERROR(MIN(FILTER({L185, O185, R185}, ISNUMBER({L185, O185, R185}), {L185, O185, R185} &gt; 0)), """")))/T185"),0.40119760479041927)</f>
        <v>0.4011976048</v>
      </c>
      <c r="V185" s="60">
        <v>300.0</v>
      </c>
      <c r="W185" s="60"/>
    </row>
    <row r="186" ht="22.5" customHeight="1">
      <c r="A186" s="61" t="str">
        <f t="shared" si="4"/>
        <v>R-TP-UNKNOWN-X-31 x 16,5 x 9</v>
      </c>
      <c r="B186" s="34" t="s">
        <v>104</v>
      </c>
      <c r="C186" s="34" t="s">
        <v>861</v>
      </c>
      <c r="D186" s="37" t="s">
        <v>106</v>
      </c>
      <c r="E186" s="38" t="s">
        <v>863</v>
      </c>
      <c r="F186" s="49" t="s">
        <v>55</v>
      </c>
      <c r="G186" s="37" t="s">
        <v>108</v>
      </c>
      <c r="H186" s="52" t="s">
        <v>41</v>
      </c>
      <c r="I186" s="34" t="s">
        <v>109</v>
      </c>
      <c r="J186" s="62"/>
      <c r="K186" s="62"/>
      <c r="L186" s="63"/>
      <c r="M186" s="64">
        <v>4000.0</v>
      </c>
      <c r="N186" s="64">
        <v>4000.0</v>
      </c>
      <c r="O186" s="59"/>
      <c r="P186" s="62">
        <v>4000.0</v>
      </c>
      <c r="Q186" s="62">
        <v>4000.0</v>
      </c>
      <c r="R186" s="62">
        <v>6081.0</v>
      </c>
      <c r="S186" s="58">
        <v>0.67</v>
      </c>
      <c r="T186" s="59">
        <f>IFERROR(__xludf.DUMMYFUNCTION("((IFERROR(MIN(FILTER({L186, O186, R186}, ISNUMBER({L186, O186, R186}), {L186, O186, R186} &gt; 0)), """"))*S186)+IFERROR(MIN(FILTER({L186, O186, R186}, ISNUMBER({L186, O186, R186}), {L186, O186, R186} &gt; 0)), """")"),10155.27)</f>
        <v>10155.27</v>
      </c>
      <c r="U186" s="53">
        <f>IFERROR(__xludf.DUMMYFUNCTION("(T186-(IFERROR(MIN(FILTER({L186, O186, R186}, ISNUMBER({L186, O186, R186}), {L186, O186, R186} &gt; 0)), """")))/T186"),0.40119760479041916)</f>
        <v>0.4011976048</v>
      </c>
      <c r="V186" s="60">
        <v>300.0</v>
      </c>
      <c r="W186" s="60"/>
    </row>
    <row r="187" ht="22.5" customHeight="1">
      <c r="A187" s="61" t="str">
        <f t="shared" si="4"/>
        <v>R-TP-UNKNOWN-X-16,5 x 9 x 31</v>
      </c>
      <c r="B187" s="34" t="s">
        <v>104</v>
      </c>
      <c r="C187" s="34" t="s">
        <v>861</v>
      </c>
      <c r="D187" s="37" t="s">
        <v>106</v>
      </c>
      <c r="E187" s="38" t="s">
        <v>867</v>
      </c>
      <c r="F187" s="49" t="s">
        <v>55</v>
      </c>
      <c r="G187" s="37" t="s">
        <v>108</v>
      </c>
      <c r="H187" s="52" t="s">
        <v>41</v>
      </c>
      <c r="I187" s="34" t="s">
        <v>109</v>
      </c>
      <c r="J187" s="62"/>
      <c r="K187" s="62"/>
      <c r="L187" s="63"/>
      <c r="M187" s="64">
        <v>4000.0</v>
      </c>
      <c r="N187" s="64">
        <v>4000.0</v>
      </c>
      <c r="O187" s="59"/>
      <c r="P187" s="62">
        <v>4000.0</v>
      </c>
      <c r="Q187" s="62">
        <v>4000.0</v>
      </c>
      <c r="R187" s="62">
        <v>6081.0</v>
      </c>
      <c r="S187" s="58">
        <v>0.67</v>
      </c>
      <c r="T187" s="59">
        <f>IFERROR(__xludf.DUMMYFUNCTION("((IFERROR(MIN(FILTER({L187, O187, R187}, ISNUMBER({L187, O187, R187}), {L187, O187, R187} &gt; 0)), """"))*S187)+IFERROR(MIN(FILTER({L187, O187, R187}, ISNUMBER({L187, O187, R187}), {L187, O187, R187} &gt; 0)), """")"),10155.27)</f>
        <v>10155.27</v>
      </c>
      <c r="U187" s="53">
        <f>IFERROR(__xludf.DUMMYFUNCTION("(T187-(IFERROR(MIN(FILTER({L187, O187, R187}, ISNUMBER({L187, O187, R187}), {L187, O187, R187} &gt; 0)), """")))/T187"),0.40119760479041916)</f>
        <v>0.4011976048</v>
      </c>
      <c r="V187" s="60">
        <v>300.0</v>
      </c>
      <c r="W187" s="60"/>
    </row>
    <row r="188" ht="22.5" customHeight="1">
      <c r="A188" s="61" t="str">
        <f t="shared" si="4"/>
        <v>R-TP-UNKNOWN-X-15,3 x 4 x 24</v>
      </c>
      <c r="B188" s="34" t="s">
        <v>870</v>
      </c>
      <c r="C188" s="34" t="s">
        <v>871</v>
      </c>
      <c r="D188" s="37" t="s">
        <v>42</v>
      </c>
      <c r="E188" s="38" t="s">
        <v>872</v>
      </c>
      <c r="F188" s="40" t="s">
        <v>55</v>
      </c>
      <c r="G188" s="37" t="s">
        <v>58</v>
      </c>
      <c r="H188" s="43" t="s">
        <v>41</v>
      </c>
      <c r="I188" s="34" t="s">
        <v>44</v>
      </c>
      <c r="J188" s="62"/>
      <c r="K188" s="62"/>
      <c r="L188" s="63"/>
      <c r="M188" s="64">
        <v>2000.0</v>
      </c>
      <c r="N188" s="64">
        <v>2000.0</v>
      </c>
      <c r="O188" s="64">
        <v>2400.0</v>
      </c>
      <c r="P188" s="62">
        <v>2000.0</v>
      </c>
      <c r="Q188" s="62">
        <v>2000.0</v>
      </c>
      <c r="R188" s="63"/>
      <c r="S188" s="58">
        <v>0.67</v>
      </c>
      <c r="T188" s="59">
        <f>IFERROR(__xludf.DUMMYFUNCTION("((IFERROR(MIN(FILTER({L188, O188, R188}, ISNUMBER({L188, O188, R188}), {L188, O188, R188} &gt; 0)), """"))*S188)+IFERROR(MIN(FILTER({L188, O188, R188}, ISNUMBER({L188, O188, R188}), {L188, O188, R188} &gt; 0)), """")"),4008.0)</f>
        <v>4008</v>
      </c>
      <c r="U188" s="53">
        <f>IFERROR(__xludf.DUMMYFUNCTION("(T188-(IFERROR(MIN(FILTER({L188, O188, R188}, ISNUMBER({L188, O188, R188}), {L188, O188, R188} &gt; 0)), """")))/T188"),0.40119760479041916)</f>
        <v>0.4011976048</v>
      </c>
      <c r="V188" s="60">
        <v>400.0</v>
      </c>
      <c r="W188" s="60">
        <f t="shared" ref="W188:W247" si="5">IF(T188="", "", T188+V188)</f>
        <v>4408</v>
      </c>
    </row>
    <row r="189" ht="22.5" customHeight="1">
      <c r="A189" s="61" t="str">
        <f t="shared" si="4"/>
        <v>R-TP-UNKNOWN-X-28 x 13 x 40</v>
      </c>
      <c r="B189" s="34" t="s">
        <v>874</v>
      </c>
      <c r="C189" s="34" t="s">
        <v>871</v>
      </c>
      <c r="D189" s="37" t="s">
        <v>175</v>
      </c>
      <c r="E189" s="38" t="s">
        <v>875</v>
      </c>
      <c r="F189" s="40" t="s">
        <v>36</v>
      </c>
      <c r="G189" s="37" t="s">
        <v>580</v>
      </c>
      <c r="H189" s="43" t="s">
        <v>41</v>
      </c>
      <c r="I189" s="34" t="s">
        <v>44</v>
      </c>
      <c r="J189" s="62"/>
      <c r="K189" s="62"/>
      <c r="L189" s="63"/>
      <c r="M189" s="64">
        <v>2000.0</v>
      </c>
      <c r="N189" s="64">
        <v>2000.0</v>
      </c>
      <c r="O189" s="64">
        <v>6200.0</v>
      </c>
      <c r="P189" s="62">
        <v>2000.0</v>
      </c>
      <c r="Q189" s="62">
        <v>2000.0</v>
      </c>
      <c r="R189" s="62">
        <v>3675.0</v>
      </c>
      <c r="S189" s="58">
        <v>0.67</v>
      </c>
      <c r="T189" s="59">
        <f>IFERROR(__xludf.DUMMYFUNCTION("((IFERROR(MIN(FILTER({L189, O189, R189}, ISNUMBER({L189, O189, R189}), {L189, O189, R189} &gt; 0)), """"))*S189)+IFERROR(MIN(FILTER({L189, O189, R189}, ISNUMBER({L189, O189, R189}), {L189, O189, R189} &gt; 0)), """")"),6137.25)</f>
        <v>6137.25</v>
      </c>
      <c r="U189" s="53">
        <f>IFERROR(__xludf.DUMMYFUNCTION("(T189-(IFERROR(MIN(FILTER({L189, O189, R189}, ISNUMBER({L189, O189, R189}), {L189, O189, R189} &gt; 0)), """")))/T189"),0.40119760479041916)</f>
        <v>0.4011976048</v>
      </c>
      <c r="V189" s="60">
        <v>400.0</v>
      </c>
      <c r="W189" s="60">
        <f t="shared" si="5"/>
        <v>6537.25</v>
      </c>
    </row>
    <row r="190" ht="22.5" customHeight="1">
      <c r="A190" s="61" t="str">
        <f t="shared" si="4"/>
        <v>R-TP-UNKNOWN-X-13 x 8 x 18</v>
      </c>
      <c r="B190" s="34" t="s">
        <v>180</v>
      </c>
      <c r="C190" s="34" t="s">
        <v>871</v>
      </c>
      <c r="D190" s="37" t="s">
        <v>72</v>
      </c>
      <c r="E190" s="38" t="s">
        <v>877</v>
      </c>
      <c r="F190" s="40" t="s">
        <v>55</v>
      </c>
      <c r="G190" s="37" t="s">
        <v>121</v>
      </c>
      <c r="H190" s="43" t="s">
        <v>41</v>
      </c>
      <c r="I190" s="34" t="s">
        <v>44</v>
      </c>
      <c r="J190" s="62"/>
      <c r="K190" s="62"/>
      <c r="L190" s="63"/>
      <c r="M190" s="64">
        <v>2000.0</v>
      </c>
      <c r="N190" s="64">
        <v>2000.0</v>
      </c>
      <c r="O190" s="64">
        <v>2450.0</v>
      </c>
      <c r="P190" s="62">
        <v>2000.0</v>
      </c>
      <c r="Q190" s="62">
        <v>2000.0</v>
      </c>
      <c r="R190" s="63"/>
      <c r="S190" s="58">
        <v>0.67</v>
      </c>
      <c r="T190" s="59">
        <f>IFERROR(__xludf.DUMMYFUNCTION("((IFERROR(MIN(FILTER({L190, O190, R190}, ISNUMBER({L190, O190, R190}), {L190, O190, R190} &gt; 0)), """"))*S190)+IFERROR(MIN(FILTER({L190, O190, R190}, ISNUMBER({L190, O190, R190}), {L190, O190, R190} &gt; 0)), """")"),4091.5)</f>
        <v>4091.5</v>
      </c>
      <c r="U190" s="53">
        <f>IFERROR(__xludf.DUMMYFUNCTION("(T190-(IFERROR(MIN(FILTER({L190, O190, R190}, ISNUMBER({L190, O190, R190}), {L190, O190, R190} &gt; 0)), """")))/T190"),0.40119760479041916)</f>
        <v>0.4011976048</v>
      </c>
      <c r="V190" s="60">
        <v>400.0</v>
      </c>
      <c r="W190" s="60">
        <f t="shared" si="5"/>
        <v>4491.5</v>
      </c>
    </row>
    <row r="191" ht="22.5" customHeight="1">
      <c r="A191" s="61" t="str">
        <f t="shared" si="4"/>
        <v>R-TP-UNKNOWN-X-13 x 7,5 x 25</v>
      </c>
      <c r="B191" s="34" t="s">
        <v>881</v>
      </c>
      <c r="C191" s="34" t="s">
        <v>871</v>
      </c>
      <c r="D191" s="37" t="s">
        <v>72</v>
      </c>
      <c r="E191" s="38" t="s">
        <v>882</v>
      </c>
      <c r="F191" s="40" t="s">
        <v>63</v>
      </c>
      <c r="G191" s="37" t="s">
        <v>67</v>
      </c>
      <c r="H191" s="43" t="s">
        <v>41</v>
      </c>
      <c r="I191" s="34" t="s">
        <v>44</v>
      </c>
      <c r="J191" s="62"/>
      <c r="K191" s="62"/>
      <c r="L191" s="63"/>
      <c r="M191" s="64">
        <v>2000.0</v>
      </c>
      <c r="N191" s="64">
        <v>2000.0</v>
      </c>
      <c r="O191" s="64">
        <v>2620.0</v>
      </c>
      <c r="P191" s="62">
        <v>2000.0</v>
      </c>
      <c r="Q191" s="62">
        <v>2000.0</v>
      </c>
      <c r="R191" s="63"/>
      <c r="S191" s="58">
        <v>0.67</v>
      </c>
      <c r="T191" s="59">
        <f>IFERROR(__xludf.DUMMYFUNCTION("((IFERROR(MIN(FILTER({L191, O191, R191}, ISNUMBER({L191, O191, R191}), {L191, O191, R191} &gt; 0)), """"))*S191)+IFERROR(MIN(FILTER({L191, O191, R191}, ISNUMBER({L191, O191, R191}), {L191, O191, R191} &gt; 0)), """")"),4375.4)</f>
        <v>4375.4</v>
      </c>
      <c r="U191" s="53">
        <f>IFERROR(__xludf.DUMMYFUNCTION("(T191-(IFERROR(MIN(FILTER({L191, O191, R191}, ISNUMBER({L191, O191, R191}), {L191, O191, R191} &gt; 0)), """")))/T191"),0.4011976047904191)</f>
        <v>0.4011976048</v>
      </c>
      <c r="V191" s="60">
        <v>400.0</v>
      </c>
      <c r="W191" s="60">
        <f t="shared" si="5"/>
        <v>4775.4</v>
      </c>
    </row>
    <row r="192" ht="22.5" customHeight="1">
      <c r="A192" s="61" t="str">
        <f t="shared" si="4"/>
        <v>R-TP-UNKNOWN-X-13 x 7,5 x 23</v>
      </c>
      <c r="B192" s="34" t="s">
        <v>884</v>
      </c>
      <c r="C192" s="34" t="s">
        <v>871</v>
      </c>
      <c r="D192" s="37" t="s">
        <v>72</v>
      </c>
      <c r="E192" s="38" t="s">
        <v>885</v>
      </c>
      <c r="F192" s="40" t="s">
        <v>63</v>
      </c>
      <c r="G192" s="37" t="s">
        <v>67</v>
      </c>
      <c r="H192" s="43" t="s">
        <v>41</v>
      </c>
      <c r="I192" s="34" t="s">
        <v>44</v>
      </c>
      <c r="J192" s="62"/>
      <c r="K192" s="62"/>
      <c r="L192" s="63"/>
      <c r="M192" s="64">
        <v>2000.0</v>
      </c>
      <c r="N192" s="64">
        <v>2000.0</v>
      </c>
      <c r="O192" s="64">
        <v>2620.0</v>
      </c>
      <c r="P192" s="62">
        <v>2000.0</v>
      </c>
      <c r="Q192" s="62">
        <v>2000.0</v>
      </c>
      <c r="R192" s="63"/>
      <c r="S192" s="58">
        <v>0.67</v>
      </c>
      <c r="T192" s="59">
        <f>IFERROR(__xludf.DUMMYFUNCTION("((IFERROR(MIN(FILTER({L192, O192, R192}, ISNUMBER({L192, O192, R192}), {L192, O192, R192} &gt; 0)), """"))*S192)+IFERROR(MIN(FILTER({L192, O192, R192}, ISNUMBER({L192, O192, R192}), {L192, O192, R192} &gt; 0)), """")"),4375.4)</f>
        <v>4375.4</v>
      </c>
      <c r="U192" s="53">
        <f>IFERROR(__xludf.DUMMYFUNCTION("(T192-(IFERROR(MIN(FILTER({L192, O192, R192}, ISNUMBER({L192, O192, R192}), {L192, O192, R192} &gt; 0)), """")))/T192"),0.4011976047904191)</f>
        <v>0.4011976048</v>
      </c>
      <c r="V192" s="60">
        <v>400.0</v>
      </c>
      <c r="W192" s="60">
        <f t="shared" si="5"/>
        <v>4775.4</v>
      </c>
    </row>
    <row r="193" ht="22.5" customHeight="1">
      <c r="A193" s="61" t="str">
        <f t="shared" si="4"/>
        <v>R-TP-UNKNOWN-X-13 x 7,5 x 25</v>
      </c>
      <c r="B193" s="34" t="s">
        <v>891</v>
      </c>
      <c r="C193" s="34" t="s">
        <v>871</v>
      </c>
      <c r="D193" s="37" t="s">
        <v>72</v>
      </c>
      <c r="E193" s="38" t="s">
        <v>882</v>
      </c>
      <c r="F193" s="40" t="s">
        <v>36</v>
      </c>
      <c r="G193" s="37" t="s">
        <v>892</v>
      </c>
      <c r="H193" s="43" t="s">
        <v>41</v>
      </c>
      <c r="I193" s="34" t="s">
        <v>44</v>
      </c>
      <c r="J193" s="62"/>
      <c r="K193" s="62"/>
      <c r="L193" s="63"/>
      <c r="M193" s="64">
        <v>10000.0</v>
      </c>
      <c r="N193" s="64">
        <v>10000.0</v>
      </c>
      <c r="O193" s="64">
        <v>2150.0</v>
      </c>
      <c r="P193" s="62">
        <v>10000.0</v>
      </c>
      <c r="Q193" s="62">
        <v>10000.0</v>
      </c>
      <c r="R193" s="63"/>
      <c r="S193" s="58">
        <v>0.67</v>
      </c>
      <c r="T193" s="59">
        <f>IFERROR(__xludf.DUMMYFUNCTION("((IFERROR(MIN(FILTER({L193, O193, R193}, ISNUMBER({L193, O193, R193}), {L193, O193, R193} &gt; 0)), """"))*S193)+IFERROR(MIN(FILTER({L193, O193, R193}, ISNUMBER({L193, O193, R193}), {L193, O193, R193} &gt; 0)), """")"),3590.5)</f>
        <v>3590.5</v>
      </c>
      <c r="U193" s="53">
        <f>IFERROR(__xludf.DUMMYFUNCTION("(T193-(IFERROR(MIN(FILTER({L193, O193, R193}, ISNUMBER({L193, O193, R193}), {L193, O193, R193} &gt; 0)), """")))/T193"),0.40119760479041916)</f>
        <v>0.4011976048</v>
      </c>
      <c r="V193" s="60">
        <v>400.0</v>
      </c>
      <c r="W193" s="60">
        <f t="shared" si="5"/>
        <v>3990.5</v>
      </c>
    </row>
    <row r="194" ht="22.5" customHeight="1">
      <c r="A194" s="61" t="str">
        <f t="shared" si="4"/>
        <v>R-TP-UNKNOWN-X-13 x 7,5 x 25</v>
      </c>
      <c r="B194" s="34" t="s">
        <v>891</v>
      </c>
      <c r="C194" s="34" t="s">
        <v>871</v>
      </c>
      <c r="D194" s="37" t="s">
        <v>72</v>
      </c>
      <c r="E194" s="38" t="s">
        <v>882</v>
      </c>
      <c r="F194" s="40" t="s">
        <v>36</v>
      </c>
      <c r="G194" s="37" t="s">
        <v>892</v>
      </c>
      <c r="H194" s="43" t="s">
        <v>41</v>
      </c>
      <c r="I194" s="34" t="s">
        <v>44</v>
      </c>
      <c r="J194" s="62"/>
      <c r="K194" s="62"/>
      <c r="L194" s="63"/>
      <c r="M194" s="64">
        <v>15000.0</v>
      </c>
      <c r="N194" s="64">
        <v>15000.0</v>
      </c>
      <c r="O194" s="64">
        <v>2050.0</v>
      </c>
      <c r="P194" s="62">
        <v>15000.0</v>
      </c>
      <c r="Q194" s="62">
        <v>15000.0</v>
      </c>
      <c r="R194" s="63"/>
      <c r="S194" s="58">
        <v>0.67</v>
      </c>
      <c r="T194" s="59">
        <f>IFERROR(__xludf.DUMMYFUNCTION("((IFERROR(MIN(FILTER({L194, O194, R194}, ISNUMBER({L194, O194, R194}), {L194, O194, R194} &gt; 0)), """"))*S194)+IFERROR(MIN(FILTER({L194, O194, R194}, ISNUMBER({L194, O194, R194}), {L194, O194, R194} &gt; 0)), """")"),3423.5)</f>
        <v>3423.5</v>
      </c>
      <c r="U194" s="53">
        <f>IFERROR(__xludf.DUMMYFUNCTION("(T194-(IFERROR(MIN(FILTER({L194, O194, R194}, ISNUMBER({L194, O194, R194}), {L194, O194, R194} &gt; 0)), """")))/T194"),0.40119760479041916)</f>
        <v>0.4011976048</v>
      </c>
      <c r="V194" s="60">
        <v>400.0</v>
      </c>
      <c r="W194" s="60">
        <f t="shared" si="5"/>
        <v>3823.5</v>
      </c>
    </row>
    <row r="195" ht="22.5" customHeight="1">
      <c r="A195" s="61" t="str">
        <f t="shared" si="4"/>
        <v>R-TP-UNKNOWN-X-13 x 7,5 x 23</v>
      </c>
      <c r="B195" s="34" t="s">
        <v>894</v>
      </c>
      <c r="C195" s="34" t="s">
        <v>871</v>
      </c>
      <c r="D195" s="37" t="s">
        <v>72</v>
      </c>
      <c r="E195" s="38" t="s">
        <v>885</v>
      </c>
      <c r="F195" s="40" t="s">
        <v>55</v>
      </c>
      <c r="G195" s="37" t="s">
        <v>58</v>
      </c>
      <c r="H195" s="43" t="s">
        <v>41</v>
      </c>
      <c r="I195" s="34" t="s">
        <v>44</v>
      </c>
      <c r="J195" s="62"/>
      <c r="K195" s="62"/>
      <c r="L195" s="63"/>
      <c r="M195" s="64">
        <v>2000.0</v>
      </c>
      <c r="N195" s="64">
        <v>2000.0</v>
      </c>
      <c r="O195" s="64">
        <v>2950.0</v>
      </c>
      <c r="P195" s="62">
        <v>2000.0</v>
      </c>
      <c r="Q195" s="62">
        <v>2000.0</v>
      </c>
      <c r="R195" s="63"/>
      <c r="S195" s="58">
        <v>0.67</v>
      </c>
      <c r="T195" s="59">
        <f>IFERROR(__xludf.DUMMYFUNCTION("((IFERROR(MIN(FILTER({L195, O195, R195}, ISNUMBER({L195, O195, R195}), {L195, O195, R195} &gt; 0)), """"))*S195)+IFERROR(MIN(FILTER({L195, O195, R195}, ISNUMBER({L195, O195, R195}), {L195, O195, R195} &gt; 0)), """")"),4926.5)</f>
        <v>4926.5</v>
      </c>
      <c r="U195" s="53">
        <f>IFERROR(__xludf.DUMMYFUNCTION("(T195-(IFERROR(MIN(FILTER({L195, O195, R195}, ISNUMBER({L195, O195, R195}), {L195, O195, R195} &gt; 0)), """")))/T195"),0.40119760479041916)</f>
        <v>0.4011976048</v>
      </c>
      <c r="V195" s="60">
        <v>400.0</v>
      </c>
      <c r="W195" s="60">
        <f t="shared" si="5"/>
        <v>5326.5</v>
      </c>
    </row>
    <row r="196" ht="22.5" customHeight="1">
      <c r="A196" s="61" t="str">
        <f t="shared" si="4"/>
        <v>R-TP-UNKNOWN-X-13 x 7,5 x 23</v>
      </c>
      <c r="B196" s="34" t="s">
        <v>894</v>
      </c>
      <c r="C196" s="34" t="s">
        <v>871</v>
      </c>
      <c r="D196" s="37" t="s">
        <v>72</v>
      </c>
      <c r="E196" s="38" t="s">
        <v>885</v>
      </c>
      <c r="F196" s="40" t="s">
        <v>55</v>
      </c>
      <c r="G196" s="37" t="s">
        <v>58</v>
      </c>
      <c r="H196" s="43" t="s">
        <v>41</v>
      </c>
      <c r="I196" s="34" t="s">
        <v>44</v>
      </c>
      <c r="J196" s="62"/>
      <c r="K196" s="62"/>
      <c r="L196" s="63"/>
      <c r="M196" s="64">
        <v>5000.0</v>
      </c>
      <c r="N196" s="64">
        <v>5000.0</v>
      </c>
      <c r="O196" s="64">
        <v>2600.0</v>
      </c>
      <c r="P196" s="62">
        <v>5000.0</v>
      </c>
      <c r="Q196" s="62">
        <v>5000.0</v>
      </c>
      <c r="R196" s="63"/>
      <c r="S196" s="58">
        <v>0.67</v>
      </c>
      <c r="T196" s="59">
        <f>IFERROR(__xludf.DUMMYFUNCTION("((IFERROR(MIN(FILTER({L196, O196, R196}, ISNUMBER({L196, O196, R196}), {L196, O196, R196} &gt; 0)), """"))*S196)+IFERROR(MIN(FILTER({L196, O196, R196}, ISNUMBER({L196, O196, R196}), {L196, O196, R196} &gt; 0)), """")"),4342.0)</f>
        <v>4342</v>
      </c>
      <c r="U196" s="53">
        <f>IFERROR(__xludf.DUMMYFUNCTION("(T196-(IFERROR(MIN(FILTER({L196, O196, R196}, ISNUMBER({L196, O196, R196}), {L196, O196, R196} &gt; 0)), """")))/T196"),0.40119760479041916)</f>
        <v>0.4011976048</v>
      </c>
      <c r="V196" s="60">
        <v>400.0</v>
      </c>
      <c r="W196" s="60">
        <f t="shared" si="5"/>
        <v>4742</v>
      </c>
    </row>
    <row r="197" ht="22.5" customHeight="1">
      <c r="A197" s="61" t="str">
        <f t="shared" si="4"/>
        <v>R-TP-UNKNOWN-X-13 x 7,5 x 23</v>
      </c>
      <c r="B197" s="34" t="s">
        <v>894</v>
      </c>
      <c r="C197" s="34" t="s">
        <v>871</v>
      </c>
      <c r="D197" s="37" t="s">
        <v>72</v>
      </c>
      <c r="E197" s="38" t="s">
        <v>885</v>
      </c>
      <c r="F197" s="40" t="s">
        <v>55</v>
      </c>
      <c r="G197" s="37" t="s">
        <v>58</v>
      </c>
      <c r="H197" s="43" t="s">
        <v>41</v>
      </c>
      <c r="I197" s="34" t="s">
        <v>44</v>
      </c>
      <c r="J197" s="62"/>
      <c r="K197" s="62"/>
      <c r="L197" s="63"/>
      <c r="M197" s="64">
        <v>10000.0</v>
      </c>
      <c r="N197" s="64">
        <v>10000.0</v>
      </c>
      <c r="O197" s="64">
        <v>2100.0</v>
      </c>
      <c r="P197" s="62">
        <v>10000.0</v>
      </c>
      <c r="Q197" s="62">
        <v>10000.0</v>
      </c>
      <c r="R197" s="63"/>
      <c r="S197" s="58">
        <v>0.67</v>
      </c>
      <c r="T197" s="59">
        <f>IFERROR(__xludf.DUMMYFUNCTION("((IFERROR(MIN(FILTER({L197, O197, R197}, ISNUMBER({L197, O197, R197}), {L197, O197, R197} &gt; 0)), """"))*S197)+IFERROR(MIN(FILTER({L197, O197, R197}, ISNUMBER({L197, O197, R197}), {L197, O197, R197} &gt; 0)), """")"),3507.0)</f>
        <v>3507</v>
      </c>
      <c r="U197" s="53">
        <f>IFERROR(__xludf.DUMMYFUNCTION("(T197-(IFERROR(MIN(FILTER({L197, O197, R197}, ISNUMBER({L197, O197, R197}), {L197, O197, R197} &gt; 0)), """")))/T197"),0.40119760479041916)</f>
        <v>0.4011976048</v>
      </c>
      <c r="V197" s="60">
        <v>400.0</v>
      </c>
      <c r="W197" s="60">
        <f t="shared" si="5"/>
        <v>3907</v>
      </c>
    </row>
    <row r="198" ht="22.5" customHeight="1">
      <c r="A198" s="61" t="str">
        <f t="shared" si="4"/>
        <v>R-TP-UNKNOWN-X-13 x 8 x 24,8</v>
      </c>
      <c r="B198" s="34" t="s">
        <v>898</v>
      </c>
      <c r="C198" s="34" t="s">
        <v>871</v>
      </c>
      <c r="D198" s="37" t="s">
        <v>155</v>
      </c>
      <c r="E198" s="38" t="s">
        <v>899</v>
      </c>
      <c r="F198" s="40" t="s">
        <v>55</v>
      </c>
      <c r="G198" s="37" t="s">
        <v>74</v>
      </c>
      <c r="H198" s="43" t="s">
        <v>41</v>
      </c>
      <c r="I198" s="34" t="s">
        <v>44</v>
      </c>
      <c r="J198" s="62"/>
      <c r="K198" s="62"/>
      <c r="L198" s="63"/>
      <c r="M198" s="64">
        <v>2000.0</v>
      </c>
      <c r="N198" s="64">
        <v>2000.0</v>
      </c>
      <c r="O198" s="64">
        <v>2450.0</v>
      </c>
      <c r="P198" s="62">
        <v>2000.0</v>
      </c>
      <c r="Q198" s="62">
        <v>2000.0</v>
      </c>
      <c r="R198" s="63"/>
      <c r="S198" s="58">
        <v>0.67</v>
      </c>
      <c r="T198" s="59">
        <f>IFERROR(__xludf.DUMMYFUNCTION("((IFERROR(MIN(FILTER({L198, O198, R198}, ISNUMBER({L198, O198, R198}), {L198, O198, R198} &gt; 0)), """"))*S198)+IFERROR(MIN(FILTER({L198, O198, R198}, ISNUMBER({L198, O198, R198}), {L198, O198, R198} &gt; 0)), """")"),4091.5)</f>
        <v>4091.5</v>
      </c>
      <c r="U198" s="53">
        <f>IFERROR(__xludf.DUMMYFUNCTION("(T198-(IFERROR(MIN(FILTER({L198, O198, R198}, ISNUMBER({L198, O198, R198}), {L198, O198, R198} &gt; 0)), """")))/T198"),0.40119760479041916)</f>
        <v>0.4011976048</v>
      </c>
      <c r="V198" s="60">
        <v>400.0</v>
      </c>
      <c r="W198" s="60">
        <f t="shared" si="5"/>
        <v>4491.5</v>
      </c>
    </row>
    <row r="199" ht="22.5" customHeight="1">
      <c r="A199" s="61" t="str">
        <f t="shared" si="4"/>
        <v>R-TP-UNKNOWN-X-13 x 7,5 x 23</v>
      </c>
      <c r="B199" s="34" t="s">
        <v>900</v>
      </c>
      <c r="C199" s="34" t="s">
        <v>871</v>
      </c>
      <c r="D199" s="37" t="s">
        <v>72</v>
      </c>
      <c r="E199" s="38" t="s">
        <v>885</v>
      </c>
      <c r="F199" s="40" t="s">
        <v>63</v>
      </c>
      <c r="G199" s="37" t="s">
        <v>902</v>
      </c>
      <c r="H199" s="43" t="s">
        <v>41</v>
      </c>
      <c r="I199" s="34" t="s">
        <v>44</v>
      </c>
      <c r="J199" s="62"/>
      <c r="K199" s="62"/>
      <c r="L199" s="63"/>
      <c r="M199" s="64">
        <v>2000.0</v>
      </c>
      <c r="N199" s="64">
        <v>2000.0</v>
      </c>
      <c r="O199" s="64">
        <v>2850.0</v>
      </c>
      <c r="P199" s="62">
        <v>2000.0</v>
      </c>
      <c r="Q199" s="62">
        <v>2000.0</v>
      </c>
      <c r="R199" s="63"/>
      <c r="S199" s="58">
        <v>0.67</v>
      </c>
      <c r="T199" s="59">
        <f>IFERROR(__xludf.DUMMYFUNCTION("((IFERROR(MIN(FILTER({L199, O199, R199}, ISNUMBER({L199, O199, R199}), {L199, O199, R199} &gt; 0)), """"))*S199)+IFERROR(MIN(FILTER({L199, O199, R199}, ISNUMBER({L199, O199, R199}), {L199, O199, R199} &gt; 0)), """")"),4759.5)</f>
        <v>4759.5</v>
      </c>
      <c r="U199" s="53">
        <f>IFERROR(__xludf.DUMMYFUNCTION("(T199-(IFERROR(MIN(FILTER({L199, O199, R199}, ISNUMBER({L199, O199, R199}), {L199, O199, R199} &gt; 0)), """")))/T199"),0.40119760479041916)</f>
        <v>0.4011976048</v>
      </c>
      <c r="V199" s="60">
        <v>400.0</v>
      </c>
      <c r="W199" s="60">
        <f t="shared" si="5"/>
        <v>5159.5</v>
      </c>
    </row>
    <row r="200" ht="22.5" customHeight="1">
      <c r="A200" s="61" t="str">
        <f t="shared" si="4"/>
        <v>R-TP-UNKNOWN-X-13 x 7,5 x 23</v>
      </c>
      <c r="B200" s="34" t="s">
        <v>900</v>
      </c>
      <c r="C200" s="34" t="s">
        <v>871</v>
      </c>
      <c r="D200" s="37" t="s">
        <v>72</v>
      </c>
      <c r="E200" s="38" t="s">
        <v>885</v>
      </c>
      <c r="F200" s="40" t="s">
        <v>63</v>
      </c>
      <c r="G200" s="37" t="s">
        <v>902</v>
      </c>
      <c r="H200" s="43" t="s">
        <v>41</v>
      </c>
      <c r="I200" s="34" t="s">
        <v>44</v>
      </c>
      <c r="J200" s="62"/>
      <c r="K200" s="62"/>
      <c r="L200" s="63"/>
      <c r="M200" s="64">
        <v>5000.0</v>
      </c>
      <c r="N200" s="64">
        <v>5000.0</v>
      </c>
      <c r="O200" s="64">
        <v>2350.0</v>
      </c>
      <c r="P200" s="62">
        <v>5000.0</v>
      </c>
      <c r="Q200" s="62">
        <v>5000.0</v>
      </c>
      <c r="R200" s="63"/>
      <c r="S200" s="58">
        <v>0.67</v>
      </c>
      <c r="T200" s="59">
        <f>IFERROR(__xludf.DUMMYFUNCTION("((IFERROR(MIN(FILTER({L200, O200, R200}, ISNUMBER({L200, O200, R200}), {L200, O200, R200} &gt; 0)), """"))*S200)+IFERROR(MIN(FILTER({L200, O200, R200}, ISNUMBER({L200, O200, R200}), {L200, O200, R200} &gt; 0)), """")"),3924.5)</f>
        <v>3924.5</v>
      </c>
      <c r="U200" s="53">
        <f>IFERROR(__xludf.DUMMYFUNCTION("(T200-(IFERROR(MIN(FILTER({L200, O200, R200}, ISNUMBER({L200, O200, R200}), {L200, O200, R200} &gt; 0)), """")))/T200"),0.40119760479041916)</f>
        <v>0.4011976048</v>
      </c>
      <c r="V200" s="60">
        <v>400.0</v>
      </c>
      <c r="W200" s="60">
        <f t="shared" si="5"/>
        <v>4324.5</v>
      </c>
    </row>
    <row r="201" ht="22.5" customHeight="1">
      <c r="A201" s="61" t="str">
        <f t="shared" si="4"/>
        <v>R-TP-UNKNOWN-X-13 x 7,5 x 23</v>
      </c>
      <c r="B201" s="34" t="s">
        <v>900</v>
      </c>
      <c r="C201" s="34" t="s">
        <v>871</v>
      </c>
      <c r="D201" s="37" t="s">
        <v>72</v>
      </c>
      <c r="E201" s="38" t="s">
        <v>885</v>
      </c>
      <c r="F201" s="40" t="s">
        <v>63</v>
      </c>
      <c r="G201" s="37" t="s">
        <v>902</v>
      </c>
      <c r="H201" s="43" t="s">
        <v>41</v>
      </c>
      <c r="I201" s="34" t="s">
        <v>44</v>
      </c>
      <c r="J201" s="62"/>
      <c r="K201" s="62"/>
      <c r="L201" s="63"/>
      <c r="M201" s="64">
        <v>7800.0</v>
      </c>
      <c r="N201" s="64">
        <v>7800.0</v>
      </c>
      <c r="O201" s="64">
        <v>1981.0</v>
      </c>
      <c r="P201" s="62">
        <v>7800.0</v>
      </c>
      <c r="Q201" s="62">
        <v>7800.0</v>
      </c>
      <c r="R201" s="63"/>
      <c r="S201" s="58">
        <v>0.67</v>
      </c>
      <c r="T201" s="59">
        <f>IFERROR(__xludf.DUMMYFUNCTION("((IFERROR(MIN(FILTER({L201, O201, R201}, ISNUMBER({L201, O201, R201}), {L201, O201, R201} &gt; 0)), """"))*S201)+IFERROR(MIN(FILTER({L201, O201, R201}, ISNUMBER({L201, O201, R201}), {L201, O201, R201} &gt; 0)), """")"),3308.27)</f>
        <v>3308.27</v>
      </c>
      <c r="U201" s="53">
        <f>IFERROR(__xludf.DUMMYFUNCTION("(T201-(IFERROR(MIN(FILTER({L201, O201, R201}, ISNUMBER({L201, O201, R201}), {L201, O201, R201} &gt; 0)), """")))/T201"),0.40119760479041916)</f>
        <v>0.4011976048</v>
      </c>
      <c r="V201" s="60">
        <v>400.0</v>
      </c>
      <c r="W201" s="60">
        <f t="shared" si="5"/>
        <v>3708.27</v>
      </c>
    </row>
    <row r="202" ht="22.5" customHeight="1">
      <c r="A202" s="61" t="str">
        <f t="shared" si="4"/>
        <v>R-TP-UNKNOWN-X-15 x 6 x 20</v>
      </c>
      <c r="B202" s="34" t="s">
        <v>322</v>
      </c>
      <c r="C202" s="34" t="s">
        <v>871</v>
      </c>
      <c r="D202" s="37" t="s">
        <v>72</v>
      </c>
      <c r="E202" s="38" t="s">
        <v>909</v>
      </c>
      <c r="F202" s="40" t="s">
        <v>36</v>
      </c>
      <c r="G202" s="37" t="s">
        <v>74</v>
      </c>
      <c r="H202" s="43" t="s">
        <v>41</v>
      </c>
      <c r="I202" s="34" t="s">
        <v>44</v>
      </c>
      <c r="J202" s="62"/>
      <c r="K202" s="62"/>
      <c r="L202" s="63"/>
      <c r="M202" s="64">
        <v>1000.0</v>
      </c>
      <c r="N202" s="64">
        <v>1000.0</v>
      </c>
      <c r="O202" s="64">
        <v>3600.0</v>
      </c>
      <c r="P202" s="62">
        <v>1000.0</v>
      </c>
      <c r="Q202" s="62">
        <v>1000.0</v>
      </c>
      <c r="R202" s="63"/>
      <c r="S202" s="58">
        <v>0.67</v>
      </c>
      <c r="T202" s="59">
        <f>IFERROR(__xludf.DUMMYFUNCTION("((IFERROR(MIN(FILTER({L202, O202, R202}, ISNUMBER({L202, O202, R202}), {L202, O202, R202} &gt; 0)), """"))*S202)+IFERROR(MIN(FILTER({L202, O202, R202}, ISNUMBER({L202, O202, R202}), {L202, O202, R202} &gt; 0)), """")"),6012.0)</f>
        <v>6012</v>
      </c>
      <c r="U202" s="53">
        <f>IFERROR(__xludf.DUMMYFUNCTION("(T202-(IFERROR(MIN(FILTER({L202, O202, R202}, ISNUMBER({L202, O202, R202}), {L202, O202, R202} &gt; 0)), """")))/T202"),0.40119760479041916)</f>
        <v>0.4011976048</v>
      </c>
      <c r="V202" s="60">
        <v>400.0</v>
      </c>
      <c r="W202" s="60">
        <f t="shared" si="5"/>
        <v>6412</v>
      </c>
    </row>
    <row r="203" ht="22.5" customHeight="1">
      <c r="A203" s="61" t="str">
        <f t="shared" si="4"/>
        <v>R-TP-UNKNOWN-X-15 x 6 x 20</v>
      </c>
      <c r="B203" s="34" t="s">
        <v>322</v>
      </c>
      <c r="C203" s="34" t="s">
        <v>871</v>
      </c>
      <c r="D203" s="37" t="s">
        <v>72</v>
      </c>
      <c r="E203" s="38" t="s">
        <v>909</v>
      </c>
      <c r="F203" s="40" t="s">
        <v>36</v>
      </c>
      <c r="G203" s="37" t="s">
        <v>74</v>
      </c>
      <c r="H203" s="43" t="s">
        <v>41</v>
      </c>
      <c r="I203" s="34" t="s">
        <v>44</v>
      </c>
      <c r="J203" s="62"/>
      <c r="K203" s="62"/>
      <c r="L203" s="63"/>
      <c r="M203" s="64">
        <v>2000.0</v>
      </c>
      <c r="N203" s="64">
        <v>2000.0</v>
      </c>
      <c r="O203" s="64">
        <v>2900.0</v>
      </c>
      <c r="P203" s="62">
        <v>2000.0</v>
      </c>
      <c r="Q203" s="62">
        <v>2000.0</v>
      </c>
      <c r="R203" s="63"/>
      <c r="S203" s="58">
        <v>0.67</v>
      </c>
      <c r="T203" s="59">
        <f>IFERROR(__xludf.DUMMYFUNCTION("((IFERROR(MIN(FILTER({L203, O203, R203}, ISNUMBER({L203, O203, R203}), {L203, O203, R203} &gt; 0)), """"))*S203)+IFERROR(MIN(FILTER({L203, O203, R203}, ISNUMBER({L203, O203, R203}), {L203, O203, R203} &gt; 0)), """")"),4843.0)</f>
        <v>4843</v>
      </c>
      <c r="U203" s="53">
        <f>IFERROR(__xludf.DUMMYFUNCTION("(T203-(IFERROR(MIN(FILTER({L203, O203, R203}, ISNUMBER({L203, O203, R203}), {L203, O203, R203} &gt; 0)), """")))/T203"),0.40119760479041916)</f>
        <v>0.4011976048</v>
      </c>
      <c r="V203" s="60">
        <v>400.0</v>
      </c>
      <c r="W203" s="60">
        <f t="shared" si="5"/>
        <v>5243</v>
      </c>
    </row>
    <row r="204" ht="22.5" customHeight="1">
      <c r="A204" s="61" t="str">
        <f t="shared" si="4"/>
        <v>R-TP-UNKNOWN-X-13 x 8 x 18</v>
      </c>
      <c r="B204" s="34" t="s">
        <v>913</v>
      </c>
      <c r="C204" s="34" t="s">
        <v>871</v>
      </c>
      <c r="D204" s="37" t="s">
        <v>72</v>
      </c>
      <c r="E204" s="38" t="s">
        <v>877</v>
      </c>
      <c r="F204" s="40" t="s">
        <v>36</v>
      </c>
      <c r="G204" s="37" t="s">
        <v>914</v>
      </c>
      <c r="H204" s="43" t="s">
        <v>41</v>
      </c>
      <c r="I204" s="34" t="s">
        <v>44</v>
      </c>
      <c r="J204" s="62"/>
      <c r="K204" s="62"/>
      <c r="L204" s="63"/>
      <c r="M204" s="64">
        <v>2000.0</v>
      </c>
      <c r="N204" s="64">
        <v>2000.0</v>
      </c>
      <c r="O204" s="64">
        <v>2900.0</v>
      </c>
      <c r="P204" s="62">
        <v>2000.0</v>
      </c>
      <c r="Q204" s="62">
        <v>2000.0</v>
      </c>
      <c r="R204" s="63"/>
      <c r="S204" s="58">
        <v>0.67</v>
      </c>
      <c r="T204" s="59">
        <f>IFERROR(__xludf.DUMMYFUNCTION("((IFERROR(MIN(FILTER({L204, O204, R204}, ISNUMBER({L204, O204, R204}), {L204, O204, R204} &gt; 0)), """"))*S204)+IFERROR(MIN(FILTER({L204, O204, R204}, ISNUMBER({L204, O204, R204}), {L204, O204, R204} &gt; 0)), """")"),4843.0)</f>
        <v>4843</v>
      </c>
      <c r="U204" s="53">
        <f>IFERROR(__xludf.DUMMYFUNCTION("(T204-(IFERROR(MIN(FILTER({L204, O204, R204}, ISNUMBER({L204, O204, R204}), {L204, O204, R204} &gt; 0)), """")))/T204"),0.40119760479041916)</f>
        <v>0.4011976048</v>
      </c>
      <c r="V204" s="60">
        <v>400.0</v>
      </c>
      <c r="W204" s="60">
        <f t="shared" si="5"/>
        <v>5243</v>
      </c>
    </row>
    <row r="205" ht="22.5" customHeight="1">
      <c r="A205" s="61" t="str">
        <f t="shared" si="4"/>
        <v>R-TP-UNKNOWN-X-12,5 x 8 x 22,5</v>
      </c>
      <c r="B205" s="34" t="s">
        <v>916</v>
      </c>
      <c r="C205" s="34" t="s">
        <v>871</v>
      </c>
      <c r="D205" s="37" t="s">
        <v>72</v>
      </c>
      <c r="E205" s="38" t="s">
        <v>917</v>
      </c>
      <c r="F205" s="40" t="s">
        <v>63</v>
      </c>
      <c r="G205" s="37" t="s">
        <v>67</v>
      </c>
      <c r="H205" s="43" t="s">
        <v>41</v>
      </c>
      <c r="I205" s="34" t="s">
        <v>44</v>
      </c>
      <c r="J205" s="62"/>
      <c r="K205" s="62"/>
      <c r="L205" s="63"/>
      <c r="M205" s="64">
        <v>2000.0</v>
      </c>
      <c r="N205" s="64">
        <v>2000.0</v>
      </c>
      <c r="O205" s="64">
        <v>2720.0</v>
      </c>
      <c r="P205" s="62">
        <v>2000.0</v>
      </c>
      <c r="Q205" s="62">
        <v>2000.0</v>
      </c>
      <c r="R205" s="63"/>
      <c r="S205" s="58">
        <v>0.67</v>
      </c>
      <c r="T205" s="59">
        <f>IFERROR(__xludf.DUMMYFUNCTION("((IFERROR(MIN(FILTER({L205, O205, R205}, ISNUMBER({L205, O205, R205}), {L205, O205, R205} &gt; 0)), """"))*S205)+IFERROR(MIN(FILTER({L205, O205, R205}, ISNUMBER({L205, O205, R205}), {L205, O205, R205} &gt; 0)), """")"),4542.4)</f>
        <v>4542.4</v>
      </c>
      <c r="U205" s="53">
        <f>IFERROR(__xludf.DUMMYFUNCTION("(T205-(IFERROR(MIN(FILTER({L205, O205, R205}, ISNUMBER({L205, O205, R205}), {L205, O205, R205} &gt; 0)), """")))/T205"),0.4011976047904191)</f>
        <v>0.4011976048</v>
      </c>
      <c r="V205" s="60">
        <v>400.0</v>
      </c>
      <c r="W205" s="60">
        <f t="shared" si="5"/>
        <v>4942.4</v>
      </c>
    </row>
    <row r="206" ht="22.5" customHeight="1">
      <c r="A206" s="61" t="str">
        <f t="shared" si="4"/>
        <v>R-TP-UNKNOWN-X-15,5 x 10 x 30</v>
      </c>
      <c r="B206" s="34" t="s">
        <v>916</v>
      </c>
      <c r="C206" s="34" t="s">
        <v>871</v>
      </c>
      <c r="D206" s="37" t="s">
        <v>921</v>
      </c>
      <c r="E206" s="38" t="s">
        <v>922</v>
      </c>
      <c r="F206" s="40" t="s">
        <v>63</v>
      </c>
      <c r="G206" s="37" t="s">
        <v>67</v>
      </c>
      <c r="H206" s="43" t="s">
        <v>41</v>
      </c>
      <c r="I206" s="34" t="s">
        <v>44</v>
      </c>
      <c r="J206" s="62"/>
      <c r="K206" s="62"/>
      <c r="L206" s="63"/>
      <c r="M206" s="64">
        <v>2000.0</v>
      </c>
      <c r="N206" s="64">
        <v>2000.0</v>
      </c>
      <c r="O206" s="64">
        <v>3150.0</v>
      </c>
      <c r="P206" s="62">
        <v>2000.0</v>
      </c>
      <c r="Q206" s="62">
        <v>2000.0</v>
      </c>
      <c r="R206" s="63"/>
      <c r="S206" s="58">
        <v>0.67</v>
      </c>
      <c r="T206" s="59">
        <f>IFERROR(__xludf.DUMMYFUNCTION("((IFERROR(MIN(FILTER({L206, O206, R206}, ISNUMBER({L206, O206, R206}), {L206, O206, R206} &gt; 0)), """"))*S206)+IFERROR(MIN(FILTER({L206, O206, R206}, ISNUMBER({L206, O206, R206}), {L206, O206, R206} &gt; 0)), """")"),5260.5)</f>
        <v>5260.5</v>
      </c>
      <c r="U206" s="53">
        <f>IFERROR(__xludf.DUMMYFUNCTION("(T206-(IFERROR(MIN(FILTER({L206, O206, R206}, ISNUMBER({L206, O206, R206}), {L206, O206, R206} &gt; 0)), """")))/T206"),0.40119760479041916)</f>
        <v>0.4011976048</v>
      </c>
      <c r="V206" s="60">
        <v>400.0</v>
      </c>
      <c r="W206" s="60">
        <f t="shared" si="5"/>
        <v>5660.5</v>
      </c>
    </row>
    <row r="207" ht="22.5" customHeight="1">
      <c r="A207" s="61" t="str">
        <f t="shared" si="4"/>
        <v>R-TP-UNKNOWN-X-15 x 10 x 30</v>
      </c>
      <c r="B207" s="34" t="s">
        <v>680</v>
      </c>
      <c r="C207" s="34" t="s">
        <v>871</v>
      </c>
      <c r="D207" s="37" t="s">
        <v>72</v>
      </c>
      <c r="E207" s="38" t="s">
        <v>273</v>
      </c>
      <c r="F207" s="40" t="s">
        <v>55</v>
      </c>
      <c r="G207" s="37" t="s">
        <v>58</v>
      </c>
      <c r="H207" s="43" t="s">
        <v>41</v>
      </c>
      <c r="I207" s="34" t="s">
        <v>44</v>
      </c>
      <c r="J207" s="62"/>
      <c r="K207" s="62"/>
      <c r="L207" s="63"/>
      <c r="M207" s="64">
        <v>2000.0</v>
      </c>
      <c r="N207" s="64">
        <v>2000.0</v>
      </c>
      <c r="O207" s="64">
        <v>2850.0</v>
      </c>
      <c r="P207" s="62">
        <v>2000.0</v>
      </c>
      <c r="Q207" s="62">
        <v>2000.0</v>
      </c>
      <c r="R207" s="63"/>
      <c r="S207" s="58">
        <v>0.67</v>
      </c>
      <c r="T207" s="59">
        <f>IFERROR(__xludf.DUMMYFUNCTION("((IFERROR(MIN(FILTER({L207, O207, R207}, ISNUMBER({L207, O207, R207}), {L207, O207, R207} &gt; 0)), """"))*S207)+IFERROR(MIN(FILTER({L207, O207, R207}, ISNUMBER({L207, O207, R207}), {L207, O207, R207} &gt; 0)), """")"),4759.5)</f>
        <v>4759.5</v>
      </c>
      <c r="U207" s="53">
        <f>IFERROR(__xludf.DUMMYFUNCTION("(T207-(IFERROR(MIN(FILTER({L207, O207, R207}, ISNUMBER({L207, O207, R207}), {L207, O207, R207} &gt; 0)), """")))/T207"),0.40119760479041916)</f>
        <v>0.4011976048</v>
      </c>
      <c r="V207" s="60">
        <v>400.0</v>
      </c>
      <c r="W207" s="60">
        <f t="shared" si="5"/>
        <v>5159.5</v>
      </c>
    </row>
    <row r="208" ht="22.5" customHeight="1">
      <c r="A208" s="61" t="str">
        <f t="shared" si="4"/>
        <v>R-TP-UNKNOWN-X-10 x 6 x 23</v>
      </c>
      <c r="B208" s="34" t="s">
        <v>929</v>
      </c>
      <c r="C208" s="34" t="s">
        <v>871</v>
      </c>
      <c r="D208" s="37" t="s">
        <v>175</v>
      </c>
      <c r="E208" s="38" t="s">
        <v>930</v>
      </c>
      <c r="F208" s="40" t="s">
        <v>46</v>
      </c>
      <c r="G208" s="37" t="s">
        <v>931</v>
      </c>
      <c r="H208" s="43" t="s">
        <v>41</v>
      </c>
      <c r="I208" s="34" t="s">
        <v>44</v>
      </c>
      <c r="J208" s="62"/>
      <c r="K208" s="62"/>
      <c r="L208" s="63"/>
      <c r="M208" s="64">
        <v>5000.0</v>
      </c>
      <c r="N208" s="64">
        <v>5000.0</v>
      </c>
      <c r="O208" s="64">
        <v>2350.0</v>
      </c>
      <c r="P208" s="62">
        <v>5000.0</v>
      </c>
      <c r="Q208" s="62">
        <v>5000.0</v>
      </c>
      <c r="R208" s="63"/>
      <c r="S208" s="58">
        <v>0.67</v>
      </c>
      <c r="T208" s="59">
        <f>IFERROR(__xludf.DUMMYFUNCTION("((IFERROR(MIN(FILTER({L208, O208, R208}, ISNUMBER({L208, O208, R208}), {L208, O208, R208} &gt; 0)), """"))*S208)+IFERROR(MIN(FILTER({L208, O208, R208}, ISNUMBER({L208, O208, R208}), {L208, O208, R208} &gt; 0)), """")"),3924.5)</f>
        <v>3924.5</v>
      </c>
      <c r="U208" s="53">
        <f>IFERROR(__xludf.DUMMYFUNCTION("(T208-(IFERROR(MIN(FILTER({L208, O208, R208}, ISNUMBER({L208, O208, R208}), {L208, O208, R208} &gt; 0)), """")))/T208"),0.40119760479041916)</f>
        <v>0.4011976048</v>
      </c>
      <c r="V208" s="60">
        <v>400.0</v>
      </c>
      <c r="W208" s="60">
        <f t="shared" si="5"/>
        <v>4324.5</v>
      </c>
    </row>
    <row r="209" ht="22.5" customHeight="1">
      <c r="A209" s="61" t="str">
        <f t="shared" si="4"/>
        <v>R-TP-UNKNOWN-X-10 x 6 x 23</v>
      </c>
      <c r="B209" s="34" t="s">
        <v>929</v>
      </c>
      <c r="C209" s="34" t="s">
        <v>871</v>
      </c>
      <c r="D209" s="37" t="s">
        <v>175</v>
      </c>
      <c r="E209" s="38" t="s">
        <v>930</v>
      </c>
      <c r="F209" s="40" t="s">
        <v>46</v>
      </c>
      <c r="G209" s="37" t="s">
        <v>931</v>
      </c>
      <c r="H209" s="43" t="s">
        <v>41</v>
      </c>
      <c r="I209" s="34" t="s">
        <v>44</v>
      </c>
      <c r="J209" s="62"/>
      <c r="K209" s="62"/>
      <c r="L209" s="63"/>
      <c r="M209" s="64">
        <v>10000.0</v>
      </c>
      <c r="N209" s="64">
        <v>10000.0</v>
      </c>
      <c r="O209" s="64">
        <v>2150.0</v>
      </c>
      <c r="P209" s="62">
        <v>10000.0</v>
      </c>
      <c r="Q209" s="62">
        <v>10000.0</v>
      </c>
      <c r="R209" s="63"/>
      <c r="S209" s="58">
        <v>0.67</v>
      </c>
      <c r="T209" s="59">
        <f>IFERROR(__xludf.DUMMYFUNCTION("((IFERROR(MIN(FILTER({L209, O209, R209}, ISNUMBER({L209, O209, R209}), {L209, O209, R209} &gt; 0)), """"))*S209)+IFERROR(MIN(FILTER({L209, O209, R209}, ISNUMBER({L209, O209, R209}), {L209, O209, R209} &gt; 0)), """")"),3590.5)</f>
        <v>3590.5</v>
      </c>
      <c r="U209" s="53">
        <f>IFERROR(__xludf.DUMMYFUNCTION("(T209-(IFERROR(MIN(FILTER({L209, O209, R209}, ISNUMBER({L209, O209, R209}), {L209, O209, R209} &gt; 0)), """")))/T209"),0.40119760479041916)</f>
        <v>0.4011976048</v>
      </c>
      <c r="V209" s="60">
        <v>400.0</v>
      </c>
      <c r="W209" s="60">
        <f t="shared" si="5"/>
        <v>3990.5</v>
      </c>
    </row>
    <row r="210" ht="22.5" customHeight="1">
      <c r="A210" s="61" t="str">
        <f t="shared" si="4"/>
        <v>R-TP-UNKNOWN-X-12,5 x 8 x 22,5</v>
      </c>
      <c r="B210" s="34" t="s">
        <v>393</v>
      </c>
      <c r="C210" s="34" t="s">
        <v>871</v>
      </c>
      <c r="D210" s="37" t="s">
        <v>72</v>
      </c>
      <c r="E210" s="38" t="s">
        <v>917</v>
      </c>
      <c r="F210" s="40" t="s">
        <v>55</v>
      </c>
      <c r="G210" s="37" t="s">
        <v>58</v>
      </c>
      <c r="H210" s="43" t="s">
        <v>41</v>
      </c>
      <c r="I210" s="34" t="s">
        <v>44</v>
      </c>
      <c r="J210" s="62"/>
      <c r="K210" s="62"/>
      <c r="L210" s="63"/>
      <c r="M210" s="64">
        <v>2000.0</v>
      </c>
      <c r="N210" s="64">
        <v>2000.0</v>
      </c>
      <c r="O210" s="64">
        <v>2350.0</v>
      </c>
      <c r="P210" s="62">
        <v>2000.0</v>
      </c>
      <c r="Q210" s="62">
        <v>2000.0</v>
      </c>
      <c r="R210" s="63"/>
      <c r="S210" s="58">
        <v>0.67</v>
      </c>
      <c r="T210" s="59">
        <f>IFERROR(__xludf.DUMMYFUNCTION("((IFERROR(MIN(FILTER({L210, O210, R210}, ISNUMBER({L210, O210, R210}), {L210, O210, R210} &gt; 0)), """"))*S210)+IFERROR(MIN(FILTER({L210, O210, R210}, ISNUMBER({L210, O210, R210}), {L210, O210, R210} &gt; 0)), """")"),3924.5)</f>
        <v>3924.5</v>
      </c>
      <c r="U210" s="53">
        <f>IFERROR(__xludf.DUMMYFUNCTION("(T210-(IFERROR(MIN(FILTER({L210, O210, R210}, ISNUMBER({L210, O210, R210}), {L210, O210, R210} &gt; 0)), """")))/T210"),0.40119760479041916)</f>
        <v>0.4011976048</v>
      </c>
      <c r="V210" s="60">
        <v>400.0</v>
      </c>
      <c r="W210" s="60">
        <f t="shared" si="5"/>
        <v>4324.5</v>
      </c>
    </row>
    <row r="211" ht="22.5" customHeight="1">
      <c r="A211" s="61" t="str">
        <f t="shared" si="4"/>
        <v>R-TP-UNKNOWN-X-13 x 8 x 18</v>
      </c>
      <c r="B211" s="34" t="s">
        <v>940</v>
      </c>
      <c r="C211" s="34" t="s">
        <v>871</v>
      </c>
      <c r="D211" s="37" t="s">
        <v>72</v>
      </c>
      <c r="E211" s="38" t="s">
        <v>877</v>
      </c>
      <c r="F211" s="40" t="s">
        <v>63</v>
      </c>
      <c r="G211" s="37" t="s">
        <v>67</v>
      </c>
      <c r="H211" s="43" t="s">
        <v>41</v>
      </c>
      <c r="I211" s="34" t="s">
        <v>44</v>
      </c>
      <c r="J211" s="62"/>
      <c r="K211" s="62"/>
      <c r="L211" s="63"/>
      <c r="M211" s="64">
        <v>1000.0</v>
      </c>
      <c r="N211" s="64">
        <v>1000.0</v>
      </c>
      <c r="O211" s="64">
        <v>4100.0</v>
      </c>
      <c r="P211" s="62">
        <v>1000.0</v>
      </c>
      <c r="Q211" s="62">
        <v>1000.0</v>
      </c>
      <c r="R211" s="63"/>
      <c r="S211" s="58">
        <v>0.67</v>
      </c>
      <c r="T211" s="59">
        <f>IFERROR(__xludf.DUMMYFUNCTION("((IFERROR(MIN(FILTER({L211, O211, R211}, ISNUMBER({L211, O211, R211}), {L211, O211, R211} &gt; 0)), """"))*S211)+IFERROR(MIN(FILTER({L211, O211, R211}, ISNUMBER({L211, O211, R211}), {L211, O211, R211} &gt; 0)), """")"),6847.0)</f>
        <v>6847</v>
      </c>
      <c r="U211" s="53">
        <f>IFERROR(__xludf.DUMMYFUNCTION("(T211-(IFERROR(MIN(FILTER({L211, O211, R211}, ISNUMBER({L211, O211, R211}), {L211, O211, R211} &gt; 0)), """")))/T211"),0.40119760479041916)</f>
        <v>0.4011976048</v>
      </c>
      <c r="V211" s="60">
        <v>400.0</v>
      </c>
      <c r="W211" s="60">
        <f t="shared" si="5"/>
        <v>7247</v>
      </c>
    </row>
    <row r="212" ht="22.5" customHeight="1">
      <c r="A212" s="61" t="str">
        <f t="shared" si="4"/>
        <v>R-TP-UNKNOWN-X-13 x 8 x 18</v>
      </c>
      <c r="B212" s="34" t="s">
        <v>940</v>
      </c>
      <c r="C212" s="34" t="s">
        <v>871</v>
      </c>
      <c r="D212" s="37" t="s">
        <v>72</v>
      </c>
      <c r="E212" s="38" t="s">
        <v>877</v>
      </c>
      <c r="F212" s="40" t="s">
        <v>63</v>
      </c>
      <c r="G212" s="37" t="s">
        <v>67</v>
      </c>
      <c r="H212" s="43" t="s">
        <v>41</v>
      </c>
      <c r="I212" s="34" t="s">
        <v>44</v>
      </c>
      <c r="J212" s="62"/>
      <c r="K212" s="62"/>
      <c r="L212" s="63"/>
      <c r="M212" s="64">
        <v>2000.0</v>
      </c>
      <c r="N212" s="64">
        <v>2000.0</v>
      </c>
      <c r="O212" s="64">
        <v>3300.0</v>
      </c>
      <c r="P212" s="62">
        <v>2000.0</v>
      </c>
      <c r="Q212" s="62">
        <v>2000.0</v>
      </c>
      <c r="R212" s="63"/>
      <c r="S212" s="58">
        <v>0.67</v>
      </c>
      <c r="T212" s="59">
        <f>IFERROR(__xludf.DUMMYFUNCTION("((IFERROR(MIN(FILTER({L212, O212, R212}, ISNUMBER({L212, O212, R212}), {L212, O212, R212} &gt; 0)), """"))*S212)+IFERROR(MIN(FILTER({L212, O212, R212}, ISNUMBER({L212, O212, R212}), {L212, O212, R212} &gt; 0)), """")"),5511.0)</f>
        <v>5511</v>
      </c>
      <c r="U212" s="53">
        <f>IFERROR(__xludf.DUMMYFUNCTION("(T212-(IFERROR(MIN(FILTER({L212, O212, R212}, ISNUMBER({L212, O212, R212}), {L212, O212, R212} &gt; 0)), """")))/T212"),0.40119760479041916)</f>
        <v>0.4011976048</v>
      </c>
      <c r="V212" s="60">
        <v>400.0</v>
      </c>
      <c r="W212" s="60">
        <f t="shared" si="5"/>
        <v>5911</v>
      </c>
    </row>
    <row r="213" ht="22.5" customHeight="1">
      <c r="A213" s="61" t="str">
        <f t="shared" si="4"/>
        <v>R-TP-UNKNOWN-X-15 x 10 x 30</v>
      </c>
      <c r="B213" s="34" t="s">
        <v>944</v>
      </c>
      <c r="C213" s="34" t="s">
        <v>871</v>
      </c>
      <c r="D213" s="37" t="s">
        <v>72</v>
      </c>
      <c r="E213" s="38" t="s">
        <v>273</v>
      </c>
      <c r="F213" s="40" t="s">
        <v>63</v>
      </c>
      <c r="G213" s="37" t="s">
        <v>67</v>
      </c>
      <c r="H213" s="43" t="s">
        <v>41</v>
      </c>
      <c r="I213" s="34" t="s">
        <v>44</v>
      </c>
      <c r="J213" s="62"/>
      <c r="K213" s="62"/>
      <c r="L213" s="63"/>
      <c r="M213" s="64">
        <v>2000.0</v>
      </c>
      <c r="N213" s="64">
        <v>2000.0</v>
      </c>
      <c r="O213" s="64">
        <v>3200.0</v>
      </c>
      <c r="P213" s="62">
        <v>2000.0</v>
      </c>
      <c r="Q213" s="62">
        <v>2000.0</v>
      </c>
      <c r="R213" s="63"/>
      <c r="S213" s="58">
        <v>0.67</v>
      </c>
      <c r="T213" s="59">
        <f>IFERROR(__xludf.DUMMYFUNCTION("((IFERROR(MIN(FILTER({L213, O213, R213}, ISNUMBER({L213, O213, R213}), {L213, O213, R213} &gt; 0)), """"))*S213)+IFERROR(MIN(FILTER({L213, O213, R213}, ISNUMBER({L213, O213, R213}), {L213, O213, R213} &gt; 0)), """")"),5344.0)</f>
        <v>5344</v>
      </c>
      <c r="U213" s="53">
        <f>IFERROR(__xludf.DUMMYFUNCTION("(T213-(IFERROR(MIN(FILTER({L213, O213, R213}, ISNUMBER({L213, O213, R213}), {L213, O213, R213} &gt; 0)), """")))/T213"),0.40119760479041916)</f>
        <v>0.4011976048</v>
      </c>
      <c r="V213" s="60">
        <v>400.0</v>
      </c>
      <c r="W213" s="60">
        <f t="shared" si="5"/>
        <v>5744</v>
      </c>
    </row>
    <row r="214" ht="22.5" customHeight="1">
      <c r="A214" s="61" t="str">
        <f t="shared" si="4"/>
        <v>R-TP-UNKNOWN-X-16 x 5 x 22</v>
      </c>
      <c r="B214" s="34" t="s">
        <v>101</v>
      </c>
      <c r="C214" s="34" t="s">
        <v>871</v>
      </c>
      <c r="D214" s="37" t="s">
        <v>72</v>
      </c>
      <c r="E214" s="38" t="s">
        <v>102</v>
      </c>
      <c r="F214" s="40" t="s">
        <v>36</v>
      </c>
      <c r="G214" s="37" t="s">
        <v>945</v>
      </c>
      <c r="H214" s="43" t="s">
        <v>41</v>
      </c>
      <c r="I214" s="34" t="s">
        <v>44</v>
      </c>
      <c r="J214" s="62"/>
      <c r="K214" s="62"/>
      <c r="L214" s="63"/>
      <c r="M214" s="64">
        <v>1000.0</v>
      </c>
      <c r="N214" s="64">
        <v>1000.0</v>
      </c>
      <c r="O214" s="64">
        <v>3300.0</v>
      </c>
      <c r="P214" s="62">
        <v>1000.0</v>
      </c>
      <c r="Q214" s="62">
        <v>1000.0</v>
      </c>
      <c r="R214" s="63"/>
      <c r="S214" s="58">
        <v>0.67</v>
      </c>
      <c r="T214" s="59">
        <f>IFERROR(__xludf.DUMMYFUNCTION("((IFERROR(MIN(FILTER({L214, O214, R214}, ISNUMBER({L214, O214, R214}), {L214, O214, R214} &gt; 0)), """"))*S214)+IFERROR(MIN(FILTER({L214, O214, R214}, ISNUMBER({L214, O214, R214}), {L214, O214, R214} &gt; 0)), """")"),5511.0)</f>
        <v>5511</v>
      </c>
      <c r="U214" s="53">
        <f>IFERROR(__xludf.DUMMYFUNCTION("(T214-(IFERROR(MIN(FILTER({L214, O214, R214}, ISNUMBER({L214, O214, R214}), {L214, O214, R214} &gt; 0)), """")))/T214"),0.40119760479041916)</f>
        <v>0.4011976048</v>
      </c>
      <c r="V214" s="60">
        <v>400.0</v>
      </c>
      <c r="W214" s="60">
        <f t="shared" si="5"/>
        <v>5911</v>
      </c>
    </row>
    <row r="215" ht="22.5" customHeight="1">
      <c r="A215" s="61" t="str">
        <f t="shared" si="4"/>
        <v>R-TP-UNKNOWN-X-16 x 5 x 22</v>
      </c>
      <c r="B215" s="34" t="s">
        <v>101</v>
      </c>
      <c r="C215" s="34" t="s">
        <v>871</v>
      </c>
      <c r="D215" s="37" t="s">
        <v>72</v>
      </c>
      <c r="E215" s="38" t="s">
        <v>102</v>
      </c>
      <c r="F215" s="40" t="s">
        <v>36</v>
      </c>
      <c r="G215" s="37" t="s">
        <v>945</v>
      </c>
      <c r="H215" s="43" t="s">
        <v>41</v>
      </c>
      <c r="I215" s="34" t="s">
        <v>44</v>
      </c>
      <c r="J215" s="62"/>
      <c r="K215" s="62"/>
      <c r="L215" s="63"/>
      <c r="M215" s="64">
        <v>2000.0</v>
      </c>
      <c r="N215" s="64">
        <v>2000.0</v>
      </c>
      <c r="O215" s="64">
        <v>2700.0</v>
      </c>
      <c r="P215" s="62">
        <v>2000.0</v>
      </c>
      <c r="Q215" s="62">
        <v>2000.0</v>
      </c>
      <c r="R215" s="63"/>
      <c r="S215" s="58">
        <v>0.67</v>
      </c>
      <c r="T215" s="59">
        <f>IFERROR(__xludf.DUMMYFUNCTION("((IFERROR(MIN(FILTER({L215, O215, R215}, ISNUMBER({L215, O215, R215}), {L215, O215, R215} &gt; 0)), """"))*S215)+IFERROR(MIN(FILTER({L215, O215, R215}, ISNUMBER({L215, O215, R215}), {L215, O215, R215} &gt; 0)), """")"),4509.0)</f>
        <v>4509</v>
      </c>
      <c r="U215" s="53">
        <f>IFERROR(__xludf.DUMMYFUNCTION("(T215-(IFERROR(MIN(FILTER({L215, O215, R215}, ISNUMBER({L215, O215, R215}), {L215, O215, R215} &gt; 0)), """")))/T215"),0.40119760479041916)</f>
        <v>0.4011976048</v>
      </c>
      <c r="V215" s="60">
        <v>400.0</v>
      </c>
      <c r="W215" s="60">
        <f t="shared" si="5"/>
        <v>4909</v>
      </c>
    </row>
    <row r="216" ht="22.5" customHeight="1">
      <c r="A216" s="61" t="str">
        <f t="shared" si="4"/>
        <v>R-TP-UNKNOWN-X-15 x 9 x 23,5</v>
      </c>
      <c r="B216" s="34" t="s">
        <v>950</v>
      </c>
      <c r="C216" s="34" t="s">
        <v>871</v>
      </c>
      <c r="D216" s="37" t="s">
        <v>921</v>
      </c>
      <c r="E216" s="38" t="s">
        <v>951</v>
      </c>
      <c r="F216" s="40" t="s">
        <v>36</v>
      </c>
      <c r="G216" s="37" t="s">
        <v>952</v>
      </c>
      <c r="H216" s="43" t="s">
        <v>41</v>
      </c>
      <c r="I216" s="34" t="s">
        <v>44</v>
      </c>
      <c r="J216" s="62"/>
      <c r="K216" s="62"/>
      <c r="L216" s="63"/>
      <c r="M216" s="64">
        <v>1000.0</v>
      </c>
      <c r="N216" s="64">
        <v>1000.0</v>
      </c>
      <c r="O216" s="64">
        <v>3700.0</v>
      </c>
      <c r="P216" s="62">
        <v>1000.0</v>
      </c>
      <c r="Q216" s="62">
        <v>1000.0</v>
      </c>
      <c r="R216" s="63"/>
      <c r="S216" s="58">
        <v>0.67</v>
      </c>
      <c r="T216" s="59">
        <f>IFERROR(__xludf.DUMMYFUNCTION("((IFERROR(MIN(FILTER({L216, O216, R216}, ISNUMBER({L216, O216, R216}), {L216, O216, R216} &gt; 0)), """"))*S216)+IFERROR(MIN(FILTER({L216, O216, R216}, ISNUMBER({L216, O216, R216}), {L216, O216, R216} &gt; 0)), """")"),6179.0)</f>
        <v>6179</v>
      </c>
      <c r="U216" s="53">
        <f>IFERROR(__xludf.DUMMYFUNCTION("(T216-(IFERROR(MIN(FILTER({L216, O216, R216}, ISNUMBER({L216, O216, R216}), {L216, O216, R216} &gt; 0)), """")))/T216"),0.40119760479041916)</f>
        <v>0.4011976048</v>
      </c>
      <c r="V216" s="60">
        <v>400.0</v>
      </c>
      <c r="W216" s="60">
        <f t="shared" si="5"/>
        <v>6579</v>
      </c>
    </row>
    <row r="217" ht="22.5" customHeight="1">
      <c r="A217" s="61" t="str">
        <f t="shared" si="4"/>
        <v>R-TP-UNKNOWN-X-15 x 9 x 23,5</v>
      </c>
      <c r="B217" s="34" t="s">
        <v>950</v>
      </c>
      <c r="C217" s="34" t="s">
        <v>871</v>
      </c>
      <c r="D217" s="37" t="s">
        <v>72</v>
      </c>
      <c r="E217" s="38" t="s">
        <v>951</v>
      </c>
      <c r="F217" s="40" t="s">
        <v>36</v>
      </c>
      <c r="G217" s="37" t="s">
        <v>952</v>
      </c>
      <c r="H217" s="43" t="s">
        <v>41</v>
      </c>
      <c r="I217" s="34" t="s">
        <v>44</v>
      </c>
      <c r="J217" s="62"/>
      <c r="K217" s="62"/>
      <c r="L217" s="63"/>
      <c r="M217" s="64">
        <v>2000.0</v>
      </c>
      <c r="N217" s="64">
        <v>2000.0</v>
      </c>
      <c r="O217" s="64">
        <v>2900.0</v>
      </c>
      <c r="P217" s="62">
        <v>2000.0</v>
      </c>
      <c r="Q217" s="62">
        <v>2000.0</v>
      </c>
      <c r="R217" s="63"/>
      <c r="S217" s="58">
        <v>0.67</v>
      </c>
      <c r="T217" s="59">
        <f>IFERROR(__xludf.DUMMYFUNCTION("((IFERROR(MIN(FILTER({L217, O217, R217}, ISNUMBER({L217, O217, R217}), {L217, O217, R217} &gt; 0)), """"))*S217)+IFERROR(MIN(FILTER({L217, O217, R217}, ISNUMBER({L217, O217, R217}), {L217, O217, R217} &gt; 0)), """")"),4843.0)</f>
        <v>4843</v>
      </c>
      <c r="U217" s="53">
        <f>IFERROR(__xludf.DUMMYFUNCTION("(T217-(IFERROR(MIN(FILTER({L217, O217, R217}, ISNUMBER({L217, O217, R217}), {L217, O217, R217} &gt; 0)), """")))/T217"),0.40119760479041916)</f>
        <v>0.4011976048</v>
      </c>
      <c r="V217" s="60">
        <v>400.0</v>
      </c>
      <c r="W217" s="60">
        <f t="shared" si="5"/>
        <v>5243</v>
      </c>
    </row>
    <row r="218" ht="22.5" customHeight="1">
      <c r="A218" s="61" t="str">
        <f t="shared" si="4"/>
        <v>R-TP-UNKNOWN-X-20 x 9 x 28,5</v>
      </c>
      <c r="B218" s="34" t="s">
        <v>957</v>
      </c>
      <c r="C218" s="34" t="s">
        <v>871</v>
      </c>
      <c r="D218" s="37" t="s">
        <v>175</v>
      </c>
      <c r="E218" s="38" t="s">
        <v>958</v>
      </c>
      <c r="F218" s="40" t="s">
        <v>46</v>
      </c>
      <c r="G218" s="37" t="s">
        <v>945</v>
      </c>
      <c r="H218" s="43" t="s">
        <v>41</v>
      </c>
      <c r="I218" s="34" t="s">
        <v>44</v>
      </c>
      <c r="J218" s="62"/>
      <c r="K218" s="62"/>
      <c r="L218" s="63"/>
      <c r="M218" s="64">
        <v>1000.0</v>
      </c>
      <c r="N218" s="64">
        <v>1000.0</v>
      </c>
      <c r="O218" s="64">
        <v>3800.0</v>
      </c>
      <c r="P218" s="62">
        <v>1000.0</v>
      </c>
      <c r="Q218" s="62">
        <v>1000.0</v>
      </c>
      <c r="R218" s="63"/>
      <c r="S218" s="58">
        <v>0.67</v>
      </c>
      <c r="T218" s="59">
        <f>IFERROR(__xludf.DUMMYFUNCTION("((IFERROR(MIN(FILTER({L218, O218, R218}, ISNUMBER({L218, O218, R218}), {L218, O218, R218} &gt; 0)), """"))*S218)+IFERROR(MIN(FILTER({L218, O218, R218}, ISNUMBER({L218, O218, R218}), {L218, O218, R218} &gt; 0)), """")"),6346.0)</f>
        <v>6346</v>
      </c>
      <c r="U218" s="53">
        <f>IFERROR(__xludf.DUMMYFUNCTION("(T218-(IFERROR(MIN(FILTER({L218, O218, R218}, ISNUMBER({L218, O218, R218}), {L218, O218, R218} &gt; 0)), """")))/T218"),0.40119760479041916)</f>
        <v>0.4011976048</v>
      </c>
      <c r="V218" s="60">
        <v>400.0</v>
      </c>
      <c r="W218" s="60">
        <f t="shared" si="5"/>
        <v>6746</v>
      </c>
    </row>
    <row r="219" ht="22.5" customHeight="1">
      <c r="A219" s="61" t="str">
        <f t="shared" si="4"/>
        <v>R-TP-UNKNOWN-X-20 x 9 x 28,5</v>
      </c>
      <c r="B219" s="34" t="s">
        <v>957</v>
      </c>
      <c r="C219" s="34" t="s">
        <v>871</v>
      </c>
      <c r="D219" s="37" t="s">
        <v>175</v>
      </c>
      <c r="E219" s="38" t="s">
        <v>958</v>
      </c>
      <c r="F219" s="40" t="s">
        <v>46</v>
      </c>
      <c r="G219" s="37" t="s">
        <v>945</v>
      </c>
      <c r="H219" s="43" t="s">
        <v>41</v>
      </c>
      <c r="I219" s="34" t="s">
        <v>44</v>
      </c>
      <c r="J219" s="62"/>
      <c r="K219" s="62"/>
      <c r="L219" s="63"/>
      <c r="M219" s="64">
        <v>2000.0</v>
      </c>
      <c r="N219" s="64">
        <v>2000.0</v>
      </c>
      <c r="O219" s="64">
        <v>3000.0</v>
      </c>
      <c r="P219" s="62">
        <v>2000.0</v>
      </c>
      <c r="Q219" s="62">
        <v>2000.0</v>
      </c>
      <c r="R219" s="63"/>
      <c r="S219" s="58">
        <v>0.67</v>
      </c>
      <c r="T219" s="59">
        <f>IFERROR(__xludf.DUMMYFUNCTION("((IFERROR(MIN(FILTER({L219, O219, R219}, ISNUMBER({L219, O219, R219}), {L219, O219, R219} &gt; 0)), """"))*S219)+IFERROR(MIN(FILTER({L219, O219, R219}, ISNUMBER({L219, O219, R219}), {L219, O219, R219} &gt; 0)), """")"),5010.0)</f>
        <v>5010</v>
      </c>
      <c r="U219" s="53">
        <f>IFERROR(__xludf.DUMMYFUNCTION("(T219-(IFERROR(MIN(FILTER({L219, O219, R219}, ISNUMBER({L219, O219, R219}), {L219, O219, R219} &gt; 0)), """")))/T219"),0.40119760479041916)</f>
        <v>0.4011976048</v>
      </c>
      <c r="V219" s="60">
        <v>400.0</v>
      </c>
      <c r="W219" s="60">
        <f t="shared" si="5"/>
        <v>5410</v>
      </c>
    </row>
    <row r="220" ht="22.5" customHeight="1">
      <c r="A220" s="61" t="str">
        <f t="shared" si="4"/>
        <v>R-TP-UNKNOWN-X-13 x 8 x 23</v>
      </c>
      <c r="B220" s="34" t="s">
        <v>509</v>
      </c>
      <c r="C220" s="34" t="s">
        <v>871</v>
      </c>
      <c r="D220" s="37" t="s">
        <v>921</v>
      </c>
      <c r="E220" s="38" t="s">
        <v>243</v>
      </c>
      <c r="F220" s="40" t="s">
        <v>55</v>
      </c>
      <c r="G220" s="37"/>
      <c r="H220" s="43" t="s">
        <v>41</v>
      </c>
      <c r="I220" s="34" t="s">
        <v>49</v>
      </c>
      <c r="J220" s="62">
        <v>500000.0</v>
      </c>
      <c r="K220" s="62">
        <v>500000.0</v>
      </c>
      <c r="L220" s="62">
        <v>205.0</v>
      </c>
      <c r="M220" s="64">
        <v>500000.0</v>
      </c>
      <c r="N220" s="64">
        <v>500000.0</v>
      </c>
      <c r="O220" s="64"/>
      <c r="P220" s="62">
        <v>500000.0</v>
      </c>
      <c r="Q220" s="62">
        <v>500000.0</v>
      </c>
      <c r="R220" s="62"/>
      <c r="S220" s="58">
        <v>0.67</v>
      </c>
      <c r="T220" s="59">
        <f>IFERROR(__xludf.DUMMYFUNCTION("((IFERROR(MIN(FILTER({L220, O220, R220}, ISNUMBER({L220, O220, R220}), {L220, O220, R220} &gt; 0)), """"))*S220)+IFERROR(MIN(FILTER({L220, O220, R220}, ISNUMBER({L220, O220, R220}), {L220, O220, R220} &gt; 0)), """")"),342.35)</f>
        <v>342.35</v>
      </c>
      <c r="U220" s="53">
        <f>IFERROR(__xludf.DUMMYFUNCTION("(T220-(IFERROR(MIN(FILTER({L220, O220, R220}, ISNUMBER({L220, O220, R220}), {L220, O220, R220} &gt; 0)), """")))/T220"),0.4011976047904192)</f>
        <v>0.4011976048</v>
      </c>
      <c r="V220" s="60">
        <v>400.0</v>
      </c>
      <c r="W220" s="60">
        <f t="shared" si="5"/>
        <v>742.35</v>
      </c>
    </row>
    <row r="221" ht="22.5" customHeight="1">
      <c r="A221" s="61" t="str">
        <f t="shared" si="4"/>
        <v>R-TP-UNKNOWN-X-13 x 8 x 23</v>
      </c>
      <c r="B221" s="34" t="s">
        <v>509</v>
      </c>
      <c r="C221" s="34" t="s">
        <v>871</v>
      </c>
      <c r="D221" s="37" t="s">
        <v>72</v>
      </c>
      <c r="E221" s="38" t="s">
        <v>243</v>
      </c>
      <c r="F221" s="40" t="s">
        <v>55</v>
      </c>
      <c r="G221" s="37"/>
      <c r="H221" s="43" t="s">
        <v>41</v>
      </c>
      <c r="I221" s="34" t="s">
        <v>49</v>
      </c>
      <c r="J221" s="62">
        <v>2000000.0</v>
      </c>
      <c r="K221" s="62">
        <v>2000000.0</v>
      </c>
      <c r="L221" s="62">
        <v>190.0</v>
      </c>
      <c r="M221" s="64">
        <v>2000000.0</v>
      </c>
      <c r="N221" s="64">
        <v>2000000.0</v>
      </c>
      <c r="O221" s="64"/>
      <c r="P221" s="62">
        <v>2000000.0</v>
      </c>
      <c r="Q221" s="62">
        <v>2000000.0</v>
      </c>
      <c r="R221" s="62"/>
      <c r="S221" s="58">
        <v>0.67</v>
      </c>
      <c r="T221" s="59">
        <f>IFERROR(__xludf.DUMMYFUNCTION("((IFERROR(MIN(FILTER({L221, O221, R221}, ISNUMBER({L221, O221, R221}), {L221, O221, R221} &gt; 0)), """"))*S221)+IFERROR(MIN(FILTER({L221, O221, R221}, ISNUMBER({L221, O221, R221}), {L221, O221, R221} &gt; 0)), """")"),317.3)</f>
        <v>317.3</v>
      </c>
      <c r="U221" s="53">
        <f>IFERROR(__xludf.DUMMYFUNCTION("(T221-(IFERROR(MIN(FILTER({L221, O221, R221}, ISNUMBER({L221, O221, R221}), {L221, O221, R221} &gt; 0)), """")))/T221"),0.40119760479041916)</f>
        <v>0.4011976048</v>
      </c>
      <c r="V221" s="60">
        <v>400.0</v>
      </c>
      <c r="W221" s="60">
        <f t="shared" si="5"/>
        <v>717.3</v>
      </c>
    </row>
    <row r="222" ht="22.5" customHeight="1">
      <c r="A222" s="61" t="str">
        <f t="shared" si="4"/>
        <v>R-TP-UNKNOWN-X-11 x 8 x 17</v>
      </c>
      <c r="B222" s="34" t="s">
        <v>967</v>
      </c>
      <c r="C222" s="34" t="s">
        <v>871</v>
      </c>
      <c r="D222" s="37" t="s">
        <v>72</v>
      </c>
      <c r="E222" s="38" t="s">
        <v>968</v>
      </c>
      <c r="F222" s="40" t="s">
        <v>63</v>
      </c>
      <c r="G222" s="37" t="s">
        <v>67</v>
      </c>
      <c r="H222" s="43" t="s">
        <v>41</v>
      </c>
      <c r="I222" s="34" t="s">
        <v>44</v>
      </c>
      <c r="J222" s="62"/>
      <c r="K222" s="62"/>
      <c r="L222" s="63"/>
      <c r="M222" s="64">
        <v>4000.0</v>
      </c>
      <c r="N222" s="64">
        <v>4000.0</v>
      </c>
      <c r="O222" s="64">
        <v>2250.0</v>
      </c>
      <c r="P222" s="62">
        <v>4000.0</v>
      </c>
      <c r="Q222" s="62">
        <v>4000.0</v>
      </c>
      <c r="R222" s="63"/>
      <c r="S222" s="58">
        <v>0.67</v>
      </c>
      <c r="T222" s="59">
        <f>IFERROR(__xludf.DUMMYFUNCTION("((IFERROR(MIN(FILTER({L222, O222, R222}, ISNUMBER({L222, O222, R222}), {L222, O222, R222} &gt; 0)), """"))*S222)+IFERROR(MIN(FILTER({L222, O222, R222}, ISNUMBER({L222, O222, R222}), {L222, O222, R222} &gt; 0)), """")"),3757.5)</f>
        <v>3757.5</v>
      </c>
      <c r="U222" s="53">
        <f>IFERROR(__xludf.DUMMYFUNCTION("(T222-(IFERROR(MIN(FILTER({L222, O222, R222}, ISNUMBER({L222, O222, R222}), {L222, O222, R222} &gt; 0)), """")))/T222"),0.40119760479041916)</f>
        <v>0.4011976048</v>
      </c>
      <c r="V222" s="60">
        <v>400.0</v>
      </c>
      <c r="W222" s="60">
        <f t="shared" si="5"/>
        <v>4157.5</v>
      </c>
    </row>
    <row r="223" ht="22.5" customHeight="1">
      <c r="A223" s="61" t="str">
        <f t="shared" si="4"/>
        <v>R-TP-UNKNOWN-X-23 x 14,8 x 31</v>
      </c>
      <c r="B223" s="34" t="s">
        <v>249</v>
      </c>
      <c r="C223" s="34" t="s">
        <v>871</v>
      </c>
      <c r="D223" s="37" t="s">
        <v>72</v>
      </c>
      <c r="E223" s="38" t="s">
        <v>972</v>
      </c>
      <c r="F223" s="40" t="s">
        <v>55</v>
      </c>
      <c r="G223" s="37" t="s">
        <v>121</v>
      </c>
      <c r="H223" s="52" t="s">
        <v>41</v>
      </c>
      <c r="I223" s="34" t="s">
        <v>44</v>
      </c>
      <c r="J223" s="62"/>
      <c r="K223" s="62"/>
      <c r="L223" s="63"/>
      <c r="M223" s="64">
        <v>1000.0</v>
      </c>
      <c r="N223" s="64">
        <v>1000.0</v>
      </c>
      <c r="O223" s="64">
        <v>4300.0</v>
      </c>
      <c r="P223" s="62">
        <v>1000.0</v>
      </c>
      <c r="Q223" s="62">
        <v>1000.0</v>
      </c>
      <c r="R223" s="63"/>
      <c r="S223" s="58">
        <v>0.67</v>
      </c>
      <c r="T223" s="59">
        <f>IFERROR(__xludf.DUMMYFUNCTION("((IFERROR(MIN(FILTER({L223, O223, R223}, ISNUMBER({L223, O223, R223}), {L223, O223, R223} &gt; 0)), """"))*S223)+IFERROR(MIN(FILTER({L223, O223, R223}, ISNUMBER({L223, O223, R223}), {L223, O223, R223} &gt; 0)), """")"),7181.0)</f>
        <v>7181</v>
      </c>
      <c r="U223" s="53">
        <f>IFERROR(__xludf.DUMMYFUNCTION("(T223-(IFERROR(MIN(FILTER({L223, O223, R223}, ISNUMBER({L223, O223, R223}), {L223, O223, R223} &gt; 0)), """")))/T223"),0.40119760479041916)</f>
        <v>0.4011976048</v>
      </c>
      <c r="V223" s="60">
        <v>400.0</v>
      </c>
      <c r="W223" s="60">
        <f t="shared" si="5"/>
        <v>7581</v>
      </c>
    </row>
    <row r="224" ht="22.5" customHeight="1">
      <c r="A224" s="61" t="str">
        <f t="shared" si="4"/>
        <v>R-TP-UNKNOWN-X-23 x 14,8 x 31</v>
      </c>
      <c r="B224" s="34" t="s">
        <v>249</v>
      </c>
      <c r="C224" s="34" t="s">
        <v>871</v>
      </c>
      <c r="D224" s="37" t="s">
        <v>72</v>
      </c>
      <c r="E224" s="38" t="s">
        <v>972</v>
      </c>
      <c r="F224" s="40" t="s">
        <v>55</v>
      </c>
      <c r="G224" s="37" t="s">
        <v>121</v>
      </c>
      <c r="H224" s="52" t="s">
        <v>41</v>
      </c>
      <c r="I224" s="34" t="s">
        <v>44</v>
      </c>
      <c r="J224" s="62"/>
      <c r="K224" s="62"/>
      <c r="L224" s="63"/>
      <c r="M224" s="64">
        <v>2000.0</v>
      </c>
      <c r="N224" s="64">
        <v>2000.0</v>
      </c>
      <c r="O224" s="64">
        <v>4000.0</v>
      </c>
      <c r="P224" s="62">
        <v>2000.0</v>
      </c>
      <c r="Q224" s="62">
        <v>2000.0</v>
      </c>
      <c r="R224" s="63"/>
      <c r="S224" s="58">
        <v>0.67</v>
      </c>
      <c r="T224" s="59">
        <f>IFERROR(__xludf.DUMMYFUNCTION("((IFERROR(MIN(FILTER({L224, O224, R224}, ISNUMBER({L224, O224, R224}), {L224, O224, R224} &gt; 0)), """"))*S224)+IFERROR(MIN(FILTER({L224, O224, R224}, ISNUMBER({L224, O224, R224}), {L224, O224, R224} &gt; 0)), """")"),6680.0)</f>
        <v>6680</v>
      </c>
      <c r="U224" s="53">
        <f>IFERROR(__xludf.DUMMYFUNCTION("(T224-(IFERROR(MIN(FILTER({L224, O224, R224}, ISNUMBER({L224, O224, R224}), {L224, O224, R224} &gt; 0)), """")))/T224"),0.40119760479041916)</f>
        <v>0.4011976048</v>
      </c>
      <c r="V224" s="60">
        <v>400.0</v>
      </c>
      <c r="W224" s="60">
        <f t="shared" si="5"/>
        <v>7080</v>
      </c>
    </row>
    <row r="225" ht="22.5" customHeight="1">
      <c r="A225" s="61" t="str">
        <f t="shared" si="4"/>
        <v>R-TP-UNKNOWN-X-28,8 x 14,8 x 41</v>
      </c>
      <c r="B225" s="34" t="s">
        <v>249</v>
      </c>
      <c r="C225" s="34" t="s">
        <v>871</v>
      </c>
      <c r="D225" s="37" t="s">
        <v>72</v>
      </c>
      <c r="E225" s="38" t="s">
        <v>981</v>
      </c>
      <c r="F225" s="40" t="s">
        <v>55</v>
      </c>
      <c r="G225" s="37" t="s">
        <v>121</v>
      </c>
      <c r="H225" s="52" t="s">
        <v>41</v>
      </c>
      <c r="I225" s="34" t="s">
        <v>44</v>
      </c>
      <c r="J225" s="62"/>
      <c r="K225" s="62"/>
      <c r="L225" s="63"/>
      <c r="M225" s="64">
        <v>1000.0</v>
      </c>
      <c r="N225" s="64">
        <v>1000.0</v>
      </c>
      <c r="O225" s="64">
        <v>5000.0</v>
      </c>
      <c r="P225" s="62">
        <v>1000.0</v>
      </c>
      <c r="Q225" s="62">
        <v>1000.0</v>
      </c>
      <c r="R225" s="63"/>
      <c r="S225" s="58">
        <v>0.67</v>
      </c>
      <c r="T225" s="59">
        <f>IFERROR(__xludf.DUMMYFUNCTION("((IFERROR(MIN(FILTER({L225, O225, R225}, ISNUMBER({L225, O225, R225}), {L225, O225, R225} &gt; 0)), """"))*S225)+IFERROR(MIN(FILTER({L225, O225, R225}, ISNUMBER({L225, O225, R225}), {L225, O225, R225} &gt; 0)), """")"),8350.0)</f>
        <v>8350</v>
      </c>
      <c r="U225" s="53">
        <f>IFERROR(__xludf.DUMMYFUNCTION("(T225-(IFERROR(MIN(FILTER({L225, O225, R225}, ISNUMBER({L225, O225, R225}), {L225, O225, R225} &gt; 0)), """")))/T225"),0.40119760479041916)</f>
        <v>0.4011976048</v>
      </c>
      <c r="V225" s="60">
        <v>400.0</v>
      </c>
      <c r="W225" s="60">
        <f t="shared" si="5"/>
        <v>8750</v>
      </c>
    </row>
    <row r="226" ht="22.5" customHeight="1">
      <c r="A226" s="61" t="str">
        <f t="shared" si="4"/>
        <v>R-TP-UNKNOWN-X-28,8 x 14,8 x 41</v>
      </c>
      <c r="B226" s="34" t="s">
        <v>249</v>
      </c>
      <c r="C226" s="34" t="s">
        <v>871</v>
      </c>
      <c r="D226" s="37" t="s">
        <v>72</v>
      </c>
      <c r="E226" s="38" t="s">
        <v>981</v>
      </c>
      <c r="F226" s="40" t="s">
        <v>55</v>
      </c>
      <c r="G226" s="37" t="s">
        <v>121</v>
      </c>
      <c r="H226" s="52" t="s">
        <v>41</v>
      </c>
      <c r="I226" s="34" t="s">
        <v>44</v>
      </c>
      <c r="J226" s="62"/>
      <c r="K226" s="62"/>
      <c r="L226" s="63"/>
      <c r="M226" s="64">
        <v>2000.0</v>
      </c>
      <c r="N226" s="64">
        <v>2000.0</v>
      </c>
      <c r="O226" s="64">
        <v>47000.0</v>
      </c>
      <c r="P226" s="62">
        <v>2000.0</v>
      </c>
      <c r="Q226" s="62">
        <v>2000.0</v>
      </c>
      <c r="R226" s="63"/>
      <c r="S226" s="58">
        <v>0.67</v>
      </c>
      <c r="T226" s="59">
        <f>IFERROR(__xludf.DUMMYFUNCTION("((IFERROR(MIN(FILTER({L226, O226, R226}, ISNUMBER({L226, O226, R226}), {L226, O226, R226} &gt; 0)), """"))*S226)+IFERROR(MIN(FILTER({L226, O226, R226}, ISNUMBER({L226, O226, R226}), {L226, O226, R226} &gt; 0)), """")"),78490.0)</f>
        <v>78490</v>
      </c>
      <c r="U226" s="53">
        <f>IFERROR(__xludf.DUMMYFUNCTION("(T226-(IFERROR(MIN(FILTER({L226, O226, R226}, ISNUMBER({L226, O226, R226}), {L226, O226, R226} &gt; 0)), """")))/T226"),0.40119760479041916)</f>
        <v>0.4011976048</v>
      </c>
      <c r="V226" s="60">
        <v>400.0</v>
      </c>
      <c r="W226" s="60">
        <f t="shared" si="5"/>
        <v>78890</v>
      </c>
    </row>
    <row r="227" ht="22.5" customHeight="1">
      <c r="A227" s="61" t="str">
        <f t="shared" si="4"/>
        <v>R-TP-UNKNOWN-X-13 x 7,5 x 23</v>
      </c>
      <c r="B227" s="34" t="s">
        <v>645</v>
      </c>
      <c r="C227" s="34" t="s">
        <v>871</v>
      </c>
      <c r="D227" s="37" t="s">
        <v>72</v>
      </c>
      <c r="E227" s="38" t="s">
        <v>885</v>
      </c>
      <c r="F227" s="40" t="s">
        <v>46</v>
      </c>
      <c r="G227" s="37" t="s">
        <v>989</v>
      </c>
      <c r="H227" s="52" t="s">
        <v>41</v>
      </c>
      <c r="I227" s="34" t="s">
        <v>44</v>
      </c>
      <c r="J227" s="62"/>
      <c r="K227" s="62"/>
      <c r="L227" s="63"/>
      <c r="M227" s="64">
        <v>2000.0</v>
      </c>
      <c r="N227" s="64">
        <v>2000.0</v>
      </c>
      <c r="O227" s="64">
        <v>2600.0</v>
      </c>
      <c r="P227" s="62">
        <v>2000.0</v>
      </c>
      <c r="Q227" s="62">
        <v>2000.0</v>
      </c>
      <c r="R227" s="63"/>
      <c r="S227" s="58">
        <v>0.67</v>
      </c>
      <c r="T227" s="59">
        <f>IFERROR(__xludf.DUMMYFUNCTION("((IFERROR(MIN(FILTER({L227, O227, R227}, ISNUMBER({L227, O227, R227}), {L227, O227, R227} &gt; 0)), """"))*S227)+IFERROR(MIN(FILTER({L227, O227, R227}, ISNUMBER({L227, O227, R227}), {L227, O227, R227} &gt; 0)), """")"),4342.0)</f>
        <v>4342</v>
      </c>
      <c r="U227" s="53">
        <f>IFERROR(__xludf.DUMMYFUNCTION("(T227-(IFERROR(MIN(FILTER({L227, O227, R227}, ISNUMBER({L227, O227, R227}), {L227, O227, R227} &gt; 0)), """")))/T227"),0.40119760479041916)</f>
        <v>0.4011976048</v>
      </c>
      <c r="V227" s="60">
        <v>400.0</v>
      </c>
      <c r="W227" s="60">
        <f t="shared" si="5"/>
        <v>4742</v>
      </c>
    </row>
    <row r="228" ht="22.5" customHeight="1">
      <c r="A228" s="61" t="str">
        <f t="shared" si="4"/>
        <v>R-TP-UNKNOWN-X-16 x 4,5 x 25</v>
      </c>
      <c r="B228" s="34" t="s">
        <v>994</v>
      </c>
      <c r="C228" s="34" t="s">
        <v>871</v>
      </c>
      <c r="D228" s="37" t="s">
        <v>42</v>
      </c>
      <c r="E228" s="38" t="s">
        <v>995</v>
      </c>
      <c r="F228" s="40" t="s">
        <v>55</v>
      </c>
      <c r="G228" s="37" t="s">
        <v>216</v>
      </c>
      <c r="H228" s="52" t="s">
        <v>41</v>
      </c>
      <c r="I228" s="34" t="s">
        <v>44</v>
      </c>
      <c r="J228" s="62"/>
      <c r="K228" s="62"/>
      <c r="L228" s="63"/>
      <c r="M228" s="64">
        <v>2000.0</v>
      </c>
      <c r="N228" s="64">
        <v>2000.0</v>
      </c>
      <c r="O228" s="64">
        <v>2400.0</v>
      </c>
      <c r="P228" s="62">
        <v>2000.0</v>
      </c>
      <c r="Q228" s="62">
        <v>2000.0</v>
      </c>
      <c r="R228" s="63"/>
      <c r="S228" s="58">
        <v>0.67</v>
      </c>
      <c r="T228" s="59">
        <f>IFERROR(__xludf.DUMMYFUNCTION("((IFERROR(MIN(FILTER({L228, O228, R228}, ISNUMBER({L228, O228, R228}), {L228, O228, R228} &gt; 0)), """"))*S228)+IFERROR(MIN(FILTER({L228, O228, R228}, ISNUMBER({L228, O228, R228}), {L228, O228, R228} &gt; 0)), """")"),4008.0)</f>
        <v>4008</v>
      </c>
      <c r="U228" s="53">
        <f>IFERROR(__xludf.DUMMYFUNCTION("(T228-(IFERROR(MIN(FILTER({L228, O228, R228}, ISNUMBER({L228, O228, R228}), {L228, O228, R228} &gt; 0)), """")))/T228"),0.40119760479041916)</f>
        <v>0.4011976048</v>
      </c>
      <c r="V228" s="60">
        <v>400.0</v>
      </c>
      <c r="W228" s="60">
        <f t="shared" si="5"/>
        <v>4408</v>
      </c>
    </row>
    <row r="229" ht="22.5" customHeight="1">
      <c r="A229" s="61" t="str">
        <f t="shared" si="4"/>
        <v>R-TP-UNKNOWN-X-13 x 7,5 x 23</v>
      </c>
      <c r="B229" s="34" t="s">
        <v>1004</v>
      </c>
      <c r="C229" s="34" t="s">
        <v>871</v>
      </c>
      <c r="D229" s="37" t="s">
        <v>72</v>
      </c>
      <c r="E229" s="38" t="s">
        <v>885</v>
      </c>
      <c r="F229" s="40" t="s">
        <v>63</v>
      </c>
      <c r="G229" s="37" t="s">
        <v>67</v>
      </c>
      <c r="H229" s="52" t="s">
        <v>41</v>
      </c>
      <c r="I229" s="34" t="s">
        <v>44</v>
      </c>
      <c r="J229" s="62"/>
      <c r="K229" s="62"/>
      <c r="L229" s="63"/>
      <c r="M229" s="64">
        <v>1000.0</v>
      </c>
      <c r="N229" s="64">
        <v>1000.0</v>
      </c>
      <c r="O229" s="64">
        <v>3600.0</v>
      </c>
      <c r="P229" s="62">
        <v>1000.0</v>
      </c>
      <c r="Q229" s="62">
        <v>1000.0</v>
      </c>
      <c r="R229" s="63"/>
      <c r="S229" s="58">
        <v>0.67</v>
      </c>
      <c r="T229" s="59">
        <f>IFERROR(__xludf.DUMMYFUNCTION("((IFERROR(MIN(FILTER({L229, O229, R229}, ISNUMBER({L229, O229, R229}), {L229, O229, R229} &gt; 0)), """"))*S229)+IFERROR(MIN(FILTER({L229, O229, R229}, ISNUMBER({L229, O229, R229}), {L229, O229, R229} &gt; 0)), """")"),6012.0)</f>
        <v>6012</v>
      </c>
      <c r="U229" s="53">
        <f>IFERROR(__xludf.DUMMYFUNCTION("(T229-(IFERROR(MIN(FILTER({L229, O229, R229}, ISNUMBER({L229, O229, R229}), {L229, O229, R229} &gt; 0)), """")))/T229"),0.40119760479041916)</f>
        <v>0.4011976048</v>
      </c>
      <c r="V229" s="60">
        <v>400.0</v>
      </c>
      <c r="W229" s="60">
        <f t="shared" si="5"/>
        <v>6412</v>
      </c>
    </row>
    <row r="230" ht="22.5" customHeight="1">
      <c r="A230" s="61" t="str">
        <f t="shared" si="4"/>
        <v>R-TP-UNKNOWN-X-13 x 7,5 x 23</v>
      </c>
      <c r="B230" s="34" t="s">
        <v>1004</v>
      </c>
      <c r="C230" s="34" t="s">
        <v>871</v>
      </c>
      <c r="D230" s="37" t="s">
        <v>72</v>
      </c>
      <c r="E230" s="38" t="s">
        <v>885</v>
      </c>
      <c r="F230" s="40" t="s">
        <v>63</v>
      </c>
      <c r="G230" s="37" t="s">
        <v>67</v>
      </c>
      <c r="H230" s="52" t="s">
        <v>41</v>
      </c>
      <c r="I230" s="34" t="s">
        <v>44</v>
      </c>
      <c r="J230" s="62"/>
      <c r="K230" s="62"/>
      <c r="L230" s="63"/>
      <c r="M230" s="64">
        <v>2000.0</v>
      </c>
      <c r="N230" s="64">
        <v>2000.0</v>
      </c>
      <c r="O230" s="64">
        <v>2800.0</v>
      </c>
      <c r="P230" s="62">
        <v>2000.0</v>
      </c>
      <c r="Q230" s="62">
        <v>2000.0</v>
      </c>
      <c r="R230" s="63"/>
      <c r="S230" s="58">
        <v>0.67</v>
      </c>
      <c r="T230" s="59">
        <f>IFERROR(__xludf.DUMMYFUNCTION("((IFERROR(MIN(FILTER({L230, O230, R230}, ISNUMBER({L230, O230, R230}), {L230, O230, R230} &gt; 0)), """"))*S230)+IFERROR(MIN(FILTER({L230, O230, R230}, ISNUMBER({L230, O230, R230}), {L230, O230, R230} &gt; 0)), """")"),4676.0)</f>
        <v>4676</v>
      </c>
      <c r="U230" s="53">
        <f>IFERROR(__xludf.DUMMYFUNCTION("(T230-(IFERROR(MIN(FILTER({L230, O230, R230}, ISNUMBER({L230, O230, R230}), {L230, O230, R230} &gt; 0)), """")))/T230"),0.40119760479041916)</f>
        <v>0.4011976048</v>
      </c>
      <c r="V230" s="60">
        <v>400.0</v>
      </c>
      <c r="W230" s="60">
        <f t="shared" si="5"/>
        <v>5076</v>
      </c>
    </row>
    <row r="231" ht="22.5" customHeight="1">
      <c r="A231" s="61" t="str">
        <f t="shared" si="4"/>
        <v>R-TP-UNKNOWN-X-13 x 12 x 23</v>
      </c>
      <c r="B231" s="34" t="s">
        <v>1017</v>
      </c>
      <c r="C231" s="34" t="s">
        <v>871</v>
      </c>
      <c r="D231" s="37" t="s">
        <v>72</v>
      </c>
      <c r="E231" s="38" t="s">
        <v>1018</v>
      </c>
      <c r="F231" s="40" t="s">
        <v>55</v>
      </c>
      <c r="G231" s="97"/>
      <c r="H231" s="52" t="s">
        <v>41</v>
      </c>
      <c r="I231" s="34" t="s">
        <v>44</v>
      </c>
      <c r="J231" s="62"/>
      <c r="K231" s="62"/>
      <c r="L231" s="63"/>
      <c r="M231" s="64">
        <v>1000.0</v>
      </c>
      <c r="N231" s="64">
        <v>1000.0</v>
      </c>
      <c r="O231" s="64">
        <v>3000.0</v>
      </c>
      <c r="P231" s="62">
        <v>1000.0</v>
      </c>
      <c r="Q231" s="62">
        <v>1000.0</v>
      </c>
      <c r="R231" s="63"/>
      <c r="S231" s="58">
        <v>0.67</v>
      </c>
      <c r="T231" s="59">
        <f>IFERROR(__xludf.DUMMYFUNCTION("((IFERROR(MIN(FILTER({L231, O231, R231}, ISNUMBER({L231, O231, R231}), {L231, O231, R231} &gt; 0)), """"))*S231)+IFERROR(MIN(FILTER({L231, O231, R231}, ISNUMBER({L231, O231, R231}), {L231, O231, R231} &gt; 0)), """")"),5010.0)</f>
        <v>5010</v>
      </c>
      <c r="U231" s="53">
        <f>IFERROR(__xludf.DUMMYFUNCTION("(T231-(IFERROR(MIN(FILTER({L231, O231, R231}, ISNUMBER({L231, O231, R231}), {L231, O231, R231} &gt; 0)), """")))/T231"),0.40119760479041916)</f>
        <v>0.4011976048</v>
      </c>
      <c r="V231" s="60">
        <v>400.0</v>
      </c>
      <c r="W231" s="60">
        <f t="shared" si="5"/>
        <v>5410</v>
      </c>
    </row>
    <row r="232" ht="22.5" customHeight="1">
      <c r="A232" s="61" t="str">
        <f t="shared" si="4"/>
        <v>R-TP-UNKNOWN-X-13 x 7,5 x 17,5</v>
      </c>
      <c r="B232" s="34" t="s">
        <v>1023</v>
      </c>
      <c r="C232" s="34" t="s">
        <v>871</v>
      </c>
      <c r="D232" s="37" t="s">
        <v>72</v>
      </c>
      <c r="E232" s="38" t="s">
        <v>1024</v>
      </c>
      <c r="F232" s="40" t="s">
        <v>55</v>
      </c>
      <c r="G232" s="97"/>
      <c r="H232" s="52" t="s">
        <v>41</v>
      </c>
      <c r="I232" s="34" t="s">
        <v>44</v>
      </c>
      <c r="J232" s="62"/>
      <c r="K232" s="62"/>
      <c r="L232" s="63"/>
      <c r="M232" s="64">
        <v>1000.0</v>
      </c>
      <c r="N232" s="64">
        <v>1000.0</v>
      </c>
      <c r="O232" s="64">
        <v>2850.0</v>
      </c>
      <c r="P232" s="62">
        <v>1000.0</v>
      </c>
      <c r="Q232" s="62">
        <v>1000.0</v>
      </c>
      <c r="R232" s="63"/>
      <c r="S232" s="58">
        <v>0.67</v>
      </c>
      <c r="T232" s="59">
        <f>IFERROR(__xludf.DUMMYFUNCTION("((IFERROR(MIN(FILTER({L232, O232, R232}, ISNUMBER({L232, O232, R232}), {L232, O232, R232} &gt; 0)), """"))*S232)+IFERROR(MIN(FILTER({L232, O232, R232}, ISNUMBER({L232, O232, R232}), {L232, O232, R232} &gt; 0)), """")"),4759.5)</f>
        <v>4759.5</v>
      </c>
      <c r="U232" s="53">
        <f>IFERROR(__xludf.DUMMYFUNCTION("(T232-(IFERROR(MIN(FILTER({L232, O232, R232}, ISNUMBER({L232, O232, R232}), {L232, O232, R232} &gt; 0)), """")))/T232"),0.40119760479041916)</f>
        <v>0.4011976048</v>
      </c>
      <c r="V232" s="60">
        <v>400.0</v>
      </c>
      <c r="W232" s="60">
        <f t="shared" si="5"/>
        <v>5159.5</v>
      </c>
    </row>
    <row r="233" ht="22.5" customHeight="1">
      <c r="A233" s="61" t="str">
        <f t="shared" si="4"/>
        <v>R-TP-UNKNOWN-X-20 x 9 x 29</v>
      </c>
      <c r="B233" s="34" t="s">
        <v>1026</v>
      </c>
      <c r="C233" s="34" t="s">
        <v>871</v>
      </c>
      <c r="D233" s="37" t="s">
        <v>72</v>
      </c>
      <c r="E233" s="38" t="s">
        <v>196</v>
      </c>
      <c r="F233" s="40" t="s">
        <v>36</v>
      </c>
      <c r="G233" s="37" t="s">
        <v>805</v>
      </c>
      <c r="H233" s="52" t="s">
        <v>41</v>
      </c>
      <c r="I233" s="34" t="s">
        <v>44</v>
      </c>
      <c r="J233" s="62"/>
      <c r="K233" s="62"/>
      <c r="L233" s="63"/>
      <c r="M233" s="64">
        <v>1000.0</v>
      </c>
      <c r="N233" s="64">
        <v>1000.0</v>
      </c>
      <c r="O233" s="64">
        <v>3900.0</v>
      </c>
      <c r="P233" s="62">
        <v>1000.0</v>
      </c>
      <c r="Q233" s="62">
        <v>1000.0</v>
      </c>
      <c r="R233" s="63"/>
      <c r="S233" s="58">
        <v>0.67</v>
      </c>
      <c r="T233" s="59">
        <f>IFERROR(__xludf.DUMMYFUNCTION("((IFERROR(MIN(FILTER({L233, O233, R233}, ISNUMBER({L233, O233, R233}), {L233, O233, R233} &gt; 0)), """"))*S233)+IFERROR(MIN(FILTER({L233, O233, R233}, ISNUMBER({L233, O233, R233}), {L233, O233, R233} &gt; 0)), """")"),6513.0)</f>
        <v>6513</v>
      </c>
      <c r="U233" s="53">
        <f>IFERROR(__xludf.DUMMYFUNCTION("(T233-(IFERROR(MIN(FILTER({L233, O233, R233}, ISNUMBER({L233, O233, R233}), {L233, O233, R233} &gt; 0)), """")))/T233"),0.40119760479041916)</f>
        <v>0.4011976048</v>
      </c>
      <c r="V233" s="60">
        <v>400.0</v>
      </c>
      <c r="W233" s="60">
        <f t="shared" si="5"/>
        <v>6913</v>
      </c>
    </row>
    <row r="234" ht="22.5" customHeight="1">
      <c r="A234" s="61" t="str">
        <f t="shared" si="4"/>
        <v>R-TP-UNKNOWN-X-20 x 15 x 30</v>
      </c>
      <c r="B234" s="34" t="s">
        <v>518</v>
      </c>
      <c r="C234" s="34" t="s">
        <v>871</v>
      </c>
      <c r="D234" s="37" t="s">
        <v>175</v>
      </c>
      <c r="E234" s="38" t="s">
        <v>1032</v>
      </c>
      <c r="F234" s="40" t="s">
        <v>55</v>
      </c>
      <c r="G234" s="37" t="s">
        <v>108</v>
      </c>
      <c r="H234" s="52" t="s">
        <v>41</v>
      </c>
      <c r="I234" s="34" t="s">
        <v>44</v>
      </c>
      <c r="J234" s="62">
        <v>25000.0</v>
      </c>
      <c r="K234" s="62">
        <v>25000.0</v>
      </c>
      <c r="L234" s="63"/>
      <c r="M234" s="64">
        <v>25000.0</v>
      </c>
      <c r="N234" s="64">
        <v>25000.0</v>
      </c>
      <c r="O234" s="64">
        <v>3200.0</v>
      </c>
      <c r="P234" s="62">
        <v>25000.0</v>
      </c>
      <c r="Q234" s="62">
        <v>25000.0</v>
      </c>
      <c r="R234" s="63"/>
      <c r="S234" s="58">
        <v>0.67</v>
      </c>
      <c r="T234" s="59">
        <f>IFERROR(__xludf.DUMMYFUNCTION("((IFERROR(MIN(FILTER({L234, O234, R234}, ISNUMBER({L234, O234, R234}), {L234, O234, R234} &gt; 0)), """"))*S234)+IFERROR(MIN(FILTER({L234, O234, R234}, ISNUMBER({L234, O234, R234}), {L234, O234, R234} &gt; 0)), """")"),5344.0)</f>
        <v>5344</v>
      </c>
      <c r="U234" s="53">
        <f>IFERROR(__xludf.DUMMYFUNCTION("(T234-(IFERROR(MIN(FILTER({L234, O234, R234}, ISNUMBER({L234, O234, R234}), {L234, O234, R234} &gt; 0)), """")))/T234"),0.40119760479041916)</f>
        <v>0.4011976048</v>
      </c>
      <c r="V234" s="60">
        <v>400.0</v>
      </c>
      <c r="W234" s="60">
        <f t="shared" si="5"/>
        <v>5744</v>
      </c>
    </row>
    <row r="235" ht="22.5" customHeight="1">
      <c r="A235" s="61" t="str">
        <f t="shared" si="4"/>
        <v>R-TP-UNKNOWN-X-10 x 5,5 x 18</v>
      </c>
      <c r="B235" s="34" t="s">
        <v>113</v>
      </c>
      <c r="C235" s="34" t="s">
        <v>871</v>
      </c>
      <c r="D235" s="37" t="s">
        <v>72</v>
      </c>
      <c r="E235" s="38" t="s">
        <v>1039</v>
      </c>
      <c r="F235" s="40" t="s">
        <v>36</v>
      </c>
      <c r="G235" s="37" t="s">
        <v>118</v>
      </c>
      <c r="H235" s="52" t="s">
        <v>41</v>
      </c>
      <c r="I235" s="34" t="s">
        <v>44</v>
      </c>
      <c r="J235" s="62"/>
      <c r="K235" s="62"/>
      <c r="L235" s="63"/>
      <c r="M235" s="64">
        <v>10000.0</v>
      </c>
      <c r="N235" s="64">
        <v>10000.0</v>
      </c>
      <c r="O235" s="64">
        <v>1750.0</v>
      </c>
      <c r="P235" s="62">
        <v>10000.0</v>
      </c>
      <c r="Q235" s="62">
        <v>10000.0</v>
      </c>
      <c r="R235" s="63"/>
      <c r="S235" s="58">
        <v>0.67</v>
      </c>
      <c r="T235" s="59">
        <f>IFERROR(__xludf.DUMMYFUNCTION("((IFERROR(MIN(FILTER({L235, O235, R235}, ISNUMBER({L235, O235, R235}), {L235, O235, R235} &gt; 0)), """"))*S235)+IFERROR(MIN(FILTER({L235, O235, R235}, ISNUMBER({L235, O235, R235}), {L235, O235, R235} &gt; 0)), """")"),2922.5)</f>
        <v>2922.5</v>
      </c>
      <c r="U235" s="53">
        <f>IFERROR(__xludf.DUMMYFUNCTION("(T235-(IFERROR(MIN(FILTER({L235, O235, R235}, ISNUMBER({L235, O235, R235}), {L235, O235, R235} &gt; 0)), """")))/T235"),0.40119760479041916)</f>
        <v>0.4011976048</v>
      </c>
      <c r="V235" s="60">
        <v>400.0</v>
      </c>
      <c r="W235" s="60">
        <f t="shared" si="5"/>
        <v>3322.5</v>
      </c>
    </row>
    <row r="236" ht="22.5" customHeight="1">
      <c r="A236" s="61" t="str">
        <f t="shared" si="4"/>
        <v>R-TP-UNKNOWN-X-14,5 x 10 x 22</v>
      </c>
      <c r="B236" s="34" t="s">
        <v>113</v>
      </c>
      <c r="C236" s="34" t="s">
        <v>871</v>
      </c>
      <c r="D236" s="37" t="s">
        <v>72</v>
      </c>
      <c r="E236" s="38" t="s">
        <v>1043</v>
      </c>
      <c r="F236" s="49" t="s">
        <v>36</v>
      </c>
      <c r="G236" s="37" t="s">
        <v>118</v>
      </c>
      <c r="H236" s="52" t="s">
        <v>41</v>
      </c>
      <c r="I236" s="34" t="s">
        <v>44</v>
      </c>
      <c r="J236" s="62"/>
      <c r="K236" s="62"/>
      <c r="L236" s="63"/>
      <c r="M236" s="64">
        <v>10000.0</v>
      </c>
      <c r="N236" s="64">
        <v>10000.0</v>
      </c>
      <c r="O236" s="64">
        <v>2100.0</v>
      </c>
      <c r="P236" s="62">
        <v>10000.0</v>
      </c>
      <c r="Q236" s="62">
        <v>10000.0</v>
      </c>
      <c r="R236" s="63"/>
      <c r="S236" s="58">
        <v>0.67</v>
      </c>
      <c r="T236" s="59">
        <f>IFERROR(__xludf.DUMMYFUNCTION("((IFERROR(MIN(FILTER({L236, O236, R236}, ISNUMBER({L236, O236, R236}), {L236, O236, R236} &gt; 0)), """"))*S236)+IFERROR(MIN(FILTER({L236, O236, R236}, ISNUMBER({L236, O236, R236}), {L236, O236, R236} &gt; 0)), """")"),3507.0)</f>
        <v>3507</v>
      </c>
      <c r="U236" s="53">
        <f>IFERROR(__xludf.DUMMYFUNCTION("(T236-(IFERROR(MIN(FILTER({L236, O236, R236}, ISNUMBER({L236, O236, R236}), {L236, O236, R236} &gt; 0)), """")))/T236"),0.40119760479041916)</f>
        <v>0.4011976048</v>
      </c>
      <c r="V236" s="60">
        <v>300.0</v>
      </c>
      <c r="W236" s="60">
        <f t="shared" si="5"/>
        <v>3807</v>
      </c>
    </row>
    <row r="237" ht="22.5" customHeight="1">
      <c r="A237" s="61" t="str">
        <f t="shared" si="4"/>
        <v>R-TP-UNKNOWN-X-17,5 x 11,8 x 28</v>
      </c>
      <c r="B237" s="34" t="s">
        <v>1045</v>
      </c>
      <c r="C237" s="34" t="s">
        <v>871</v>
      </c>
      <c r="D237" s="37" t="s">
        <v>72</v>
      </c>
      <c r="E237" s="38" t="s">
        <v>1046</v>
      </c>
      <c r="F237" s="49" t="s">
        <v>36</v>
      </c>
      <c r="G237" s="37" t="s">
        <v>329</v>
      </c>
      <c r="H237" s="52" t="s">
        <v>41</v>
      </c>
      <c r="I237" s="34" t="s">
        <v>44</v>
      </c>
      <c r="J237" s="62"/>
      <c r="K237" s="62"/>
      <c r="L237" s="63"/>
      <c r="M237" s="64">
        <v>2000.0</v>
      </c>
      <c r="N237" s="64">
        <v>2000.0</v>
      </c>
      <c r="O237" s="64">
        <v>3100.0</v>
      </c>
      <c r="P237" s="62">
        <v>2000.0</v>
      </c>
      <c r="Q237" s="62">
        <v>2000.0</v>
      </c>
      <c r="R237" s="63"/>
      <c r="S237" s="58">
        <v>0.67</v>
      </c>
      <c r="T237" s="59">
        <f>IFERROR(__xludf.DUMMYFUNCTION("((IFERROR(MIN(FILTER({L237, O237, R237}, ISNUMBER({L237, O237, R237}), {L237, O237, R237} &gt; 0)), """"))*S237)+IFERROR(MIN(FILTER({L237, O237, R237}, ISNUMBER({L237, O237, R237}), {L237, O237, R237} &gt; 0)), """")"),5177.0)</f>
        <v>5177</v>
      </c>
      <c r="U237" s="53">
        <f>IFERROR(__xludf.DUMMYFUNCTION("(T237-(IFERROR(MIN(FILTER({L237, O237, R237}, ISNUMBER({L237, O237, R237}), {L237, O237, R237} &gt; 0)), """")))/T237"),0.40119760479041916)</f>
        <v>0.4011976048</v>
      </c>
      <c r="V237" s="60">
        <v>300.0</v>
      </c>
      <c r="W237" s="60">
        <f t="shared" si="5"/>
        <v>5477</v>
      </c>
    </row>
    <row r="238" ht="22.5" customHeight="1">
      <c r="A238" s="61" t="str">
        <f t="shared" si="4"/>
        <v>R-TP-UNKNOWN-X-35 x 14 x 45</v>
      </c>
      <c r="B238" s="34" t="s">
        <v>451</v>
      </c>
      <c r="C238" s="34" t="s">
        <v>871</v>
      </c>
      <c r="D238" s="37" t="s">
        <v>1048</v>
      </c>
      <c r="E238" s="38" t="s">
        <v>1049</v>
      </c>
      <c r="F238" s="49" t="s">
        <v>55</v>
      </c>
      <c r="G238" s="37" t="s">
        <v>121</v>
      </c>
      <c r="H238" s="52" t="s">
        <v>41</v>
      </c>
      <c r="I238" s="34" t="s">
        <v>44</v>
      </c>
      <c r="J238" s="62"/>
      <c r="K238" s="62"/>
      <c r="L238" s="63"/>
      <c r="M238" s="64">
        <v>1000.0</v>
      </c>
      <c r="N238" s="64">
        <v>1000.0</v>
      </c>
      <c r="O238" s="64">
        <v>6100.0</v>
      </c>
      <c r="P238" s="62">
        <v>1000.0</v>
      </c>
      <c r="Q238" s="62">
        <v>1000.0</v>
      </c>
      <c r="R238" s="62">
        <v>8444.0</v>
      </c>
      <c r="S238" s="58">
        <v>0.67</v>
      </c>
      <c r="T238" s="59">
        <f>IFERROR(__xludf.DUMMYFUNCTION("((IFERROR(MIN(FILTER({L238, O238, R238}, ISNUMBER({L238, O238, R238}), {L238, O238, R238} &gt; 0)), """"))*S238)+IFERROR(MIN(FILTER({L238, O238, R238}, ISNUMBER({L238, O238, R238}), {L238, O238, R238} &gt; 0)), """")"),10187.0)</f>
        <v>10187</v>
      </c>
      <c r="U238" s="53">
        <f>IFERROR(__xludf.DUMMYFUNCTION("(T238-(IFERROR(MIN(FILTER({L238, O238, R238}, ISNUMBER({L238, O238, R238}), {L238, O238, R238} &gt; 0)), """")))/T238"),0.40119760479041916)</f>
        <v>0.4011976048</v>
      </c>
      <c r="V238" s="60">
        <v>300.0</v>
      </c>
      <c r="W238" s="60">
        <f t="shared" si="5"/>
        <v>10487</v>
      </c>
    </row>
    <row r="239" ht="22.5" customHeight="1">
      <c r="A239" s="61" t="str">
        <f t="shared" si="4"/>
        <v>R-TP-UNKNOWN-X-15 x 10 x 30</v>
      </c>
      <c r="B239" s="34" t="s">
        <v>430</v>
      </c>
      <c r="C239" s="34" t="s">
        <v>871</v>
      </c>
      <c r="D239" s="37" t="s">
        <v>1051</v>
      </c>
      <c r="E239" s="38" t="s">
        <v>273</v>
      </c>
      <c r="F239" s="49" t="s">
        <v>36</v>
      </c>
      <c r="G239" s="97"/>
      <c r="H239" s="52" t="s">
        <v>41</v>
      </c>
      <c r="I239" s="34" t="s">
        <v>44</v>
      </c>
      <c r="J239" s="62"/>
      <c r="K239" s="62"/>
      <c r="L239" s="63"/>
      <c r="M239" s="64">
        <v>1000.0</v>
      </c>
      <c r="N239" s="64">
        <v>1000.0</v>
      </c>
      <c r="O239" s="64">
        <v>3700.0</v>
      </c>
      <c r="P239" s="62">
        <v>1000.0</v>
      </c>
      <c r="Q239" s="62">
        <v>1000.0</v>
      </c>
      <c r="R239" s="63"/>
      <c r="S239" s="58">
        <v>0.67</v>
      </c>
      <c r="T239" s="59">
        <f>IFERROR(__xludf.DUMMYFUNCTION("((IFERROR(MIN(FILTER({L239, O239, R239}, ISNUMBER({L239, O239, R239}), {L239, O239, R239} &gt; 0)), """"))*S239)+IFERROR(MIN(FILTER({L239, O239, R239}, ISNUMBER({L239, O239, R239}), {L239, O239, R239} &gt; 0)), """")"),6179.0)</f>
        <v>6179</v>
      </c>
      <c r="U239" s="53">
        <f>IFERROR(__xludf.DUMMYFUNCTION("(T239-(IFERROR(MIN(FILTER({L239, O239, R239}, ISNUMBER({L239, O239, R239}), {L239, O239, R239} &gt; 0)), """")))/T239"),0.40119760479041916)</f>
        <v>0.4011976048</v>
      </c>
      <c r="V239" s="60">
        <v>300.0</v>
      </c>
      <c r="W239" s="60">
        <f t="shared" si="5"/>
        <v>6479</v>
      </c>
    </row>
    <row r="240" ht="22.5" customHeight="1">
      <c r="A240" s="61" t="str">
        <f t="shared" si="4"/>
        <v>R-TP-UNKNOWN-X-19,5 x 9,5 x 30</v>
      </c>
      <c r="B240" s="34" t="s">
        <v>860</v>
      </c>
      <c r="C240" s="34" t="s">
        <v>871</v>
      </c>
      <c r="D240" s="37" t="s">
        <v>72</v>
      </c>
      <c r="E240" s="38" t="s">
        <v>1054</v>
      </c>
      <c r="F240" s="49" t="s">
        <v>55</v>
      </c>
      <c r="G240" s="37" t="s">
        <v>216</v>
      </c>
      <c r="H240" s="52" t="s">
        <v>41</v>
      </c>
      <c r="I240" s="34" t="s">
        <v>44</v>
      </c>
      <c r="J240" s="62"/>
      <c r="K240" s="62"/>
      <c r="L240" s="63"/>
      <c r="M240" s="64">
        <v>2000.0</v>
      </c>
      <c r="N240" s="64">
        <v>2000.0</v>
      </c>
      <c r="O240" s="64">
        <v>3200.0</v>
      </c>
      <c r="P240" s="62">
        <v>2000.0</v>
      </c>
      <c r="Q240" s="62">
        <v>2000.0</v>
      </c>
      <c r="R240" s="63"/>
      <c r="S240" s="58">
        <v>0.67</v>
      </c>
      <c r="T240" s="59">
        <f>IFERROR(__xludf.DUMMYFUNCTION("((IFERROR(MIN(FILTER({L240, O240, R240}, ISNUMBER({L240, O240, R240}), {L240, O240, R240} &gt; 0)), """"))*S240)+IFERROR(MIN(FILTER({L240, O240, R240}, ISNUMBER({L240, O240, R240}), {L240, O240, R240} &gt; 0)), """")"),5344.0)</f>
        <v>5344</v>
      </c>
      <c r="U240" s="53">
        <f>IFERROR(__xludf.DUMMYFUNCTION("(T240-(IFERROR(MIN(FILTER({L240, O240, R240}, ISNUMBER({L240, O240, R240}), {L240, O240, R240} &gt; 0)), """")))/T240"),0.40119760479041916)</f>
        <v>0.4011976048</v>
      </c>
      <c r="V240" s="60">
        <v>300.0</v>
      </c>
      <c r="W240" s="60">
        <f t="shared" si="5"/>
        <v>5644</v>
      </c>
    </row>
    <row r="241" ht="22.5" customHeight="1">
      <c r="A241" s="61" t="str">
        <f t="shared" si="4"/>
        <v>R-TP-UNKNOWN-X-26 x 10 x 30</v>
      </c>
      <c r="B241" s="34" t="s">
        <v>1064</v>
      </c>
      <c r="C241" s="34" t="s">
        <v>871</v>
      </c>
      <c r="D241" s="37" t="s">
        <v>72</v>
      </c>
      <c r="E241" s="38" t="s">
        <v>1065</v>
      </c>
      <c r="F241" s="49" t="s">
        <v>55</v>
      </c>
      <c r="G241" s="37" t="s">
        <v>100</v>
      </c>
      <c r="H241" s="52" t="s">
        <v>41</v>
      </c>
      <c r="I241" s="34" t="s">
        <v>44</v>
      </c>
      <c r="J241" s="62"/>
      <c r="K241" s="62"/>
      <c r="L241" s="63"/>
      <c r="M241" s="64">
        <v>1000.0</v>
      </c>
      <c r="N241" s="64">
        <v>1000.0</v>
      </c>
      <c r="O241" s="64">
        <v>4300.0</v>
      </c>
      <c r="P241" s="62">
        <v>1000.0</v>
      </c>
      <c r="Q241" s="62">
        <v>1000.0</v>
      </c>
      <c r="R241" s="63"/>
      <c r="S241" s="58">
        <v>0.67</v>
      </c>
      <c r="T241" s="59">
        <f>IFERROR(__xludf.DUMMYFUNCTION("((IFERROR(MIN(FILTER({L241, O241, R241}, ISNUMBER({L241, O241, R241}), {L241, O241, R241} &gt; 0)), """"))*S241)+IFERROR(MIN(FILTER({L241, O241, R241}, ISNUMBER({L241, O241, R241}), {L241, O241, R241} &gt; 0)), """")"),7181.0)</f>
        <v>7181</v>
      </c>
      <c r="U241" s="53">
        <f>IFERROR(__xludf.DUMMYFUNCTION("(T241-(IFERROR(MIN(FILTER({L241, O241, R241}, ISNUMBER({L241, O241, R241}), {L241, O241, R241} &gt; 0)), """")))/T241"),0.40119760479041916)</f>
        <v>0.4011976048</v>
      </c>
      <c r="V241" s="60">
        <v>300.0</v>
      </c>
      <c r="W241" s="60">
        <f t="shared" si="5"/>
        <v>7481</v>
      </c>
    </row>
    <row r="242" ht="22.5" customHeight="1">
      <c r="A242" s="61" t="str">
        <f t="shared" si="4"/>
        <v>R-TP-UNKNOWN-X-26 x 10 x 30</v>
      </c>
      <c r="B242" s="34" t="s">
        <v>1064</v>
      </c>
      <c r="C242" s="34" t="s">
        <v>871</v>
      </c>
      <c r="D242" s="37" t="s">
        <v>72</v>
      </c>
      <c r="E242" s="38" t="s">
        <v>1065</v>
      </c>
      <c r="F242" s="49" t="s">
        <v>55</v>
      </c>
      <c r="G242" s="37" t="s">
        <v>100</v>
      </c>
      <c r="H242" s="52" t="s">
        <v>41</v>
      </c>
      <c r="I242" s="34" t="s">
        <v>44</v>
      </c>
      <c r="J242" s="62"/>
      <c r="K242" s="62"/>
      <c r="L242" s="63"/>
      <c r="M242" s="64">
        <v>2000.0</v>
      </c>
      <c r="N242" s="64">
        <v>2000.0</v>
      </c>
      <c r="O242" s="64">
        <v>3400.0</v>
      </c>
      <c r="P242" s="62">
        <v>2000.0</v>
      </c>
      <c r="Q242" s="62">
        <v>2000.0</v>
      </c>
      <c r="R242" s="63"/>
      <c r="S242" s="58">
        <v>0.67</v>
      </c>
      <c r="T242" s="59">
        <f>IFERROR(__xludf.DUMMYFUNCTION("((IFERROR(MIN(FILTER({L242, O242, R242}, ISNUMBER({L242, O242, R242}), {L242, O242, R242} &gt; 0)), """"))*S242)+IFERROR(MIN(FILTER({L242, O242, R242}, ISNUMBER({L242, O242, R242}), {L242, O242, R242} &gt; 0)), """")"),5678.0)</f>
        <v>5678</v>
      </c>
      <c r="U242" s="53">
        <f>IFERROR(__xludf.DUMMYFUNCTION("(T242-(IFERROR(MIN(FILTER({L242, O242, R242}, ISNUMBER({L242, O242, R242}), {L242, O242, R242} &gt; 0)), """")))/T242"),0.40119760479041916)</f>
        <v>0.4011976048</v>
      </c>
      <c r="V242" s="60">
        <v>300.0</v>
      </c>
      <c r="W242" s="60">
        <f t="shared" si="5"/>
        <v>5978</v>
      </c>
    </row>
    <row r="243" ht="22.5" customHeight="1">
      <c r="A243" s="61" t="str">
        <f t="shared" si="4"/>
        <v>R-TP-UNKNOWN-X-13 x 8 x 22</v>
      </c>
      <c r="B243" s="34" t="s">
        <v>1078</v>
      </c>
      <c r="C243" s="34" t="s">
        <v>871</v>
      </c>
      <c r="D243" s="37" t="s">
        <v>155</v>
      </c>
      <c r="E243" s="38" t="s">
        <v>1079</v>
      </c>
      <c r="F243" s="49" t="s">
        <v>55</v>
      </c>
      <c r="G243" s="37" t="s">
        <v>121</v>
      </c>
      <c r="H243" s="52" t="s">
        <v>41</v>
      </c>
      <c r="I243" s="34" t="s">
        <v>44</v>
      </c>
      <c r="J243" s="62"/>
      <c r="K243" s="62"/>
      <c r="L243" s="63"/>
      <c r="M243" s="64">
        <v>1000.0</v>
      </c>
      <c r="N243" s="64">
        <v>1000.0</v>
      </c>
      <c r="O243" s="64">
        <v>2900.0</v>
      </c>
      <c r="P243" s="62">
        <v>1000.0</v>
      </c>
      <c r="Q243" s="62">
        <v>1000.0</v>
      </c>
      <c r="R243" s="63"/>
      <c r="S243" s="58">
        <v>0.67</v>
      </c>
      <c r="T243" s="59">
        <f>IFERROR(__xludf.DUMMYFUNCTION("((IFERROR(MIN(FILTER({L243, O243, R243}, ISNUMBER({L243, O243, R243}), {L243, O243, R243} &gt; 0)), """"))*S243)+IFERROR(MIN(FILTER({L243, O243, R243}, ISNUMBER({L243, O243, R243}), {L243, O243, R243} &gt; 0)), """")"),4843.0)</f>
        <v>4843</v>
      </c>
      <c r="U243" s="53">
        <f>IFERROR(__xludf.DUMMYFUNCTION("(T243-(IFERROR(MIN(FILTER({L243, O243, R243}, ISNUMBER({L243, O243, R243}), {L243, O243, R243} &gt; 0)), """")))/T243"),0.40119760479041916)</f>
        <v>0.4011976048</v>
      </c>
      <c r="V243" s="60">
        <v>300.0</v>
      </c>
      <c r="W243" s="60">
        <f t="shared" si="5"/>
        <v>5143</v>
      </c>
    </row>
    <row r="244" ht="22.5" customHeight="1">
      <c r="A244" s="61" t="str">
        <f t="shared" si="4"/>
        <v>R-TP-UNKNOWN-X-13 x 7,5 x 23</v>
      </c>
      <c r="B244" s="34" t="s">
        <v>1080</v>
      </c>
      <c r="C244" s="34" t="s">
        <v>871</v>
      </c>
      <c r="D244" s="37" t="s">
        <v>72</v>
      </c>
      <c r="E244" s="38" t="s">
        <v>885</v>
      </c>
      <c r="F244" s="49" t="s">
        <v>46</v>
      </c>
      <c r="G244" s="37" t="s">
        <v>1082</v>
      </c>
      <c r="H244" s="52" t="s">
        <v>41</v>
      </c>
      <c r="I244" s="34" t="s">
        <v>44</v>
      </c>
      <c r="J244" s="62"/>
      <c r="K244" s="62"/>
      <c r="L244" s="63"/>
      <c r="M244" s="64">
        <v>5000.0</v>
      </c>
      <c r="N244" s="64">
        <v>5000.0</v>
      </c>
      <c r="O244" s="64">
        <v>2300.0</v>
      </c>
      <c r="P244" s="62">
        <v>5000.0</v>
      </c>
      <c r="Q244" s="62">
        <v>5000.0</v>
      </c>
      <c r="R244" s="63"/>
      <c r="S244" s="58">
        <v>0.67</v>
      </c>
      <c r="T244" s="59">
        <f>IFERROR(__xludf.DUMMYFUNCTION("((IFERROR(MIN(FILTER({L244, O244, R244}, ISNUMBER({L244, O244, R244}), {L244, O244, R244} &gt; 0)), """"))*S244)+IFERROR(MIN(FILTER({L244, O244, R244}, ISNUMBER({L244, O244, R244}), {L244, O244, R244} &gt; 0)), """")"),3841.0)</f>
        <v>3841</v>
      </c>
      <c r="U244" s="53">
        <f>IFERROR(__xludf.DUMMYFUNCTION("(T244-(IFERROR(MIN(FILTER({L244, O244, R244}, ISNUMBER({L244, O244, R244}), {L244, O244, R244} &gt; 0)), """")))/T244"),0.40119760479041916)</f>
        <v>0.4011976048</v>
      </c>
      <c r="V244" s="60">
        <v>300.0</v>
      </c>
      <c r="W244" s="60">
        <f t="shared" si="5"/>
        <v>4141</v>
      </c>
    </row>
    <row r="245" ht="22.5" customHeight="1">
      <c r="A245" s="61" t="str">
        <f t="shared" si="4"/>
        <v>R-TP-UNKNOWN-X-17 x 10 x 25</v>
      </c>
      <c r="B245" s="34" t="s">
        <v>1089</v>
      </c>
      <c r="C245" s="34" t="s">
        <v>871</v>
      </c>
      <c r="D245" s="37" t="s">
        <v>72</v>
      </c>
      <c r="E245" s="38" t="s">
        <v>1090</v>
      </c>
      <c r="F245" s="49" t="s">
        <v>55</v>
      </c>
      <c r="G245" s="37" t="s">
        <v>58</v>
      </c>
      <c r="H245" s="52" t="s">
        <v>41</v>
      </c>
      <c r="I245" s="34" t="s">
        <v>44</v>
      </c>
      <c r="J245" s="62"/>
      <c r="K245" s="62"/>
      <c r="L245" s="63"/>
      <c r="M245" s="64">
        <v>1000.0</v>
      </c>
      <c r="N245" s="64">
        <v>1000.0</v>
      </c>
      <c r="O245" s="64">
        <v>3900.0</v>
      </c>
      <c r="P245" s="62">
        <v>1000.0</v>
      </c>
      <c r="Q245" s="62">
        <v>1000.0</v>
      </c>
      <c r="R245" s="63"/>
      <c r="S245" s="58">
        <v>0.67</v>
      </c>
      <c r="T245" s="59">
        <f>IFERROR(__xludf.DUMMYFUNCTION("((IFERROR(MIN(FILTER({L245, O245, R245}, ISNUMBER({L245, O245, R245}), {L245, O245, R245} &gt; 0)), """"))*S245)+IFERROR(MIN(FILTER({L245, O245, R245}, ISNUMBER({L245, O245, R245}), {L245, O245, R245} &gt; 0)), """")"),6513.0)</f>
        <v>6513</v>
      </c>
      <c r="U245" s="53">
        <f>IFERROR(__xludf.DUMMYFUNCTION("(T245-(IFERROR(MIN(FILTER({L245, O245, R245}, ISNUMBER({L245, O245, R245}), {L245, O245, R245} &gt; 0)), """")))/T245"),0.40119760479041916)</f>
        <v>0.4011976048</v>
      </c>
      <c r="V245" s="60">
        <v>300.0</v>
      </c>
      <c r="W245" s="60">
        <f t="shared" si="5"/>
        <v>6813</v>
      </c>
    </row>
    <row r="246" ht="22.5" customHeight="1">
      <c r="A246" s="61" t="str">
        <f t="shared" si="4"/>
        <v>R-TP-UNKNOWN-X-13 x 8 x 18</v>
      </c>
      <c r="B246" s="34" t="s">
        <v>167</v>
      </c>
      <c r="C246" s="34" t="s">
        <v>871</v>
      </c>
      <c r="D246" s="37" t="s">
        <v>72</v>
      </c>
      <c r="E246" s="38" t="s">
        <v>877</v>
      </c>
      <c r="F246" s="49" t="s">
        <v>63</v>
      </c>
      <c r="G246" s="37" t="s">
        <v>67</v>
      </c>
      <c r="H246" s="52" t="s">
        <v>41</v>
      </c>
      <c r="I246" s="34" t="s">
        <v>44</v>
      </c>
      <c r="J246" s="62"/>
      <c r="K246" s="62"/>
      <c r="L246" s="63"/>
      <c r="M246" s="64">
        <v>1000.0</v>
      </c>
      <c r="N246" s="64">
        <v>1000.0</v>
      </c>
      <c r="O246" s="64">
        <v>3370.0</v>
      </c>
      <c r="P246" s="62">
        <v>1000.0</v>
      </c>
      <c r="Q246" s="62">
        <v>1000.0</v>
      </c>
      <c r="R246" s="63"/>
      <c r="S246" s="58">
        <v>0.67</v>
      </c>
      <c r="T246" s="59">
        <f>IFERROR(__xludf.DUMMYFUNCTION("((IFERROR(MIN(FILTER({L246, O246, R246}, ISNUMBER({L246, O246, R246}), {L246, O246, R246} &gt; 0)), """"))*S246)+IFERROR(MIN(FILTER({L246, O246, R246}, ISNUMBER({L246, O246, R246}), {L246, O246, R246} &gt; 0)), """")"),5627.9)</f>
        <v>5627.9</v>
      </c>
      <c r="U246" s="53">
        <f>IFERROR(__xludf.DUMMYFUNCTION("(T246-(IFERROR(MIN(FILTER({L246, O246, R246}, ISNUMBER({L246, O246, R246}), {L246, O246, R246} &gt; 0)), """")))/T246"),0.4011976047904191)</f>
        <v>0.4011976048</v>
      </c>
      <c r="V246" s="60">
        <v>300.0</v>
      </c>
      <c r="W246" s="60">
        <f t="shared" si="5"/>
        <v>5927.9</v>
      </c>
    </row>
    <row r="247" ht="22.5" customHeight="1">
      <c r="A247" s="61" t="str">
        <f t="shared" si="4"/>
        <v>R-TP-UNKNOWN-X-13 x 7,5 x 23</v>
      </c>
      <c r="B247" s="37" t="s">
        <v>1100</v>
      </c>
      <c r="C247" s="37" t="s">
        <v>871</v>
      </c>
      <c r="D247" s="37" t="s">
        <v>72</v>
      </c>
      <c r="E247" s="38" t="s">
        <v>885</v>
      </c>
      <c r="F247" s="49" t="s">
        <v>55</v>
      </c>
      <c r="G247" s="37" t="s">
        <v>58</v>
      </c>
      <c r="H247" s="52" t="s">
        <v>41</v>
      </c>
      <c r="I247" s="34" t="s">
        <v>44</v>
      </c>
      <c r="J247" s="62"/>
      <c r="K247" s="62"/>
      <c r="L247" s="63"/>
      <c r="M247" s="64">
        <v>1000.0</v>
      </c>
      <c r="N247" s="64">
        <v>1000.0</v>
      </c>
      <c r="O247" s="64">
        <v>2870.0</v>
      </c>
      <c r="P247" s="62">
        <v>1000.0</v>
      </c>
      <c r="Q247" s="62">
        <v>1000.0</v>
      </c>
      <c r="R247" s="63"/>
      <c r="S247" s="58">
        <v>0.67</v>
      </c>
      <c r="T247" s="59">
        <f>IFERROR(__xludf.DUMMYFUNCTION("((IFERROR(MIN(FILTER({L247, O247, R247}, ISNUMBER({L247, O247, R247}), {L247, O247, R247} &gt; 0)), """"))*S247)+IFERROR(MIN(FILTER({L247, O247, R247}, ISNUMBER({L247, O247, R247}), {L247, O247, R247} &gt; 0)), """")"),4792.9)</f>
        <v>4792.9</v>
      </c>
      <c r="U247" s="53">
        <f>IFERROR(__xludf.DUMMYFUNCTION("(T247-(IFERROR(MIN(FILTER({L247, O247, R247}, ISNUMBER({L247, O247, R247}), {L247, O247, R247} &gt; 0)), """")))/T247"),0.4011976047904191)</f>
        <v>0.4011976048</v>
      </c>
      <c r="V247" s="60">
        <v>300.0</v>
      </c>
      <c r="W247" s="60">
        <f t="shared" si="5"/>
        <v>5092.9</v>
      </c>
    </row>
    <row r="248" ht="22.5" customHeight="1">
      <c r="A248" s="61" t="str">
        <f t="shared" si="4"/>
        <v>R-TP-UNKNOWN-X-19,5 x 9,5 x 30</v>
      </c>
      <c r="B248" s="37" t="s">
        <v>1101</v>
      </c>
      <c r="C248" s="37" t="s">
        <v>871</v>
      </c>
      <c r="D248" s="37" t="s">
        <v>155</v>
      </c>
      <c r="E248" s="38" t="s">
        <v>1054</v>
      </c>
      <c r="F248" s="49" t="s">
        <v>55</v>
      </c>
      <c r="G248" s="37" t="s">
        <v>157</v>
      </c>
      <c r="H248" s="52" t="s">
        <v>41</v>
      </c>
      <c r="I248" s="34" t="s">
        <v>44</v>
      </c>
      <c r="J248" s="62"/>
      <c r="K248" s="62"/>
      <c r="L248" s="63"/>
      <c r="M248" s="64">
        <v>3000.0</v>
      </c>
      <c r="N248" s="64">
        <v>3000.0</v>
      </c>
      <c r="O248" s="64">
        <v>2300.0</v>
      </c>
      <c r="P248" s="62">
        <v>3000.0</v>
      </c>
      <c r="Q248" s="62">
        <v>3000.0</v>
      </c>
      <c r="R248" s="63"/>
      <c r="S248" s="58">
        <v>0.67</v>
      </c>
      <c r="T248" s="59">
        <f>IFERROR(__xludf.DUMMYFUNCTION("((IFERROR(MIN(FILTER({L248, O248, R248}, ISNUMBER({L248, O248, R248}), {L248, O248, R248} &gt; 0)), """"))*S248)+IFERROR(MIN(FILTER({L248, O248, R248}, ISNUMBER({L248, O248, R248}), {L248, O248, R248} &gt; 0)), """")"),3841.0)</f>
        <v>3841</v>
      </c>
      <c r="U248" s="53">
        <f>IFERROR(__xludf.DUMMYFUNCTION("(T248-(IFERROR(MIN(FILTER({L248, O248, R248}, ISNUMBER({L248, O248, R248}), {L248, O248, R248} &gt; 0)), """")))/T248"),0.40119760479041916)</f>
        <v>0.4011976048</v>
      </c>
      <c r="V248" s="60">
        <v>300.0</v>
      </c>
      <c r="W248" s="60"/>
    </row>
    <row r="249" ht="22.5" customHeight="1">
      <c r="A249" s="61" t="str">
        <f t="shared" si="4"/>
        <v>R-TP-UNKNOWN-X-19,7 x 9,5 x 24</v>
      </c>
      <c r="B249" s="37" t="s">
        <v>1105</v>
      </c>
      <c r="C249" s="37" t="s">
        <v>871</v>
      </c>
      <c r="D249" s="37" t="s">
        <v>155</v>
      </c>
      <c r="E249" s="38" t="s">
        <v>1106</v>
      </c>
      <c r="F249" s="49" t="s">
        <v>46</v>
      </c>
      <c r="G249" s="37" t="s">
        <v>1108</v>
      </c>
      <c r="H249" s="52" t="s">
        <v>41</v>
      </c>
      <c r="I249" s="34" t="s">
        <v>44</v>
      </c>
      <c r="J249" s="62"/>
      <c r="K249" s="62"/>
      <c r="L249" s="63"/>
      <c r="M249" s="64">
        <v>3000.0</v>
      </c>
      <c r="N249" s="64">
        <v>3000.0</v>
      </c>
      <c r="O249" s="64">
        <v>2600.0</v>
      </c>
      <c r="P249" s="62">
        <v>3000.0</v>
      </c>
      <c r="Q249" s="62">
        <v>3000.0</v>
      </c>
      <c r="R249" s="63"/>
      <c r="S249" s="58">
        <v>0.67</v>
      </c>
      <c r="T249" s="59">
        <f>IFERROR(__xludf.DUMMYFUNCTION("((IFERROR(MIN(FILTER({L249, O249, R249}, ISNUMBER({L249, O249, R249}), {L249, O249, R249} &gt; 0)), """"))*S249)+IFERROR(MIN(FILTER({L249, O249, R249}, ISNUMBER({L249, O249, R249}), {L249, O249, R249} &gt; 0)), """")"),4342.0)</f>
        <v>4342</v>
      </c>
      <c r="U249" s="53">
        <f>IFERROR(__xludf.DUMMYFUNCTION("(T249-(IFERROR(MIN(FILTER({L249, O249, R249}, ISNUMBER({L249, O249, R249}), {L249, O249, R249} &gt; 0)), """")))/T249"),0.40119760479041916)</f>
        <v>0.4011976048</v>
      </c>
      <c r="V249" s="60">
        <v>300.0</v>
      </c>
      <c r="W249" s="60"/>
    </row>
    <row r="250" ht="22.5" customHeight="1">
      <c r="A250" s="61" t="str">
        <f t="shared" si="4"/>
        <v>R-TP-UNKNOWN-X-19,7 x 9,5 x 24</v>
      </c>
      <c r="B250" s="37" t="s">
        <v>1105</v>
      </c>
      <c r="C250" s="37" t="s">
        <v>871</v>
      </c>
      <c r="D250" s="37" t="s">
        <v>155</v>
      </c>
      <c r="E250" s="38" t="s">
        <v>1106</v>
      </c>
      <c r="F250" s="49" t="s">
        <v>46</v>
      </c>
      <c r="G250" s="37" t="s">
        <v>1108</v>
      </c>
      <c r="H250" s="52" t="s">
        <v>41</v>
      </c>
      <c r="I250" s="34" t="s">
        <v>44</v>
      </c>
      <c r="J250" s="62"/>
      <c r="K250" s="62"/>
      <c r="L250" s="63"/>
      <c r="M250" s="64">
        <v>5000.0</v>
      </c>
      <c r="N250" s="64">
        <v>5000.0</v>
      </c>
      <c r="O250" s="64">
        <v>2300.0</v>
      </c>
      <c r="P250" s="62">
        <v>5000.0</v>
      </c>
      <c r="Q250" s="62">
        <v>5000.0</v>
      </c>
      <c r="R250" s="63"/>
      <c r="S250" s="58">
        <v>0.67</v>
      </c>
      <c r="T250" s="59">
        <f>IFERROR(__xludf.DUMMYFUNCTION("((IFERROR(MIN(FILTER({L250, O250, R250}, ISNUMBER({L250, O250, R250}), {L250, O250, R250} &gt; 0)), """"))*S250)+IFERROR(MIN(FILTER({L250, O250, R250}, ISNUMBER({L250, O250, R250}), {L250, O250, R250} &gt; 0)), """")"),3841.0)</f>
        <v>3841</v>
      </c>
      <c r="U250" s="53">
        <f>IFERROR(__xludf.DUMMYFUNCTION("(T250-(IFERROR(MIN(FILTER({L250, O250, R250}, ISNUMBER({L250, O250, R250}), {L250, O250, R250} &gt; 0)), """")))/T250"),0.40119760479041916)</f>
        <v>0.4011976048</v>
      </c>
      <c r="V250" s="60">
        <v>300.0</v>
      </c>
      <c r="W250" s="60"/>
    </row>
    <row r="251" ht="22.5" customHeight="1">
      <c r="A251" s="61" t="str">
        <f t="shared" si="4"/>
        <v>R-TP-UNKNOWN-X-13 x 8 x 18</v>
      </c>
      <c r="B251" s="37" t="s">
        <v>167</v>
      </c>
      <c r="C251" s="37" t="s">
        <v>871</v>
      </c>
      <c r="D251" s="37" t="s">
        <v>72</v>
      </c>
      <c r="E251" s="38" t="s">
        <v>877</v>
      </c>
      <c r="F251" s="49" t="s">
        <v>63</v>
      </c>
      <c r="G251" s="37" t="s">
        <v>67</v>
      </c>
      <c r="H251" s="52" t="s">
        <v>41</v>
      </c>
      <c r="I251" s="34" t="s">
        <v>44</v>
      </c>
      <c r="J251" s="62"/>
      <c r="K251" s="62"/>
      <c r="L251" s="63"/>
      <c r="M251" s="64">
        <v>1000.0</v>
      </c>
      <c r="N251" s="64">
        <v>1000.0</v>
      </c>
      <c r="O251" s="64">
        <v>3370.0</v>
      </c>
      <c r="P251" s="62">
        <v>1000.0</v>
      </c>
      <c r="Q251" s="62">
        <v>1000.0</v>
      </c>
      <c r="R251" s="63"/>
      <c r="S251" s="58">
        <v>0.67</v>
      </c>
      <c r="T251" s="59">
        <f>IFERROR(__xludf.DUMMYFUNCTION("((IFERROR(MIN(FILTER({L251, O251, R251}, ISNUMBER({L251, O251, R251}), {L251, O251, R251} &gt; 0)), """"))*S251)+IFERROR(MIN(FILTER({L251, O251, R251}, ISNUMBER({L251, O251, R251}), {L251, O251, R251} &gt; 0)), """")"),5627.9)</f>
        <v>5627.9</v>
      </c>
      <c r="U251" s="53">
        <f>IFERROR(__xludf.DUMMYFUNCTION("(T251-(IFERROR(MIN(FILTER({L251, O251, R251}, ISNUMBER({L251, O251, R251}), {L251, O251, R251} &gt; 0)), """")))/T251"),0.4011976047904191)</f>
        <v>0.4011976048</v>
      </c>
      <c r="V251" s="60">
        <v>300.0</v>
      </c>
      <c r="W251" s="60"/>
    </row>
    <row r="252" ht="22.5" customHeight="1">
      <c r="A252" s="61" t="str">
        <f t="shared" si="4"/>
        <v>R-TP-UNKNOWN-X-13 x 8 x 18</v>
      </c>
      <c r="B252" s="37" t="s">
        <v>167</v>
      </c>
      <c r="C252" s="37" t="s">
        <v>871</v>
      </c>
      <c r="D252" s="37" t="s">
        <v>72</v>
      </c>
      <c r="E252" s="38" t="s">
        <v>877</v>
      </c>
      <c r="F252" s="49" t="s">
        <v>63</v>
      </c>
      <c r="G252" s="37" t="s">
        <v>67</v>
      </c>
      <c r="H252" s="52" t="s">
        <v>41</v>
      </c>
      <c r="I252" s="34" t="s">
        <v>44</v>
      </c>
      <c r="J252" s="62"/>
      <c r="K252" s="62"/>
      <c r="L252" s="63"/>
      <c r="M252" s="64">
        <v>5000.0</v>
      </c>
      <c r="N252" s="64">
        <v>5000.0</v>
      </c>
      <c r="O252" s="64">
        <v>2500.0</v>
      </c>
      <c r="P252" s="62">
        <v>5000.0</v>
      </c>
      <c r="Q252" s="62">
        <v>5000.0</v>
      </c>
      <c r="R252" s="63"/>
      <c r="S252" s="58">
        <v>0.67</v>
      </c>
      <c r="T252" s="59">
        <f>IFERROR(__xludf.DUMMYFUNCTION("((IFERROR(MIN(FILTER({L252, O252, R252}, ISNUMBER({L252, O252, R252}), {L252, O252, R252} &gt; 0)), """"))*S252)+IFERROR(MIN(FILTER({L252, O252, R252}, ISNUMBER({L252, O252, R252}), {L252, O252, R252} &gt; 0)), """")"),4175.0)</f>
        <v>4175</v>
      </c>
      <c r="U252" s="53">
        <f>IFERROR(__xludf.DUMMYFUNCTION("(T252-(IFERROR(MIN(FILTER({L252, O252, R252}, ISNUMBER({L252, O252, R252}), {L252, O252, R252} &gt; 0)), """")))/T252"),0.40119760479041916)</f>
        <v>0.4011976048</v>
      </c>
      <c r="V252" s="60">
        <v>300.0</v>
      </c>
      <c r="W252" s="60"/>
    </row>
    <row r="253" ht="22.5" customHeight="1">
      <c r="A253" s="61" t="str">
        <f t="shared" si="4"/>
        <v>R-TP-UNKNOWN-X-13 x 8 x 18</v>
      </c>
      <c r="B253" s="37" t="s">
        <v>167</v>
      </c>
      <c r="C253" s="37" t="s">
        <v>871</v>
      </c>
      <c r="D253" s="37" t="s">
        <v>72</v>
      </c>
      <c r="E253" s="38" t="s">
        <v>877</v>
      </c>
      <c r="F253" s="49" t="s">
        <v>63</v>
      </c>
      <c r="G253" s="37" t="s">
        <v>67</v>
      </c>
      <c r="H253" s="52" t="s">
        <v>41</v>
      </c>
      <c r="I253" s="34" t="s">
        <v>44</v>
      </c>
      <c r="J253" s="62"/>
      <c r="K253" s="62"/>
      <c r="L253" s="63"/>
      <c r="M253" s="64">
        <v>10000.0</v>
      </c>
      <c r="N253" s="64">
        <v>10000.0</v>
      </c>
      <c r="O253" s="64">
        <v>2100.0</v>
      </c>
      <c r="P253" s="62">
        <v>10000.0</v>
      </c>
      <c r="Q253" s="62">
        <v>10000.0</v>
      </c>
      <c r="R253" s="63"/>
      <c r="S253" s="58">
        <v>0.67</v>
      </c>
      <c r="T253" s="59">
        <f>IFERROR(__xludf.DUMMYFUNCTION("((IFERROR(MIN(FILTER({L253, O253, R253}, ISNUMBER({L253, O253, R253}), {L253, O253, R253} &gt; 0)), """"))*S253)+IFERROR(MIN(FILTER({L253, O253, R253}, ISNUMBER({L253, O253, R253}), {L253, O253, R253} &gt; 0)), """")"),3507.0)</f>
        <v>3507</v>
      </c>
      <c r="U253" s="53">
        <f>IFERROR(__xludf.DUMMYFUNCTION("(T253-(IFERROR(MIN(FILTER({L253, O253, R253}, ISNUMBER({L253, O253, R253}), {L253, O253, R253} &gt; 0)), """")))/T253"),0.40119760479041916)</f>
        <v>0.4011976048</v>
      </c>
      <c r="V253" s="60">
        <v>300.0</v>
      </c>
      <c r="W253" s="60"/>
    </row>
    <row r="254" ht="22.5" customHeight="1">
      <c r="A254" s="61" t="str">
        <f t="shared" si="4"/>
        <v>R-TP-UNKNOWN-X-16 x 7,5 x 18</v>
      </c>
      <c r="B254" s="37" t="s">
        <v>927</v>
      </c>
      <c r="C254" s="37" t="s">
        <v>871</v>
      </c>
      <c r="D254" s="37" t="s">
        <v>72</v>
      </c>
      <c r="E254" s="38" t="s">
        <v>1121</v>
      </c>
      <c r="F254" s="49" t="s">
        <v>55</v>
      </c>
      <c r="G254" s="37" t="s">
        <v>642</v>
      </c>
      <c r="H254" s="52" t="s">
        <v>41</v>
      </c>
      <c r="I254" s="34" t="s">
        <v>44</v>
      </c>
      <c r="J254" s="62"/>
      <c r="K254" s="62"/>
      <c r="L254" s="63"/>
      <c r="M254" s="64">
        <v>1000.0</v>
      </c>
      <c r="N254" s="64">
        <v>1000.0</v>
      </c>
      <c r="O254" s="64">
        <v>3600.0</v>
      </c>
      <c r="P254" s="62">
        <v>1000.0</v>
      </c>
      <c r="Q254" s="62">
        <v>1000.0</v>
      </c>
      <c r="R254" s="62">
        <v>6953.0</v>
      </c>
      <c r="S254" s="58">
        <v>0.67</v>
      </c>
      <c r="T254" s="59">
        <f>IFERROR(__xludf.DUMMYFUNCTION("((IFERROR(MIN(FILTER({L254, O254, R254}, ISNUMBER({L254, O254, R254}), {L254, O254, R254} &gt; 0)), """"))*S254)+IFERROR(MIN(FILTER({L254, O254, R254}, ISNUMBER({L254, O254, R254}), {L254, O254, R254} &gt; 0)), """")"),6012.0)</f>
        <v>6012</v>
      </c>
      <c r="U254" s="53">
        <f>IFERROR(__xludf.DUMMYFUNCTION("(T254-(IFERROR(MIN(FILTER({L254, O254, R254}, ISNUMBER({L254, O254, R254}), {L254, O254, R254} &gt; 0)), """")))/T254"),0.40119760479041916)</f>
        <v>0.4011976048</v>
      </c>
      <c r="V254" s="60">
        <v>300.0</v>
      </c>
      <c r="W254" s="60"/>
    </row>
    <row r="255" ht="22.5" customHeight="1">
      <c r="A255" s="61" t="str">
        <f t="shared" si="4"/>
        <v>R-TP-UNKNOWN-X-30 x 10 x 40</v>
      </c>
      <c r="B255" s="37" t="s">
        <v>1123</v>
      </c>
      <c r="C255" s="37" t="s">
        <v>871</v>
      </c>
      <c r="D255" s="37" t="s">
        <v>175</v>
      </c>
      <c r="E255" s="38" t="s">
        <v>170</v>
      </c>
      <c r="F255" s="49" t="s">
        <v>63</v>
      </c>
      <c r="G255" s="37" t="s">
        <v>67</v>
      </c>
      <c r="H255" s="52" t="s">
        <v>41</v>
      </c>
      <c r="I255" s="34" t="s">
        <v>1124</v>
      </c>
      <c r="J255" s="62"/>
      <c r="K255" s="62"/>
      <c r="L255" s="63"/>
      <c r="M255" s="64">
        <v>1000.0</v>
      </c>
      <c r="N255" s="64">
        <v>1000.0</v>
      </c>
      <c r="O255" s="64">
        <v>6500.0</v>
      </c>
      <c r="P255" s="62">
        <v>1000.0</v>
      </c>
      <c r="Q255" s="62">
        <v>1000.0</v>
      </c>
      <c r="R255" s="62">
        <v>8168.0</v>
      </c>
      <c r="S255" s="58">
        <v>0.67</v>
      </c>
      <c r="T255" s="59">
        <f>IFERROR(__xludf.DUMMYFUNCTION("((IFERROR(MIN(FILTER({L255, O255, R255}, ISNUMBER({L255, O255, R255}), {L255, O255, R255} &gt; 0)), """"))*S255)+IFERROR(MIN(FILTER({L255, O255, R255}, ISNUMBER({L255, O255, R255}), {L255, O255, R255} &gt; 0)), """")"),10855.0)</f>
        <v>10855</v>
      </c>
      <c r="U255" s="53">
        <f>IFERROR(__xludf.DUMMYFUNCTION("(T255-(IFERROR(MIN(FILTER({L255, O255, R255}, ISNUMBER({L255, O255, R255}), {L255, O255, R255} &gt; 0)), """")))/T255"),0.40119760479041916)</f>
        <v>0.4011976048</v>
      </c>
      <c r="V255" s="60">
        <v>300.0</v>
      </c>
      <c r="W255" s="60"/>
    </row>
    <row r="256" ht="22.5" customHeight="1">
      <c r="A256" s="61" t="str">
        <f t="shared" si="4"/>
        <v>R-TP-UNKNOWN-X-16 x 13 x 28</v>
      </c>
      <c r="B256" s="37" t="s">
        <v>1126</v>
      </c>
      <c r="C256" s="37" t="s">
        <v>871</v>
      </c>
      <c r="D256" s="37" t="s">
        <v>72</v>
      </c>
      <c r="E256" s="38" t="s">
        <v>1128</v>
      </c>
      <c r="F256" s="49" t="s">
        <v>55</v>
      </c>
      <c r="G256" s="37" t="s">
        <v>108</v>
      </c>
      <c r="H256" s="52" t="s">
        <v>41</v>
      </c>
      <c r="I256" s="34" t="s">
        <v>44</v>
      </c>
      <c r="J256" s="62"/>
      <c r="K256" s="62"/>
      <c r="L256" s="63"/>
      <c r="M256" s="64">
        <v>3000.0</v>
      </c>
      <c r="N256" s="64">
        <v>3000.0</v>
      </c>
      <c r="O256" s="64">
        <v>2800.0</v>
      </c>
      <c r="P256" s="62">
        <v>3000.0</v>
      </c>
      <c r="Q256" s="62">
        <v>3000.0</v>
      </c>
      <c r="R256" s="63"/>
      <c r="S256" s="58">
        <v>0.67</v>
      </c>
      <c r="T256" s="59">
        <f>IFERROR(__xludf.DUMMYFUNCTION("((IFERROR(MIN(FILTER({L256, O256, R256}, ISNUMBER({L256, O256, R256}), {L256, O256, R256} &gt; 0)), """"))*S256)+IFERROR(MIN(FILTER({L256, O256, R256}, ISNUMBER({L256, O256, R256}), {L256, O256, R256} &gt; 0)), """")"),4676.0)</f>
        <v>4676</v>
      </c>
      <c r="U256" s="53">
        <f>IFERROR(__xludf.DUMMYFUNCTION("(T256-(IFERROR(MIN(FILTER({L256, O256, R256}, ISNUMBER({L256, O256, R256}), {L256, O256, R256} &gt; 0)), """")))/T256"),0.40119760479041916)</f>
        <v>0.4011976048</v>
      </c>
      <c r="V256" s="60">
        <v>300.0</v>
      </c>
      <c r="W256" s="60"/>
    </row>
    <row r="257" ht="22.5" customHeight="1">
      <c r="A257" s="61" t="str">
        <f t="shared" si="4"/>
        <v>R-TP-UNKNOWN-X-13 x 7,5 x 19</v>
      </c>
      <c r="B257" s="37" t="s">
        <v>1130</v>
      </c>
      <c r="C257" s="37" t="s">
        <v>871</v>
      </c>
      <c r="D257" s="37" t="s">
        <v>72</v>
      </c>
      <c r="E257" s="38" t="s">
        <v>1131</v>
      </c>
      <c r="F257" s="49" t="s">
        <v>63</v>
      </c>
      <c r="G257" s="37" t="s">
        <v>67</v>
      </c>
      <c r="H257" s="52" t="s">
        <v>41</v>
      </c>
      <c r="I257" s="34" t="s">
        <v>44</v>
      </c>
      <c r="J257" s="62">
        <v>100000.0</v>
      </c>
      <c r="K257" s="62">
        <v>100000.0</v>
      </c>
      <c r="L257" s="62">
        <v>330.0</v>
      </c>
      <c r="M257" s="64">
        <v>100000.0</v>
      </c>
      <c r="N257" s="64">
        <v>100000.0</v>
      </c>
      <c r="O257" s="64"/>
      <c r="P257" s="62">
        <v>100000.0</v>
      </c>
      <c r="Q257" s="62">
        <v>100000.0</v>
      </c>
      <c r="R257" s="62"/>
      <c r="S257" s="58">
        <v>0.67</v>
      </c>
      <c r="T257" s="59">
        <f>IFERROR(__xludf.DUMMYFUNCTION("((IFERROR(MIN(FILTER({L257, O257, R257}, ISNUMBER({L257, O257, R257}), {L257, O257, R257} &gt; 0)), """"))*S257)+IFERROR(MIN(FILTER({L257, O257, R257}, ISNUMBER({L257, O257, R257}), {L257, O257, R257} &gt; 0)), """")"),551.1)</f>
        <v>551.1</v>
      </c>
      <c r="U257" s="53">
        <f>IFERROR(__xludf.DUMMYFUNCTION("(T257-(IFERROR(MIN(FILTER({L257, O257, R257}, ISNUMBER({L257, O257, R257}), {L257, O257, R257} &gt; 0)), """")))/T257"),0.40119760479041916)</f>
        <v>0.4011976048</v>
      </c>
      <c r="V257" s="60">
        <v>300.0</v>
      </c>
      <c r="W257" s="60"/>
    </row>
    <row r="258" ht="22.5" customHeight="1">
      <c r="A258" s="61" t="str">
        <f t="shared" si="4"/>
        <v>R-TP-UNKNOWN-X-13 x 7,5 x 25</v>
      </c>
      <c r="B258" s="37" t="s">
        <v>891</v>
      </c>
      <c r="C258" s="37" t="s">
        <v>871</v>
      </c>
      <c r="D258" s="37" t="s">
        <v>72</v>
      </c>
      <c r="E258" s="38" t="s">
        <v>882</v>
      </c>
      <c r="F258" s="49" t="s">
        <v>36</v>
      </c>
      <c r="G258" s="37" t="s">
        <v>1133</v>
      </c>
      <c r="H258" s="52" t="s">
        <v>41</v>
      </c>
      <c r="I258" s="34" t="s">
        <v>44</v>
      </c>
      <c r="J258" s="62">
        <v>25000.0</v>
      </c>
      <c r="K258" s="62">
        <v>25000.0</v>
      </c>
      <c r="L258" s="62">
        <v>450.0</v>
      </c>
      <c r="M258" s="64">
        <v>25000.0</v>
      </c>
      <c r="N258" s="64">
        <v>25000.0</v>
      </c>
      <c r="O258" s="64"/>
      <c r="P258" s="62">
        <v>25000.0</v>
      </c>
      <c r="Q258" s="62">
        <v>25000.0</v>
      </c>
      <c r="R258" s="62"/>
      <c r="S258" s="58">
        <v>0.67</v>
      </c>
      <c r="T258" s="59">
        <f>IFERROR(__xludf.DUMMYFUNCTION("((IFERROR(MIN(FILTER({L258, O258, R258}, ISNUMBER({L258, O258, R258}), {L258, O258, R258} &gt; 0)), """"))*S258)+IFERROR(MIN(FILTER({L258, O258, R258}, ISNUMBER({L258, O258, R258}), {L258, O258, R258} &gt; 0)), """")"),751.5)</f>
        <v>751.5</v>
      </c>
      <c r="U258" s="53">
        <f>IFERROR(__xludf.DUMMYFUNCTION("(T258-(IFERROR(MIN(FILTER({L258, O258, R258}, ISNUMBER({L258, O258, R258}), {L258, O258, R258} &gt; 0)), """")))/T258"),0.40119760479041916)</f>
        <v>0.4011976048</v>
      </c>
      <c r="V258" s="60">
        <v>300.0</v>
      </c>
      <c r="W258" s="60"/>
    </row>
    <row r="259" ht="22.5" customHeight="1">
      <c r="A259" s="61" t="str">
        <f t="shared" si="4"/>
        <v>R-TP-UNKNOWN-X-13 x 7,5 x 23</v>
      </c>
      <c r="B259" s="37" t="s">
        <v>1137</v>
      </c>
      <c r="C259" s="37" t="s">
        <v>871</v>
      </c>
      <c r="D259" s="37" t="s">
        <v>72</v>
      </c>
      <c r="E259" s="38" t="s">
        <v>885</v>
      </c>
      <c r="F259" s="49" t="s">
        <v>55</v>
      </c>
      <c r="G259" s="37" t="s">
        <v>216</v>
      </c>
      <c r="H259" s="52" t="s">
        <v>41</v>
      </c>
      <c r="I259" s="34" t="s">
        <v>44</v>
      </c>
      <c r="J259" s="62">
        <v>25000.0</v>
      </c>
      <c r="K259" s="62">
        <v>25000.0</v>
      </c>
      <c r="L259" s="62">
        <v>330.0</v>
      </c>
      <c r="M259" s="64">
        <v>25000.0</v>
      </c>
      <c r="N259" s="64">
        <v>25000.0</v>
      </c>
      <c r="O259" s="64"/>
      <c r="P259" s="62">
        <v>25000.0</v>
      </c>
      <c r="Q259" s="62">
        <v>25000.0</v>
      </c>
      <c r="R259" s="62"/>
      <c r="S259" s="58">
        <v>0.67</v>
      </c>
      <c r="T259" s="59">
        <f>IFERROR(__xludf.DUMMYFUNCTION("((IFERROR(MIN(FILTER({L259, O259, R259}, ISNUMBER({L259, O259, R259}), {L259, O259, R259} &gt; 0)), """"))*S259)+IFERROR(MIN(FILTER({L259, O259, R259}, ISNUMBER({L259, O259, R259}), {L259, O259, R259} &gt; 0)), """")"),551.1)</f>
        <v>551.1</v>
      </c>
      <c r="U259" s="53">
        <f>IFERROR(__xludf.DUMMYFUNCTION("(T259-(IFERROR(MIN(FILTER({L259, O259, R259}, ISNUMBER({L259, O259, R259}), {L259, O259, R259} &gt; 0)), """")))/T259"),0.40119760479041916)</f>
        <v>0.4011976048</v>
      </c>
      <c r="V259" s="60">
        <v>300.0</v>
      </c>
      <c r="W259" s="60"/>
    </row>
    <row r="260" ht="22.5" customHeight="1">
      <c r="A260" s="61" t="str">
        <f t="shared" si="4"/>
        <v>R-TP-UNKNOWN-X-13 x 7,5 x 23</v>
      </c>
      <c r="B260" s="37" t="s">
        <v>929</v>
      </c>
      <c r="C260" s="37" t="s">
        <v>871</v>
      </c>
      <c r="D260" s="37" t="s">
        <v>175</v>
      </c>
      <c r="E260" s="38" t="s">
        <v>885</v>
      </c>
      <c r="F260" s="49" t="s">
        <v>46</v>
      </c>
      <c r="G260" s="37" t="s">
        <v>931</v>
      </c>
      <c r="H260" s="52" t="s">
        <v>41</v>
      </c>
      <c r="I260" s="34" t="s">
        <v>44</v>
      </c>
      <c r="J260" s="62">
        <v>25000.0</v>
      </c>
      <c r="K260" s="62">
        <v>25000.0</v>
      </c>
      <c r="L260" s="62">
        <v>310.0</v>
      </c>
      <c r="M260" s="64">
        <v>25000.0</v>
      </c>
      <c r="N260" s="64">
        <v>25000.0</v>
      </c>
      <c r="O260" s="64"/>
      <c r="P260" s="62">
        <v>25000.0</v>
      </c>
      <c r="Q260" s="62">
        <v>25000.0</v>
      </c>
      <c r="R260" s="62"/>
      <c r="S260" s="58">
        <v>0.67</v>
      </c>
      <c r="T260" s="59">
        <f>IFERROR(__xludf.DUMMYFUNCTION("((IFERROR(MIN(FILTER({L260, O260, R260}, ISNUMBER({L260, O260, R260}), {L260, O260, R260} &gt; 0)), """"))*S260)+IFERROR(MIN(FILTER({L260, O260, R260}, ISNUMBER({L260, O260, R260}), {L260, O260, R260} &gt; 0)), """")"),517.7)</f>
        <v>517.7</v>
      </c>
      <c r="U260" s="53">
        <f>IFERROR(__xludf.DUMMYFUNCTION("(T260-(IFERROR(MIN(FILTER({L260, O260, R260}, ISNUMBER({L260, O260, R260}), {L260, O260, R260} &gt; 0)), """")))/T260"),0.4011976047904192)</f>
        <v>0.4011976048</v>
      </c>
      <c r="V260" s="60">
        <v>300.0</v>
      </c>
      <c r="W260" s="60"/>
    </row>
    <row r="261" ht="22.5" customHeight="1">
      <c r="A261" s="61" t="str">
        <f t="shared" si="4"/>
        <v>R-TP-UNKNOWN-X-35 x 10 x 32</v>
      </c>
      <c r="B261" s="37" t="s">
        <v>1141</v>
      </c>
      <c r="C261" s="37" t="s">
        <v>871</v>
      </c>
      <c r="D261" s="37" t="s">
        <v>149</v>
      </c>
      <c r="E261" s="38" t="s">
        <v>1142</v>
      </c>
      <c r="F261" s="49" t="s">
        <v>55</v>
      </c>
      <c r="G261" s="37" t="s">
        <v>1143</v>
      </c>
      <c r="H261" s="52" t="s">
        <v>41</v>
      </c>
      <c r="I261" s="34" t="s">
        <v>266</v>
      </c>
      <c r="J261" s="62">
        <v>50000.0</v>
      </c>
      <c r="K261" s="62">
        <v>50000.0</v>
      </c>
      <c r="L261" s="62">
        <v>2850.0</v>
      </c>
      <c r="M261" s="64">
        <v>50000.0</v>
      </c>
      <c r="N261" s="64">
        <v>50000.0</v>
      </c>
      <c r="O261" s="64"/>
      <c r="P261" s="62">
        <v>50000.0</v>
      </c>
      <c r="Q261" s="62">
        <v>50000.0</v>
      </c>
      <c r="R261" s="62"/>
      <c r="S261" s="58">
        <v>0.67</v>
      </c>
      <c r="T261" s="59">
        <f>IFERROR(__xludf.DUMMYFUNCTION("((IFERROR(MIN(FILTER({L261, O261, R261}, ISNUMBER({L261, O261, R261}), {L261, O261, R261} &gt; 0)), """"))*S261)+IFERROR(MIN(FILTER({L261, O261, R261}, ISNUMBER({L261, O261, R261}), {L261, O261, R261} &gt; 0)), """")"),4759.5)</f>
        <v>4759.5</v>
      </c>
      <c r="U261" s="53">
        <f>IFERROR(__xludf.DUMMYFUNCTION("(T261-(IFERROR(MIN(FILTER({L261, O261, R261}, ISNUMBER({L261, O261, R261}), {L261, O261, R261} &gt; 0)), """")))/T261"),0.40119760479041916)</f>
        <v>0.4011976048</v>
      </c>
      <c r="V261" s="60">
        <v>300.0</v>
      </c>
      <c r="W261" s="60"/>
    </row>
    <row r="262" ht="22.5" customHeight="1">
      <c r="A262" s="61" t="str">
        <f t="shared" si="4"/>
        <v>R-TP-UNKNOWN-X-35 x 10 x 32</v>
      </c>
      <c r="B262" s="37" t="s">
        <v>1141</v>
      </c>
      <c r="C262" s="37" t="s">
        <v>871</v>
      </c>
      <c r="D262" s="37" t="s">
        <v>149</v>
      </c>
      <c r="E262" s="38" t="s">
        <v>1142</v>
      </c>
      <c r="F262" s="49" t="s">
        <v>55</v>
      </c>
      <c r="G262" s="37" t="s">
        <v>1143</v>
      </c>
      <c r="H262" s="52" t="s">
        <v>41</v>
      </c>
      <c r="I262" s="34" t="s">
        <v>266</v>
      </c>
      <c r="J262" s="62">
        <v>100000.0</v>
      </c>
      <c r="K262" s="62">
        <v>100000.0</v>
      </c>
      <c r="L262" s="62">
        <v>2650.0</v>
      </c>
      <c r="M262" s="64">
        <v>100000.0</v>
      </c>
      <c r="N262" s="64">
        <v>100000.0</v>
      </c>
      <c r="O262" s="64"/>
      <c r="P262" s="62">
        <v>100000.0</v>
      </c>
      <c r="Q262" s="62">
        <v>100000.0</v>
      </c>
      <c r="R262" s="62"/>
      <c r="S262" s="58">
        <v>0.67</v>
      </c>
      <c r="T262" s="59">
        <f>IFERROR(__xludf.DUMMYFUNCTION("((IFERROR(MIN(FILTER({L262, O262, R262}, ISNUMBER({L262, O262, R262}), {L262, O262, R262} &gt; 0)), """"))*S262)+IFERROR(MIN(FILTER({L262, O262, R262}, ISNUMBER({L262, O262, R262}), {L262, O262, R262} &gt; 0)), """")"),4425.5)</f>
        <v>4425.5</v>
      </c>
      <c r="U262" s="53">
        <f>IFERROR(__xludf.DUMMYFUNCTION("(T262-(IFERROR(MIN(FILTER({L262, O262, R262}, ISNUMBER({L262, O262, R262}), {L262, O262, R262} &gt; 0)), """")))/T262"),0.40119760479041916)</f>
        <v>0.4011976048</v>
      </c>
      <c r="V262" s="60">
        <v>300.0</v>
      </c>
      <c r="W262" s="60"/>
    </row>
    <row r="263" ht="22.5" customHeight="1">
      <c r="A263" s="61" t="str">
        <f t="shared" si="4"/>
        <v>R-TP-UNKNOWN-X-13 x 8 x 23</v>
      </c>
      <c r="B263" s="37" t="s">
        <v>509</v>
      </c>
      <c r="C263" s="37" t="s">
        <v>871</v>
      </c>
      <c r="D263" s="37" t="s">
        <v>72</v>
      </c>
      <c r="E263" s="38" t="s">
        <v>243</v>
      </c>
      <c r="F263" s="49" t="s">
        <v>55</v>
      </c>
      <c r="G263" s="97"/>
      <c r="H263" s="52" t="s">
        <v>41</v>
      </c>
      <c r="I263" s="34" t="s">
        <v>49</v>
      </c>
      <c r="J263" s="62">
        <v>500000.0</v>
      </c>
      <c r="K263" s="62">
        <v>500000.0</v>
      </c>
      <c r="L263" s="62">
        <v>350.0</v>
      </c>
      <c r="M263" s="64">
        <v>500000.0</v>
      </c>
      <c r="N263" s="64">
        <v>500000.0</v>
      </c>
      <c r="O263" s="64"/>
      <c r="P263" s="62">
        <v>500000.0</v>
      </c>
      <c r="Q263" s="62">
        <v>500000.0</v>
      </c>
      <c r="R263" s="62"/>
      <c r="S263" s="58">
        <v>0.67</v>
      </c>
      <c r="T263" s="59">
        <f>IFERROR(__xludf.DUMMYFUNCTION("((IFERROR(MIN(FILTER({L263, O263, R263}, ISNUMBER({L263, O263, R263}), {L263, O263, R263} &gt; 0)), """"))*S263)+IFERROR(MIN(FILTER({L263, O263, R263}, ISNUMBER({L263, O263, R263}), {L263, O263, R263} &gt; 0)), """")"),584.5)</f>
        <v>584.5</v>
      </c>
      <c r="U263" s="53">
        <f>IFERROR(__xludf.DUMMYFUNCTION("(T263-(IFERROR(MIN(FILTER({L263, O263, R263}, ISNUMBER({L263, O263, R263}), {L263, O263, R263} &gt; 0)), """")))/T263"),0.40119760479041916)</f>
        <v>0.4011976048</v>
      </c>
      <c r="V263" s="60">
        <v>300.0</v>
      </c>
      <c r="W263" s="60"/>
    </row>
    <row r="264" ht="22.5" customHeight="1">
      <c r="A264" s="61" t="str">
        <f t="shared" si="4"/>
        <v>R-TP-UNKNOWN-X-13 x 8 x 23</v>
      </c>
      <c r="B264" s="37" t="s">
        <v>509</v>
      </c>
      <c r="C264" s="37" t="s">
        <v>871</v>
      </c>
      <c r="D264" s="37" t="s">
        <v>72</v>
      </c>
      <c r="E264" s="38" t="s">
        <v>243</v>
      </c>
      <c r="F264" s="49" t="s">
        <v>55</v>
      </c>
      <c r="G264" s="97"/>
      <c r="H264" s="52" t="s">
        <v>41</v>
      </c>
      <c r="I264" s="34" t="s">
        <v>49</v>
      </c>
      <c r="J264" s="62">
        <v>2000000.0</v>
      </c>
      <c r="K264" s="62">
        <v>2000000.0</v>
      </c>
      <c r="L264" s="62">
        <v>340.0</v>
      </c>
      <c r="M264" s="64">
        <v>2000000.0</v>
      </c>
      <c r="N264" s="64">
        <v>2000000.0</v>
      </c>
      <c r="O264" s="64"/>
      <c r="P264" s="62">
        <v>2000000.0</v>
      </c>
      <c r="Q264" s="62">
        <v>2000000.0</v>
      </c>
      <c r="R264" s="62"/>
      <c r="S264" s="58">
        <v>0.67</v>
      </c>
      <c r="T264" s="59">
        <f>IFERROR(__xludf.DUMMYFUNCTION("((IFERROR(MIN(FILTER({L264, O264, R264}, ISNUMBER({L264, O264, R264}), {L264, O264, R264} &gt; 0)), """"))*S264)+IFERROR(MIN(FILTER({L264, O264, R264}, ISNUMBER({L264, O264, R264}), {L264, O264, R264} &gt; 0)), """")"),567.8)</f>
        <v>567.8</v>
      </c>
      <c r="U264" s="53">
        <f>IFERROR(__xludf.DUMMYFUNCTION("(T264-(IFERROR(MIN(FILTER({L264, O264, R264}, ISNUMBER({L264, O264, R264}), {L264, O264, R264} &gt; 0)), """")))/T264"),0.4011976047904191)</f>
        <v>0.4011976048</v>
      </c>
      <c r="V264" s="60">
        <v>300.0</v>
      </c>
      <c r="W264" s="60"/>
    </row>
    <row r="265" ht="22.5" customHeight="1">
      <c r="A265" s="61" t="str">
        <f t="shared" si="4"/>
        <v>R-TP-UNKNOWN-X-13 x 7 x 18</v>
      </c>
      <c r="B265" s="37" t="s">
        <v>1148</v>
      </c>
      <c r="C265" s="37" t="s">
        <v>871</v>
      </c>
      <c r="D265" s="37" t="s">
        <v>72</v>
      </c>
      <c r="E265" s="38" t="s">
        <v>1149</v>
      </c>
      <c r="F265" s="49" t="s">
        <v>36</v>
      </c>
      <c r="G265" s="37" t="s">
        <v>118</v>
      </c>
      <c r="H265" s="52" t="s">
        <v>41</v>
      </c>
      <c r="I265" s="34" t="s">
        <v>44</v>
      </c>
      <c r="J265" s="62">
        <v>50000.0</v>
      </c>
      <c r="K265" s="62">
        <v>50000.0</v>
      </c>
      <c r="L265" s="62">
        <v>350.0</v>
      </c>
      <c r="M265" s="64">
        <v>50000.0</v>
      </c>
      <c r="N265" s="64">
        <v>50000.0</v>
      </c>
      <c r="O265" s="64"/>
      <c r="P265" s="62">
        <v>50000.0</v>
      </c>
      <c r="Q265" s="62">
        <v>50000.0</v>
      </c>
      <c r="R265" s="62"/>
      <c r="S265" s="58">
        <v>0.67</v>
      </c>
      <c r="T265" s="59">
        <f>IFERROR(__xludf.DUMMYFUNCTION("((IFERROR(MIN(FILTER({L265, O265, R265}, ISNUMBER({L265, O265, R265}), {L265, O265, R265} &gt; 0)), """"))*S265)+IFERROR(MIN(FILTER({L265, O265, R265}, ISNUMBER({L265, O265, R265}), {L265, O265, R265} &gt; 0)), """")"),584.5)</f>
        <v>584.5</v>
      </c>
      <c r="U265" s="53">
        <f>IFERROR(__xludf.DUMMYFUNCTION("(T265-(IFERROR(MIN(FILTER({L265, O265, R265}, ISNUMBER({L265, O265, R265}), {L265, O265, R265} &gt; 0)), """")))/T265"),0.40119760479041916)</f>
        <v>0.4011976048</v>
      </c>
      <c r="V265" s="60">
        <v>300.0</v>
      </c>
      <c r="W265" s="60"/>
    </row>
    <row r="266" ht="22.5" customHeight="1">
      <c r="A266" s="61" t="str">
        <f t="shared" si="4"/>
        <v>R-TP-UNKNOWN-X-13 x 7 x 18</v>
      </c>
      <c r="B266" s="37" t="s">
        <v>1148</v>
      </c>
      <c r="C266" s="37" t="s">
        <v>871</v>
      </c>
      <c r="D266" s="37" t="s">
        <v>72</v>
      </c>
      <c r="E266" s="38" t="s">
        <v>1149</v>
      </c>
      <c r="F266" s="49" t="s">
        <v>36</v>
      </c>
      <c r="G266" s="37" t="s">
        <v>118</v>
      </c>
      <c r="H266" s="52" t="s">
        <v>41</v>
      </c>
      <c r="I266" s="34" t="s">
        <v>44</v>
      </c>
      <c r="J266" s="62">
        <v>100000.0</v>
      </c>
      <c r="K266" s="62">
        <v>100000.0</v>
      </c>
      <c r="L266" s="62">
        <v>330.0</v>
      </c>
      <c r="M266" s="64">
        <v>100000.0</v>
      </c>
      <c r="N266" s="64">
        <v>100000.0</v>
      </c>
      <c r="O266" s="64"/>
      <c r="P266" s="62">
        <v>100000.0</v>
      </c>
      <c r="Q266" s="62">
        <v>100000.0</v>
      </c>
      <c r="R266" s="62"/>
      <c r="S266" s="58">
        <v>0.67</v>
      </c>
      <c r="T266" s="59">
        <f>IFERROR(__xludf.DUMMYFUNCTION("((IFERROR(MIN(FILTER({L266, O266, R266}, ISNUMBER({L266, O266, R266}), {L266, O266, R266} &gt; 0)), """"))*S266)+IFERROR(MIN(FILTER({L266, O266, R266}, ISNUMBER({L266, O266, R266}), {L266, O266, R266} &gt; 0)), """")"),551.1)</f>
        <v>551.1</v>
      </c>
      <c r="U266" s="53">
        <f>IFERROR(__xludf.DUMMYFUNCTION("(T266-(IFERROR(MIN(FILTER({L266, O266, R266}, ISNUMBER({L266, O266, R266}), {L266, O266, R266} &gt; 0)), """")))/T266"),0.40119760479041916)</f>
        <v>0.4011976048</v>
      </c>
      <c r="V266" s="60">
        <v>300.0</v>
      </c>
      <c r="W266" s="60"/>
    </row>
    <row r="267" ht="22.5" customHeight="1">
      <c r="A267" s="61" t="str">
        <f t="shared" si="4"/>
        <v>R-TP-UNKNOWN-X-12 x 5 x 18,5</v>
      </c>
      <c r="B267" s="37" t="s">
        <v>1148</v>
      </c>
      <c r="C267" s="37" t="s">
        <v>871</v>
      </c>
      <c r="D267" s="37" t="s">
        <v>42</v>
      </c>
      <c r="E267" s="38" t="s">
        <v>223</v>
      </c>
      <c r="F267" s="49" t="s">
        <v>55</v>
      </c>
      <c r="G267" s="37" t="s">
        <v>1152</v>
      </c>
      <c r="H267" s="52" t="s">
        <v>41</v>
      </c>
      <c r="I267" s="34" t="s">
        <v>44</v>
      </c>
      <c r="J267" s="62">
        <v>50000.0</v>
      </c>
      <c r="K267" s="62">
        <v>50000.0</v>
      </c>
      <c r="L267" s="62">
        <v>235.0</v>
      </c>
      <c r="M267" s="64">
        <v>50000.0</v>
      </c>
      <c r="N267" s="64">
        <v>50000.0</v>
      </c>
      <c r="O267" s="64"/>
      <c r="P267" s="62">
        <v>50000.0</v>
      </c>
      <c r="Q267" s="62">
        <v>50000.0</v>
      </c>
      <c r="R267" s="62"/>
      <c r="S267" s="58">
        <v>0.67</v>
      </c>
      <c r="T267" s="59">
        <f>IFERROR(__xludf.DUMMYFUNCTION("((IFERROR(MIN(FILTER({L267, O267, R267}, ISNUMBER({L267, O267, R267}), {L267, O267, R267} &gt; 0)), """"))*S267)+IFERROR(MIN(FILTER({L267, O267, R267}, ISNUMBER({L267, O267, R267}), {L267, O267, R267} &gt; 0)), """")"),392.45000000000005)</f>
        <v>392.45</v>
      </c>
      <c r="U267" s="53">
        <f>IFERROR(__xludf.DUMMYFUNCTION("(T267-(IFERROR(MIN(FILTER({L267, O267, R267}, ISNUMBER({L267, O267, R267}), {L267, O267, R267} &gt; 0)), """")))/T267"),0.4011976047904192)</f>
        <v>0.4011976048</v>
      </c>
      <c r="V267" s="60">
        <v>300.0</v>
      </c>
      <c r="W267" s="60"/>
    </row>
    <row r="268" ht="22.5" customHeight="1">
      <c r="A268" s="61" t="str">
        <f t="shared" si="4"/>
        <v>R-TP-UNKNOWN-X-13 x 7,5 x 18</v>
      </c>
      <c r="B268" s="37" t="s">
        <v>1148</v>
      </c>
      <c r="C268" s="37" t="s">
        <v>871</v>
      </c>
      <c r="D268" s="37" t="s">
        <v>42</v>
      </c>
      <c r="E268" s="38" t="s">
        <v>1154</v>
      </c>
      <c r="F268" s="49" t="s">
        <v>55</v>
      </c>
      <c r="G268" s="37" t="s">
        <v>1152</v>
      </c>
      <c r="H268" s="52" t="s">
        <v>41</v>
      </c>
      <c r="I268" s="34" t="s">
        <v>44</v>
      </c>
      <c r="J268" s="62">
        <v>50000.0</v>
      </c>
      <c r="K268" s="62">
        <v>50000.0</v>
      </c>
      <c r="L268" s="62">
        <v>250.0</v>
      </c>
      <c r="M268" s="64">
        <v>50000.0</v>
      </c>
      <c r="N268" s="64">
        <v>50000.0</v>
      </c>
      <c r="O268" s="64"/>
      <c r="P268" s="62">
        <v>50000.0</v>
      </c>
      <c r="Q268" s="62">
        <v>50000.0</v>
      </c>
      <c r="R268" s="62"/>
      <c r="S268" s="58">
        <v>0.67</v>
      </c>
      <c r="T268" s="59">
        <f>IFERROR(__xludf.DUMMYFUNCTION("((IFERROR(MIN(FILTER({L268, O268, R268}, ISNUMBER({L268, O268, R268}), {L268, O268, R268} &gt; 0)), """"))*S268)+IFERROR(MIN(FILTER({L268, O268, R268}, ISNUMBER({L268, O268, R268}), {L268, O268, R268} &gt; 0)), """")"),417.5)</f>
        <v>417.5</v>
      </c>
      <c r="U268" s="53">
        <f>IFERROR(__xludf.DUMMYFUNCTION("(T268-(IFERROR(MIN(FILTER({L268, O268, R268}, ISNUMBER({L268, O268, R268}), {L268, O268, R268} &gt; 0)), """")))/T268"),0.40119760479041916)</f>
        <v>0.4011976048</v>
      </c>
      <c r="V268" s="60">
        <v>300.0</v>
      </c>
      <c r="W268" s="60"/>
    </row>
    <row r="269" ht="22.5" customHeight="1">
      <c r="A269" s="61" t="str">
        <f t="shared" si="4"/>
        <v>R-TP-UNKNOWN-X-13 x 7,5 x 23</v>
      </c>
      <c r="B269" s="37" t="s">
        <v>518</v>
      </c>
      <c r="C269" s="37" t="s">
        <v>871</v>
      </c>
      <c r="D269" s="37" t="s">
        <v>72</v>
      </c>
      <c r="E269" s="38" t="s">
        <v>885</v>
      </c>
      <c r="F269" s="49" t="s">
        <v>55</v>
      </c>
      <c r="G269" s="37" t="s">
        <v>108</v>
      </c>
      <c r="H269" s="52" t="s">
        <v>41</v>
      </c>
      <c r="I269" s="34" t="s">
        <v>44</v>
      </c>
      <c r="J269" s="62">
        <v>25000.0</v>
      </c>
      <c r="K269" s="62">
        <v>25000.0</v>
      </c>
      <c r="L269" s="62">
        <v>335.0</v>
      </c>
      <c r="M269" s="64">
        <v>25000.0</v>
      </c>
      <c r="N269" s="64">
        <v>25000.0</v>
      </c>
      <c r="O269" s="64"/>
      <c r="P269" s="62">
        <v>25000.0</v>
      </c>
      <c r="Q269" s="62">
        <v>25000.0</v>
      </c>
      <c r="R269" s="62"/>
      <c r="S269" s="58">
        <v>0.67</v>
      </c>
      <c r="T269" s="59">
        <f>IFERROR(__xludf.DUMMYFUNCTION("((IFERROR(MIN(FILTER({L269, O269, R269}, ISNUMBER({L269, O269, R269}), {L269, O269, R269} &gt; 0)), """"))*S269)+IFERROR(MIN(FILTER({L269, O269, R269}, ISNUMBER({L269, O269, R269}), {L269, O269, R269} &gt; 0)), """")"),559.45)</f>
        <v>559.45</v>
      </c>
      <c r="U269" s="53">
        <f>IFERROR(__xludf.DUMMYFUNCTION("(T269-(IFERROR(MIN(FILTER({L269, O269, R269}, ISNUMBER({L269, O269, R269}), {L269, O269, R269} &gt; 0)), """")))/T269"),0.4011976047904192)</f>
        <v>0.4011976048</v>
      </c>
      <c r="V269" s="60">
        <v>300.0</v>
      </c>
      <c r="W269" s="60"/>
    </row>
    <row r="270" ht="22.5" customHeight="1">
      <c r="A270" s="61" t="str">
        <f t="shared" si="4"/>
        <v>R-TP-UNKNOWN-X-20 x 15 x 30</v>
      </c>
      <c r="B270" s="37" t="s">
        <v>518</v>
      </c>
      <c r="C270" s="37" t="s">
        <v>871</v>
      </c>
      <c r="D270" s="37" t="s">
        <v>175</v>
      </c>
      <c r="E270" s="38" t="s">
        <v>1032</v>
      </c>
      <c r="F270" s="49" t="s">
        <v>55</v>
      </c>
      <c r="G270" s="37" t="s">
        <v>108</v>
      </c>
      <c r="H270" s="52" t="s">
        <v>41</v>
      </c>
      <c r="I270" s="34" t="s">
        <v>44</v>
      </c>
      <c r="J270" s="62">
        <v>25000.0</v>
      </c>
      <c r="K270" s="62">
        <v>25000.0</v>
      </c>
      <c r="L270" s="63"/>
      <c r="M270" s="64">
        <v>25000.0</v>
      </c>
      <c r="N270" s="64">
        <v>25000.0</v>
      </c>
      <c r="O270" s="59"/>
      <c r="P270" s="62">
        <v>25000.0</v>
      </c>
      <c r="Q270" s="62">
        <v>25000.0</v>
      </c>
      <c r="R270" s="62">
        <v>1935.0</v>
      </c>
      <c r="S270" s="58">
        <v>0.67</v>
      </c>
      <c r="T270" s="59">
        <f>IFERROR(__xludf.DUMMYFUNCTION("((IFERROR(MIN(FILTER({L270, O270, R270}, ISNUMBER({L270, O270, R270}), {L270, O270, R270} &gt; 0)), """"))*S270)+IFERROR(MIN(FILTER({L270, O270, R270}, ISNUMBER({L270, O270, R270}), {L270, O270, R270} &gt; 0)), """")"),3231.45)</f>
        <v>3231.45</v>
      </c>
      <c r="U270" s="53">
        <f>IFERROR(__xludf.DUMMYFUNCTION("(T270-(IFERROR(MIN(FILTER({L270, O270, R270}, ISNUMBER({L270, O270, R270}), {L270, O270, R270} &gt; 0)), """")))/T270"),0.4011976047904191)</f>
        <v>0.4011976048</v>
      </c>
      <c r="V270" s="60">
        <v>300.0</v>
      </c>
      <c r="W270" s="60"/>
    </row>
    <row r="271" ht="22.5" customHeight="1">
      <c r="A271" s="61" t="str">
        <f t="shared" si="4"/>
        <v>R-TP-UNKNOWN-X-15,5 x 8,5 x 30</v>
      </c>
      <c r="B271" s="37" t="s">
        <v>1159</v>
      </c>
      <c r="C271" s="37" t="s">
        <v>871</v>
      </c>
      <c r="D271" s="37" t="s">
        <v>175</v>
      </c>
      <c r="E271" s="38" t="s">
        <v>1160</v>
      </c>
      <c r="F271" s="49" t="s">
        <v>55</v>
      </c>
      <c r="G271" s="37" t="s">
        <v>436</v>
      </c>
      <c r="H271" s="52" t="s">
        <v>41</v>
      </c>
      <c r="I271" s="34" t="s">
        <v>44</v>
      </c>
      <c r="J271" s="62">
        <v>25000.0</v>
      </c>
      <c r="K271" s="62">
        <v>25000.0</v>
      </c>
      <c r="L271" s="62">
        <v>530.0</v>
      </c>
      <c r="M271" s="64">
        <v>25000.0</v>
      </c>
      <c r="N271" s="64">
        <v>25000.0</v>
      </c>
      <c r="O271" s="64"/>
      <c r="P271" s="62">
        <v>25000.0</v>
      </c>
      <c r="Q271" s="62">
        <v>25000.0</v>
      </c>
      <c r="R271" s="62"/>
      <c r="S271" s="58">
        <v>0.67</v>
      </c>
      <c r="T271" s="59">
        <f>IFERROR(__xludf.DUMMYFUNCTION("((IFERROR(MIN(FILTER({L271, O271, R271}, ISNUMBER({L271, O271, R271}), {L271, O271, R271} &gt; 0)), """"))*S271)+IFERROR(MIN(FILTER({L271, O271, R271}, ISNUMBER({L271, O271, R271}), {L271, O271, R271} &gt; 0)), """")"),885.1)</f>
        <v>885.1</v>
      </c>
      <c r="U271" s="53">
        <f>IFERROR(__xludf.DUMMYFUNCTION("(T271-(IFERROR(MIN(FILTER({L271, O271, R271}, ISNUMBER({L271, O271, R271}), {L271, O271, R271} &gt; 0)), """")))/T271"),0.40119760479041916)</f>
        <v>0.4011976048</v>
      </c>
      <c r="V271" s="60">
        <v>300.0</v>
      </c>
      <c r="W271" s="60"/>
    </row>
    <row r="272" ht="22.5" customHeight="1">
      <c r="A272" s="61" t="str">
        <f t="shared" si="4"/>
        <v>R-TP-UNKNOWN-X-13 x 7,5 x 23</v>
      </c>
      <c r="B272" s="37" t="s">
        <v>213</v>
      </c>
      <c r="C272" s="37" t="s">
        <v>871</v>
      </c>
      <c r="D272" s="37" t="s">
        <v>72</v>
      </c>
      <c r="E272" s="38" t="s">
        <v>885</v>
      </c>
      <c r="F272" s="49" t="s">
        <v>46</v>
      </c>
      <c r="G272" s="37" t="s">
        <v>1082</v>
      </c>
      <c r="H272" s="52" t="s">
        <v>41</v>
      </c>
      <c r="I272" s="34" t="s">
        <v>44</v>
      </c>
      <c r="J272" s="62">
        <v>25000.0</v>
      </c>
      <c r="K272" s="62">
        <v>25000.0</v>
      </c>
      <c r="L272" s="62">
        <v>315.0</v>
      </c>
      <c r="M272" s="64">
        <v>25000.0</v>
      </c>
      <c r="N272" s="64">
        <v>25000.0</v>
      </c>
      <c r="O272" s="64"/>
      <c r="P272" s="62">
        <v>25000.0</v>
      </c>
      <c r="Q272" s="62">
        <v>25000.0</v>
      </c>
      <c r="R272" s="62"/>
      <c r="S272" s="58">
        <v>0.67</v>
      </c>
      <c r="T272" s="59">
        <f>IFERROR(__xludf.DUMMYFUNCTION("((IFERROR(MIN(FILTER({L272, O272, R272}, ISNUMBER({L272, O272, R272}), {L272, O272, R272} &gt; 0)), """"))*S272)+IFERROR(MIN(FILTER({L272, O272, R272}, ISNUMBER({L272, O272, R272}), {L272, O272, R272} &gt; 0)), """")"),526.05)</f>
        <v>526.05</v>
      </c>
      <c r="U272" s="53">
        <f>IFERROR(__xludf.DUMMYFUNCTION("(T272-(IFERROR(MIN(FILTER({L272, O272, R272}, ISNUMBER({L272, O272, R272}), {L272, O272, R272} &gt; 0)), """")))/T272"),0.4011976047904191)</f>
        <v>0.4011976048</v>
      </c>
      <c r="V272" s="60">
        <v>300.0</v>
      </c>
      <c r="W272" s="60"/>
    </row>
    <row r="273" ht="22.5" customHeight="1">
      <c r="A273" s="61" t="str">
        <f t="shared" si="4"/>
        <v>R-TP-UNKNOWN-X-35 x 14 x 45</v>
      </c>
      <c r="B273" s="37" t="s">
        <v>451</v>
      </c>
      <c r="C273" s="37" t="s">
        <v>871</v>
      </c>
      <c r="D273" s="37" t="s">
        <v>1048</v>
      </c>
      <c r="E273" s="38" t="s">
        <v>1049</v>
      </c>
      <c r="F273" s="49" t="s">
        <v>55</v>
      </c>
      <c r="G273" s="37" t="s">
        <v>121</v>
      </c>
      <c r="H273" s="52" t="s">
        <v>41</v>
      </c>
      <c r="I273" s="34" t="s">
        <v>44</v>
      </c>
      <c r="J273" s="62"/>
      <c r="K273" s="62"/>
      <c r="L273" s="63"/>
      <c r="M273" s="64">
        <v>1000.0</v>
      </c>
      <c r="N273" s="64">
        <v>1000.0</v>
      </c>
      <c r="O273" s="59"/>
      <c r="P273" s="62">
        <v>1000.0</v>
      </c>
      <c r="Q273" s="62">
        <v>1000.0</v>
      </c>
      <c r="R273" s="62">
        <v>8444.0</v>
      </c>
      <c r="S273" s="58">
        <v>0.67</v>
      </c>
      <c r="T273" s="59">
        <f>IFERROR(__xludf.DUMMYFUNCTION("((IFERROR(MIN(FILTER({L273, O273, R273}, ISNUMBER({L273, O273, R273}), {L273, O273, R273} &gt; 0)), """"))*S273)+IFERROR(MIN(FILTER({L273, O273, R273}, ISNUMBER({L273, O273, R273}), {L273, O273, R273} &gt; 0)), """")"),14101.48)</f>
        <v>14101.48</v>
      </c>
      <c r="U273" s="53">
        <f>IFERROR(__xludf.DUMMYFUNCTION("(T273-(IFERROR(MIN(FILTER({L273, O273, R273}, ISNUMBER({L273, O273, R273}), {L273, O273, R273} &gt; 0)), """")))/T273"),0.40119760479041916)</f>
        <v>0.4011976048</v>
      </c>
      <c r="V273" s="60">
        <v>300.0</v>
      </c>
      <c r="W273" s="60"/>
    </row>
    <row r="274" ht="22.5" customHeight="1">
      <c r="A27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SUBSTITUTE(E274, """", """")"),"#REF!")</f>
        <v>#REF!</v>
      </c>
      <c r="B274" s="37" t="s">
        <v>1105</v>
      </c>
      <c r="C274" s="37" t="s">
        <v>871</v>
      </c>
      <c r="D274" s="37" t="s">
        <v>155</v>
      </c>
      <c r="E274" s="38" t="s">
        <v>1170</v>
      </c>
      <c r="F274" s="49" t="s">
        <v>63</v>
      </c>
      <c r="G274" s="37" t="s">
        <v>67</v>
      </c>
      <c r="H274" s="52" t="s">
        <v>41</v>
      </c>
      <c r="I274" s="34" t="s">
        <v>44</v>
      </c>
      <c r="J274" s="62"/>
      <c r="K274" s="62"/>
      <c r="L274" s="63"/>
      <c r="M274" s="64">
        <v>3000.0</v>
      </c>
      <c r="N274" s="64">
        <v>3000.0</v>
      </c>
      <c r="O274" s="59"/>
      <c r="P274" s="62">
        <v>3000.0</v>
      </c>
      <c r="Q274" s="62">
        <v>3000.0</v>
      </c>
      <c r="R274" s="62">
        <v>2671.0</v>
      </c>
      <c r="S274" s="58">
        <v>0.67</v>
      </c>
      <c r="T274" s="59">
        <f>IFERROR(__xludf.DUMMYFUNCTION("((IFERROR(MIN(FILTER({L274, O274, R274}, ISNUMBER({L274, O274, R274}), {L274, O274, R274} &gt; 0)), """"))*S274)+IFERROR(MIN(FILTER({L274, O274, R274}, ISNUMBER({L274, O274, R274}), {L274, O274, R274} &gt; 0)), """")"),4460.57)</f>
        <v>4460.57</v>
      </c>
      <c r="U274" s="53">
        <f>IFERROR(__xludf.DUMMYFUNCTION("(T274-(IFERROR(MIN(FILTER({L274, O274, R274}, ISNUMBER({L274, O274, R274}), {L274, O274, R274} &gt; 0)), """")))/T274"),0.4011976047904191)</f>
        <v>0.4011976048</v>
      </c>
      <c r="V274" s="60">
        <v>300.0</v>
      </c>
      <c r="W274" s="60"/>
    </row>
    <row r="275" ht="22.5" customHeight="1">
      <c r="A27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SUBSTITUTE(E275, """", """")"),"#REF!")</f>
        <v>#REF!</v>
      </c>
      <c r="B275" s="37" t="s">
        <v>1105</v>
      </c>
      <c r="C275" s="37" t="s">
        <v>871</v>
      </c>
      <c r="D275" s="37" t="s">
        <v>155</v>
      </c>
      <c r="E275" s="38" t="s">
        <v>1170</v>
      </c>
      <c r="F275" s="49" t="s">
        <v>63</v>
      </c>
      <c r="G275" s="37" t="s">
        <v>67</v>
      </c>
      <c r="H275" s="52" t="s">
        <v>41</v>
      </c>
      <c r="I275" s="34" t="s">
        <v>44</v>
      </c>
      <c r="J275" s="62"/>
      <c r="K275" s="62"/>
      <c r="L275" s="63"/>
      <c r="M275" s="64">
        <v>5000.0</v>
      </c>
      <c r="N275" s="64">
        <v>5000.0</v>
      </c>
      <c r="O275" s="59"/>
      <c r="P275" s="62">
        <v>5000.0</v>
      </c>
      <c r="Q275" s="62">
        <v>5000.0</v>
      </c>
      <c r="R275" s="62">
        <v>2280.0</v>
      </c>
      <c r="S275" s="58">
        <v>0.67</v>
      </c>
      <c r="T275" s="59">
        <f>IFERROR(__xludf.DUMMYFUNCTION("((IFERROR(MIN(FILTER({L275, O275, R275}, ISNUMBER({L275, O275, R275}), {L275, O275, R275} &gt; 0)), """"))*S275)+IFERROR(MIN(FILTER({L275, O275, R275}, ISNUMBER({L275, O275, R275}), {L275, O275, R275} &gt; 0)), """")"),3807.6000000000004)</f>
        <v>3807.6</v>
      </c>
      <c r="U275" s="53">
        <f>IFERROR(__xludf.DUMMYFUNCTION("(T275-(IFERROR(MIN(FILTER({L275, O275, R275}, ISNUMBER({L275, O275, R275}), {L275, O275, R275} &gt; 0)), """")))/T275"),0.4011976047904192)</f>
        <v>0.4011976048</v>
      </c>
      <c r="V275" s="60">
        <v>300.0</v>
      </c>
      <c r="W275" s="60"/>
    </row>
    <row r="276" ht="22.5" customHeight="1">
      <c r="A27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SUBSTITUTE(E276, """", """")"),"#REF!")</f>
        <v>#REF!</v>
      </c>
      <c r="B276" s="37" t="s">
        <v>245</v>
      </c>
      <c r="C276" s="37" t="s">
        <v>871</v>
      </c>
      <c r="D276" s="37" t="s">
        <v>72</v>
      </c>
      <c r="E276" s="38" t="s">
        <v>247</v>
      </c>
      <c r="F276" s="49" t="s">
        <v>55</v>
      </c>
      <c r="G276" s="37" t="s">
        <v>74</v>
      </c>
      <c r="H276" s="52" t="s">
        <v>41</v>
      </c>
      <c r="I276" s="34" t="s">
        <v>44</v>
      </c>
      <c r="J276" s="62"/>
      <c r="K276" s="62"/>
      <c r="L276" s="63"/>
      <c r="M276" s="64">
        <v>3000.0</v>
      </c>
      <c r="N276" s="64">
        <v>3000.0</v>
      </c>
      <c r="O276" s="64">
        <v>2400.0</v>
      </c>
      <c r="P276" s="62">
        <v>3000.0</v>
      </c>
      <c r="Q276" s="62">
        <v>3000.0</v>
      </c>
      <c r="R276" s="63"/>
      <c r="S276" s="58">
        <v>0.67</v>
      </c>
      <c r="T276" s="59">
        <f>IFERROR(__xludf.DUMMYFUNCTION("((IFERROR(MIN(FILTER({L276, O276, R276}, ISNUMBER({L276, O276, R276}), {L276, O276, R276} &gt; 0)), """"))*S276)+IFERROR(MIN(FILTER({L276, O276, R276}, ISNUMBER({L276, O276, R276}), {L276, O276, R276} &gt; 0)), """")"),4008.0)</f>
        <v>4008</v>
      </c>
      <c r="U276" s="53">
        <f>IFERROR(__xludf.DUMMYFUNCTION("(T276-(IFERROR(MIN(FILTER({L276, O276, R276}, ISNUMBER({L276, O276, R276}), {L276, O276, R276} &gt; 0)), """")))/T276"),0.40119760479041916)</f>
        <v>0.4011976048</v>
      </c>
      <c r="V276" s="60">
        <v>300.0</v>
      </c>
      <c r="W276" s="60"/>
    </row>
    <row r="277" ht="22.5" customHeight="1">
      <c r="A27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SUBSTITUTE(E277, """", """")"),"#REF!")</f>
        <v>#REF!</v>
      </c>
      <c r="B277" s="37" t="s">
        <v>1173</v>
      </c>
      <c r="C277" s="37" t="s">
        <v>871</v>
      </c>
      <c r="D277" s="37" t="s">
        <v>175</v>
      </c>
      <c r="E277" s="38" t="s">
        <v>1174</v>
      </c>
      <c r="F277" s="49" t="s">
        <v>55</v>
      </c>
      <c r="G277" s="37" t="s">
        <v>216</v>
      </c>
      <c r="H277" s="52" t="s">
        <v>41</v>
      </c>
      <c r="I277" s="34" t="s">
        <v>44</v>
      </c>
      <c r="J277" s="62"/>
      <c r="K277" s="62"/>
      <c r="L277" s="63"/>
      <c r="M277" s="64">
        <v>1000.0</v>
      </c>
      <c r="N277" s="64">
        <v>1000.0</v>
      </c>
      <c r="O277" s="64">
        <v>3900.0</v>
      </c>
      <c r="P277" s="62">
        <v>1000.0</v>
      </c>
      <c r="Q277" s="62">
        <v>1000.0</v>
      </c>
      <c r="R277" s="63"/>
      <c r="S277" s="58">
        <v>0.67</v>
      </c>
      <c r="T277" s="59">
        <f>IFERROR(__xludf.DUMMYFUNCTION("((IFERROR(MIN(FILTER({L277, O277, R277}, ISNUMBER({L277, O277, R277}), {L277, O277, R277} &gt; 0)), """"))*S277)+IFERROR(MIN(FILTER({L277, O277, R277}, ISNUMBER({L277, O277, R277}), {L277, O277, R277} &gt; 0)), """")"),6513.0)</f>
        <v>6513</v>
      </c>
      <c r="U277" s="53">
        <f>IFERROR(__xludf.DUMMYFUNCTION("(T277-(IFERROR(MIN(FILTER({L277, O277, R277}, ISNUMBER({L277, O277, R277}), {L277, O277, R277} &gt; 0)), """")))/T277"),0.40119760479041916)</f>
        <v>0.4011976048</v>
      </c>
      <c r="V277" s="60">
        <v>300.0</v>
      </c>
      <c r="W277" s="60"/>
    </row>
    <row r="278" ht="22.5" customHeight="1">
      <c r="A27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SUBSTITUTE(E278, """", """")"),"#REF!")</f>
        <v>#REF!</v>
      </c>
      <c r="B278" s="37" t="s">
        <v>493</v>
      </c>
      <c r="C278" s="37" t="s">
        <v>871</v>
      </c>
      <c r="D278" s="37" t="s">
        <v>175</v>
      </c>
      <c r="E278" s="38" t="s">
        <v>922</v>
      </c>
      <c r="F278" s="49" t="s">
        <v>55</v>
      </c>
      <c r="G278" s="37" t="s">
        <v>1175</v>
      </c>
      <c r="H278" s="52" t="s">
        <v>41</v>
      </c>
      <c r="I278" s="34" t="s">
        <v>44</v>
      </c>
      <c r="J278" s="62"/>
      <c r="K278" s="62"/>
      <c r="L278" s="63"/>
      <c r="M278" s="64">
        <v>1000.0</v>
      </c>
      <c r="N278" s="64">
        <v>1000.0</v>
      </c>
      <c r="O278" s="64">
        <v>4100.0</v>
      </c>
      <c r="P278" s="62">
        <v>1000.0</v>
      </c>
      <c r="Q278" s="62">
        <v>1000.0</v>
      </c>
      <c r="R278" s="63"/>
      <c r="S278" s="58">
        <v>0.67</v>
      </c>
      <c r="T278" s="59">
        <f>IFERROR(__xludf.DUMMYFUNCTION("((IFERROR(MIN(FILTER({L278, O278, R278}, ISNUMBER({L278, O278, R278}), {L278, O278, R278} &gt; 0)), """"))*S278)+IFERROR(MIN(FILTER({L278, O278, R278}, ISNUMBER({L278, O278, R278}), {L278, O278, R278} &gt; 0)), """")"),6847.0)</f>
        <v>6847</v>
      </c>
      <c r="U278" s="53">
        <f>IFERROR(__xludf.DUMMYFUNCTION("(T278-(IFERROR(MIN(FILTER({L278, O278, R278}, ISNUMBER({L278, O278, R278}), {L278, O278, R278} &gt; 0)), """")))/T278"),0.40119760479041916)</f>
        <v>0.4011976048</v>
      </c>
      <c r="V278" s="60">
        <v>300.0</v>
      </c>
      <c r="W278" s="60"/>
    </row>
    <row r="279" ht="22.5" customHeight="1">
      <c r="A27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SUBSTITUTE(E279, """", """")"),"#REF!")</f>
        <v>#REF!</v>
      </c>
      <c r="B279" s="37" t="s">
        <v>1176</v>
      </c>
      <c r="C279" s="37" t="s">
        <v>871</v>
      </c>
      <c r="D279" s="37" t="s">
        <v>72</v>
      </c>
      <c r="E279" s="38" t="s">
        <v>1177</v>
      </c>
      <c r="F279" s="49" t="s">
        <v>36</v>
      </c>
      <c r="G279" s="37" t="s">
        <v>1178</v>
      </c>
      <c r="H279" s="52" t="s">
        <v>41</v>
      </c>
      <c r="I279" s="34" t="s">
        <v>44</v>
      </c>
      <c r="J279" s="62"/>
      <c r="K279" s="62"/>
      <c r="L279" s="63"/>
      <c r="M279" s="64">
        <v>1000.0</v>
      </c>
      <c r="N279" s="64">
        <v>1000.0</v>
      </c>
      <c r="O279" s="64">
        <v>4000.0</v>
      </c>
      <c r="P279" s="62">
        <v>1000.0</v>
      </c>
      <c r="Q279" s="62">
        <v>1000.0</v>
      </c>
      <c r="R279" s="63"/>
      <c r="S279" s="58">
        <v>0.67</v>
      </c>
      <c r="T279" s="59">
        <f>IFERROR(__xludf.DUMMYFUNCTION("((IFERROR(MIN(FILTER({L279, O279, R279}, ISNUMBER({L279, O279, R279}), {L279, O279, R279} &gt; 0)), """"))*S279)+IFERROR(MIN(FILTER({L279, O279, R279}, ISNUMBER({L279, O279, R279}), {L279, O279, R279} &gt; 0)), """")"),6680.0)</f>
        <v>6680</v>
      </c>
      <c r="U279" s="53">
        <f>IFERROR(__xludf.DUMMYFUNCTION("(T279-(IFERROR(MIN(FILTER({L279, O279, R279}, ISNUMBER({L279, O279, R279}), {L279, O279, R279} &gt; 0)), """")))/T279"),0.40119760479041916)</f>
        <v>0.4011976048</v>
      </c>
      <c r="V279" s="60">
        <v>300.0</v>
      </c>
      <c r="W279" s="60"/>
    </row>
    <row r="280" ht="22.5" customHeight="1">
      <c r="A28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SUBSTITUTE(E280, """", """")"),"#REF!")</f>
        <v>#REF!</v>
      </c>
      <c r="B280" s="37" t="s">
        <v>1176</v>
      </c>
      <c r="C280" s="37" t="s">
        <v>871</v>
      </c>
      <c r="D280" s="37" t="s">
        <v>175</v>
      </c>
      <c r="E280" s="38" t="s">
        <v>1054</v>
      </c>
      <c r="F280" s="49" t="s">
        <v>36</v>
      </c>
      <c r="G280" s="37" t="s">
        <v>1178</v>
      </c>
      <c r="H280" s="52" t="s">
        <v>41</v>
      </c>
      <c r="I280" s="34" t="s">
        <v>44</v>
      </c>
      <c r="J280" s="62"/>
      <c r="K280" s="62"/>
      <c r="L280" s="63"/>
      <c r="M280" s="64">
        <v>1000.0</v>
      </c>
      <c r="N280" s="64">
        <v>1000.0</v>
      </c>
      <c r="O280" s="64">
        <v>4500.0</v>
      </c>
      <c r="P280" s="62">
        <v>1000.0</v>
      </c>
      <c r="Q280" s="62">
        <v>1000.0</v>
      </c>
      <c r="R280" s="63"/>
      <c r="S280" s="58">
        <v>0.67</v>
      </c>
      <c r="T280" s="59">
        <f>IFERROR(__xludf.DUMMYFUNCTION("((IFERROR(MIN(FILTER({L280, O280, R280}, ISNUMBER({L280, O280, R280}), {L280, O280, R280} &gt; 0)), """"))*S280)+IFERROR(MIN(FILTER({L280, O280, R280}, ISNUMBER({L280, O280, R280}), {L280, O280, R280} &gt; 0)), """")"),7515.0)</f>
        <v>7515</v>
      </c>
      <c r="U280" s="53">
        <f>IFERROR(__xludf.DUMMYFUNCTION("(T280-(IFERROR(MIN(FILTER({L280, O280, R280}, ISNUMBER({L280, O280, R280}), {L280, O280, R280} &gt; 0)), """")))/T280"),0.40119760479041916)</f>
        <v>0.4011976048</v>
      </c>
      <c r="V280" s="60">
        <v>300.0</v>
      </c>
      <c r="W280" s="60"/>
    </row>
    <row r="281" ht="22.5" customHeight="1">
      <c r="A28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SUBSTITUTE(E281, """", """")"),"#REF!")</f>
        <v>#REF!</v>
      </c>
      <c r="B281" s="37" t="s">
        <v>249</v>
      </c>
      <c r="C281" s="37" t="s">
        <v>871</v>
      </c>
      <c r="D281" s="37" t="s">
        <v>72</v>
      </c>
      <c r="E281" s="38" t="s">
        <v>1024</v>
      </c>
      <c r="F281" s="49" t="s">
        <v>55</v>
      </c>
      <c r="G281" s="37" t="s">
        <v>121</v>
      </c>
      <c r="H281" s="52" t="s">
        <v>41</v>
      </c>
      <c r="I281" s="34" t="s">
        <v>44</v>
      </c>
      <c r="J281" s="62">
        <v>25000.0</v>
      </c>
      <c r="K281" s="62">
        <v>25000.0</v>
      </c>
      <c r="L281" s="62">
        <v>330.0</v>
      </c>
      <c r="M281" s="64">
        <v>10000.0</v>
      </c>
      <c r="N281" s="64">
        <v>10000.0</v>
      </c>
      <c r="O281" s="64"/>
      <c r="P281" s="62">
        <v>10000.0</v>
      </c>
      <c r="Q281" s="62">
        <v>10000.0</v>
      </c>
      <c r="R281" s="62"/>
      <c r="S281" s="58">
        <v>0.67</v>
      </c>
      <c r="T281" s="59">
        <f>IFERROR(__xludf.DUMMYFUNCTION("((IFERROR(MIN(FILTER({L281, O281, R281}, ISNUMBER({L281, O281, R281}), {L281, O281, R281} &gt; 0)), """"))*S281)+IFERROR(MIN(FILTER({L281, O281, R281}, ISNUMBER({L281, O281, R281}), {L281, O281, R281} &gt; 0)), """")"),551.1)</f>
        <v>551.1</v>
      </c>
      <c r="U281" s="53">
        <f>IFERROR(__xludf.DUMMYFUNCTION("(T281-(IFERROR(MIN(FILTER({L281, O281, R281}, ISNUMBER({L281, O281, R281}), {L281, O281, R281} &gt; 0)), """")))/T281"),0.40119760479041916)</f>
        <v>0.4011976048</v>
      </c>
      <c r="V281" s="60">
        <v>300.0</v>
      </c>
      <c r="W281" s="60"/>
    </row>
    <row r="282" ht="22.5" customHeight="1">
      <c r="A28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SUBSTITUTE(E282, """", """")"),"#REF!")</f>
        <v>#REF!</v>
      </c>
      <c r="B282" s="37" t="s">
        <v>1181</v>
      </c>
      <c r="C282" s="37" t="s">
        <v>871</v>
      </c>
      <c r="D282" s="37" t="s">
        <v>251</v>
      </c>
      <c r="E282" s="38" t="s">
        <v>276</v>
      </c>
      <c r="F282" s="49" t="s">
        <v>36</v>
      </c>
      <c r="G282" s="37" t="s">
        <v>118</v>
      </c>
      <c r="H282" s="52" t="s">
        <v>41</v>
      </c>
      <c r="I282" s="34" t="s">
        <v>44</v>
      </c>
      <c r="J282" s="63">
        <v>25000.0</v>
      </c>
      <c r="K282" s="63">
        <v>25000.0</v>
      </c>
      <c r="L282" s="62">
        <v>455.0</v>
      </c>
      <c r="M282" s="59">
        <v>25000.0</v>
      </c>
      <c r="N282" s="59">
        <v>25000.0</v>
      </c>
      <c r="O282" s="64"/>
      <c r="P282" s="63">
        <v>25000.0</v>
      </c>
      <c r="Q282" s="63">
        <v>25000.0</v>
      </c>
      <c r="R282" s="62"/>
      <c r="S282" s="58">
        <v>0.67</v>
      </c>
      <c r="T282" s="59">
        <f>IFERROR(__xludf.DUMMYFUNCTION("((IFERROR(MIN(FILTER({L282, O282, R282}, ISNUMBER({L282, O282, R282}), {L282, O282, R282} &gt; 0)), """"))*S282)+IFERROR(MIN(FILTER({L282, O282, R282}, ISNUMBER({L282, O282, R282}), {L282, O282, R282} &gt; 0)), """")"),759.85)</f>
        <v>759.85</v>
      </c>
      <c r="U282" s="53">
        <f>IFERROR(__xludf.DUMMYFUNCTION("(T282-(IFERROR(MIN(FILTER({L282, O282, R282}, ISNUMBER({L282, O282, R282}), {L282, O282, R282} &gt; 0)), """")))/T282"),0.40119760479041916)</f>
        <v>0.4011976048</v>
      </c>
      <c r="V282" s="60">
        <v>300.0</v>
      </c>
      <c r="W282" s="60"/>
    </row>
    <row r="283" ht="22.5" customHeight="1">
      <c r="A28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SUBSTITUTE(E283, """", """")"),"#REF!")</f>
        <v>#REF!</v>
      </c>
      <c r="B283" s="37" t="s">
        <v>1181</v>
      </c>
      <c r="C283" s="37" t="s">
        <v>871</v>
      </c>
      <c r="D283" s="37" t="s">
        <v>251</v>
      </c>
      <c r="E283" s="38" t="s">
        <v>1182</v>
      </c>
      <c r="F283" s="49" t="s">
        <v>36</v>
      </c>
      <c r="G283" s="37" t="s">
        <v>118</v>
      </c>
      <c r="H283" s="52" t="s">
        <v>41</v>
      </c>
      <c r="I283" s="34" t="s">
        <v>44</v>
      </c>
      <c r="J283" s="62"/>
      <c r="K283" s="62"/>
      <c r="L283" s="63"/>
      <c r="M283" s="64">
        <v>1000.0</v>
      </c>
      <c r="N283" s="64">
        <v>1000.0</v>
      </c>
      <c r="O283" s="64">
        <v>580.0</v>
      </c>
      <c r="P283" s="62">
        <v>1000.0</v>
      </c>
      <c r="Q283" s="62">
        <v>1000.0</v>
      </c>
      <c r="R283" s="63"/>
      <c r="S283" s="58">
        <v>0.67</v>
      </c>
      <c r="T283" s="59">
        <f>IFERROR(__xludf.DUMMYFUNCTION("((IFERROR(MIN(FILTER({L283, O283, R283}, ISNUMBER({L283, O283, R283}), {L283, O283, R283} &gt; 0)), """"))*S283)+IFERROR(MIN(FILTER({L283, O283, R283}, ISNUMBER({L283, O283, R283}), {L283, O283, R283} &gt; 0)), """")"),968.6)</f>
        <v>968.6</v>
      </c>
      <c r="U283" s="53">
        <f>IFERROR(__xludf.DUMMYFUNCTION("(T283-(IFERROR(MIN(FILTER({L283, O283, R283}, ISNUMBER({L283, O283, R283}), {L283, O283, R283} &gt; 0)), """")))/T283"),0.40119760479041916)</f>
        <v>0.4011976048</v>
      </c>
      <c r="V283" s="60">
        <v>300.0</v>
      </c>
      <c r="W283" s="60"/>
    </row>
    <row r="284" ht="22.5" customHeight="1">
      <c r="A28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SUBSTITUTE(E284, """", """")"),"#REF!")</f>
        <v>#REF!</v>
      </c>
      <c r="B284" s="37" t="s">
        <v>980</v>
      </c>
      <c r="C284" s="37" t="s">
        <v>871</v>
      </c>
      <c r="D284" s="37" t="s">
        <v>251</v>
      </c>
      <c r="E284" s="38" t="s">
        <v>1183</v>
      </c>
      <c r="F284" s="49" t="s">
        <v>55</v>
      </c>
      <c r="G284" s="37" t="s">
        <v>100</v>
      </c>
      <c r="H284" s="52" t="s">
        <v>41</v>
      </c>
      <c r="I284" s="34" t="s">
        <v>44</v>
      </c>
      <c r="J284" s="62"/>
      <c r="K284" s="62"/>
      <c r="L284" s="63"/>
      <c r="M284" s="64">
        <v>5000.0</v>
      </c>
      <c r="N284" s="64">
        <v>5000.0</v>
      </c>
      <c r="O284" s="64">
        <v>230.0</v>
      </c>
      <c r="P284" s="62">
        <v>5000.0</v>
      </c>
      <c r="Q284" s="62">
        <v>5000.0</v>
      </c>
      <c r="R284" s="63"/>
      <c r="S284" s="58">
        <v>0.67</v>
      </c>
      <c r="T284" s="59">
        <f>IFERROR(__xludf.DUMMYFUNCTION("((IFERROR(MIN(FILTER({L284, O284, R284}, ISNUMBER({L284, O284, R284}), {L284, O284, R284} &gt; 0)), """"))*S284)+IFERROR(MIN(FILTER({L284, O284, R284}, ISNUMBER({L284, O284, R284}), {L284, O284, R284} &gt; 0)), """")"),384.1)</f>
        <v>384.1</v>
      </c>
      <c r="U284" s="53">
        <f>IFERROR(__xludf.DUMMYFUNCTION("(T284-(IFERROR(MIN(FILTER({L284, O284, R284}, ISNUMBER({L284, O284, R284}), {L284, O284, R284} &gt; 0)), """")))/T284"),0.4011976047904192)</f>
        <v>0.4011976048</v>
      </c>
      <c r="V284" s="60">
        <v>300.0</v>
      </c>
      <c r="W284" s="60"/>
    </row>
    <row r="285" ht="22.5" customHeight="1">
      <c r="A2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SUBSTITUTE(E285, """", """")"),"#REF!")</f>
        <v>#REF!</v>
      </c>
      <c r="B285" s="47" t="s">
        <v>1110</v>
      </c>
      <c r="C285" s="47" t="s">
        <v>871</v>
      </c>
      <c r="D285" s="47" t="s">
        <v>251</v>
      </c>
      <c r="E285" s="48" t="s">
        <v>1185</v>
      </c>
      <c r="F285" s="49" t="s">
        <v>36</v>
      </c>
      <c r="G285" s="47" t="s">
        <v>1186</v>
      </c>
      <c r="H285" s="52" t="s">
        <v>41</v>
      </c>
      <c r="I285" s="34" t="s">
        <v>44</v>
      </c>
      <c r="J285" s="54"/>
      <c r="K285" s="54"/>
      <c r="L285" s="57"/>
      <c r="M285" s="56">
        <v>2000.0</v>
      </c>
      <c r="N285" s="56">
        <v>2000.0</v>
      </c>
      <c r="O285" s="56"/>
      <c r="P285" s="54">
        <v>2000.0</v>
      </c>
      <c r="Q285" s="54">
        <v>2000.0</v>
      </c>
      <c r="R285" s="54">
        <v>3700.0</v>
      </c>
      <c r="S285" s="58">
        <v>0.67</v>
      </c>
      <c r="T285" s="59">
        <f>IFERROR(__xludf.DUMMYFUNCTION("((IFERROR(MIN(FILTER({L285, O285, R285}, ISNUMBER({L285, O285, R285}), {L285, O285, R285} &gt; 0)), """"))*S285)+IFERROR(MIN(FILTER({L285, O285, R285}, ISNUMBER({L285, O285, R285}), {L285, O285, R285} &gt; 0)), """")"),6179.0)</f>
        <v>6179</v>
      </c>
      <c r="U285" s="53">
        <f>IFERROR(__xludf.DUMMYFUNCTION("(T285-(IFERROR(MIN(FILTER({L285, O285, R285}, ISNUMBER({L285, O285, R285}), {L285, O285, R285} &gt; 0)), """")))/T285"),0.40119760479041916)</f>
        <v>0.4011976048</v>
      </c>
      <c r="V285" s="60">
        <v>300.0</v>
      </c>
      <c r="W285" s="60"/>
    </row>
    <row r="286" ht="22.5" customHeight="1">
      <c r="A2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SUBSTITUTE(E286, """", """")"),"#REF!")</f>
        <v>#REF!</v>
      </c>
      <c r="B286" s="47" t="s">
        <v>1110</v>
      </c>
      <c r="C286" s="47" t="s">
        <v>871</v>
      </c>
      <c r="D286" s="47" t="s">
        <v>251</v>
      </c>
      <c r="E286" s="48" t="s">
        <v>1185</v>
      </c>
      <c r="F286" s="49" t="s">
        <v>36</v>
      </c>
      <c r="G286" s="47" t="s">
        <v>1186</v>
      </c>
      <c r="H286" s="52" t="s">
        <v>41</v>
      </c>
      <c r="I286" s="34" t="s">
        <v>44</v>
      </c>
      <c r="J286" s="54"/>
      <c r="K286" s="54"/>
      <c r="L286" s="57"/>
      <c r="M286" s="56">
        <v>5000.0</v>
      </c>
      <c r="N286" s="56">
        <v>5000.0</v>
      </c>
      <c r="O286" s="56"/>
      <c r="P286" s="54">
        <v>5000.0</v>
      </c>
      <c r="Q286" s="54">
        <v>5000.0</v>
      </c>
      <c r="R286" s="54">
        <v>3200.0</v>
      </c>
      <c r="S286" s="58">
        <v>0.67</v>
      </c>
      <c r="T286" s="59">
        <f>IFERROR(__xludf.DUMMYFUNCTION("((IFERROR(MIN(FILTER({L286, O286, R286}, ISNUMBER({L286, O286, R286}), {L286, O286, R286} &gt; 0)), """"))*S286)+IFERROR(MIN(FILTER({L286, O286, R286}, ISNUMBER({L286, O286, R286}), {L286, O286, R286} &gt; 0)), """")"),5344.0)</f>
        <v>5344</v>
      </c>
      <c r="U286" s="53">
        <f>IFERROR(__xludf.DUMMYFUNCTION("(T286-(IFERROR(MIN(FILTER({L286, O286, R286}, ISNUMBER({L286, O286, R286}), {L286, O286, R286} &gt; 0)), """")))/T286"),0.40119760479041916)</f>
        <v>0.4011976048</v>
      </c>
      <c r="V286" s="60">
        <v>300.0</v>
      </c>
      <c r="W286" s="60"/>
    </row>
    <row r="287" ht="22.5" customHeight="1">
      <c r="A2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SUBSTITUTE(E287, """", """")"),"#REF!")</f>
        <v>#REF!</v>
      </c>
      <c r="B287" s="47" t="s">
        <v>1110</v>
      </c>
      <c r="C287" s="47" t="s">
        <v>871</v>
      </c>
      <c r="D287" s="47" t="s">
        <v>251</v>
      </c>
      <c r="E287" s="48" t="s">
        <v>1185</v>
      </c>
      <c r="F287" s="49" t="s">
        <v>36</v>
      </c>
      <c r="G287" s="47" t="s">
        <v>1186</v>
      </c>
      <c r="H287" s="52" t="s">
        <v>41</v>
      </c>
      <c r="I287" s="34" t="s">
        <v>44</v>
      </c>
      <c r="J287" s="54"/>
      <c r="K287" s="54"/>
      <c r="L287" s="57"/>
      <c r="M287" s="56">
        <v>10000.0</v>
      </c>
      <c r="N287" s="56">
        <v>10000.0</v>
      </c>
      <c r="O287" s="56"/>
      <c r="P287" s="54">
        <v>10000.0</v>
      </c>
      <c r="Q287" s="54">
        <v>10000.0</v>
      </c>
      <c r="R287" s="54">
        <v>2800.0</v>
      </c>
      <c r="S287" s="58">
        <v>0.67</v>
      </c>
      <c r="T287" s="59">
        <f>IFERROR(__xludf.DUMMYFUNCTION("((IFERROR(MIN(FILTER({L287, O287, R287}, ISNUMBER({L287, O287, R287}), {L287, O287, R287} &gt; 0)), """"))*S287)+IFERROR(MIN(FILTER({L287, O287, R287}, ISNUMBER({L287, O287, R287}), {L287, O287, R287} &gt; 0)), """")"),4676.0)</f>
        <v>4676</v>
      </c>
      <c r="U287" s="53">
        <f>IFERROR(__xludf.DUMMYFUNCTION("(T287-(IFERROR(MIN(FILTER({L287, O287, R287}, ISNUMBER({L287, O287, R287}), {L287, O287, R287} &gt; 0)), """")))/T287"),0.40119760479041916)</f>
        <v>0.4011976048</v>
      </c>
      <c r="V287" s="60">
        <v>300.0</v>
      </c>
      <c r="W287" s="60"/>
    </row>
    <row r="288" ht="22.5" customHeight="1">
      <c r="A28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SUBSTITUTE(E288, """", """")"),"#REF!")</f>
        <v>#REF!</v>
      </c>
      <c r="B288" s="37" t="s">
        <v>1190</v>
      </c>
      <c r="C288" s="37" t="s">
        <v>1191</v>
      </c>
      <c r="D288" s="37" t="s">
        <v>479</v>
      </c>
      <c r="E288" s="38" t="s">
        <v>1192</v>
      </c>
      <c r="F288" s="49" t="s">
        <v>63</v>
      </c>
      <c r="G288" s="37" t="s">
        <v>67</v>
      </c>
      <c r="H288" s="52" t="s">
        <v>41</v>
      </c>
      <c r="I288" s="34" t="s">
        <v>1194</v>
      </c>
      <c r="J288" s="62"/>
      <c r="K288" s="62"/>
      <c r="L288" s="63"/>
      <c r="M288" s="64">
        <v>2000.0</v>
      </c>
      <c r="N288" s="64">
        <v>2000.0</v>
      </c>
      <c r="O288" s="64">
        <v>2342.0</v>
      </c>
      <c r="P288" s="62">
        <v>2000.0</v>
      </c>
      <c r="Q288" s="62">
        <v>2000.0</v>
      </c>
      <c r="R288" s="63"/>
      <c r="S288" s="58">
        <v>0.67</v>
      </c>
      <c r="T288" s="59">
        <f>IFERROR(__xludf.DUMMYFUNCTION("((IFERROR(MIN(FILTER({L288, O288, R288}, ISNUMBER({L288, O288, R288}), {L288, O288, R288} &gt; 0)), """"))*S288)+IFERROR(MIN(FILTER({L288, O288, R288}, ISNUMBER({L288, O288, R288}), {L288, O288, R288} &gt; 0)), """")"),3911.1400000000003)</f>
        <v>3911.14</v>
      </c>
      <c r="U288" s="53">
        <f>IFERROR(__xludf.DUMMYFUNCTION("(T288-(IFERROR(MIN(FILTER({L288, O288, R288}, ISNUMBER({L288, O288, R288}), {L288, O288, R288} &gt; 0)), """")))/T288"),0.4011976047904192)</f>
        <v>0.4011976048</v>
      </c>
      <c r="V288" s="60">
        <v>300.0</v>
      </c>
      <c r="W288" s="60"/>
    </row>
    <row r="289" ht="22.5" customHeight="1">
      <c r="A28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SUBSTITUTE(E289, """", """")"),"#REF!")</f>
        <v>#REF!</v>
      </c>
      <c r="B289" s="37" t="s">
        <v>1190</v>
      </c>
      <c r="C289" s="37" t="s">
        <v>1191</v>
      </c>
      <c r="D289" s="37" t="s">
        <v>479</v>
      </c>
      <c r="E289" s="38" t="s">
        <v>1192</v>
      </c>
      <c r="F289" s="49" t="s">
        <v>63</v>
      </c>
      <c r="G289" s="37" t="s">
        <v>67</v>
      </c>
      <c r="H289" s="52" t="s">
        <v>41</v>
      </c>
      <c r="I289" s="34" t="s">
        <v>1194</v>
      </c>
      <c r="J289" s="62"/>
      <c r="K289" s="62"/>
      <c r="L289" s="63"/>
      <c r="M289" s="64">
        <v>5000.0</v>
      </c>
      <c r="N289" s="64">
        <v>5000.0</v>
      </c>
      <c r="O289" s="64">
        <v>1802.0</v>
      </c>
      <c r="P289" s="62">
        <v>5000.0</v>
      </c>
      <c r="Q289" s="62">
        <v>5000.0</v>
      </c>
      <c r="R289" s="63"/>
      <c r="S289" s="58">
        <v>0.67</v>
      </c>
      <c r="T289" s="59">
        <f>IFERROR(__xludf.DUMMYFUNCTION("((IFERROR(MIN(FILTER({L289, O289, R289}, ISNUMBER({L289, O289, R289}), {L289, O289, R289} &gt; 0)), """"))*S289)+IFERROR(MIN(FILTER({L289, O289, R289}, ISNUMBER({L289, O289, R289}), {L289, O289, R289} &gt; 0)), """")"),3009.34)</f>
        <v>3009.34</v>
      </c>
      <c r="U289" s="53">
        <f>IFERROR(__xludf.DUMMYFUNCTION("(T289-(IFERROR(MIN(FILTER({L289, O289, R289}, ISNUMBER({L289, O289, R289}), {L289, O289, R289} &gt; 0)), """")))/T289"),0.4011976047904192)</f>
        <v>0.4011976048</v>
      </c>
      <c r="V289" s="60">
        <v>300.0</v>
      </c>
      <c r="W289" s="60"/>
    </row>
    <row r="290" ht="22.5" customHeight="1">
      <c r="A29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SUBSTITUTE(E290, """", """")"),"#REF!")</f>
        <v>#REF!</v>
      </c>
      <c r="B290" s="37" t="s">
        <v>1190</v>
      </c>
      <c r="C290" s="37" t="s">
        <v>1195</v>
      </c>
      <c r="D290" s="37" t="s">
        <v>479</v>
      </c>
      <c r="E290" s="38" t="s">
        <v>1196</v>
      </c>
      <c r="F290" s="49" t="s">
        <v>63</v>
      </c>
      <c r="G290" s="37" t="s">
        <v>67</v>
      </c>
      <c r="H290" s="52" t="s">
        <v>41</v>
      </c>
      <c r="I290" s="34" t="s">
        <v>1194</v>
      </c>
      <c r="J290" s="62"/>
      <c r="K290" s="62"/>
      <c r="L290" s="63"/>
      <c r="M290" s="64">
        <v>2000.0</v>
      </c>
      <c r="N290" s="64">
        <v>2000.0</v>
      </c>
      <c r="O290" s="64">
        <v>1977.0</v>
      </c>
      <c r="P290" s="62">
        <v>2000.0</v>
      </c>
      <c r="Q290" s="62">
        <v>2000.0</v>
      </c>
      <c r="R290" s="63"/>
      <c r="S290" s="58">
        <v>0.67</v>
      </c>
      <c r="T290" s="59">
        <f>IFERROR(__xludf.DUMMYFUNCTION("((IFERROR(MIN(FILTER({L290, O290, R290}, ISNUMBER({L290, O290, R290}), {L290, O290, R290} &gt; 0)), """"))*S290)+IFERROR(MIN(FILTER({L290, O290, R290}, ISNUMBER({L290, O290, R290}), {L290, O290, R290} &gt; 0)), """")"),3301.59)</f>
        <v>3301.59</v>
      </c>
      <c r="U290" s="53">
        <f>IFERROR(__xludf.DUMMYFUNCTION("(T290-(IFERROR(MIN(FILTER({L290, O290, R290}, ISNUMBER({L290, O290, R290}), {L290, O290, R290} &gt; 0)), """")))/T290"),0.4011976047904192)</f>
        <v>0.4011976048</v>
      </c>
      <c r="V290" s="60">
        <v>300.0</v>
      </c>
      <c r="W290" s="60"/>
    </row>
    <row r="291" ht="22.5" customHeight="1">
      <c r="A29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SUBSTITUTE(E291, """", """")"),"#REF!")</f>
        <v>#REF!</v>
      </c>
      <c r="B291" s="37" t="s">
        <v>1190</v>
      </c>
      <c r="C291" s="37" t="s">
        <v>1195</v>
      </c>
      <c r="D291" s="37" t="s">
        <v>479</v>
      </c>
      <c r="E291" s="38" t="s">
        <v>1196</v>
      </c>
      <c r="F291" s="49" t="s">
        <v>63</v>
      </c>
      <c r="G291" s="37" t="s">
        <v>67</v>
      </c>
      <c r="H291" s="52" t="s">
        <v>41</v>
      </c>
      <c r="I291" s="34" t="s">
        <v>1194</v>
      </c>
      <c r="J291" s="62"/>
      <c r="K291" s="62"/>
      <c r="L291" s="63"/>
      <c r="M291" s="64">
        <v>5000.0</v>
      </c>
      <c r="N291" s="64">
        <v>5000.0</v>
      </c>
      <c r="O291" s="64">
        <v>1249.0</v>
      </c>
      <c r="P291" s="62">
        <v>5000.0</v>
      </c>
      <c r="Q291" s="62">
        <v>5000.0</v>
      </c>
      <c r="R291" s="63"/>
      <c r="S291" s="58">
        <v>0.67</v>
      </c>
      <c r="T291" s="59">
        <f>IFERROR(__xludf.DUMMYFUNCTION("((IFERROR(MIN(FILTER({L291, O291, R291}, ISNUMBER({L291, O291, R291}), {L291, O291, R291} &gt; 0)), """"))*S291)+IFERROR(MIN(FILTER({L291, O291, R291}, ISNUMBER({L291, O291, R291}), {L291, O291, R291} &gt; 0)), """")"),2085.83)</f>
        <v>2085.83</v>
      </c>
      <c r="U291" s="53">
        <f>IFERROR(__xludf.DUMMYFUNCTION("(T291-(IFERROR(MIN(FILTER({L291, O291, R291}, ISNUMBER({L291, O291, R291}), {L291, O291, R291} &gt; 0)), """")))/T291"),0.40119760479041916)</f>
        <v>0.4011976048</v>
      </c>
      <c r="V291" s="60">
        <v>300.0</v>
      </c>
      <c r="W291" s="60"/>
    </row>
    <row r="292" ht="22.5" customHeight="1">
      <c r="A29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SUBSTITUTE(E292, """", """")"),"#REF!")</f>
        <v>#REF!</v>
      </c>
      <c r="B292" s="37" t="s">
        <v>1201</v>
      </c>
      <c r="C292" s="37" t="s">
        <v>1202</v>
      </c>
      <c r="D292" s="37" t="s">
        <v>1203</v>
      </c>
      <c r="E292" s="38" t="s">
        <v>1204</v>
      </c>
      <c r="F292" s="49" t="s">
        <v>55</v>
      </c>
      <c r="G292" s="37" t="s">
        <v>58</v>
      </c>
      <c r="H292" s="52" t="s">
        <v>41</v>
      </c>
      <c r="I292" s="34" t="s">
        <v>1012</v>
      </c>
      <c r="J292" s="62"/>
      <c r="K292" s="62"/>
      <c r="L292" s="63"/>
      <c r="M292" s="64">
        <v>2000.0</v>
      </c>
      <c r="N292" s="64">
        <v>2000.0</v>
      </c>
      <c r="O292" s="59"/>
      <c r="P292" s="62">
        <v>2000.0</v>
      </c>
      <c r="Q292" s="62">
        <v>2000.0</v>
      </c>
      <c r="R292" s="62">
        <v>2765.0</v>
      </c>
      <c r="S292" s="58">
        <v>0.67</v>
      </c>
      <c r="T292" s="59">
        <f>IFERROR(__xludf.DUMMYFUNCTION("((IFERROR(MIN(FILTER({L292, O292, R292}, ISNUMBER({L292, O292, R292}), {L292, O292, R292} &gt; 0)), """"))*S292)+IFERROR(MIN(FILTER({L292, O292, R292}, ISNUMBER({L292, O292, R292}), {L292, O292, R292} &gt; 0)), """")"),4617.55)</f>
        <v>4617.55</v>
      </c>
      <c r="U292" s="53">
        <f>IFERROR(__xludf.DUMMYFUNCTION("(T292-(IFERROR(MIN(FILTER({L292, O292, R292}, ISNUMBER({L292, O292, R292}), {L292, O292, R292} &gt; 0)), """")))/T292"),0.40119760479041916)</f>
        <v>0.4011976048</v>
      </c>
      <c r="V292" s="60">
        <v>300.0</v>
      </c>
      <c r="W292" s="60"/>
    </row>
    <row r="293" ht="22.5" customHeight="1">
      <c r="A29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SUBSTITUTE(E293, """", """")"),"#REF!")</f>
        <v>#REF!</v>
      </c>
      <c r="B293" s="37" t="s">
        <v>1201</v>
      </c>
      <c r="C293" s="37" t="s">
        <v>1202</v>
      </c>
      <c r="D293" s="37" t="s">
        <v>1203</v>
      </c>
      <c r="E293" s="38" t="s">
        <v>1204</v>
      </c>
      <c r="F293" s="49" t="s">
        <v>55</v>
      </c>
      <c r="G293" s="37" t="s">
        <v>58</v>
      </c>
      <c r="H293" s="52" t="s">
        <v>41</v>
      </c>
      <c r="I293" s="34" t="s">
        <v>1012</v>
      </c>
      <c r="J293" s="62"/>
      <c r="K293" s="62"/>
      <c r="L293" s="63"/>
      <c r="M293" s="64">
        <v>5000.0</v>
      </c>
      <c r="N293" s="64">
        <v>5000.0</v>
      </c>
      <c r="O293" s="59"/>
      <c r="P293" s="62">
        <v>5000.0</v>
      </c>
      <c r="Q293" s="62">
        <v>5000.0</v>
      </c>
      <c r="R293" s="62">
        <v>1915.0</v>
      </c>
      <c r="S293" s="58">
        <v>0.67</v>
      </c>
      <c r="T293" s="59">
        <f>IFERROR(__xludf.DUMMYFUNCTION("((IFERROR(MIN(FILTER({L293, O293, R293}, ISNUMBER({L293, O293, R293}), {L293, O293, R293} &gt; 0)), """"))*S293)+IFERROR(MIN(FILTER({L293, O293, R293}, ISNUMBER({L293, O293, R293}), {L293, O293, R293} &gt; 0)), """")"),3198.05)</f>
        <v>3198.05</v>
      </c>
      <c r="U293" s="53">
        <f>IFERROR(__xludf.DUMMYFUNCTION("(T293-(IFERROR(MIN(FILTER({L293, O293, R293}, ISNUMBER({L293, O293, R293}), {L293, O293, R293} &gt; 0)), """")))/T293"),0.4011976047904192)</f>
        <v>0.4011976048</v>
      </c>
      <c r="V293" s="60">
        <v>300.0</v>
      </c>
      <c r="W293" s="60"/>
    </row>
    <row r="294" ht="22.5" customHeight="1">
      <c r="A29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SUBSTITUTE(E294, """", """")"),"#REF!")</f>
        <v>#REF!</v>
      </c>
      <c r="B294" s="37" t="s">
        <v>1190</v>
      </c>
      <c r="C294" s="37" t="s">
        <v>1207</v>
      </c>
      <c r="D294" s="37" t="s">
        <v>479</v>
      </c>
      <c r="E294" s="38" t="s">
        <v>1209</v>
      </c>
      <c r="F294" s="49" t="s">
        <v>63</v>
      </c>
      <c r="G294" s="37" t="s">
        <v>67</v>
      </c>
      <c r="H294" s="52" t="s">
        <v>41</v>
      </c>
      <c r="I294" s="34" t="s">
        <v>1194</v>
      </c>
      <c r="J294" s="62"/>
      <c r="K294" s="62"/>
      <c r="L294" s="63"/>
      <c r="M294" s="64">
        <v>2000.0</v>
      </c>
      <c r="N294" s="64">
        <v>2000.0</v>
      </c>
      <c r="O294" s="64">
        <v>2239.0</v>
      </c>
      <c r="P294" s="62">
        <v>2000.0</v>
      </c>
      <c r="Q294" s="62">
        <v>2000.0</v>
      </c>
      <c r="R294" s="63"/>
      <c r="S294" s="58">
        <v>0.67</v>
      </c>
      <c r="T294" s="59">
        <f>IFERROR(__xludf.DUMMYFUNCTION("((IFERROR(MIN(FILTER({L294, O294, R294}, ISNUMBER({L294, O294, R294}), {L294, O294, R294} &gt; 0)), """"))*S294)+IFERROR(MIN(FILTER({L294, O294, R294}, ISNUMBER({L294, O294, R294}), {L294, O294, R294} &gt; 0)), """")"),3739.13)</f>
        <v>3739.13</v>
      </c>
      <c r="U294" s="53">
        <f>IFERROR(__xludf.DUMMYFUNCTION("(T294-(IFERROR(MIN(FILTER({L294, O294, R294}, ISNUMBER({L294, O294, R294}), {L294, O294, R294} &gt; 0)), """")))/T294"),0.40119760479041916)</f>
        <v>0.4011976048</v>
      </c>
      <c r="V294" s="60">
        <v>300.0</v>
      </c>
      <c r="W294" s="60"/>
    </row>
    <row r="295" ht="22.5" customHeight="1">
      <c r="A29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SUBSTITUTE(E295, """", """")"),"#REF!")</f>
        <v>#REF!</v>
      </c>
      <c r="B295" s="37" t="s">
        <v>1190</v>
      </c>
      <c r="C295" s="37" t="s">
        <v>1207</v>
      </c>
      <c r="D295" s="37" t="s">
        <v>479</v>
      </c>
      <c r="E295" s="38" t="s">
        <v>1209</v>
      </c>
      <c r="F295" s="49" t="s">
        <v>63</v>
      </c>
      <c r="G295" s="37" t="s">
        <v>67</v>
      </c>
      <c r="H295" s="52" t="s">
        <v>41</v>
      </c>
      <c r="I295" s="34" t="s">
        <v>1194</v>
      </c>
      <c r="J295" s="62"/>
      <c r="K295" s="62"/>
      <c r="L295" s="63"/>
      <c r="M295" s="64">
        <v>5000.0</v>
      </c>
      <c r="N295" s="64">
        <v>5000.0</v>
      </c>
      <c r="O295" s="64">
        <v>1550.0</v>
      </c>
      <c r="P295" s="62">
        <v>5000.0</v>
      </c>
      <c r="Q295" s="62">
        <v>5000.0</v>
      </c>
      <c r="R295" s="63"/>
      <c r="S295" s="58">
        <v>0.67</v>
      </c>
      <c r="T295" s="59">
        <f>IFERROR(__xludf.DUMMYFUNCTION("((IFERROR(MIN(FILTER({L295, O295, R295}, ISNUMBER({L295, O295, R295}), {L295, O295, R295} &gt; 0)), """"))*S295)+IFERROR(MIN(FILTER({L295, O295, R295}, ISNUMBER({L295, O295, R295}), {L295, O295, R295} &gt; 0)), """")"),2588.5)</f>
        <v>2588.5</v>
      </c>
      <c r="U295" s="53">
        <f>IFERROR(__xludf.DUMMYFUNCTION("(T295-(IFERROR(MIN(FILTER({L295, O295, R295}, ISNUMBER({L295, O295, R295}), {L295, O295, R295} &gt; 0)), """")))/T295"),0.40119760479041916)</f>
        <v>0.4011976048</v>
      </c>
      <c r="V295" s="60">
        <v>300.0</v>
      </c>
      <c r="W295" s="60"/>
    </row>
    <row r="296" ht="22.5" customHeight="1">
      <c r="A296" s="61" t="str">
        <f t="shared" ref="A296:A301" si="6">"R-TP-" &amp; 
IFS(
  ISNUMBER(SEARCH("Satchel Envelope", #REF!)), "ESB",
  ISNUMBER(SEARCH("Satchel Bag", #REF!)), "SB",
  ISNUMBER(SEARCH("Satchel (hanya berlaku", #REF!)), "FSB",
  ISNUMBER(SEARCH("Satchel Window", #REF!)), "WSB",
  ISNUMBER(SEARCH("Satchel Aluminium", #REF!)), "ASB",
  ISNUMBER(SEARCH("SOS Bag", #REF!)), "PB",
  ISNUMBER(SEARCH("Paper Bag Handle", #REF!)), "PBT",
  TRUE, "UNKNOWN"
) &amp; "-" &amp; 
IFS(
  ISNUMBER(SEARCH("White", #REF!)), "W",
  ISNUMBER(SEARCH("Greaseproof", #REF!)), "W",
  ISNUMBER(SEARCH("HVS", #REF!)), "W",
  ISNUMBER(SEARCH("Aluminium", #REF!)), "W",
  ISNUMBER(SEARCH("White Kraft", #REF!)), "W",
  ISNUMBER(SEARCH("Brown", #REF!)), "B",
  ISNUMBER(SEARCH("Brown Kraft", #REF!)), "B",
  TRUE, "X"
) &amp; "-" &amp; E296</f>
        <v>R-TP-UNKNOWN-X-18,8 x 7,7 x 29,8</v>
      </c>
      <c r="B296" s="37" t="s">
        <v>1213</v>
      </c>
      <c r="C296" s="37" t="s">
        <v>1214</v>
      </c>
      <c r="D296" s="37" t="s">
        <v>333</v>
      </c>
      <c r="E296" s="38" t="s">
        <v>1215</v>
      </c>
      <c r="F296" s="40" t="s">
        <v>46</v>
      </c>
      <c r="G296" s="37"/>
      <c r="H296" s="43" t="s">
        <v>41</v>
      </c>
      <c r="I296" s="34" t="s">
        <v>1216</v>
      </c>
      <c r="J296" s="62">
        <v>25000.0</v>
      </c>
      <c r="K296" s="62">
        <v>25000.0</v>
      </c>
      <c r="L296" s="63"/>
      <c r="M296" s="64">
        <v>25000.0</v>
      </c>
      <c r="N296" s="64">
        <v>25000.0</v>
      </c>
      <c r="O296" s="64">
        <v>3050.0</v>
      </c>
      <c r="P296" s="62">
        <v>25000.0</v>
      </c>
      <c r="Q296" s="62">
        <v>25000.0</v>
      </c>
      <c r="R296" s="63"/>
      <c r="S296" s="58">
        <v>0.67</v>
      </c>
      <c r="T296" s="59">
        <f>IFERROR(__xludf.DUMMYFUNCTION("((IFERROR(MIN(FILTER({L296, O296, R296}, ISNUMBER({L296, O296, R296}), {L296, O296, R296} &gt; 0)), """"))*S296)+IFERROR(MIN(FILTER({L296, O296, R296}, ISNUMBER({L296, O296, R296}), {L296, O296, R296} &gt; 0)), """")"),5093.5)</f>
        <v>5093.5</v>
      </c>
      <c r="U296" s="53">
        <f>IFERROR(__xludf.DUMMYFUNCTION("(T296-(IFERROR(MIN(FILTER({L296, O296, R296}, ISNUMBER({L296, O296, R296}), {L296, O296, R296} &gt; 0)), """")))/T296"),0.40119760479041916)</f>
        <v>0.4011976048</v>
      </c>
      <c r="V296" s="60">
        <v>400.0</v>
      </c>
      <c r="W296" s="60">
        <f t="shared" ref="W296:W301" si="7">IF(T296="", "", T296+V296)</f>
        <v>5493.5</v>
      </c>
    </row>
    <row r="297" ht="22.5" customHeight="1">
      <c r="A297" s="61" t="str">
        <f t="shared" si="6"/>
        <v>R-TP-UNKNOWN-X-18,8 x 7,7 x 29,8</v>
      </c>
      <c r="B297" s="37" t="s">
        <v>1213</v>
      </c>
      <c r="C297" s="37" t="s">
        <v>1214</v>
      </c>
      <c r="D297" s="37" t="s">
        <v>333</v>
      </c>
      <c r="E297" s="38" t="s">
        <v>1215</v>
      </c>
      <c r="F297" s="40" t="s">
        <v>46</v>
      </c>
      <c r="G297" s="97"/>
      <c r="H297" s="43" t="s">
        <v>41</v>
      </c>
      <c r="I297" s="34" t="s">
        <v>1216</v>
      </c>
      <c r="J297" s="62">
        <v>50000.0</v>
      </c>
      <c r="K297" s="62">
        <v>50000.0</v>
      </c>
      <c r="L297" s="63"/>
      <c r="M297" s="64">
        <v>50000.0</v>
      </c>
      <c r="N297" s="64">
        <v>50000.0</v>
      </c>
      <c r="O297" s="64">
        <v>3000.0</v>
      </c>
      <c r="P297" s="62">
        <v>50000.0</v>
      </c>
      <c r="Q297" s="62">
        <v>50000.0</v>
      </c>
      <c r="R297" s="63"/>
      <c r="S297" s="58">
        <v>0.67</v>
      </c>
      <c r="T297" s="59">
        <f>IFERROR(__xludf.DUMMYFUNCTION("((IFERROR(MIN(FILTER({L297, O297, R297}, ISNUMBER({L297, O297, R297}), {L297, O297, R297} &gt; 0)), """"))*S297)+IFERROR(MIN(FILTER({L297, O297, R297}, ISNUMBER({L297, O297, R297}), {L297, O297, R297} &gt; 0)), """")"),5010.0)</f>
        <v>5010</v>
      </c>
      <c r="U297" s="53">
        <f>IFERROR(__xludf.DUMMYFUNCTION("(T297-(IFERROR(MIN(FILTER({L297, O297, R297}, ISNUMBER({L297, O297, R297}), {L297, O297, R297} &gt; 0)), """")))/T297"),0.40119760479041916)</f>
        <v>0.4011976048</v>
      </c>
      <c r="V297" s="60">
        <v>400.0</v>
      </c>
      <c r="W297" s="60">
        <f t="shared" si="7"/>
        <v>5410</v>
      </c>
    </row>
    <row r="298" ht="22.5" customHeight="1">
      <c r="A298" s="61" t="str">
        <f t="shared" si="6"/>
        <v>R-TP-UNKNOWN-X-18,8 x 7,7 x 29,8</v>
      </c>
      <c r="B298" s="37" t="s">
        <v>1213</v>
      </c>
      <c r="C298" s="37" t="s">
        <v>1214</v>
      </c>
      <c r="D298" s="37" t="s">
        <v>333</v>
      </c>
      <c r="E298" s="38" t="s">
        <v>1215</v>
      </c>
      <c r="F298" s="40" t="s">
        <v>46</v>
      </c>
      <c r="G298" s="97"/>
      <c r="H298" s="43" t="s">
        <v>41</v>
      </c>
      <c r="I298" s="34" t="s">
        <v>1216</v>
      </c>
      <c r="J298" s="62">
        <v>100000.0</v>
      </c>
      <c r="K298" s="62">
        <v>100000.0</v>
      </c>
      <c r="L298" s="63"/>
      <c r="M298" s="64">
        <v>100000.0</v>
      </c>
      <c r="N298" s="64">
        <v>100000.0</v>
      </c>
      <c r="O298" s="64">
        <v>2950.0</v>
      </c>
      <c r="P298" s="62">
        <v>100000.0</v>
      </c>
      <c r="Q298" s="62">
        <v>100000.0</v>
      </c>
      <c r="R298" s="63"/>
      <c r="S298" s="58">
        <v>0.67</v>
      </c>
      <c r="T298" s="59">
        <f>IFERROR(__xludf.DUMMYFUNCTION("((IFERROR(MIN(FILTER({L298, O298, R298}, ISNUMBER({L298, O298, R298}), {L298, O298, R298} &gt; 0)), """"))*S298)+IFERROR(MIN(FILTER({L298, O298, R298}, ISNUMBER({L298, O298, R298}), {L298, O298, R298} &gt; 0)), """")"),4926.5)</f>
        <v>4926.5</v>
      </c>
      <c r="U298" s="53">
        <f>IFERROR(__xludf.DUMMYFUNCTION("(T298-(IFERROR(MIN(FILTER({L298, O298, R298}, ISNUMBER({L298, O298, R298}), {L298, O298, R298} &gt; 0)), """")))/T298"),0.40119760479041916)</f>
        <v>0.4011976048</v>
      </c>
      <c r="V298" s="60">
        <v>400.0</v>
      </c>
      <c r="W298" s="60">
        <f t="shared" si="7"/>
        <v>5326.5</v>
      </c>
    </row>
    <row r="299" ht="22.5" customHeight="1">
      <c r="A299" s="61" t="str">
        <f t="shared" si="6"/>
        <v>R-TP-UNKNOWN-X-28 x 10 x 40</v>
      </c>
      <c r="B299" s="37" t="s">
        <v>1213</v>
      </c>
      <c r="C299" s="37" t="s">
        <v>1214</v>
      </c>
      <c r="D299" s="37" t="s">
        <v>333</v>
      </c>
      <c r="E299" s="38" t="s">
        <v>1220</v>
      </c>
      <c r="F299" s="40" t="s">
        <v>46</v>
      </c>
      <c r="G299" s="97"/>
      <c r="H299" s="43" t="s">
        <v>41</v>
      </c>
      <c r="I299" s="34" t="s">
        <v>1216</v>
      </c>
      <c r="J299" s="62"/>
      <c r="K299" s="62"/>
      <c r="L299" s="63"/>
      <c r="M299" s="64">
        <v>10000.0</v>
      </c>
      <c r="N299" s="64">
        <v>10000.0</v>
      </c>
      <c r="O299" s="64">
        <v>5450.0</v>
      </c>
      <c r="P299" s="62">
        <v>10000.0</v>
      </c>
      <c r="Q299" s="62">
        <v>10000.0</v>
      </c>
      <c r="R299" s="63"/>
      <c r="S299" s="58">
        <v>0.67</v>
      </c>
      <c r="T299" s="59">
        <f>IFERROR(__xludf.DUMMYFUNCTION("((IFERROR(MIN(FILTER({L299, O299, R299}, ISNUMBER({L299, O299, R299}), {L299, O299, R299} &gt; 0)), """"))*S299)+IFERROR(MIN(FILTER({L299, O299, R299}, ISNUMBER({L299, O299, R299}), {L299, O299, R299} &gt; 0)), """")"),9101.5)</f>
        <v>9101.5</v>
      </c>
      <c r="U299" s="53">
        <f>IFERROR(__xludf.DUMMYFUNCTION("(T299-(IFERROR(MIN(FILTER({L299, O299, R299}, ISNUMBER({L299, O299, R299}), {L299, O299, R299} &gt; 0)), """")))/T299"),0.40119760479041916)</f>
        <v>0.4011976048</v>
      </c>
      <c r="V299" s="60">
        <v>400.0</v>
      </c>
      <c r="W299" s="60">
        <f t="shared" si="7"/>
        <v>9501.5</v>
      </c>
    </row>
    <row r="300" ht="22.5" customHeight="1">
      <c r="A300" s="61" t="str">
        <f t="shared" si="6"/>
        <v>R-TP-UNKNOWN-X-28 x 10 x 40</v>
      </c>
      <c r="B300" s="37" t="s">
        <v>1213</v>
      </c>
      <c r="C300" s="37" t="s">
        <v>1214</v>
      </c>
      <c r="D300" s="37" t="s">
        <v>333</v>
      </c>
      <c r="E300" s="38" t="s">
        <v>1220</v>
      </c>
      <c r="F300" s="40" t="s">
        <v>46</v>
      </c>
      <c r="G300" s="97"/>
      <c r="H300" s="43" t="s">
        <v>41</v>
      </c>
      <c r="I300" s="34" t="s">
        <v>1216</v>
      </c>
      <c r="J300" s="62"/>
      <c r="K300" s="62"/>
      <c r="L300" s="63"/>
      <c r="M300" s="64">
        <v>20000.0</v>
      </c>
      <c r="N300" s="64">
        <v>20000.0</v>
      </c>
      <c r="O300" s="64">
        <v>5250.0</v>
      </c>
      <c r="P300" s="62">
        <v>20000.0</v>
      </c>
      <c r="Q300" s="62">
        <v>20000.0</v>
      </c>
      <c r="R300" s="63"/>
      <c r="S300" s="58">
        <v>0.67</v>
      </c>
      <c r="T300" s="59">
        <f>IFERROR(__xludf.DUMMYFUNCTION("((IFERROR(MIN(FILTER({L300, O300, R300}, ISNUMBER({L300, O300, R300}), {L300, O300, R300} &gt; 0)), """"))*S300)+IFERROR(MIN(FILTER({L300, O300, R300}, ISNUMBER({L300, O300, R300}), {L300, O300, R300} &gt; 0)), """")"),8767.5)</f>
        <v>8767.5</v>
      </c>
      <c r="U300" s="53">
        <f>IFERROR(__xludf.DUMMYFUNCTION("(T300-(IFERROR(MIN(FILTER({L300, O300, R300}, ISNUMBER({L300, O300, R300}), {L300, O300, R300} &gt; 0)), """")))/T300"),0.40119760479041916)</f>
        <v>0.4011976048</v>
      </c>
      <c r="V300" s="60">
        <v>400.0</v>
      </c>
      <c r="W300" s="60">
        <f t="shared" si="7"/>
        <v>9167.5</v>
      </c>
    </row>
    <row r="301" ht="22.5" customHeight="1">
      <c r="A301" s="61" t="str">
        <f t="shared" si="6"/>
        <v>R-TP-UNKNOWN-X-28 x 10 x 40</v>
      </c>
      <c r="B301" s="37" t="s">
        <v>1213</v>
      </c>
      <c r="C301" s="37" t="s">
        <v>1214</v>
      </c>
      <c r="D301" s="37" t="s">
        <v>333</v>
      </c>
      <c r="E301" s="38" t="s">
        <v>1220</v>
      </c>
      <c r="F301" s="40" t="s">
        <v>46</v>
      </c>
      <c r="G301" s="97"/>
      <c r="H301" s="43" t="s">
        <v>41</v>
      </c>
      <c r="I301" s="34" t="s">
        <v>1216</v>
      </c>
      <c r="J301" s="62">
        <v>40000.0</v>
      </c>
      <c r="K301" s="62">
        <v>40000.0</v>
      </c>
      <c r="L301" s="63"/>
      <c r="M301" s="64">
        <v>40000.0</v>
      </c>
      <c r="N301" s="64">
        <v>40000.0</v>
      </c>
      <c r="O301" s="64">
        <v>5150.0</v>
      </c>
      <c r="P301" s="62">
        <v>40000.0</v>
      </c>
      <c r="Q301" s="62">
        <v>40000.0</v>
      </c>
      <c r="R301" s="63"/>
      <c r="S301" s="58">
        <v>0.67</v>
      </c>
      <c r="T301" s="59">
        <f>IFERROR(__xludf.DUMMYFUNCTION("((IFERROR(MIN(FILTER({L301, O301, R301}, ISNUMBER({L301, O301, R301}), {L301, O301, R301} &gt; 0)), """"))*S301)+IFERROR(MIN(FILTER({L301, O301, R301}, ISNUMBER({L301, O301, R301}), {L301, O301, R301} &gt; 0)), """")"),8600.5)</f>
        <v>8600.5</v>
      </c>
      <c r="U301" s="53">
        <f>IFERROR(__xludf.DUMMYFUNCTION("(T301-(IFERROR(MIN(FILTER({L301, O301, R301}, ISNUMBER({L301, O301, R301}), {L301, O301, R301} &gt; 0)), """")))/T301"),0.40119760479041916)</f>
        <v>0.4011976048</v>
      </c>
      <c r="V301" s="60">
        <v>400.0</v>
      </c>
      <c r="W301" s="60">
        <f t="shared" si="7"/>
        <v>9000.5</v>
      </c>
    </row>
    <row r="302" ht="22.5" customHeight="1">
      <c r="A30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SUBSTITUTE(E302, """", """")"),"#REF!")</f>
        <v>#REF!</v>
      </c>
      <c r="B302" s="37" t="s">
        <v>1228</v>
      </c>
      <c r="C302" s="37" t="s">
        <v>1214</v>
      </c>
      <c r="D302" s="37" t="s">
        <v>1229</v>
      </c>
      <c r="E302" s="38" t="s">
        <v>1230</v>
      </c>
      <c r="F302" s="49" t="s">
        <v>55</v>
      </c>
      <c r="G302" s="37" t="s">
        <v>100</v>
      </c>
      <c r="H302" s="52" t="s">
        <v>41</v>
      </c>
      <c r="I302" s="34" t="s">
        <v>152</v>
      </c>
      <c r="J302" s="62"/>
      <c r="K302" s="62"/>
      <c r="L302" s="63"/>
      <c r="M302" s="64">
        <v>1000.0</v>
      </c>
      <c r="N302" s="64">
        <v>1000.0</v>
      </c>
      <c r="O302" s="64">
        <v>7751.0</v>
      </c>
      <c r="P302" s="62">
        <v>1000.0</v>
      </c>
      <c r="Q302" s="62">
        <v>1000.0</v>
      </c>
      <c r="R302" s="62">
        <v>7751.0</v>
      </c>
      <c r="S302" s="58">
        <v>0.67</v>
      </c>
      <c r="T302" s="59">
        <f>IFERROR(__xludf.DUMMYFUNCTION("((IFERROR(MIN(FILTER({L302, O302, R302}, ISNUMBER({L302, O302, R302}), {L302, O302, R302} &gt; 0)), """"))*S302)+IFERROR(MIN(FILTER({L302, O302, R302}, ISNUMBER({L302, O302, R302}), {L302, O302, R302} &gt; 0)), """")"),12944.17)</f>
        <v>12944.17</v>
      </c>
      <c r="U302" s="53">
        <f>IFERROR(__xludf.DUMMYFUNCTION("(T302-(IFERROR(MIN(FILTER({L302, O302, R302}, ISNUMBER({L302, O302, R302}), {L302, O302, R302} &gt; 0)), """")))/T302"),0.40119760479041916)</f>
        <v>0.4011976048</v>
      </c>
      <c r="V302" s="60">
        <v>300.0</v>
      </c>
      <c r="W302" s="60"/>
    </row>
    <row r="303" ht="22.5" customHeight="1">
      <c r="A30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SUBSTITUTE(E303, """", """")"),"#REF!")</f>
        <v>#REF!</v>
      </c>
      <c r="B303" s="37" t="s">
        <v>1228</v>
      </c>
      <c r="C303" s="37" t="s">
        <v>1214</v>
      </c>
      <c r="D303" s="37" t="s">
        <v>1229</v>
      </c>
      <c r="E303" s="38" t="s">
        <v>1230</v>
      </c>
      <c r="F303" s="49" t="s">
        <v>55</v>
      </c>
      <c r="G303" s="37" t="s">
        <v>100</v>
      </c>
      <c r="H303" s="52" t="s">
        <v>41</v>
      </c>
      <c r="I303" s="34" t="s">
        <v>152</v>
      </c>
      <c r="J303" s="62"/>
      <c r="K303" s="62"/>
      <c r="L303" s="63"/>
      <c r="M303" s="64">
        <v>5000.0</v>
      </c>
      <c r="N303" s="64">
        <v>5000.0</v>
      </c>
      <c r="O303" s="64">
        <v>5182.0</v>
      </c>
      <c r="P303" s="62">
        <v>5000.0</v>
      </c>
      <c r="Q303" s="62">
        <v>5000.0</v>
      </c>
      <c r="R303" s="62">
        <v>5182.0</v>
      </c>
      <c r="S303" s="58">
        <v>0.67</v>
      </c>
      <c r="T303" s="59">
        <f>IFERROR(__xludf.DUMMYFUNCTION("((IFERROR(MIN(FILTER({L303, O303, R303}, ISNUMBER({L303, O303, R303}), {L303, O303, R303} &gt; 0)), """"))*S303)+IFERROR(MIN(FILTER({L303, O303, R303}, ISNUMBER({L303, O303, R303}), {L303, O303, R303} &gt; 0)), """")"),8653.94)</f>
        <v>8653.94</v>
      </c>
      <c r="U303" s="53">
        <f>IFERROR(__xludf.DUMMYFUNCTION("(T303-(IFERROR(MIN(FILTER({L303, O303, R303}, ISNUMBER({L303, O303, R303}), {L303, O303, R303} &gt; 0)), """")))/T303"),0.4011976047904192)</f>
        <v>0.4011976048</v>
      </c>
      <c r="V303" s="60">
        <v>300.0</v>
      </c>
      <c r="W303" s="60"/>
    </row>
    <row r="304" ht="22.5" customHeight="1">
      <c r="A30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SUBSTITUTE(E304, """", """")"),"#REF!")</f>
        <v>#REF!</v>
      </c>
      <c r="B304" s="37" t="s">
        <v>1228</v>
      </c>
      <c r="C304" s="37" t="s">
        <v>1214</v>
      </c>
      <c r="D304" s="37" t="s">
        <v>1229</v>
      </c>
      <c r="E304" s="38" t="s">
        <v>1230</v>
      </c>
      <c r="F304" s="49" t="s">
        <v>55</v>
      </c>
      <c r="G304" s="37" t="s">
        <v>100</v>
      </c>
      <c r="H304" s="52" t="s">
        <v>41</v>
      </c>
      <c r="I304" s="34" t="s">
        <v>152</v>
      </c>
      <c r="J304" s="62"/>
      <c r="K304" s="62"/>
      <c r="L304" s="63"/>
      <c r="M304" s="64">
        <v>5500.0</v>
      </c>
      <c r="N304" s="64">
        <v>5500.0</v>
      </c>
      <c r="O304" s="64">
        <v>5028.0</v>
      </c>
      <c r="P304" s="62">
        <v>5500.0</v>
      </c>
      <c r="Q304" s="62">
        <v>5500.0</v>
      </c>
      <c r="R304" s="62">
        <v>5028.0</v>
      </c>
      <c r="S304" s="58">
        <v>0.67</v>
      </c>
      <c r="T304" s="59">
        <f>IFERROR(__xludf.DUMMYFUNCTION("((IFERROR(MIN(FILTER({L304, O304, R304}, ISNUMBER({L304, O304, R304}), {L304, O304, R304} &gt; 0)), """"))*S304)+IFERROR(MIN(FILTER({L304, O304, R304}, ISNUMBER({L304, O304, R304}), {L304, O304, R304} &gt; 0)), """")"),8396.76)</f>
        <v>8396.76</v>
      </c>
      <c r="U304" s="53">
        <f>IFERROR(__xludf.DUMMYFUNCTION("(T304-(IFERROR(MIN(FILTER({L304, O304, R304}, ISNUMBER({L304, O304, R304}), {L304, O304, R304} &gt; 0)), """")))/T304"),0.40119760479041916)</f>
        <v>0.4011976048</v>
      </c>
      <c r="V304" s="60">
        <v>300.0</v>
      </c>
      <c r="W304" s="60"/>
    </row>
    <row r="305" ht="22.5" customHeight="1">
      <c r="A30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SUBSTITUTE(E305, """", """")"),"#REF!")</f>
        <v>#REF!</v>
      </c>
      <c r="B305" s="37" t="s">
        <v>1236</v>
      </c>
      <c r="C305" s="37" t="s">
        <v>1214</v>
      </c>
      <c r="D305" s="37" t="s">
        <v>1237</v>
      </c>
      <c r="E305" s="38" t="s">
        <v>1238</v>
      </c>
      <c r="F305" s="49" t="s">
        <v>55</v>
      </c>
      <c r="G305" s="37" t="s">
        <v>1239</v>
      </c>
      <c r="H305" s="52" t="s">
        <v>41</v>
      </c>
      <c r="I305" s="34" t="s">
        <v>44</v>
      </c>
      <c r="J305" s="63">
        <v>300000.0</v>
      </c>
      <c r="K305" s="63">
        <v>300000.0</v>
      </c>
      <c r="L305" s="62">
        <v>420.0</v>
      </c>
      <c r="M305" s="59">
        <v>300000.0</v>
      </c>
      <c r="N305" s="59">
        <v>300000.0</v>
      </c>
      <c r="O305" s="64"/>
      <c r="P305" s="63">
        <v>300000.0</v>
      </c>
      <c r="Q305" s="63">
        <v>300000.0</v>
      </c>
      <c r="R305" s="62"/>
      <c r="S305" s="58">
        <v>0.67</v>
      </c>
      <c r="T305" s="59">
        <f>IFERROR(__xludf.DUMMYFUNCTION("((IFERROR(MIN(FILTER({L305, O305, R305}, ISNUMBER({L305, O305, R305}), {L305, O305, R305} &gt; 0)), """"))*S305)+IFERROR(MIN(FILTER({L305, O305, R305}, ISNUMBER({L305, O305, R305}), {L305, O305, R305} &gt; 0)), """")"),701.4000000000001)</f>
        <v>701.4</v>
      </c>
      <c r="U305" s="53">
        <f>IFERROR(__xludf.DUMMYFUNCTION("(T305-(IFERROR(MIN(FILTER({L305, O305, R305}, ISNUMBER({L305, O305, R305}), {L305, O305, R305} &gt; 0)), """")))/T305"),0.4011976047904192)</f>
        <v>0.4011976048</v>
      </c>
      <c r="V305" s="60">
        <v>300.0</v>
      </c>
      <c r="W305" s="60"/>
    </row>
    <row r="306" ht="22.5" customHeight="1">
      <c r="A30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SUBSTITUTE(E306, """", """")"),"#REF!")</f>
        <v>#REF!</v>
      </c>
      <c r="B306" s="37" t="s">
        <v>1241</v>
      </c>
      <c r="C306" s="37" t="s">
        <v>1214</v>
      </c>
      <c r="D306" s="37" t="s">
        <v>1242</v>
      </c>
      <c r="E306" s="38" t="s">
        <v>1243</v>
      </c>
      <c r="F306" s="49" t="s">
        <v>36</v>
      </c>
      <c r="G306" s="37" t="s">
        <v>103</v>
      </c>
      <c r="H306" s="52" t="s">
        <v>41</v>
      </c>
      <c r="I306" s="34" t="s">
        <v>152</v>
      </c>
      <c r="J306" s="63">
        <v>25000.0</v>
      </c>
      <c r="K306" s="63">
        <v>25000.0</v>
      </c>
      <c r="L306" s="62">
        <v>1400.0</v>
      </c>
      <c r="M306" s="59">
        <v>25000.0</v>
      </c>
      <c r="N306" s="59">
        <v>25000.0</v>
      </c>
      <c r="O306" s="64"/>
      <c r="P306" s="63">
        <v>25000.0</v>
      </c>
      <c r="Q306" s="63">
        <v>25000.0</v>
      </c>
      <c r="R306" s="62"/>
      <c r="S306" s="58">
        <v>0.67</v>
      </c>
      <c r="T306" s="59">
        <f>IFERROR(__xludf.DUMMYFUNCTION("((IFERROR(MIN(FILTER({L306, O306, R306}, ISNUMBER({L306, O306, R306}), {L306, O306, R306} &gt; 0)), """"))*S306)+IFERROR(MIN(FILTER({L306, O306, R306}, ISNUMBER({L306, O306, R306}), {L306, O306, R306} &gt; 0)), """")"),2338.0)</f>
        <v>2338</v>
      </c>
      <c r="U306" s="53">
        <f>IFERROR(__xludf.DUMMYFUNCTION("(T306-(IFERROR(MIN(FILTER({L306, O306, R306}, ISNUMBER({L306, O306, R306}), {L306, O306, R306} &gt; 0)), """")))/T306"),0.40119760479041916)</f>
        <v>0.4011976048</v>
      </c>
      <c r="V306" s="60">
        <v>300.0</v>
      </c>
      <c r="W306" s="60"/>
    </row>
    <row r="307" ht="22.5" customHeight="1">
      <c r="A3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SUBSTITUTE(E307, """", """")"),"#REF!")</f>
        <v>#REF!</v>
      </c>
      <c r="B307" s="47" t="s">
        <v>1241</v>
      </c>
      <c r="C307" s="47" t="s">
        <v>1214</v>
      </c>
      <c r="D307" s="47" t="s">
        <v>1242</v>
      </c>
      <c r="E307" s="48" t="s">
        <v>1246</v>
      </c>
      <c r="F307" s="49" t="s">
        <v>36</v>
      </c>
      <c r="G307" s="47" t="s">
        <v>103</v>
      </c>
      <c r="H307" s="52" t="s">
        <v>41</v>
      </c>
      <c r="I307" s="34" t="s">
        <v>152</v>
      </c>
      <c r="J307" s="54">
        <v>25000.0</v>
      </c>
      <c r="K307" s="54">
        <v>25000.0</v>
      </c>
      <c r="L307" s="54">
        <v>1400.0</v>
      </c>
      <c r="M307" s="56">
        <v>25000.0</v>
      </c>
      <c r="N307" s="56">
        <v>25000.0</v>
      </c>
      <c r="O307" s="106"/>
      <c r="P307" s="54">
        <v>25000.0</v>
      </c>
      <c r="Q307" s="54">
        <v>25000.0</v>
      </c>
      <c r="R307" s="57"/>
      <c r="S307" s="58">
        <v>0.67</v>
      </c>
      <c r="T307" s="59">
        <f>IFERROR(__xludf.DUMMYFUNCTION("((IFERROR(MIN(FILTER({L307, O307, R307}, ISNUMBER({L307, O307, R307}), {L307, O307, R307} &gt; 0)), """"))*S307)+IFERROR(MIN(FILTER({L307, O307, R307}, ISNUMBER({L307, O307, R307}), {L307, O307, R307} &gt; 0)), """")"),2338.0)</f>
        <v>2338</v>
      </c>
      <c r="U307" s="53">
        <f>IFERROR(__xludf.DUMMYFUNCTION("(T307-(IFERROR(MIN(FILTER({L307, O307, R307}, ISNUMBER({L307, O307, R307}), {L307, O307, R307} &gt; 0)), """")))/T307"),0.40119760479041916)</f>
        <v>0.4011976048</v>
      </c>
      <c r="V307" s="60">
        <v>300.0</v>
      </c>
      <c r="W307" s="60"/>
    </row>
    <row r="308" ht="22.5" customHeight="1">
      <c r="A3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SUBSTITUTE(E308, """", """")"),"#REF!")</f>
        <v>#REF!</v>
      </c>
      <c r="B308" s="47" t="s">
        <v>1247</v>
      </c>
      <c r="C308" s="47" t="s">
        <v>1214</v>
      </c>
      <c r="D308" s="47" t="s">
        <v>1242</v>
      </c>
      <c r="E308" s="48" t="s">
        <v>1248</v>
      </c>
      <c r="F308" s="49" t="s">
        <v>46</v>
      </c>
      <c r="G308" s="47" t="s">
        <v>1249</v>
      </c>
      <c r="H308" s="52" t="s">
        <v>41</v>
      </c>
      <c r="I308" s="34" t="s">
        <v>152</v>
      </c>
      <c r="J308" s="54"/>
      <c r="K308" s="54"/>
      <c r="L308" s="54"/>
      <c r="M308" s="56">
        <v>1000.0</v>
      </c>
      <c r="N308" s="56">
        <v>1000.0</v>
      </c>
      <c r="O308" s="106"/>
      <c r="P308" s="54">
        <v>1000.0</v>
      </c>
      <c r="Q308" s="54">
        <v>1000.0</v>
      </c>
      <c r="R308" s="54">
        <v>4700.0</v>
      </c>
      <c r="S308" s="58">
        <v>0.67</v>
      </c>
      <c r="T308" s="59">
        <f>IFERROR(__xludf.DUMMYFUNCTION("((IFERROR(MIN(FILTER({L308, O308, R308}, ISNUMBER({L308, O308, R308}), {L308, O308, R308} &gt; 0)), """"))*S308)+IFERROR(MIN(FILTER({L308, O308, R308}, ISNUMBER({L308, O308, R308}), {L308, O308, R308} &gt; 0)), """")"),7849.0)</f>
        <v>7849</v>
      </c>
      <c r="U308" s="53">
        <f>IFERROR(__xludf.DUMMYFUNCTION("(T308-(IFERROR(MIN(FILTER({L308, O308, R308}, ISNUMBER({L308, O308, R308}), {L308, O308, R308} &gt; 0)), """")))/T308"),0.40119760479041916)</f>
        <v>0.4011976048</v>
      </c>
      <c r="V308" s="60">
        <v>300.0</v>
      </c>
      <c r="W308" s="60"/>
    </row>
    <row r="309" ht="22.5" customHeight="1">
      <c r="A3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SUBSTITUTE(E309, """", """")"),"#REF!")</f>
        <v>#REF!</v>
      </c>
      <c r="B309" s="47" t="s">
        <v>1247</v>
      </c>
      <c r="C309" s="47" t="s">
        <v>1214</v>
      </c>
      <c r="D309" s="47" t="s">
        <v>1242</v>
      </c>
      <c r="E309" s="48" t="s">
        <v>1248</v>
      </c>
      <c r="F309" s="49" t="s">
        <v>46</v>
      </c>
      <c r="G309" s="47" t="s">
        <v>1249</v>
      </c>
      <c r="H309" s="52" t="s">
        <v>41</v>
      </c>
      <c r="I309" s="34" t="s">
        <v>152</v>
      </c>
      <c r="J309" s="54"/>
      <c r="K309" s="54"/>
      <c r="L309" s="54"/>
      <c r="M309" s="56">
        <v>2000.0</v>
      </c>
      <c r="N309" s="56">
        <v>2000.0</v>
      </c>
      <c r="O309" s="106"/>
      <c r="P309" s="54">
        <v>2000.0</v>
      </c>
      <c r="Q309" s="54">
        <v>2000.0</v>
      </c>
      <c r="R309" s="54">
        <v>4300.0</v>
      </c>
      <c r="S309" s="58">
        <v>0.67</v>
      </c>
      <c r="T309" s="59">
        <f>IFERROR(__xludf.DUMMYFUNCTION("((IFERROR(MIN(FILTER({L309, O309, R309}, ISNUMBER({L309, O309, R309}), {L309, O309, R309} &gt; 0)), """"))*S309)+IFERROR(MIN(FILTER({L309, O309, R309}, ISNUMBER({L309, O309, R309}), {L309, O309, R309} &gt; 0)), """")"),7181.0)</f>
        <v>7181</v>
      </c>
      <c r="U309" s="53">
        <f>IFERROR(__xludf.DUMMYFUNCTION("(T309-(IFERROR(MIN(FILTER({L309, O309, R309}, ISNUMBER({L309, O309, R309}), {L309, O309, R309} &gt; 0)), """")))/T309"),0.40119760479041916)</f>
        <v>0.4011976048</v>
      </c>
      <c r="V309" s="60">
        <v>300.0</v>
      </c>
      <c r="W309" s="60"/>
    </row>
    <row r="310" ht="22.5" customHeight="1">
      <c r="A3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SUBSTITUTE(E310, """", """")"),"#REF!")</f>
        <v>#REF!</v>
      </c>
      <c r="B310" s="47" t="s">
        <v>1247</v>
      </c>
      <c r="C310" s="47" t="s">
        <v>1214</v>
      </c>
      <c r="D310" s="47" t="s">
        <v>1242</v>
      </c>
      <c r="E310" s="48" t="s">
        <v>1248</v>
      </c>
      <c r="F310" s="49" t="s">
        <v>46</v>
      </c>
      <c r="G310" s="47" t="s">
        <v>1249</v>
      </c>
      <c r="H310" s="52" t="s">
        <v>41</v>
      </c>
      <c r="I310" s="34" t="s">
        <v>152</v>
      </c>
      <c r="J310" s="54"/>
      <c r="K310" s="54"/>
      <c r="L310" s="54"/>
      <c r="M310" s="56">
        <v>3000.0</v>
      </c>
      <c r="N310" s="56">
        <v>3000.0</v>
      </c>
      <c r="O310" s="106"/>
      <c r="P310" s="54">
        <v>3000.0</v>
      </c>
      <c r="Q310" s="54">
        <v>3000.0</v>
      </c>
      <c r="R310" s="54">
        <v>3900.0</v>
      </c>
      <c r="S310" s="58">
        <v>0.67</v>
      </c>
      <c r="T310" s="59">
        <f>IFERROR(__xludf.DUMMYFUNCTION("((IFERROR(MIN(FILTER({L310, O310, R310}, ISNUMBER({L310, O310, R310}), {L310, O310, R310} &gt; 0)), """"))*S310)+IFERROR(MIN(FILTER({L310, O310, R310}, ISNUMBER({L310, O310, R310}), {L310, O310, R310} &gt; 0)), """")"),6513.0)</f>
        <v>6513</v>
      </c>
      <c r="U310" s="53">
        <f>IFERROR(__xludf.DUMMYFUNCTION("(T310-(IFERROR(MIN(FILTER({L310, O310, R310}, ISNUMBER({L310, O310, R310}), {L310, O310, R310} &gt; 0)), """")))/T310"),0.40119760479041916)</f>
        <v>0.4011976048</v>
      </c>
      <c r="V310" s="60">
        <v>300.0</v>
      </c>
      <c r="W310" s="60"/>
    </row>
    <row r="311" ht="22.5" customHeight="1">
      <c r="A3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SUBSTITUTE(E311, """", """")"),"#REF!")</f>
        <v>#REF!</v>
      </c>
      <c r="B311" s="47" t="s">
        <v>1247</v>
      </c>
      <c r="C311" s="47" t="s">
        <v>1214</v>
      </c>
      <c r="D311" s="47" t="s">
        <v>1242</v>
      </c>
      <c r="E311" s="48" t="s">
        <v>1248</v>
      </c>
      <c r="F311" s="49" t="s">
        <v>46</v>
      </c>
      <c r="G311" s="47" t="s">
        <v>1249</v>
      </c>
      <c r="H311" s="52" t="s">
        <v>41</v>
      </c>
      <c r="I311" s="34" t="s">
        <v>152</v>
      </c>
      <c r="J311" s="54"/>
      <c r="K311" s="57"/>
      <c r="L311" s="57"/>
      <c r="M311" s="56">
        <v>1000.0</v>
      </c>
      <c r="N311" s="106">
        <v>1000.0</v>
      </c>
      <c r="O311" s="106"/>
      <c r="P311" s="54">
        <v>1000.0</v>
      </c>
      <c r="Q311" s="57">
        <v>1000.0</v>
      </c>
      <c r="R311" s="54">
        <v>7926.0</v>
      </c>
      <c r="S311" s="58">
        <v>0.67</v>
      </c>
      <c r="T311" s="59">
        <f>IFERROR(__xludf.DUMMYFUNCTION("((IFERROR(MIN(FILTER({L311, O311, R311}, ISNUMBER({L311, O311, R311}), {L311, O311, R311} &gt; 0)), """"))*S311)+IFERROR(MIN(FILTER({L311, O311, R311}, ISNUMBER({L311, O311, R311}), {L311, O311, R311} &gt; 0)), """")"),13236.42)</f>
        <v>13236.42</v>
      </c>
      <c r="U311" s="53">
        <f>IFERROR(__xludf.DUMMYFUNCTION("(T311-(IFERROR(MIN(FILTER({L311, O311, R311}, ISNUMBER({L311, O311, R311}), {L311, O311, R311} &gt; 0)), """")))/T311"),0.40119760479041916)</f>
        <v>0.4011976048</v>
      </c>
      <c r="V311" s="60">
        <v>300.0</v>
      </c>
      <c r="W311" s="60"/>
    </row>
    <row r="312" ht="22.5" customHeight="1">
      <c r="A3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SUBSTITUTE(E312, """", """")"),"#REF!")</f>
        <v>#REF!</v>
      </c>
      <c r="B312" s="47" t="s">
        <v>1247</v>
      </c>
      <c r="C312" s="47" t="s">
        <v>1214</v>
      </c>
      <c r="D312" s="47" t="s">
        <v>1242</v>
      </c>
      <c r="E312" s="48" t="s">
        <v>1248</v>
      </c>
      <c r="F312" s="49" t="s">
        <v>46</v>
      </c>
      <c r="G312" s="47" t="s">
        <v>1249</v>
      </c>
      <c r="H312" s="52" t="s">
        <v>41</v>
      </c>
      <c r="I312" s="34" t="s">
        <v>152</v>
      </c>
      <c r="J312" s="54"/>
      <c r="K312" s="57"/>
      <c r="L312" s="57"/>
      <c r="M312" s="56">
        <v>1300.0</v>
      </c>
      <c r="N312" s="106">
        <v>1300.0</v>
      </c>
      <c r="O312" s="106"/>
      <c r="P312" s="54">
        <v>1300.0</v>
      </c>
      <c r="Q312" s="57">
        <v>1300.0</v>
      </c>
      <c r="R312" s="54">
        <v>6656.0</v>
      </c>
      <c r="S312" s="58">
        <v>0.67</v>
      </c>
      <c r="T312" s="59">
        <f>IFERROR(__xludf.DUMMYFUNCTION("((IFERROR(MIN(FILTER({L312, O312, R312}, ISNUMBER({L312, O312, R312}), {L312, O312, R312} &gt; 0)), """"))*S312)+IFERROR(MIN(FILTER({L312, O312, R312}, ISNUMBER({L312, O312, R312}), {L312, O312, R312} &gt; 0)), """")"),11115.52)</f>
        <v>11115.52</v>
      </c>
      <c r="U312" s="53">
        <f>IFERROR(__xludf.DUMMYFUNCTION("(T312-(IFERROR(MIN(FILTER({L312, O312, R312}, ISNUMBER({L312, O312, R312}), {L312, O312, R312} &gt; 0)), """")))/T312"),0.40119760479041916)</f>
        <v>0.4011976048</v>
      </c>
      <c r="V312" s="60">
        <v>300.0</v>
      </c>
      <c r="W312" s="60"/>
    </row>
    <row r="313" ht="22.5" customHeight="1">
      <c r="A3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SUBSTITUTE(E313, """", """")"),"#REF!")</f>
        <v>#REF!</v>
      </c>
      <c r="B313" s="47" t="s">
        <v>1247</v>
      </c>
      <c r="C313" s="47" t="s">
        <v>1214</v>
      </c>
      <c r="D313" s="47" t="s">
        <v>1242</v>
      </c>
      <c r="E313" s="48" t="s">
        <v>1248</v>
      </c>
      <c r="F313" s="49" t="s">
        <v>46</v>
      </c>
      <c r="G313" s="47" t="s">
        <v>1249</v>
      </c>
      <c r="H313" s="52" t="s">
        <v>41</v>
      </c>
      <c r="I313" s="34" t="s">
        <v>152</v>
      </c>
      <c r="J313" s="54"/>
      <c r="K313" s="57"/>
      <c r="L313" s="57"/>
      <c r="M313" s="56">
        <v>2000.0</v>
      </c>
      <c r="N313" s="106">
        <v>2000.0</v>
      </c>
      <c r="O313" s="106"/>
      <c r="P313" s="54">
        <v>2000.0</v>
      </c>
      <c r="Q313" s="57">
        <v>2000.0</v>
      </c>
      <c r="R313" s="54">
        <v>5543.0</v>
      </c>
      <c r="S313" s="58">
        <v>0.67</v>
      </c>
      <c r="T313" s="59">
        <f>IFERROR(__xludf.DUMMYFUNCTION("((IFERROR(MIN(FILTER({L313, O313, R313}, ISNUMBER({L313, O313, R313}), {L313, O313, R313} &gt; 0)), """"))*S313)+IFERROR(MIN(FILTER({L313, O313, R313}, ISNUMBER({L313, O313, R313}), {L313, O313, R313} &gt; 0)), """")"),9256.810000000001)</f>
        <v>9256.81</v>
      </c>
      <c r="U313" s="53">
        <f>IFERROR(__xludf.DUMMYFUNCTION("(T313-(IFERROR(MIN(FILTER({L313, O313, R313}, ISNUMBER({L313, O313, R313}), {L313, O313, R313} &gt; 0)), """")))/T313"),0.40119760479041927)</f>
        <v>0.4011976048</v>
      </c>
      <c r="V313" s="60">
        <v>300.0</v>
      </c>
      <c r="W313" s="60"/>
    </row>
    <row r="314" ht="22.5" customHeight="1">
      <c r="A3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SUBSTITUTE(E314, """", """")"),"#REF!")</f>
        <v>#REF!</v>
      </c>
      <c r="B314" s="47" t="s">
        <v>1247</v>
      </c>
      <c r="C314" s="47" t="s">
        <v>1214</v>
      </c>
      <c r="D314" s="47" t="s">
        <v>1242</v>
      </c>
      <c r="E314" s="48" t="s">
        <v>1248</v>
      </c>
      <c r="F314" s="49" t="s">
        <v>46</v>
      </c>
      <c r="G314" s="47" t="s">
        <v>1249</v>
      </c>
      <c r="H314" s="52" t="s">
        <v>41</v>
      </c>
      <c r="I314" s="34" t="s">
        <v>152</v>
      </c>
      <c r="J314" s="54"/>
      <c r="K314" s="57"/>
      <c r="L314" s="57"/>
      <c r="M314" s="56">
        <v>3000.0</v>
      </c>
      <c r="N314" s="106">
        <v>3000.0</v>
      </c>
      <c r="O314" s="106"/>
      <c r="P314" s="54">
        <v>3000.0</v>
      </c>
      <c r="Q314" s="57">
        <v>3000.0</v>
      </c>
      <c r="R314" s="54">
        <v>4749.0</v>
      </c>
      <c r="S314" s="58">
        <v>0.67</v>
      </c>
      <c r="T314" s="59">
        <f>IFERROR(__xludf.DUMMYFUNCTION("((IFERROR(MIN(FILTER({L314, O314, R314}, ISNUMBER({L314, O314, R314}), {L314, O314, R314} &gt; 0)), """"))*S314)+IFERROR(MIN(FILTER({L314, O314, R314}, ISNUMBER({L314, O314, R314}), {L314, O314, R314} &gt; 0)), """")"),7930.83)</f>
        <v>7930.83</v>
      </c>
      <c r="U314" s="53">
        <f>IFERROR(__xludf.DUMMYFUNCTION("(T314-(IFERROR(MIN(FILTER({L314, O314, R314}, ISNUMBER({L314, O314, R314}), {L314, O314, R314} &gt; 0)), """")))/T314"),0.40119760479041916)</f>
        <v>0.4011976048</v>
      </c>
      <c r="V314" s="60">
        <v>300.0</v>
      </c>
      <c r="W314" s="60"/>
    </row>
    <row r="315" ht="22.5" customHeight="1">
      <c r="A315" s="61" t="str">
        <f>"R-TP-" &amp; 
IFS(
  ISNUMBER(SEARCH("Satchel Envelope", #REF!)), "ESB",
  ISNUMBER(SEARCH("Satchel Bag", #REF!)), "SB",
  ISNUMBER(SEARCH("Satchel (hanya berlaku", #REF!)), "FSB",
  ISNUMBER(SEARCH("Satchel Window", #REF!)), "WSB",
  ISNUMBER(SEARCH("Satchel Aluminium", #REF!)), "ASB",
  ISNUMBER(SEARCH("SOS Bag", #REF!)), "PB",
  ISNUMBER(SEARCH("Paper Bag Handle", #REF!)), "PBT",
  TRUE, "UNKNOWN"
) &amp; "-" &amp; 
IFS(
  ISNUMBER(SEARCH("White", #REF!)), "W",
  ISNUMBER(SEARCH("Greaseproof", #REF!)), "W",
  ISNUMBER(SEARCH("HVS", #REF!)), "W",
  ISNUMBER(SEARCH("Aluminium", #REF!)), "W",
  ISNUMBER(SEARCH("White Kraft", #REF!)), "W",
  ISNUMBER(SEARCH("Brown", #REF!)), "B",
  ISNUMBER(SEARCH("Brown Kraft", #REF!)), "B",
  TRUE, "X"
) &amp; "-" &amp; E315</f>
        <v>R-TP-UNKNOWN-X-24 x 12 x 28</v>
      </c>
      <c r="B315" s="37" t="s">
        <v>579</v>
      </c>
      <c r="C315" s="37" t="s">
        <v>1257</v>
      </c>
      <c r="D315" s="37" t="s">
        <v>149</v>
      </c>
      <c r="E315" s="38" t="s">
        <v>310</v>
      </c>
      <c r="F315" s="49" t="s">
        <v>36</v>
      </c>
      <c r="G315" s="37" t="s">
        <v>580</v>
      </c>
      <c r="H315" s="52" t="s">
        <v>41</v>
      </c>
      <c r="I315" s="34" t="s">
        <v>152</v>
      </c>
      <c r="J315" s="62"/>
      <c r="K315" s="62"/>
      <c r="L315" s="63"/>
      <c r="M315" s="64">
        <v>1000.0</v>
      </c>
      <c r="N315" s="64">
        <v>1000.0</v>
      </c>
      <c r="O315" s="64">
        <v>6500.0</v>
      </c>
      <c r="P315" s="62">
        <v>1000.0</v>
      </c>
      <c r="Q315" s="62">
        <v>1000.0</v>
      </c>
      <c r="R315" s="62">
        <v>9154.0</v>
      </c>
      <c r="S315" s="58">
        <v>0.67</v>
      </c>
      <c r="T315" s="59">
        <f>IFERROR(__xludf.DUMMYFUNCTION("((IFERROR(MIN(FILTER({L315, O315, R315}, ISNUMBER({L315, O315, R315}), {L315, O315, R315} &gt; 0)), """"))*S315)+IFERROR(MIN(FILTER({L315, O315, R315}, ISNUMBER({L315, O315, R315}), {L315, O315, R315} &gt; 0)), """")"),10855.0)</f>
        <v>10855</v>
      </c>
      <c r="U315" s="53">
        <f>IFERROR(__xludf.DUMMYFUNCTION("(T315-(IFERROR(MIN(FILTER({L315, O315, R315}, ISNUMBER({L315, O315, R315}), {L315, O315, R315} &gt; 0)), """")))/T315"),0.40119760479041916)</f>
        <v>0.4011976048</v>
      </c>
      <c r="V315" s="60">
        <v>300.0</v>
      </c>
      <c r="W315" s="60">
        <f>IF(T315="", "", T315+V315)</f>
        <v>11155</v>
      </c>
    </row>
    <row r="316" ht="22.5" customHeight="1">
      <c r="A31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SUBSTITUTE(E316, """", """")"),"#REF!")</f>
        <v>#REF!</v>
      </c>
      <c r="B316" s="37" t="s">
        <v>1259</v>
      </c>
      <c r="C316" s="37" t="s">
        <v>1257</v>
      </c>
      <c r="D316" s="37" t="s">
        <v>479</v>
      </c>
      <c r="E316" s="38" t="s">
        <v>1170</v>
      </c>
      <c r="F316" s="49" t="s">
        <v>63</v>
      </c>
      <c r="G316" s="37" t="s">
        <v>67</v>
      </c>
      <c r="H316" s="52" t="s">
        <v>41</v>
      </c>
      <c r="I316" s="34" t="s">
        <v>1260</v>
      </c>
      <c r="J316" s="62"/>
      <c r="K316" s="62"/>
      <c r="L316" s="63"/>
      <c r="M316" s="64">
        <v>2000.0</v>
      </c>
      <c r="N316" s="64">
        <v>2000.0</v>
      </c>
      <c r="O316" s="64">
        <v>6260.0</v>
      </c>
      <c r="P316" s="62">
        <v>2000.0</v>
      </c>
      <c r="Q316" s="62">
        <v>2000.0</v>
      </c>
      <c r="R316" s="62">
        <v>6260.0</v>
      </c>
      <c r="S316" s="58">
        <v>0.67</v>
      </c>
      <c r="T316" s="59">
        <f>IFERROR(__xludf.DUMMYFUNCTION("((IFERROR(MIN(FILTER({L316, O316, R316}, ISNUMBER({L316, O316, R316}), {L316, O316, R316} &gt; 0)), """"))*S316)+IFERROR(MIN(FILTER({L316, O316, R316}, ISNUMBER({L316, O316, R316}), {L316, O316, R316} &gt; 0)), """")"),10454.2)</f>
        <v>10454.2</v>
      </c>
      <c r="U316" s="53">
        <f>IFERROR(__xludf.DUMMYFUNCTION("(T316-(IFERROR(MIN(FILTER({L316, O316, R316}, ISNUMBER({L316, O316, R316}), {L316, O316, R316} &gt; 0)), """")))/T316"),0.4011976047904192)</f>
        <v>0.4011976048</v>
      </c>
      <c r="V316" s="60">
        <v>300.0</v>
      </c>
      <c r="W316" s="60"/>
    </row>
    <row r="317" ht="22.5" customHeight="1">
      <c r="A31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SUBSTITUTE(E317, """", """")"),"#REF!")</f>
        <v>#REF!</v>
      </c>
      <c r="B317" s="37" t="s">
        <v>1259</v>
      </c>
      <c r="C317" s="37" t="s">
        <v>1257</v>
      </c>
      <c r="D317" s="37" t="s">
        <v>479</v>
      </c>
      <c r="E317" s="38" t="s">
        <v>1261</v>
      </c>
      <c r="F317" s="49" t="s">
        <v>63</v>
      </c>
      <c r="G317" s="37" t="s">
        <v>67</v>
      </c>
      <c r="H317" s="52" t="s">
        <v>41</v>
      </c>
      <c r="I317" s="34" t="s">
        <v>1260</v>
      </c>
      <c r="J317" s="62"/>
      <c r="K317" s="62"/>
      <c r="L317" s="63"/>
      <c r="M317" s="64">
        <v>2000.0</v>
      </c>
      <c r="N317" s="64">
        <v>2000.0</v>
      </c>
      <c r="O317" s="64">
        <v>7422.0</v>
      </c>
      <c r="P317" s="62">
        <v>2000.0</v>
      </c>
      <c r="Q317" s="62">
        <v>2000.0</v>
      </c>
      <c r="R317" s="62">
        <v>7422.0</v>
      </c>
      <c r="S317" s="58">
        <v>0.67</v>
      </c>
      <c r="T317" s="59">
        <f>IFERROR(__xludf.DUMMYFUNCTION("((IFERROR(MIN(FILTER({L317, O317, R317}, ISNUMBER({L317, O317, R317}), {L317, O317, R317} &gt; 0)), """"))*S317)+IFERROR(MIN(FILTER({L317, O317, R317}, ISNUMBER({L317, O317, R317}), {L317, O317, R317} &gt; 0)), """")"),12394.740000000002)</f>
        <v>12394.74</v>
      </c>
      <c r="U317" s="53">
        <f>IFERROR(__xludf.DUMMYFUNCTION("(T317-(IFERROR(MIN(FILTER({L317, O317, R317}, ISNUMBER({L317, O317, R317}), {L317, O317, R317} &gt; 0)), """")))/T317"),0.4011976047904192)</f>
        <v>0.4011976048</v>
      </c>
      <c r="V317" s="60">
        <v>300.0</v>
      </c>
      <c r="W317" s="60"/>
    </row>
    <row r="318" ht="22.5" customHeight="1">
      <c r="A31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SUBSTITUTE(E318, """", """")"),"#REF!")</f>
        <v>#REF!</v>
      </c>
      <c r="B318" s="37" t="s">
        <v>1259</v>
      </c>
      <c r="C318" s="37" t="s">
        <v>1257</v>
      </c>
      <c r="D318" s="37" t="s">
        <v>811</v>
      </c>
      <c r="E318" s="38" t="s">
        <v>276</v>
      </c>
      <c r="F318" s="49" t="s">
        <v>63</v>
      </c>
      <c r="G318" s="37" t="s">
        <v>67</v>
      </c>
      <c r="H318" s="52" t="s">
        <v>41</v>
      </c>
      <c r="I318" s="34" t="s">
        <v>1260</v>
      </c>
      <c r="J318" s="62"/>
      <c r="K318" s="62"/>
      <c r="L318" s="63"/>
      <c r="M318" s="64">
        <v>2000.0</v>
      </c>
      <c r="N318" s="64">
        <v>2000.0</v>
      </c>
      <c r="O318" s="59"/>
      <c r="P318" s="62">
        <v>2000.0</v>
      </c>
      <c r="Q318" s="62">
        <v>2000.0</v>
      </c>
      <c r="R318" s="62">
        <v>7061.0</v>
      </c>
      <c r="S318" s="58">
        <v>0.67</v>
      </c>
      <c r="T318" s="59">
        <f>IFERROR(__xludf.DUMMYFUNCTION("((IFERROR(MIN(FILTER({L318, O318, R318}, ISNUMBER({L318, O318, R318}), {L318, O318, R318} &gt; 0)), """"))*S318)+IFERROR(MIN(FILTER({L318, O318, R318}, ISNUMBER({L318, O318, R318}), {L318, O318, R318} &gt; 0)), """")"),11791.869999999999)</f>
        <v>11791.87</v>
      </c>
      <c r="U318" s="53">
        <f>IFERROR(__xludf.DUMMYFUNCTION("(T318-(IFERROR(MIN(FILTER({L318, O318, R318}, ISNUMBER({L318, O318, R318}), {L318, O318, R318} &gt; 0)), """")))/T318"),0.4011976047904191)</f>
        <v>0.4011976048</v>
      </c>
      <c r="V318" s="60">
        <v>300.0</v>
      </c>
      <c r="W318" s="60"/>
    </row>
    <row r="319" ht="22.5" customHeight="1">
      <c r="A31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SUBSTITUTE(E319, """", """")"),"#REF!")</f>
        <v>#REF!</v>
      </c>
      <c r="B319" s="37" t="s">
        <v>348</v>
      </c>
      <c r="C319" s="37" t="s">
        <v>1257</v>
      </c>
      <c r="D319" s="37" t="s">
        <v>1242</v>
      </c>
      <c r="E319" s="38" t="s">
        <v>350</v>
      </c>
      <c r="F319" s="49" t="s">
        <v>55</v>
      </c>
      <c r="G319" s="37" t="s">
        <v>351</v>
      </c>
      <c r="H319" s="52" t="s">
        <v>41</v>
      </c>
      <c r="I319" s="34" t="s">
        <v>1266</v>
      </c>
      <c r="J319" s="62"/>
      <c r="K319" s="62"/>
      <c r="L319" s="63"/>
      <c r="M319" s="64">
        <v>2000.0</v>
      </c>
      <c r="N319" s="64">
        <v>2000.0</v>
      </c>
      <c r="O319" s="59"/>
      <c r="P319" s="62">
        <v>2000.0</v>
      </c>
      <c r="Q319" s="62">
        <v>2000.0</v>
      </c>
      <c r="R319" s="62">
        <v>6955.0</v>
      </c>
      <c r="S319" s="58">
        <v>0.67</v>
      </c>
      <c r="T319" s="59">
        <f>IFERROR(__xludf.DUMMYFUNCTION("((IFERROR(MIN(FILTER({L319, O319, R319}, ISNUMBER({L319, O319, R319}), {L319, O319, R319} &gt; 0)), """"))*S319)+IFERROR(MIN(FILTER({L319, O319, R319}, ISNUMBER({L319, O319, R319}), {L319, O319, R319} &gt; 0)), """")"),11614.85)</f>
        <v>11614.85</v>
      </c>
      <c r="U319" s="53">
        <f>IFERROR(__xludf.DUMMYFUNCTION("(T319-(IFERROR(MIN(FILTER({L319, O319, R319}, ISNUMBER({L319, O319, R319}), {L319, O319, R319} &gt; 0)), """")))/T319"),0.40119760479041916)</f>
        <v>0.4011976048</v>
      </c>
      <c r="V319" s="60">
        <v>300.0</v>
      </c>
      <c r="W319" s="60"/>
    </row>
    <row r="320" ht="22.5" customHeight="1">
      <c r="A32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SUBSTITUTE(E320, """", """")"),"#REF!")</f>
        <v>#REF!</v>
      </c>
      <c r="B320" s="37" t="s">
        <v>348</v>
      </c>
      <c r="C320" s="37" t="s">
        <v>1257</v>
      </c>
      <c r="D320" s="37" t="s">
        <v>1242</v>
      </c>
      <c r="E320" s="38" t="s">
        <v>350</v>
      </c>
      <c r="F320" s="49" t="s">
        <v>55</v>
      </c>
      <c r="G320" s="37" t="s">
        <v>351</v>
      </c>
      <c r="H320" s="52" t="s">
        <v>41</v>
      </c>
      <c r="I320" s="34" t="s">
        <v>1266</v>
      </c>
      <c r="J320" s="62"/>
      <c r="K320" s="62"/>
      <c r="L320" s="63"/>
      <c r="M320" s="64">
        <v>5000.0</v>
      </c>
      <c r="N320" s="64">
        <v>5000.0</v>
      </c>
      <c r="O320" s="59"/>
      <c r="P320" s="62">
        <v>5000.0</v>
      </c>
      <c r="Q320" s="62">
        <v>5000.0</v>
      </c>
      <c r="R320" s="62">
        <v>6125.0</v>
      </c>
      <c r="S320" s="58">
        <v>0.67</v>
      </c>
      <c r="T320" s="59">
        <f>IFERROR(__xludf.DUMMYFUNCTION("((IFERROR(MIN(FILTER({L320, O320, R320}, ISNUMBER({L320, O320, R320}), {L320, O320, R320} &gt; 0)), """"))*S320)+IFERROR(MIN(FILTER({L320, O320, R320}, ISNUMBER({L320, O320, R320}), {L320, O320, R320} &gt; 0)), """")"),10228.75)</f>
        <v>10228.75</v>
      </c>
      <c r="U320" s="53">
        <f>IFERROR(__xludf.DUMMYFUNCTION("(T320-(IFERROR(MIN(FILTER({L320, O320, R320}, ISNUMBER({L320, O320, R320}), {L320, O320, R320} &gt; 0)), """")))/T320"),0.40119760479041916)</f>
        <v>0.4011976048</v>
      </c>
      <c r="V320" s="60">
        <v>300.0</v>
      </c>
      <c r="W320" s="60"/>
    </row>
    <row r="321" ht="22.5" customHeight="1">
      <c r="A32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SUBSTITUTE(E321, """", """")"),"#REF!")</f>
        <v>#REF!</v>
      </c>
      <c r="B321" s="37" t="s">
        <v>348</v>
      </c>
      <c r="C321" s="37" t="s">
        <v>1257</v>
      </c>
      <c r="D321" s="37" t="s">
        <v>1242</v>
      </c>
      <c r="E321" s="38" t="s">
        <v>1270</v>
      </c>
      <c r="F321" s="49" t="s">
        <v>55</v>
      </c>
      <c r="G321" s="37" t="s">
        <v>351</v>
      </c>
      <c r="H321" s="52" t="s">
        <v>41</v>
      </c>
      <c r="I321" s="34" t="s">
        <v>1266</v>
      </c>
      <c r="J321" s="62"/>
      <c r="K321" s="62"/>
      <c r="L321" s="63"/>
      <c r="M321" s="64">
        <v>2000.0</v>
      </c>
      <c r="N321" s="64">
        <v>2000.0</v>
      </c>
      <c r="O321" s="59"/>
      <c r="P321" s="62">
        <v>2000.0</v>
      </c>
      <c r="Q321" s="62">
        <v>2000.0</v>
      </c>
      <c r="R321" s="62">
        <v>6056.0</v>
      </c>
      <c r="S321" s="58">
        <v>0.67</v>
      </c>
      <c r="T321" s="59">
        <f>IFERROR(__xludf.DUMMYFUNCTION("((IFERROR(MIN(FILTER({L321, O321, R321}, ISNUMBER({L321, O321, R321}), {L321, O321, R321} &gt; 0)), """"))*S321)+IFERROR(MIN(FILTER({L321, O321, R321}, ISNUMBER({L321, O321, R321}), {L321, O321, R321} &gt; 0)), """")"),10113.52)</f>
        <v>10113.52</v>
      </c>
      <c r="U321" s="53">
        <f>IFERROR(__xludf.DUMMYFUNCTION("(T321-(IFERROR(MIN(FILTER({L321, O321, R321}, ISNUMBER({L321, O321, R321}), {L321, O321, R321} &gt; 0)), """")))/T321"),0.40119760479041916)</f>
        <v>0.4011976048</v>
      </c>
      <c r="V321" s="60">
        <v>300.0</v>
      </c>
      <c r="W321" s="60"/>
    </row>
    <row r="322" ht="22.5" customHeight="1">
      <c r="A32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SUBSTITUTE(E322, """", """")"),"#REF!")</f>
        <v>#REF!</v>
      </c>
      <c r="B322" s="37" t="s">
        <v>348</v>
      </c>
      <c r="C322" s="37" t="s">
        <v>1257</v>
      </c>
      <c r="D322" s="37" t="s">
        <v>1242</v>
      </c>
      <c r="E322" s="38" t="s">
        <v>1270</v>
      </c>
      <c r="F322" s="49" t="s">
        <v>55</v>
      </c>
      <c r="G322" s="37" t="s">
        <v>351</v>
      </c>
      <c r="H322" s="52" t="s">
        <v>41</v>
      </c>
      <c r="I322" s="34" t="s">
        <v>1266</v>
      </c>
      <c r="J322" s="62"/>
      <c r="K322" s="62"/>
      <c r="L322" s="63"/>
      <c r="M322" s="64">
        <v>5000.0</v>
      </c>
      <c r="N322" s="64">
        <v>5000.0</v>
      </c>
      <c r="O322" s="59"/>
      <c r="P322" s="62">
        <v>5000.0</v>
      </c>
      <c r="Q322" s="62">
        <v>5000.0</v>
      </c>
      <c r="R322" s="62">
        <v>5054.0</v>
      </c>
      <c r="S322" s="58">
        <v>0.67</v>
      </c>
      <c r="T322" s="59">
        <f>IFERROR(__xludf.DUMMYFUNCTION("((IFERROR(MIN(FILTER({L322, O322, R322}, ISNUMBER({L322, O322, R322}), {L322, O322, R322} &gt; 0)), """"))*S322)+IFERROR(MIN(FILTER({L322, O322, R322}, ISNUMBER({L322, O322, R322}), {L322, O322, R322} &gt; 0)), """")"),8440.18)</f>
        <v>8440.18</v>
      </c>
      <c r="U322" s="53">
        <f>IFERROR(__xludf.DUMMYFUNCTION("(T322-(IFERROR(MIN(FILTER({L322, O322, R322}, ISNUMBER({L322, O322, R322}), {L322, O322, R322} &gt; 0)), """")))/T322"),0.40119760479041916)</f>
        <v>0.4011976048</v>
      </c>
      <c r="V322" s="60">
        <v>300.0</v>
      </c>
      <c r="W322" s="60"/>
    </row>
    <row r="323" ht="22.5" customHeight="1">
      <c r="A32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SUBSTITUTE(E323, """", """")"),"#REF!")</f>
        <v>#REF!</v>
      </c>
      <c r="B323" s="37" t="s">
        <v>1072</v>
      </c>
      <c r="C323" s="37" t="s">
        <v>1257</v>
      </c>
      <c r="D323" s="37" t="s">
        <v>1242</v>
      </c>
      <c r="E323" s="38" t="s">
        <v>1277</v>
      </c>
      <c r="F323" s="49" t="s">
        <v>63</v>
      </c>
      <c r="G323" s="37" t="s">
        <v>67</v>
      </c>
      <c r="H323" s="52" t="s">
        <v>41</v>
      </c>
      <c r="I323" s="34" t="s">
        <v>550</v>
      </c>
      <c r="J323" s="62"/>
      <c r="K323" s="62"/>
      <c r="L323" s="63"/>
      <c r="M323" s="64">
        <v>5000.0</v>
      </c>
      <c r="N323" s="64">
        <v>5000.0</v>
      </c>
      <c r="O323" s="59"/>
      <c r="P323" s="62">
        <v>5000.0</v>
      </c>
      <c r="Q323" s="62">
        <v>5000.0</v>
      </c>
      <c r="R323" s="62">
        <v>5171.0</v>
      </c>
      <c r="S323" s="58">
        <v>0.67</v>
      </c>
      <c r="T323" s="59">
        <f>IFERROR(__xludf.DUMMYFUNCTION("((IFERROR(MIN(FILTER({L323, O323, R323}, ISNUMBER({L323, O323, R323}), {L323, O323, R323} &gt; 0)), """"))*S323)+IFERROR(MIN(FILTER({L323, O323, R323}, ISNUMBER({L323, O323, R323}), {L323, O323, R323} &gt; 0)), """")"),8635.57)</f>
        <v>8635.57</v>
      </c>
      <c r="U323" s="53">
        <f>IFERROR(__xludf.DUMMYFUNCTION("(T323-(IFERROR(MIN(FILTER({L323, O323, R323}, ISNUMBER({L323, O323, R323}), {L323, O323, R323} &gt; 0)), """")))/T323"),0.40119760479041916)</f>
        <v>0.4011976048</v>
      </c>
      <c r="V323" s="60">
        <v>300.0</v>
      </c>
      <c r="W323" s="60"/>
    </row>
    <row r="324" ht="22.5" customHeight="1">
      <c r="A3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SUBSTITUTE(E324, """", """")"),"#REF!")</f>
        <v>#REF!</v>
      </c>
      <c r="B324" s="47" t="s">
        <v>1279</v>
      </c>
      <c r="C324" s="47" t="s">
        <v>1257</v>
      </c>
      <c r="D324" s="47" t="s">
        <v>1242</v>
      </c>
      <c r="E324" s="48" t="s">
        <v>1280</v>
      </c>
      <c r="F324" s="49" t="s">
        <v>36</v>
      </c>
      <c r="G324" s="47" t="s">
        <v>1281</v>
      </c>
      <c r="H324" s="52" t="s">
        <v>41</v>
      </c>
      <c r="I324" s="34" t="s">
        <v>152</v>
      </c>
      <c r="J324" s="54"/>
      <c r="K324" s="57"/>
      <c r="L324" s="57"/>
      <c r="M324" s="56">
        <v>1000.0</v>
      </c>
      <c r="N324" s="106">
        <v>1000.0</v>
      </c>
      <c r="O324" s="106"/>
      <c r="P324" s="54">
        <v>1000.0</v>
      </c>
      <c r="Q324" s="57">
        <v>1000.0</v>
      </c>
      <c r="R324" s="54">
        <v>6903.0</v>
      </c>
      <c r="S324" s="58">
        <v>0.67</v>
      </c>
      <c r="T324" s="59">
        <f>IFERROR(__xludf.DUMMYFUNCTION("((IFERROR(MIN(FILTER({L324, O324, R324}, ISNUMBER({L324, O324, R324}), {L324, O324, R324} &gt; 0)), """"))*S324)+IFERROR(MIN(FILTER({L324, O324, R324}, ISNUMBER({L324, O324, R324}), {L324, O324, R324} &gt; 0)), """")"),11528.01)</f>
        <v>11528.01</v>
      </c>
      <c r="U324" s="53">
        <f>IFERROR(__xludf.DUMMYFUNCTION("(T324-(IFERROR(MIN(FILTER({L324, O324, R324}, ISNUMBER({L324, O324, R324}), {L324, O324, R324} &gt; 0)), """")))/T324"),0.40119760479041916)</f>
        <v>0.4011976048</v>
      </c>
      <c r="V324" s="60">
        <v>300.0</v>
      </c>
      <c r="W324" s="60"/>
    </row>
    <row r="325" ht="22.5" customHeight="1">
      <c r="A3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SUBSTITUTE(E325, """", """")"),"#REF!")</f>
        <v>#REF!</v>
      </c>
      <c r="B325" s="47" t="s">
        <v>1279</v>
      </c>
      <c r="C325" s="47" t="s">
        <v>1257</v>
      </c>
      <c r="D325" s="47" t="s">
        <v>1242</v>
      </c>
      <c r="E325" s="48" t="s">
        <v>1280</v>
      </c>
      <c r="F325" s="49" t="s">
        <v>36</v>
      </c>
      <c r="G325" s="47" t="s">
        <v>1281</v>
      </c>
      <c r="H325" s="52" t="s">
        <v>41</v>
      </c>
      <c r="I325" s="34" t="s">
        <v>152</v>
      </c>
      <c r="J325" s="54"/>
      <c r="K325" s="57"/>
      <c r="L325" s="57"/>
      <c r="M325" s="56">
        <v>1600.0</v>
      </c>
      <c r="N325" s="106">
        <v>1600.0</v>
      </c>
      <c r="O325" s="106"/>
      <c r="P325" s="54">
        <v>1600.0</v>
      </c>
      <c r="Q325" s="57">
        <v>1600.0</v>
      </c>
      <c r="R325" s="54">
        <v>5136.0</v>
      </c>
      <c r="S325" s="58">
        <v>0.67</v>
      </c>
      <c r="T325" s="59">
        <f>IFERROR(__xludf.DUMMYFUNCTION("((IFERROR(MIN(FILTER({L325, O325, R325}, ISNUMBER({L325, O325, R325}), {L325, O325, R325} &gt; 0)), """"))*S325)+IFERROR(MIN(FILTER({L325, O325, R325}, ISNUMBER({L325, O325, R325}), {L325, O325, R325} &gt; 0)), """")"),8577.12)</f>
        <v>8577.12</v>
      </c>
      <c r="U325" s="53">
        <f>IFERROR(__xludf.DUMMYFUNCTION("(T325-(IFERROR(MIN(FILTER({L325, O325, R325}, ISNUMBER({L325, O325, R325}), {L325, O325, R325} &gt; 0)), """")))/T325"),0.4011976047904192)</f>
        <v>0.4011976048</v>
      </c>
      <c r="V325" s="60">
        <v>300.0</v>
      </c>
      <c r="W325" s="60"/>
    </row>
    <row r="326" ht="22.5" customHeight="1">
      <c r="A3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SUBSTITUTE(E326, """", """")"),"#REF!")</f>
        <v>#REF!</v>
      </c>
      <c r="B326" s="47" t="s">
        <v>1279</v>
      </c>
      <c r="C326" s="47" t="s">
        <v>1257</v>
      </c>
      <c r="D326" s="47" t="s">
        <v>1242</v>
      </c>
      <c r="E326" s="48" t="s">
        <v>1280</v>
      </c>
      <c r="F326" s="49" t="s">
        <v>36</v>
      </c>
      <c r="G326" s="47" t="s">
        <v>1281</v>
      </c>
      <c r="H326" s="52" t="s">
        <v>41</v>
      </c>
      <c r="I326" s="34" t="s">
        <v>152</v>
      </c>
      <c r="J326" s="54"/>
      <c r="K326" s="57"/>
      <c r="L326" s="57"/>
      <c r="M326" s="56">
        <v>5000.0</v>
      </c>
      <c r="N326" s="106">
        <v>5000.0</v>
      </c>
      <c r="O326" s="106"/>
      <c r="P326" s="54">
        <v>5000.0</v>
      </c>
      <c r="Q326" s="57">
        <v>5000.0</v>
      </c>
      <c r="R326" s="54">
        <v>4023.0</v>
      </c>
      <c r="S326" s="58">
        <v>0.67</v>
      </c>
      <c r="T326" s="59">
        <f>IFERROR(__xludf.DUMMYFUNCTION("((IFERROR(MIN(FILTER({L326, O326, R326}, ISNUMBER({L326, O326, R326}), {L326, O326, R326} &gt; 0)), """"))*S326)+IFERROR(MIN(FILTER({L326, O326, R326}, ISNUMBER({L326, O326, R326}), {L326, O326, R326} &gt; 0)), """")"),6718.41)</f>
        <v>6718.41</v>
      </c>
      <c r="U326" s="53">
        <f>IFERROR(__xludf.DUMMYFUNCTION("(T326-(IFERROR(MIN(FILTER({L326, O326, R326}, ISNUMBER({L326, O326, R326}), {L326, O326, R326} &gt; 0)), """")))/T326"),0.40119760479041916)</f>
        <v>0.4011976048</v>
      </c>
      <c r="V326" s="60">
        <v>300.0</v>
      </c>
      <c r="W326" s="60"/>
    </row>
    <row r="327" ht="22.5" customHeight="1">
      <c r="A3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SUBSTITUTE(E327, """", """")"),"#REF!")</f>
        <v>#REF!</v>
      </c>
      <c r="B327" s="47" t="s">
        <v>1279</v>
      </c>
      <c r="C327" s="47" t="s">
        <v>1257</v>
      </c>
      <c r="D327" s="47" t="s">
        <v>1242</v>
      </c>
      <c r="E327" s="48" t="s">
        <v>1280</v>
      </c>
      <c r="F327" s="49" t="s">
        <v>36</v>
      </c>
      <c r="G327" s="47" t="s">
        <v>1281</v>
      </c>
      <c r="H327" s="52" t="s">
        <v>41</v>
      </c>
      <c r="I327" s="34" t="s">
        <v>152</v>
      </c>
      <c r="J327" s="54"/>
      <c r="K327" s="57"/>
      <c r="L327" s="57"/>
      <c r="M327" s="56">
        <v>5500.0</v>
      </c>
      <c r="N327" s="106">
        <v>5500.0</v>
      </c>
      <c r="O327" s="106"/>
      <c r="P327" s="54">
        <v>5500.0</v>
      </c>
      <c r="Q327" s="57">
        <v>5500.0</v>
      </c>
      <c r="R327" s="54">
        <v>3868.0</v>
      </c>
      <c r="S327" s="58">
        <v>0.67</v>
      </c>
      <c r="T327" s="59">
        <f>IFERROR(__xludf.DUMMYFUNCTION("((IFERROR(MIN(FILTER({L327, O327, R327}, ISNUMBER({L327, O327, R327}), {L327, O327, R327} &gt; 0)), """"))*S327)+IFERROR(MIN(FILTER({L327, O327, R327}, ISNUMBER({L327, O327, R327}), {L327, O327, R327} &gt; 0)), """")"),6459.5599999999995)</f>
        <v>6459.56</v>
      </c>
      <c r="U327" s="53">
        <f>IFERROR(__xludf.DUMMYFUNCTION("(T327-(IFERROR(MIN(FILTER({L327, O327, R327}, ISNUMBER({L327, O327, R327}), {L327, O327, R327} &gt; 0)), """")))/T327"),0.4011976047904191)</f>
        <v>0.4011976048</v>
      </c>
      <c r="V327" s="60">
        <v>300.0</v>
      </c>
      <c r="W327" s="60"/>
    </row>
    <row r="328" ht="22.5" customHeight="1">
      <c r="A3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SUBSTITUTE(E328, """", """")"),"#REF!")</f>
        <v>#REF!</v>
      </c>
      <c r="B328" s="47" t="s">
        <v>1288</v>
      </c>
      <c r="C328" s="47" t="s">
        <v>1257</v>
      </c>
      <c r="D328" s="47" t="s">
        <v>811</v>
      </c>
      <c r="E328" s="48" t="s">
        <v>1289</v>
      </c>
      <c r="F328" s="49" t="s">
        <v>36</v>
      </c>
      <c r="G328" s="47" t="s">
        <v>1290</v>
      </c>
      <c r="H328" s="52" t="s">
        <v>41</v>
      </c>
      <c r="I328" s="34" t="s">
        <v>1291</v>
      </c>
      <c r="J328" s="54"/>
      <c r="K328" s="57"/>
      <c r="L328" s="57"/>
      <c r="M328" s="56">
        <v>1000.0</v>
      </c>
      <c r="N328" s="106">
        <v>1000.0</v>
      </c>
      <c r="O328" s="106"/>
      <c r="P328" s="54">
        <v>1000.0</v>
      </c>
      <c r="Q328" s="57">
        <v>1000.0</v>
      </c>
      <c r="R328" s="54">
        <v>8285.0</v>
      </c>
      <c r="S328" s="58">
        <v>0.67</v>
      </c>
      <c r="T328" s="59">
        <f>IFERROR(__xludf.DUMMYFUNCTION("((IFERROR(MIN(FILTER({L328, O328, R328}, ISNUMBER({L328, O328, R328}), {L328, O328, R328} &gt; 0)), """"))*S328)+IFERROR(MIN(FILTER({L328, O328, R328}, ISNUMBER({L328, O328, R328}), {L328, O328, R328} &gt; 0)), """")"),13835.95)</f>
        <v>13835.95</v>
      </c>
      <c r="U328" s="53">
        <f>IFERROR(__xludf.DUMMYFUNCTION("(T328-(IFERROR(MIN(FILTER({L328, O328, R328}, ISNUMBER({L328, O328, R328}), {L328, O328, R328} &gt; 0)), """")))/T328"),0.4011976047904192)</f>
        <v>0.4011976048</v>
      </c>
      <c r="V328" s="60">
        <v>300.0</v>
      </c>
      <c r="W328" s="60"/>
    </row>
    <row r="329" ht="22.5" customHeight="1">
      <c r="A3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SUBSTITUTE(E329, """", """")"),"#REF!")</f>
        <v>#REF!</v>
      </c>
      <c r="B329" s="47" t="s">
        <v>1288</v>
      </c>
      <c r="C329" s="47" t="s">
        <v>1257</v>
      </c>
      <c r="D329" s="47" t="s">
        <v>811</v>
      </c>
      <c r="E329" s="48" t="s">
        <v>1289</v>
      </c>
      <c r="F329" s="49" t="s">
        <v>36</v>
      </c>
      <c r="G329" s="47" t="s">
        <v>1290</v>
      </c>
      <c r="H329" s="52" t="s">
        <v>41</v>
      </c>
      <c r="I329" s="34" t="s">
        <v>1291</v>
      </c>
      <c r="J329" s="54"/>
      <c r="K329" s="57"/>
      <c r="L329" s="57"/>
      <c r="M329" s="56">
        <v>1100.0</v>
      </c>
      <c r="N329" s="106">
        <v>1100.0</v>
      </c>
      <c r="O329" s="106"/>
      <c r="P329" s="54">
        <v>1100.0</v>
      </c>
      <c r="Q329" s="57">
        <v>1100.0</v>
      </c>
      <c r="R329" s="54">
        <v>7781.0</v>
      </c>
      <c r="S329" s="58">
        <v>0.67</v>
      </c>
      <c r="T329" s="59">
        <f>IFERROR(__xludf.DUMMYFUNCTION("((IFERROR(MIN(FILTER({L329, O329, R329}, ISNUMBER({L329, O329, R329}), {L329, O329, R329} &gt; 0)), """"))*S329)+IFERROR(MIN(FILTER({L329, O329, R329}, ISNUMBER({L329, O329, R329}), {L329, O329, R329} &gt; 0)), """")"),12994.27)</f>
        <v>12994.27</v>
      </c>
      <c r="U329" s="53">
        <f>IFERROR(__xludf.DUMMYFUNCTION("(T329-(IFERROR(MIN(FILTER({L329, O329, R329}, ISNUMBER({L329, O329, R329}), {L329, O329, R329} &gt; 0)), """")))/T329"),0.40119760479041916)</f>
        <v>0.4011976048</v>
      </c>
      <c r="V329" s="60">
        <v>300.0</v>
      </c>
      <c r="W329" s="60"/>
    </row>
    <row r="330" ht="22.5" customHeight="1">
      <c r="A3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SUBSTITUTE(E330, """", """")"),"#REF!")</f>
        <v>#REF!</v>
      </c>
      <c r="B330" s="47" t="s">
        <v>1288</v>
      </c>
      <c r="C330" s="47" t="s">
        <v>1257</v>
      </c>
      <c r="D330" s="47" t="s">
        <v>811</v>
      </c>
      <c r="E330" s="48" t="s">
        <v>1289</v>
      </c>
      <c r="F330" s="49" t="s">
        <v>36</v>
      </c>
      <c r="G330" s="47" t="s">
        <v>1290</v>
      </c>
      <c r="H330" s="52" t="s">
        <v>41</v>
      </c>
      <c r="I330" s="34" t="s">
        <v>1291</v>
      </c>
      <c r="J330" s="54"/>
      <c r="K330" s="57"/>
      <c r="L330" s="57"/>
      <c r="M330" s="56">
        <v>2000.0</v>
      </c>
      <c r="N330" s="106">
        <v>2000.0</v>
      </c>
      <c r="O330" s="106"/>
      <c r="P330" s="54">
        <v>2000.0</v>
      </c>
      <c r="Q330" s="57">
        <v>2000.0</v>
      </c>
      <c r="R330" s="54">
        <v>6321.0</v>
      </c>
      <c r="S330" s="58">
        <v>0.67</v>
      </c>
      <c r="T330" s="59">
        <f>IFERROR(__xludf.DUMMYFUNCTION("((IFERROR(MIN(FILTER({L330, O330, R330}, ISNUMBER({L330, O330, R330}), {L330, O330, R330} &gt; 0)), """"))*S330)+IFERROR(MIN(FILTER({L330, O330, R330}, ISNUMBER({L330, O330, R330}), {L330, O330, R330} &gt; 0)), """")"),10556.07)</f>
        <v>10556.07</v>
      </c>
      <c r="U330" s="53">
        <f>IFERROR(__xludf.DUMMYFUNCTION("(T330-(IFERROR(MIN(FILTER({L330, O330, R330}, ISNUMBER({L330, O330, R330}), {L330, O330, R330} &gt; 0)), """")))/T330"),0.40119760479041916)</f>
        <v>0.4011976048</v>
      </c>
      <c r="V330" s="60">
        <v>300.0</v>
      </c>
      <c r="W330" s="60"/>
    </row>
    <row r="331" ht="22.5" customHeight="1">
      <c r="A3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SUBSTITUTE(E331, """", """")"),"#REF!")</f>
        <v>#REF!</v>
      </c>
      <c r="B331" s="47" t="s">
        <v>1296</v>
      </c>
      <c r="C331" s="47" t="s">
        <v>1257</v>
      </c>
      <c r="D331" s="47" t="s">
        <v>1242</v>
      </c>
      <c r="E331" s="48" t="s">
        <v>1298</v>
      </c>
      <c r="F331" s="49" t="s">
        <v>55</v>
      </c>
      <c r="G331" s="47" t="s">
        <v>216</v>
      </c>
      <c r="H331" s="52" t="s">
        <v>41</v>
      </c>
      <c r="I331" s="34" t="s">
        <v>1299</v>
      </c>
      <c r="J331" s="54"/>
      <c r="K331" s="57"/>
      <c r="L331" s="57"/>
      <c r="M331" s="56">
        <v>500.0</v>
      </c>
      <c r="N331" s="106">
        <v>500.0</v>
      </c>
      <c r="O331" s="106"/>
      <c r="P331" s="54">
        <v>500.0</v>
      </c>
      <c r="Q331" s="57">
        <v>500.0</v>
      </c>
      <c r="R331" s="54">
        <v>5907.0</v>
      </c>
      <c r="S331" s="58">
        <v>0.67</v>
      </c>
      <c r="T331" s="59">
        <f>IFERROR(__xludf.DUMMYFUNCTION("((IFERROR(MIN(FILTER({L331, O331, R331}, ISNUMBER({L331, O331, R331}), {L331, O331, R331} &gt; 0)), """"))*S331)+IFERROR(MIN(FILTER({L331, O331, R331}, ISNUMBER({L331, O331, R331}), {L331, O331, R331} &gt; 0)), """")"),9864.69)</f>
        <v>9864.69</v>
      </c>
      <c r="U331" s="53">
        <f>IFERROR(__xludf.DUMMYFUNCTION("(T331-(IFERROR(MIN(FILTER({L331, O331, R331}, ISNUMBER({L331, O331, R331}), {L331, O331, R331} &gt; 0)), """")))/T331"),0.4011976047904192)</f>
        <v>0.4011976048</v>
      </c>
      <c r="V331" s="60">
        <v>300.0</v>
      </c>
      <c r="W331" s="60"/>
    </row>
    <row r="332" ht="22.5" customHeight="1">
      <c r="A3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SUBSTITUTE(E332, """", """")"),"#REF!")</f>
        <v>#REF!</v>
      </c>
      <c r="B332" s="47" t="s">
        <v>1296</v>
      </c>
      <c r="C332" s="47" t="s">
        <v>1257</v>
      </c>
      <c r="D332" s="47" t="s">
        <v>1242</v>
      </c>
      <c r="E332" s="48" t="s">
        <v>1298</v>
      </c>
      <c r="F332" s="49" t="s">
        <v>55</v>
      </c>
      <c r="G332" s="47" t="s">
        <v>216</v>
      </c>
      <c r="H332" s="52" t="s">
        <v>41</v>
      </c>
      <c r="I332" s="34" t="s">
        <v>1299</v>
      </c>
      <c r="J332" s="54"/>
      <c r="K332" s="57"/>
      <c r="L332" s="57"/>
      <c r="M332" s="56">
        <v>1000.0</v>
      </c>
      <c r="N332" s="106">
        <v>1000.0</v>
      </c>
      <c r="O332" s="106"/>
      <c r="P332" s="54">
        <v>1000.0</v>
      </c>
      <c r="Q332" s="57">
        <v>1000.0</v>
      </c>
      <c r="R332" s="54">
        <v>3617.0</v>
      </c>
      <c r="S332" s="58">
        <v>0.67</v>
      </c>
      <c r="T332" s="59">
        <f>IFERROR(__xludf.DUMMYFUNCTION("((IFERROR(MIN(FILTER({L332, O332, R332}, ISNUMBER({L332, O332, R332}), {L332, O332, R332} &gt; 0)), """"))*S332)+IFERROR(MIN(FILTER({L332, O332, R332}, ISNUMBER({L332, O332, R332}), {L332, O332, R332} &gt; 0)), """")"),6040.39)</f>
        <v>6040.39</v>
      </c>
      <c r="U332" s="53">
        <f>IFERROR(__xludf.DUMMYFUNCTION("(T332-(IFERROR(MIN(FILTER({L332, O332, R332}, ISNUMBER({L332, O332, R332}), {L332, O332, R332} &gt; 0)), """")))/T332"),0.4011976047904192)</f>
        <v>0.4011976048</v>
      </c>
      <c r="V332" s="60">
        <v>300.0</v>
      </c>
      <c r="W332" s="60"/>
    </row>
    <row r="333" ht="22.5" customHeight="1">
      <c r="A3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SUBSTITUTE(E333, """", """")"),"#REF!")</f>
        <v>#REF!</v>
      </c>
      <c r="B333" s="47" t="s">
        <v>1296</v>
      </c>
      <c r="C333" s="47" t="s">
        <v>1257</v>
      </c>
      <c r="D333" s="47" t="s">
        <v>1242</v>
      </c>
      <c r="E333" s="48" t="s">
        <v>1298</v>
      </c>
      <c r="F333" s="49" t="s">
        <v>55</v>
      </c>
      <c r="G333" s="47" t="s">
        <v>216</v>
      </c>
      <c r="H333" s="52" t="s">
        <v>41</v>
      </c>
      <c r="I333" s="34" t="s">
        <v>1299</v>
      </c>
      <c r="J333" s="54"/>
      <c r="K333" s="57"/>
      <c r="L333" s="57"/>
      <c r="M333" s="56">
        <v>1200.0</v>
      </c>
      <c r="N333" s="106">
        <v>1200.0</v>
      </c>
      <c r="O333" s="106"/>
      <c r="P333" s="54">
        <v>1200.0</v>
      </c>
      <c r="Q333" s="57">
        <v>1200.0</v>
      </c>
      <c r="R333" s="54">
        <v>3258.0</v>
      </c>
      <c r="S333" s="58">
        <v>0.67</v>
      </c>
      <c r="T333" s="59">
        <f>IFERROR(__xludf.DUMMYFUNCTION("((IFERROR(MIN(FILTER({L333, O333, R333}, ISNUMBER({L333, O333, R333}), {L333, O333, R333} &gt; 0)), """"))*S333)+IFERROR(MIN(FILTER({L333, O333, R333}, ISNUMBER({L333, O333, R333}), {L333, O333, R333} &gt; 0)), """")"),5440.860000000001)</f>
        <v>5440.86</v>
      </c>
      <c r="U333" s="53">
        <f>IFERROR(__xludf.DUMMYFUNCTION("(T333-(IFERROR(MIN(FILTER({L333, O333, R333}, ISNUMBER({L333, O333, R333}), {L333, O333, R333} &gt; 0)), """")))/T333"),0.4011976047904192)</f>
        <v>0.4011976048</v>
      </c>
      <c r="V333" s="60">
        <v>300.0</v>
      </c>
      <c r="W333" s="60"/>
    </row>
    <row r="334" ht="22.5" customHeight="1">
      <c r="A3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SUBSTITUTE(E334, """", """")"),"#REF!")</f>
        <v>#REF!</v>
      </c>
      <c r="B334" s="47" t="s">
        <v>1296</v>
      </c>
      <c r="C334" s="47" t="s">
        <v>1257</v>
      </c>
      <c r="D334" s="47" t="s">
        <v>1242</v>
      </c>
      <c r="E334" s="48" t="s">
        <v>1308</v>
      </c>
      <c r="F334" s="49" t="s">
        <v>55</v>
      </c>
      <c r="G334" s="47" t="s">
        <v>216</v>
      </c>
      <c r="H334" s="52" t="s">
        <v>41</v>
      </c>
      <c r="I334" s="34" t="s">
        <v>1299</v>
      </c>
      <c r="J334" s="54"/>
      <c r="K334" s="57"/>
      <c r="L334" s="57"/>
      <c r="M334" s="56">
        <v>500.0</v>
      </c>
      <c r="N334" s="106">
        <v>500.0</v>
      </c>
      <c r="O334" s="106"/>
      <c r="P334" s="54">
        <v>500.0</v>
      </c>
      <c r="Q334" s="57">
        <v>500.0</v>
      </c>
      <c r="R334" s="54">
        <v>8148.0</v>
      </c>
      <c r="S334" s="58">
        <v>0.67</v>
      </c>
      <c r="T334" s="59">
        <f>IFERROR(__xludf.DUMMYFUNCTION("((IFERROR(MIN(FILTER({L334, O334, R334}, ISNUMBER({L334, O334, R334}), {L334, O334, R334} &gt; 0)), """"))*S334)+IFERROR(MIN(FILTER({L334, O334, R334}, ISNUMBER({L334, O334, R334}), {L334, O334, R334} &gt; 0)), """")"),13607.16)</f>
        <v>13607.16</v>
      </c>
      <c r="U334" s="53">
        <f>IFERROR(__xludf.DUMMYFUNCTION("(T334-(IFERROR(MIN(FILTER({L334, O334, R334}, ISNUMBER({L334, O334, R334}), {L334, O334, R334} &gt; 0)), """")))/T334"),0.40119760479041916)</f>
        <v>0.4011976048</v>
      </c>
      <c r="V334" s="60">
        <v>300.0</v>
      </c>
      <c r="W334" s="60"/>
    </row>
    <row r="335" ht="22.5" customHeight="1">
      <c r="A3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SUBSTITUTE(E335, """", """")"),"#REF!")</f>
        <v>#REF!</v>
      </c>
      <c r="B335" s="47" t="s">
        <v>1296</v>
      </c>
      <c r="C335" s="47" t="s">
        <v>1257</v>
      </c>
      <c r="D335" s="47" t="s">
        <v>1242</v>
      </c>
      <c r="E335" s="48" t="s">
        <v>1308</v>
      </c>
      <c r="F335" s="49" t="s">
        <v>55</v>
      </c>
      <c r="G335" s="47" t="s">
        <v>216</v>
      </c>
      <c r="H335" s="52" t="s">
        <v>41</v>
      </c>
      <c r="I335" s="34" t="s">
        <v>1299</v>
      </c>
      <c r="J335" s="54"/>
      <c r="K335" s="57"/>
      <c r="L335" s="57"/>
      <c r="M335" s="56">
        <v>1000.0</v>
      </c>
      <c r="N335" s="106">
        <v>1000.0</v>
      </c>
      <c r="O335" s="106"/>
      <c r="P335" s="54">
        <v>1000.0</v>
      </c>
      <c r="Q335" s="57">
        <v>1000.0</v>
      </c>
      <c r="R335" s="54">
        <v>5988.0</v>
      </c>
      <c r="S335" s="58">
        <v>0.67</v>
      </c>
      <c r="T335" s="59">
        <f>IFERROR(__xludf.DUMMYFUNCTION("((IFERROR(MIN(FILTER({L335, O335, R335}, ISNUMBER({L335, O335, R335}), {L335, O335, R335} &gt; 0)), """"))*S335)+IFERROR(MIN(FILTER({L335, O335, R335}, ISNUMBER({L335, O335, R335}), {L335, O335, R335} &gt; 0)), """")"),9999.96)</f>
        <v>9999.96</v>
      </c>
      <c r="U335" s="53">
        <f>IFERROR(__xludf.DUMMYFUNCTION("(T335-(IFERROR(MIN(FILTER({L335, O335, R335}, ISNUMBER({L335, O335, R335}), {L335, O335, R335} &gt; 0)), """")))/T335"),0.4011976047904191)</f>
        <v>0.4011976048</v>
      </c>
      <c r="V335" s="60">
        <v>300.0</v>
      </c>
      <c r="W335" s="60"/>
    </row>
    <row r="336" ht="22.5" customHeight="1">
      <c r="A3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SUBSTITUTE(E336, """", """")"),"#REF!")</f>
        <v>#REF!</v>
      </c>
      <c r="B336" s="47" t="s">
        <v>1296</v>
      </c>
      <c r="C336" s="47" t="s">
        <v>1257</v>
      </c>
      <c r="D336" s="47" t="s">
        <v>1242</v>
      </c>
      <c r="E336" s="48" t="s">
        <v>1308</v>
      </c>
      <c r="F336" s="49" t="s">
        <v>55</v>
      </c>
      <c r="G336" s="47" t="s">
        <v>216</v>
      </c>
      <c r="H336" s="52" t="s">
        <v>41</v>
      </c>
      <c r="I336" s="34" t="s">
        <v>1299</v>
      </c>
      <c r="J336" s="54"/>
      <c r="K336" s="57"/>
      <c r="L336" s="57"/>
      <c r="M336" s="56">
        <v>1200.0</v>
      </c>
      <c r="N336" s="106">
        <v>1200.0</v>
      </c>
      <c r="O336" s="106"/>
      <c r="P336" s="54">
        <v>1200.0</v>
      </c>
      <c r="Q336" s="57">
        <v>1200.0</v>
      </c>
      <c r="R336" s="54">
        <v>5401.0</v>
      </c>
      <c r="S336" s="58">
        <v>0.67</v>
      </c>
      <c r="T336" s="59">
        <f>IFERROR(__xludf.DUMMYFUNCTION("((IFERROR(MIN(FILTER({L336, O336, R336}, ISNUMBER({L336, O336, R336}), {L336, O336, R336} &gt; 0)), """"))*S336)+IFERROR(MIN(FILTER({L336, O336, R336}, ISNUMBER({L336, O336, R336}), {L336, O336, R336} &gt; 0)), """")"),9019.67)</f>
        <v>9019.67</v>
      </c>
      <c r="U336" s="53">
        <f>IFERROR(__xludf.DUMMYFUNCTION("(T336-(IFERROR(MIN(FILTER({L336, O336, R336}, ISNUMBER({L336, O336, R336}), {L336, O336, R336} &gt; 0)), """")))/T336"),0.40119760479041916)</f>
        <v>0.4011976048</v>
      </c>
      <c r="V336" s="60">
        <v>300.0</v>
      </c>
      <c r="W336" s="60"/>
    </row>
    <row r="337" ht="22.5" customHeight="1">
      <c r="A3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SUBSTITUTE(E337, """", """")"),"#REF!")</f>
        <v>#REF!</v>
      </c>
      <c r="B337" s="47" t="s">
        <v>1319</v>
      </c>
      <c r="C337" s="47" t="s">
        <v>1257</v>
      </c>
      <c r="D337" s="47" t="s">
        <v>1320</v>
      </c>
      <c r="E337" s="48" t="s">
        <v>1321</v>
      </c>
      <c r="F337" s="49" t="s">
        <v>36</v>
      </c>
      <c r="G337" s="47" t="s">
        <v>1323</v>
      </c>
      <c r="H337" s="52" t="s">
        <v>41</v>
      </c>
      <c r="I337" s="34" t="s">
        <v>1325</v>
      </c>
      <c r="J337" s="54"/>
      <c r="K337" s="54"/>
      <c r="L337" s="57"/>
      <c r="M337" s="56">
        <v>1000.0</v>
      </c>
      <c r="N337" s="56">
        <v>1000.0</v>
      </c>
      <c r="O337" s="106"/>
      <c r="P337" s="54">
        <v>1000.0</v>
      </c>
      <c r="Q337" s="54">
        <v>1000.0</v>
      </c>
      <c r="R337" s="54">
        <v>8116.0</v>
      </c>
      <c r="S337" s="58">
        <v>0.67</v>
      </c>
      <c r="T337" s="59">
        <f>IFERROR(__xludf.DUMMYFUNCTION("((IFERROR(MIN(FILTER({L337, O337, R337}, ISNUMBER({L337, O337, R337}), {L337, O337, R337} &gt; 0)), """"))*S337)+IFERROR(MIN(FILTER({L337, O337, R337}, ISNUMBER({L337, O337, R337}), {L337, O337, R337} &gt; 0)), """")"),13553.720000000001)</f>
        <v>13553.72</v>
      </c>
      <c r="U337" s="53">
        <f>IFERROR(__xludf.DUMMYFUNCTION("(T337-(IFERROR(MIN(FILTER({L337, O337, R337}, ISNUMBER({L337, O337, R337}), {L337, O337, R337} &gt; 0)), """")))/T337"),0.4011976047904192)</f>
        <v>0.4011976048</v>
      </c>
      <c r="V337" s="60">
        <v>300.0</v>
      </c>
      <c r="W337" s="60"/>
    </row>
    <row r="338" ht="22.5" customHeight="1">
      <c r="A3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SUBSTITUTE(E338, """", """")"),"#REF!")</f>
        <v>#REF!</v>
      </c>
      <c r="B338" s="47" t="s">
        <v>1319</v>
      </c>
      <c r="C338" s="47" t="s">
        <v>1257</v>
      </c>
      <c r="D338" s="47" t="s">
        <v>1320</v>
      </c>
      <c r="E338" s="48" t="s">
        <v>1321</v>
      </c>
      <c r="F338" s="49" t="s">
        <v>36</v>
      </c>
      <c r="G338" s="47" t="s">
        <v>1323</v>
      </c>
      <c r="H338" s="52" t="s">
        <v>41</v>
      </c>
      <c r="I338" s="34" t="s">
        <v>1325</v>
      </c>
      <c r="J338" s="54"/>
      <c r="K338" s="54"/>
      <c r="L338" s="57"/>
      <c r="M338" s="56">
        <v>2000.0</v>
      </c>
      <c r="N338" s="56">
        <v>2000.0</v>
      </c>
      <c r="O338" s="106"/>
      <c r="P338" s="54">
        <v>2000.0</v>
      </c>
      <c r="Q338" s="54">
        <v>2000.0</v>
      </c>
      <c r="R338" s="54">
        <v>6241.0</v>
      </c>
      <c r="S338" s="58">
        <v>0.67</v>
      </c>
      <c r="T338" s="59">
        <f>IFERROR(__xludf.DUMMYFUNCTION("((IFERROR(MIN(FILTER({L338, O338, R338}, ISNUMBER({L338, O338, R338}), {L338, O338, R338} &gt; 0)), """"))*S338)+IFERROR(MIN(FILTER({L338, O338, R338}, ISNUMBER({L338, O338, R338}), {L338, O338, R338} &gt; 0)), """")"),10422.470000000001)</f>
        <v>10422.47</v>
      </c>
      <c r="U338" s="53">
        <f>IFERROR(__xludf.DUMMYFUNCTION("(T338-(IFERROR(MIN(FILTER({L338, O338, R338}, ISNUMBER({L338, O338, R338}), {L338, O338, R338} &gt; 0)), """")))/T338"),0.4011976047904192)</f>
        <v>0.4011976048</v>
      </c>
      <c r="V338" s="60">
        <v>300.0</v>
      </c>
      <c r="W338" s="60"/>
    </row>
    <row r="339" ht="22.5" customHeight="1">
      <c r="A3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SUBSTITUTE(E339, """", """")"),"#REF!")</f>
        <v>#REF!</v>
      </c>
      <c r="B339" s="47" t="s">
        <v>1319</v>
      </c>
      <c r="C339" s="47" t="s">
        <v>1257</v>
      </c>
      <c r="D339" s="47" t="s">
        <v>1320</v>
      </c>
      <c r="E339" s="48" t="s">
        <v>1321</v>
      </c>
      <c r="F339" s="49" t="s">
        <v>36</v>
      </c>
      <c r="G339" s="47" t="s">
        <v>1323</v>
      </c>
      <c r="H339" s="52" t="s">
        <v>41</v>
      </c>
      <c r="I339" s="34" t="s">
        <v>1325</v>
      </c>
      <c r="J339" s="54"/>
      <c r="K339" s="54"/>
      <c r="L339" s="57"/>
      <c r="M339" s="56">
        <v>3000.0</v>
      </c>
      <c r="N339" s="56">
        <v>3000.0</v>
      </c>
      <c r="O339" s="106"/>
      <c r="P339" s="54">
        <v>3000.0</v>
      </c>
      <c r="Q339" s="54">
        <v>3000.0</v>
      </c>
      <c r="R339" s="54">
        <v>5626.0</v>
      </c>
      <c r="S339" s="58">
        <v>0.67</v>
      </c>
      <c r="T339" s="59">
        <f>IFERROR(__xludf.DUMMYFUNCTION("((IFERROR(MIN(FILTER({L339, O339, R339}, ISNUMBER({L339, O339, R339}), {L339, O339, R339} &gt; 0)), """"))*S339)+IFERROR(MIN(FILTER({L339, O339, R339}, ISNUMBER({L339, O339, R339}), {L339, O339, R339} &gt; 0)), """")"),9395.42)</f>
        <v>9395.42</v>
      </c>
      <c r="U339" s="53">
        <f>IFERROR(__xludf.DUMMYFUNCTION("(T339-(IFERROR(MIN(FILTER({L339, O339, R339}, ISNUMBER({L339, O339, R339}), {L339, O339, R339} &gt; 0)), """")))/T339"),0.40119760479041916)</f>
        <v>0.4011976048</v>
      </c>
      <c r="V339" s="60">
        <v>300.0</v>
      </c>
      <c r="W339" s="60"/>
    </row>
    <row r="340" ht="22.5" customHeight="1">
      <c r="A3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SUBSTITUTE(E340, """", """")"),"#REF!")</f>
        <v>#REF!</v>
      </c>
      <c r="B340" s="47" t="s">
        <v>1319</v>
      </c>
      <c r="C340" s="47" t="s">
        <v>1257</v>
      </c>
      <c r="D340" s="47" t="s">
        <v>1320</v>
      </c>
      <c r="E340" s="48" t="s">
        <v>1321</v>
      </c>
      <c r="F340" s="49" t="s">
        <v>36</v>
      </c>
      <c r="G340" s="47" t="s">
        <v>1323</v>
      </c>
      <c r="H340" s="52" t="s">
        <v>41</v>
      </c>
      <c r="I340" s="34" t="s">
        <v>1325</v>
      </c>
      <c r="J340" s="54"/>
      <c r="K340" s="54"/>
      <c r="L340" s="57"/>
      <c r="M340" s="56">
        <v>4000.0</v>
      </c>
      <c r="N340" s="56">
        <v>4000.0</v>
      </c>
      <c r="O340" s="106"/>
      <c r="P340" s="54">
        <v>4000.0</v>
      </c>
      <c r="Q340" s="54">
        <v>4000.0</v>
      </c>
      <c r="R340" s="54">
        <v>5255.0</v>
      </c>
      <c r="S340" s="58">
        <v>0.67</v>
      </c>
      <c r="T340" s="59">
        <f>IFERROR(__xludf.DUMMYFUNCTION("((IFERROR(MIN(FILTER({L340, O340, R340}, ISNUMBER({L340, O340, R340}), {L340, O340, R340} &gt; 0)), """"))*S340)+IFERROR(MIN(FILTER({L340, O340, R340}, ISNUMBER({L340, O340, R340}), {L340, O340, R340} &gt; 0)), """")"),8775.85)</f>
        <v>8775.85</v>
      </c>
      <c r="U340" s="53">
        <f>IFERROR(__xludf.DUMMYFUNCTION("(T340-(IFERROR(MIN(FILTER({L340, O340, R340}, ISNUMBER({L340, O340, R340}), {L340, O340, R340} &gt; 0)), """")))/T340"),0.40119760479041916)</f>
        <v>0.4011976048</v>
      </c>
      <c r="V340" s="60">
        <v>300.0</v>
      </c>
      <c r="W340" s="60"/>
    </row>
    <row r="341" ht="22.5" customHeight="1">
      <c r="A3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SUBSTITUTE(E341, """", """")"),"#REF!")</f>
        <v>#REF!</v>
      </c>
      <c r="B341" s="47" t="s">
        <v>1319</v>
      </c>
      <c r="C341" s="47" t="s">
        <v>1257</v>
      </c>
      <c r="D341" s="47" t="s">
        <v>1320</v>
      </c>
      <c r="E341" s="48" t="s">
        <v>1321</v>
      </c>
      <c r="F341" s="49" t="s">
        <v>36</v>
      </c>
      <c r="G341" s="47" t="s">
        <v>1323</v>
      </c>
      <c r="H341" s="52" t="s">
        <v>41</v>
      </c>
      <c r="I341" s="34" t="s">
        <v>1325</v>
      </c>
      <c r="J341" s="54"/>
      <c r="K341" s="54"/>
      <c r="L341" s="57"/>
      <c r="M341" s="56">
        <v>5000.0</v>
      </c>
      <c r="N341" s="56">
        <v>5000.0</v>
      </c>
      <c r="O341" s="106"/>
      <c r="P341" s="54">
        <v>5000.0</v>
      </c>
      <c r="Q341" s="54">
        <v>5000.0</v>
      </c>
      <c r="R341" s="54">
        <v>5105.0</v>
      </c>
      <c r="S341" s="58">
        <v>0.67</v>
      </c>
      <c r="T341" s="59">
        <f>IFERROR(__xludf.DUMMYFUNCTION("((IFERROR(MIN(FILTER({L341, O341, R341}, ISNUMBER({L341, O341, R341}), {L341, O341, R341} &gt; 0)), """"))*S341)+IFERROR(MIN(FILTER({L341, O341, R341}, ISNUMBER({L341, O341, R341}), {L341, O341, R341} &gt; 0)), """")"),8525.35)</f>
        <v>8525.35</v>
      </c>
      <c r="U341" s="53">
        <f>IFERROR(__xludf.DUMMYFUNCTION("(T341-(IFERROR(MIN(FILTER({L341, O341, R341}, ISNUMBER({L341, O341, R341}), {L341, O341, R341} &gt; 0)), """")))/T341"),0.40119760479041916)</f>
        <v>0.4011976048</v>
      </c>
      <c r="V341" s="60">
        <v>300.0</v>
      </c>
      <c r="W341" s="60"/>
    </row>
    <row r="342" ht="22.5" customHeight="1">
      <c r="A3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SUBSTITUTE(E342, """", """")"),"#REF!")</f>
        <v>#REF!</v>
      </c>
      <c r="B342" s="47" t="s">
        <v>611</v>
      </c>
      <c r="C342" s="47" t="s">
        <v>1257</v>
      </c>
      <c r="D342" s="47" t="s">
        <v>1345</v>
      </c>
      <c r="E342" s="48" t="s">
        <v>1346</v>
      </c>
      <c r="F342" s="49" t="s">
        <v>36</v>
      </c>
      <c r="G342" s="47" t="s">
        <v>1347</v>
      </c>
      <c r="H342" s="52" t="s">
        <v>41</v>
      </c>
      <c r="I342" s="34" t="s">
        <v>44</v>
      </c>
      <c r="J342" s="54"/>
      <c r="K342" s="54"/>
      <c r="L342" s="57"/>
      <c r="M342" s="56">
        <v>15000.0</v>
      </c>
      <c r="N342" s="56">
        <v>15000.0</v>
      </c>
      <c r="O342" s="106"/>
      <c r="P342" s="54">
        <v>15000.0</v>
      </c>
      <c r="Q342" s="54">
        <v>15000.0</v>
      </c>
      <c r="R342" s="54">
        <v>5492.0</v>
      </c>
      <c r="S342" s="58">
        <v>0.67</v>
      </c>
      <c r="T342" s="59">
        <f>IFERROR(__xludf.DUMMYFUNCTION("((IFERROR(MIN(FILTER({L342, O342, R342}, ISNUMBER({L342, O342, R342}), {L342, O342, R342} &gt; 0)), """"))*S342)+IFERROR(MIN(FILTER({L342, O342, R342}, ISNUMBER({L342, O342, R342}), {L342, O342, R342} &gt; 0)), """")"),9171.64)</f>
        <v>9171.64</v>
      </c>
      <c r="U342" s="53">
        <f>IFERROR(__xludf.DUMMYFUNCTION("(T342-(IFERROR(MIN(FILTER({L342, O342, R342}, ISNUMBER({L342, O342, R342}), {L342, O342, R342} &gt; 0)), """")))/T342"),0.4011976047904191)</f>
        <v>0.4011976048</v>
      </c>
      <c r="V342" s="60">
        <v>300.0</v>
      </c>
      <c r="W342" s="60"/>
    </row>
    <row r="343" ht="22.5" customHeight="1">
      <c r="A3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SUBSTITUTE(E343, """", """")"),"#REF!")</f>
        <v>#REF!</v>
      </c>
      <c r="B343" s="47" t="s">
        <v>611</v>
      </c>
      <c r="C343" s="47" t="s">
        <v>1257</v>
      </c>
      <c r="D343" s="47" t="s">
        <v>1345</v>
      </c>
      <c r="E343" s="48" t="s">
        <v>1346</v>
      </c>
      <c r="F343" s="49" t="s">
        <v>36</v>
      </c>
      <c r="G343" s="47" t="s">
        <v>1347</v>
      </c>
      <c r="H343" s="52" t="s">
        <v>41</v>
      </c>
      <c r="I343" s="34" t="s">
        <v>44</v>
      </c>
      <c r="J343" s="54">
        <v>25000.0</v>
      </c>
      <c r="K343" s="54">
        <v>25000.0</v>
      </c>
      <c r="L343" s="57"/>
      <c r="M343" s="56">
        <v>25000.0</v>
      </c>
      <c r="N343" s="56">
        <v>25000.0</v>
      </c>
      <c r="O343" s="106"/>
      <c r="P343" s="54">
        <v>25000.0</v>
      </c>
      <c r="Q343" s="54">
        <v>25000.0</v>
      </c>
      <c r="R343" s="54">
        <v>5415.0</v>
      </c>
      <c r="S343" s="58">
        <v>0.67</v>
      </c>
      <c r="T343" s="59">
        <f>IFERROR(__xludf.DUMMYFUNCTION("((IFERROR(MIN(FILTER({L343, O343, R343}, ISNUMBER({L343, O343, R343}), {L343, O343, R343} &gt; 0)), """"))*S343)+IFERROR(MIN(FILTER({L343, O343, R343}, ISNUMBER({L343, O343, R343}), {L343, O343, R343} &gt; 0)), """")"),9043.05)</f>
        <v>9043.05</v>
      </c>
      <c r="U343" s="53">
        <f>IFERROR(__xludf.DUMMYFUNCTION("(T343-(IFERROR(MIN(FILTER({L343, O343, R343}, ISNUMBER({L343, O343, R343}), {L343, O343, R343} &gt; 0)), """")))/T343"),0.4011976047904191)</f>
        <v>0.4011976048</v>
      </c>
      <c r="V343" s="60">
        <v>300.0</v>
      </c>
      <c r="W343" s="60"/>
    </row>
    <row r="344" ht="22.5" customHeight="1">
      <c r="A3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SUBSTITUTE(E344, """", """")"),"#REF!")</f>
        <v>#REF!</v>
      </c>
      <c r="B344" s="47" t="s">
        <v>1348</v>
      </c>
      <c r="C344" s="47" t="s">
        <v>1257</v>
      </c>
      <c r="D344" s="47" t="s">
        <v>1349</v>
      </c>
      <c r="E344" s="48" t="s">
        <v>1350</v>
      </c>
      <c r="F344" s="49" t="s">
        <v>36</v>
      </c>
      <c r="G344" s="47" t="s">
        <v>1351</v>
      </c>
      <c r="H344" s="52" t="s">
        <v>41</v>
      </c>
      <c r="I344" s="34" t="s">
        <v>1352</v>
      </c>
      <c r="J344" s="54"/>
      <c r="K344" s="54"/>
      <c r="L344" s="57"/>
      <c r="M344" s="135">
        <v>10000.0</v>
      </c>
      <c r="N344" s="56">
        <v>10000.0</v>
      </c>
      <c r="O344" s="106"/>
      <c r="P344" s="54">
        <v>10000.0</v>
      </c>
      <c r="Q344" s="54">
        <v>10000.0</v>
      </c>
      <c r="R344" s="54">
        <v>5517.0</v>
      </c>
      <c r="S344" s="58">
        <v>0.67</v>
      </c>
      <c r="T344" s="59">
        <f>IFERROR(__xludf.DUMMYFUNCTION("((IFERROR(MIN(FILTER({L344, O344, R344}, ISNUMBER({L344, O344, R344}), {L344, O344, R344} &gt; 0)), """"))*S344)+IFERROR(MIN(FILTER({L344, O344, R344}, ISNUMBER({L344, O344, R344}), {L344, O344, R344} &gt; 0)), """")"),9213.39)</f>
        <v>9213.39</v>
      </c>
      <c r="U344" s="53">
        <f>IFERROR(__xludf.DUMMYFUNCTION("(T344-(IFERROR(MIN(FILTER({L344, O344, R344}, ISNUMBER({L344, O344, R344}), {L344, O344, R344} &gt; 0)), """")))/T344"),0.4011976047904191)</f>
        <v>0.4011976048</v>
      </c>
      <c r="V344" s="60">
        <v>300.0</v>
      </c>
      <c r="W344" s="60"/>
    </row>
    <row r="345" ht="22.5" customHeight="1">
      <c r="A3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SUBSTITUTE(E345, """", """")"),"#REF!")</f>
        <v>#REF!</v>
      </c>
      <c r="B345" s="47" t="s">
        <v>1348</v>
      </c>
      <c r="C345" s="47" t="s">
        <v>1257</v>
      </c>
      <c r="D345" s="47" t="s">
        <v>1349</v>
      </c>
      <c r="E345" s="48" t="s">
        <v>1357</v>
      </c>
      <c r="F345" s="49" t="s">
        <v>36</v>
      </c>
      <c r="G345" s="47" t="s">
        <v>1351</v>
      </c>
      <c r="H345" s="52" t="s">
        <v>41</v>
      </c>
      <c r="I345" s="34" t="s">
        <v>1352</v>
      </c>
      <c r="J345" s="54"/>
      <c r="K345" s="54"/>
      <c r="L345" s="57"/>
      <c r="M345" s="135">
        <v>10000.0</v>
      </c>
      <c r="N345" s="56">
        <v>10000.0</v>
      </c>
      <c r="O345" s="106"/>
      <c r="P345" s="54">
        <v>10000.0</v>
      </c>
      <c r="Q345" s="54">
        <v>10000.0</v>
      </c>
      <c r="R345" s="54">
        <v>6860.0</v>
      </c>
      <c r="S345" s="58">
        <v>0.67</v>
      </c>
      <c r="T345" s="59">
        <f>IFERROR(__xludf.DUMMYFUNCTION("((IFERROR(MIN(FILTER({L345, O345, R345}, ISNUMBER({L345, O345, R345}), {L345, O345, R345} &gt; 0)), """"))*S345)+IFERROR(MIN(FILTER({L345, O345, R345}, ISNUMBER({L345, O345, R345}), {L345, O345, R345} &gt; 0)), """")"),11456.2)</f>
        <v>11456.2</v>
      </c>
      <c r="U345" s="53">
        <f>IFERROR(__xludf.DUMMYFUNCTION("(T345-(IFERROR(MIN(FILTER({L345, O345, R345}, ISNUMBER({L345, O345, R345}), {L345, O345, R345} &gt; 0)), """")))/T345"),0.4011976047904192)</f>
        <v>0.4011976048</v>
      </c>
      <c r="V345" s="60">
        <v>300.0</v>
      </c>
      <c r="W345" s="60"/>
    </row>
    <row r="346" ht="22.5" customHeight="1">
      <c r="A3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SUBSTITUTE(E346, """", """")"),"#REF!")</f>
        <v>#REF!</v>
      </c>
      <c r="B346" s="47" t="s">
        <v>1348</v>
      </c>
      <c r="C346" s="47" t="s">
        <v>1257</v>
      </c>
      <c r="D346" s="47" t="s">
        <v>1349</v>
      </c>
      <c r="E346" s="48" t="s">
        <v>1358</v>
      </c>
      <c r="F346" s="49" t="s">
        <v>36</v>
      </c>
      <c r="G346" s="47" t="s">
        <v>1351</v>
      </c>
      <c r="H346" s="52" t="s">
        <v>41</v>
      </c>
      <c r="I346" s="34" t="s">
        <v>1352</v>
      </c>
      <c r="J346" s="54"/>
      <c r="K346" s="54"/>
      <c r="L346" s="57"/>
      <c r="M346" s="135">
        <v>10000.0</v>
      </c>
      <c r="N346" s="56">
        <v>10000.0</v>
      </c>
      <c r="O346" s="106"/>
      <c r="P346" s="54">
        <v>10000.0</v>
      </c>
      <c r="Q346" s="54">
        <v>10000.0</v>
      </c>
      <c r="R346" s="54">
        <v>9026.0</v>
      </c>
      <c r="S346" s="58">
        <v>0.67</v>
      </c>
      <c r="T346" s="59">
        <f>IFERROR(__xludf.DUMMYFUNCTION("((IFERROR(MIN(FILTER({L346, O346, R346}, ISNUMBER({L346, O346, R346}), {L346, O346, R346} &gt; 0)), """"))*S346)+IFERROR(MIN(FILTER({L346, O346, R346}, ISNUMBER({L346, O346, R346}), {L346, O346, R346} &gt; 0)), """")"),15073.42)</f>
        <v>15073.42</v>
      </c>
      <c r="U346" s="53">
        <f>IFERROR(__xludf.DUMMYFUNCTION("(T346-(IFERROR(MIN(FILTER({L346, O346, R346}, ISNUMBER({L346, O346, R346}), {L346, O346, R346} &gt; 0)), """")))/T346"),0.40119760479041916)</f>
        <v>0.4011976048</v>
      </c>
      <c r="V346" s="60">
        <v>300.0</v>
      </c>
      <c r="W346" s="60"/>
    </row>
    <row r="347" ht="22.5" customHeight="1">
      <c r="A34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SUBSTITUTE(E347, """", """")"),"#REF!")</f>
        <v>#REF!</v>
      </c>
      <c r="B347" s="37" t="s">
        <v>1364</v>
      </c>
      <c r="C347" s="37" t="s">
        <v>1365</v>
      </c>
      <c r="D347" s="37" t="s">
        <v>1345</v>
      </c>
      <c r="E347" s="38" t="s">
        <v>1366</v>
      </c>
      <c r="F347" s="111">
        <v>46116.0</v>
      </c>
      <c r="G347" s="37" t="s">
        <v>1367</v>
      </c>
      <c r="H347" s="52" t="s">
        <v>41</v>
      </c>
      <c r="I347" s="34" t="s">
        <v>1368</v>
      </c>
      <c r="J347" s="62">
        <v>60000.0</v>
      </c>
      <c r="K347" s="62">
        <v>60000.0</v>
      </c>
      <c r="L347" s="63"/>
      <c r="M347" s="136">
        <v>60000.0</v>
      </c>
      <c r="N347" s="64">
        <v>60000.0</v>
      </c>
      <c r="O347" s="64">
        <v>8847.0</v>
      </c>
      <c r="P347" s="62">
        <v>60000.0</v>
      </c>
      <c r="Q347" s="62">
        <v>60000.0</v>
      </c>
      <c r="R347" s="62">
        <v>8847.0</v>
      </c>
      <c r="S347" s="58">
        <v>0.67</v>
      </c>
      <c r="T347" s="59">
        <f>IFERROR(__xludf.DUMMYFUNCTION("((IFERROR(MIN(FILTER({L347, O347, R347}, ISNUMBER({L347, O347, R347}), {L347, O347, R347} &gt; 0)), """"))*S347)+IFERROR(MIN(FILTER({L347, O347, R347}, ISNUMBER({L347, O347, R347}), {L347, O347, R347} &gt; 0)), """")"),14774.490000000002)</f>
        <v>14774.49</v>
      </c>
      <c r="U347" s="53">
        <f>IFERROR(__xludf.DUMMYFUNCTION("(T347-(IFERROR(MIN(FILTER({L347, O347, R347}, ISNUMBER({L347, O347, R347}), {L347, O347, R347} &gt; 0)), """")))/T347"),0.4011976047904192)</f>
        <v>0.4011976048</v>
      </c>
      <c r="V347" s="60">
        <v>300.0</v>
      </c>
      <c r="W347" s="60"/>
    </row>
    <row r="348" ht="22.5" customHeight="1">
      <c r="A34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SUBSTITUTE(E348, """", """")"),"#REF!")</f>
        <v>#REF!</v>
      </c>
      <c r="B348" s="37" t="s">
        <v>1364</v>
      </c>
      <c r="C348" s="37" t="s">
        <v>1365</v>
      </c>
      <c r="D348" s="37" t="s">
        <v>1345</v>
      </c>
      <c r="E348" s="38" t="s">
        <v>1366</v>
      </c>
      <c r="F348" s="111">
        <v>46116.0</v>
      </c>
      <c r="G348" s="37" t="s">
        <v>1367</v>
      </c>
      <c r="H348" s="52" t="s">
        <v>41</v>
      </c>
      <c r="I348" s="34" t="s">
        <v>1368</v>
      </c>
      <c r="J348" s="62">
        <v>150000.0</v>
      </c>
      <c r="K348" s="62">
        <v>150000.0</v>
      </c>
      <c r="L348" s="63"/>
      <c r="M348" s="136">
        <v>150000.0</v>
      </c>
      <c r="N348" s="64">
        <v>150000.0</v>
      </c>
      <c r="O348" s="64">
        <v>8621.0</v>
      </c>
      <c r="P348" s="62">
        <v>150000.0</v>
      </c>
      <c r="Q348" s="62">
        <v>150000.0</v>
      </c>
      <c r="R348" s="62">
        <v>8621.0</v>
      </c>
      <c r="S348" s="58">
        <v>0.67</v>
      </c>
      <c r="T348" s="59">
        <f>IFERROR(__xludf.DUMMYFUNCTION("((IFERROR(MIN(FILTER({L348, O348, R348}, ISNUMBER({L348, O348, R348}), {L348, O348, R348} &gt; 0)), """"))*S348)+IFERROR(MIN(FILTER({L348, O348, R348}, ISNUMBER({L348, O348, R348}), {L348, O348, R348} &gt; 0)), """")"),14397.07)</f>
        <v>14397.07</v>
      </c>
      <c r="U348" s="53">
        <f>IFERROR(__xludf.DUMMYFUNCTION("(T348-(IFERROR(MIN(FILTER({L348, O348, R348}, ISNUMBER({L348, O348, R348}), {L348, O348, R348} &gt; 0)), """")))/T348"),0.40119760479041916)</f>
        <v>0.4011976048</v>
      </c>
      <c r="V348" s="60">
        <v>300.0</v>
      </c>
      <c r="W348" s="60"/>
    </row>
    <row r="349" ht="22.5" customHeight="1">
      <c r="A34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SUBSTITUTE(E349, """", """")"),"#REF!")</f>
        <v>#REF!</v>
      </c>
      <c r="B349" s="37" t="s">
        <v>1364</v>
      </c>
      <c r="C349" s="37" t="s">
        <v>1365</v>
      </c>
      <c r="D349" s="37" t="s">
        <v>1345</v>
      </c>
      <c r="E349" s="38" t="s">
        <v>1366</v>
      </c>
      <c r="F349" s="111">
        <v>46116.0</v>
      </c>
      <c r="G349" s="37" t="s">
        <v>1367</v>
      </c>
      <c r="H349" s="52" t="s">
        <v>41</v>
      </c>
      <c r="I349" s="34" t="s">
        <v>1368</v>
      </c>
      <c r="J349" s="62">
        <v>300000.0</v>
      </c>
      <c r="K349" s="62">
        <v>300000.0</v>
      </c>
      <c r="L349" s="63"/>
      <c r="M349" s="136">
        <v>300000.0</v>
      </c>
      <c r="N349" s="64">
        <v>300000.0</v>
      </c>
      <c r="O349" s="64">
        <v>8531.0</v>
      </c>
      <c r="P349" s="62">
        <v>300000.0</v>
      </c>
      <c r="Q349" s="62">
        <v>300000.0</v>
      </c>
      <c r="R349" s="62">
        <v>8531.0</v>
      </c>
      <c r="S349" s="58">
        <v>0.67</v>
      </c>
      <c r="T349" s="59">
        <f>IFERROR(__xludf.DUMMYFUNCTION("((IFERROR(MIN(FILTER({L349, O349, R349}, ISNUMBER({L349, O349, R349}), {L349, O349, R349} &gt; 0)), """"))*S349)+IFERROR(MIN(FILTER({L349, O349, R349}, ISNUMBER({L349, O349, R349}), {L349, O349, R349} &gt; 0)), """")"),14246.77)</f>
        <v>14246.77</v>
      </c>
      <c r="U349" s="53">
        <f>IFERROR(__xludf.DUMMYFUNCTION("(T349-(IFERROR(MIN(FILTER({L349, O349, R349}, ISNUMBER({L349, O349, R349}), {L349, O349, R349} &gt; 0)), """")))/T349"),0.40119760479041916)</f>
        <v>0.4011976048</v>
      </c>
      <c r="V349" s="60">
        <v>300.0</v>
      </c>
      <c r="W349" s="60"/>
    </row>
    <row r="350" ht="22.5" customHeight="1">
      <c r="A35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SUBSTITUTE(E350, """", """")"),"#REF!")</f>
        <v>#REF!</v>
      </c>
      <c r="B350" s="37" t="s">
        <v>1378</v>
      </c>
      <c r="C350" s="37" t="s">
        <v>1379</v>
      </c>
      <c r="D350" s="37" t="s">
        <v>811</v>
      </c>
      <c r="E350" s="38" t="s">
        <v>1380</v>
      </c>
      <c r="F350" s="49" t="s">
        <v>55</v>
      </c>
      <c r="G350" s="37" t="s">
        <v>108</v>
      </c>
      <c r="H350" s="52" t="s">
        <v>41</v>
      </c>
      <c r="I350" s="34" t="s">
        <v>1381</v>
      </c>
      <c r="J350" s="62"/>
      <c r="K350" s="62"/>
      <c r="L350" s="63"/>
      <c r="M350" s="136">
        <v>1000.0</v>
      </c>
      <c r="N350" s="64">
        <v>1000.0</v>
      </c>
      <c r="O350" s="64">
        <v>12476.0</v>
      </c>
      <c r="P350" s="62">
        <v>1000.0</v>
      </c>
      <c r="Q350" s="62">
        <v>1000.0</v>
      </c>
      <c r="R350" s="63"/>
      <c r="S350" s="58">
        <v>0.67</v>
      </c>
      <c r="T350" s="59">
        <f>IFERROR(__xludf.DUMMYFUNCTION("((IFERROR(MIN(FILTER({L350, O350, R350}, ISNUMBER({L350, O350, R350}), {L350, O350, R350} &gt; 0)), """"))*S350)+IFERROR(MIN(FILTER({L350, O350, R350}, ISNUMBER({L350, O350, R350}), {L350, O350, R350} &gt; 0)), """")"),20834.92)</f>
        <v>20834.92</v>
      </c>
      <c r="U350" s="53">
        <f>IFERROR(__xludf.DUMMYFUNCTION("(T350-(IFERROR(MIN(FILTER({L350, O350, R350}, ISNUMBER({L350, O350, R350}), {L350, O350, R350} &gt; 0)), """")))/T350"),0.4011976047904191)</f>
        <v>0.4011976048</v>
      </c>
      <c r="V350" s="60">
        <v>300.0</v>
      </c>
      <c r="W350" s="60"/>
    </row>
    <row r="351" ht="22.5" customHeight="1">
      <c r="A35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SUBSTITUTE(E351, """", """")"),"#REF!")</f>
        <v>#REF!</v>
      </c>
      <c r="B351" s="37" t="s">
        <v>1378</v>
      </c>
      <c r="C351" s="37" t="s">
        <v>1382</v>
      </c>
      <c r="D351" s="37" t="s">
        <v>811</v>
      </c>
      <c r="E351" s="38" t="s">
        <v>1383</v>
      </c>
      <c r="F351" s="49" t="s">
        <v>55</v>
      </c>
      <c r="G351" s="37" t="s">
        <v>108</v>
      </c>
      <c r="H351" s="52" t="s">
        <v>41</v>
      </c>
      <c r="I351" s="34" t="s">
        <v>1384</v>
      </c>
      <c r="J351" s="62"/>
      <c r="K351" s="62"/>
      <c r="L351" s="63"/>
      <c r="M351" s="136">
        <v>1000.0</v>
      </c>
      <c r="N351" s="64">
        <v>1000.0</v>
      </c>
      <c r="O351" s="64">
        <v>11622.0</v>
      </c>
      <c r="P351" s="62">
        <v>1000.0</v>
      </c>
      <c r="Q351" s="62">
        <v>1000.0</v>
      </c>
      <c r="R351" s="63"/>
      <c r="S351" s="58">
        <v>0.67</v>
      </c>
      <c r="T351" s="59">
        <f>IFERROR(__xludf.DUMMYFUNCTION("((IFERROR(MIN(FILTER({L351, O351, R351}, ISNUMBER({L351, O351, R351}), {L351, O351, R351} &gt; 0)), """"))*S351)+IFERROR(MIN(FILTER({L351, O351, R351}, ISNUMBER({L351, O351, R351}), {L351, O351, R351} &gt; 0)), """")"),19408.74)</f>
        <v>19408.74</v>
      </c>
      <c r="U351" s="53">
        <f>IFERROR(__xludf.DUMMYFUNCTION("(T351-(IFERROR(MIN(FILTER({L351, O351, R351}, ISNUMBER({L351, O351, R351}), {L351, O351, R351} &gt; 0)), """")))/T351"),0.4011976047904192)</f>
        <v>0.4011976048</v>
      </c>
      <c r="V351" s="60">
        <v>300.0</v>
      </c>
      <c r="W351" s="60"/>
    </row>
    <row r="352" ht="22.5" customHeight="1">
      <c r="A35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SUBSTITUTE(E352, """", """")"),"#REF!")</f>
        <v>#REF!</v>
      </c>
      <c r="B352" s="37" t="s">
        <v>1364</v>
      </c>
      <c r="C352" s="37" t="s">
        <v>1386</v>
      </c>
      <c r="D352" s="37" t="s">
        <v>1345</v>
      </c>
      <c r="E352" s="38" t="s">
        <v>1366</v>
      </c>
      <c r="F352" s="111">
        <v>46116.0</v>
      </c>
      <c r="G352" s="37" t="s">
        <v>1387</v>
      </c>
      <c r="H352" s="52" t="s">
        <v>41</v>
      </c>
      <c r="I352" s="34" t="s">
        <v>1368</v>
      </c>
      <c r="J352" s="62">
        <v>60000.0</v>
      </c>
      <c r="K352" s="62">
        <v>60000.0</v>
      </c>
      <c r="L352" s="63"/>
      <c r="M352" s="136">
        <v>60000.0</v>
      </c>
      <c r="N352" s="64">
        <v>60000.0</v>
      </c>
      <c r="O352" s="64">
        <v>7677.0</v>
      </c>
      <c r="P352" s="62">
        <v>60000.0</v>
      </c>
      <c r="Q352" s="62">
        <v>60000.0</v>
      </c>
      <c r="R352" s="62">
        <v>7677.0</v>
      </c>
      <c r="S352" s="58">
        <v>0.67</v>
      </c>
      <c r="T352" s="59">
        <f>IFERROR(__xludf.DUMMYFUNCTION("((IFERROR(MIN(FILTER({L352, O352, R352}, ISNUMBER({L352, O352, R352}), {L352, O352, R352} &gt; 0)), """"))*S352)+IFERROR(MIN(FILTER({L352, O352, R352}, ISNUMBER({L352, O352, R352}), {L352, O352, R352} &gt; 0)), """")"),12820.59)</f>
        <v>12820.59</v>
      </c>
      <c r="U352" s="53">
        <f>IFERROR(__xludf.DUMMYFUNCTION("(T352-(IFERROR(MIN(FILTER({L352, O352, R352}, ISNUMBER({L352, O352, R352}), {L352, O352, R352} &gt; 0)), """")))/T352"),0.40119760479041916)</f>
        <v>0.4011976048</v>
      </c>
      <c r="V352" s="60">
        <v>300.0</v>
      </c>
      <c r="W352" s="60"/>
    </row>
    <row r="353" ht="22.5" customHeight="1">
      <c r="A35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SUBSTITUTE(E353, """", """")"),"#REF!")</f>
        <v>#REF!</v>
      </c>
      <c r="B353" s="37" t="s">
        <v>1364</v>
      </c>
      <c r="C353" s="37" t="s">
        <v>1386</v>
      </c>
      <c r="D353" s="37" t="s">
        <v>1345</v>
      </c>
      <c r="E353" s="38" t="s">
        <v>1366</v>
      </c>
      <c r="F353" s="111">
        <v>46116.0</v>
      </c>
      <c r="G353" s="37" t="s">
        <v>1387</v>
      </c>
      <c r="H353" s="52" t="s">
        <v>41</v>
      </c>
      <c r="I353" s="34" t="s">
        <v>1368</v>
      </c>
      <c r="J353" s="62">
        <v>150000.0</v>
      </c>
      <c r="K353" s="62">
        <v>150000.0</v>
      </c>
      <c r="L353" s="63"/>
      <c r="M353" s="136">
        <v>150000.0</v>
      </c>
      <c r="N353" s="64">
        <v>150000.0</v>
      </c>
      <c r="O353" s="64">
        <v>7574.0</v>
      </c>
      <c r="P353" s="62">
        <v>150000.0</v>
      </c>
      <c r="Q353" s="62">
        <v>150000.0</v>
      </c>
      <c r="R353" s="62">
        <v>7574.0</v>
      </c>
      <c r="S353" s="58">
        <v>0.67</v>
      </c>
      <c r="T353" s="59">
        <f>IFERROR(__xludf.DUMMYFUNCTION("((IFERROR(MIN(FILTER({L353, O353, R353}, ISNUMBER({L353, O353, R353}), {L353, O353, R353} &gt; 0)), """"))*S353)+IFERROR(MIN(FILTER({L353, O353, R353}, ISNUMBER({L353, O353, R353}), {L353, O353, R353} &gt; 0)), """")"),12648.58)</f>
        <v>12648.58</v>
      </c>
      <c r="U353" s="53">
        <f>IFERROR(__xludf.DUMMYFUNCTION("(T353-(IFERROR(MIN(FILTER({L353, O353, R353}, ISNUMBER({L353, O353, R353}), {L353, O353, R353} &gt; 0)), """")))/T353"),0.40119760479041916)</f>
        <v>0.4011976048</v>
      </c>
      <c r="V353" s="60">
        <v>300.0</v>
      </c>
      <c r="W353" s="60"/>
    </row>
    <row r="354" ht="22.5" customHeight="1">
      <c r="A35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SUBSTITUTE(E354, """", """")"),"#REF!")</f>
        <v>#REF!</v>
      </c>
      <c r="B354" s="37" t="s">
        <v>1364</v>
      </c>
      <c r="C354" s="37" t="s">
        <v>1386</v>
      </c>
      <c r="D354" s="37" t="s">
        <v>1345</v>
      </c>
      <c r="E354" s="38" t="s">
        <v>1366</v>
      </c>
      <c r="F354" s="111">
        <v>46116.0</v>
      </c>
      <c r="G354" s="37" t="s">
        <v>1387</v>
      </c>
      <c r="H354" s="52" t="s">
        <v>41</v>
      </c>
      <c r="I354" s="34" t="s">
        <v>1368</v>
      </c>
      <c r="J354" s="62">
        <v>300000.0</v>
      </c>
      <c r="K354" s="62">
        <v>300000.0</v>
      </c>
      <c r="L354" s="63"/>
      <c r="M354" s="136">
        <v>300000.0</v>
      </c>
      <c r="N354" s="64">
        <v>300000.0</v>
      </c>
      <c r="O354" s="64">
        <v>7529.0</v>
      </c>
      <c r="P354" s="62">
        <v>300000.0</v>
      </c>
      <c r="Q354" s="62">
        <v>300000.0</v>
      </c>
      <c r="R354" s="62">
        <v>7529.0</v>
      </c>
      <c r="S354" s="58">
        <v>0.67</v>
      </c>
      <c r="T354" s="59">
        <f>IFERROR(__xludf.DUMMYFUNCTION("((IFERROR(MIN(FILTER({L354, O354, R354}, ISNUMBER({L354, O354, R354}), {L354, O354, R354} &gt; 0)), """"))*S354)+IFERROR(MIN(FILTER({L354, O354, R354}, ISNUMBER({L354, O354, R354}), {L354, O354, R354} &gt; 0)), """")"),12573.43)</f>
        <v>12573.43</v>
      </c>
      <c r="U354" s="53">
        <f>IFERROR(__xludf.DUMMYFUNCTION("(T354-(IFERROR(MIN(FILTER({L354, O354, R354}, ISNUMBER({L354, O354, R354}), {L354, O354, R354} &gt; 0)), """")))/T354"),0.40119760479041916)</f>
        <v>0.4011976048</v>
      </c>
      <c r="V354" s="60">
        <v>300.0</v>
      </c>
      <c r="W354" s="60"/>
    </row>
    <row r="355" ht="22.5" customHeight="1">
      <c r="A35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SUBSTITUTE(E355, """", """")"),"#REF!")</f>
        <v>#REF!</v>
      </c>
      <c r="B355" s="37" t="s">
        <v>552</v>
      </c>
      <c r="C355" s="37" t="s">
        <v>1403</v>
      </c>
      <c r="D355" s="37" t="s">
        <v>811</v>
      </c>
      <c r="E355" s="38" t="s">
        <v>1404</v>
      </c>
      <c r="F355" s="111">
        <v>46082.0</v>
      </c>
      <c r="G355" s="37" t="s">
        <v>1405</v>
      </c>
      <c r="H355" s="52" t="s">
        <v>41</v>
      </c>
      <c r="I355" s="34" t="s">
        <v>1406</v>
      </c>
      <c r="J355" s="62"/>
      <c r="K355" s="62"/>
      <c r="L355" s="63"/>
      <c r="M355" s="136">
        <v>1000.0</v>
      </c>
      <c r="N355" s="64">
        <v>1000.0</v>
      </c>
      <c r="O355" s="59"/>
      <c r="P355" s="62">
        <v>1000.0</v>
      </c>
      <c r="Q355" s="62">
        <v>1000.0</v>
      </c>
      <c r="R355" s="62">
        <v>9056.0</v>
      </c>
      <c r="S355" s="58">
        <v>0.67</v>
      </c>
      <c r="T355" s="59">
        <f>IFERROR(__xludf.DUMMYFUNCTION("((IFERROR(MIN(FILTER({L355, O355, R355}, ISNUMBER({L355, O355, R355}), {L355, O355, R355} &gt; 0)), """"))*S355)+IFERROR(MIN(FILTER({L355, O355, R355}, ISNUMBER({L355, O355, R355}), {L355, O355, R355} &gt; 0)), """")"),15123.52)</f>
        <v>15123.52</v>
      </c>
      <c r="U355" s="53">
        <f>IFERROR(__xludf.DUMMYFUNCTION("(T355-(IFERROR(MIN(FILTER({L355, O355, R355}, ISNUMBER({L355, O355, R355}), {L355, O355, R355} &gt; 0)), """")))/T355"),0.40119760479041916)</f>
        <v>0.4011976048</v>
      </c>
      <c r="V355" s="60">
        <v>300.0</v>
      </c>
      <c r="W355" s="60"/>
    </row>
    <row r="356" ht="22.5" customHeight="1">
      <c r="A35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SUBSTITUTE(E356, """", """")"),"#REF!")</f>
        <v>#REF!</v>
      </c>
      <c r="B356" s="37" t="s">
        <v>552</v>
      </c>
      <c r="C356" s="37" t="s">
        <v>1414</v>
      </c>
      <c r="D356" s="37" t="s">
        <v>811</v>
      </c>
      <c r="E356" s="38" t="s">
        <v>1404</v>
      </c>
      <c r="F356" s="111">
        <v>46054.0</v>
      </c>
      <c r="G356" s="37" t="s">
        <v>1416</v>
      </c>
      <c r="H356" s="52" t="s">
        <v>41</v>
      </c>
      <c r="I356" s="34" t="s">
        <v>1417</v>
      </c>
      <c r="J356" s="62"/>
      <c r="K356" s="62"/>
      <c r="L356" s="63"/>
      <c r="M356" s="136">
        <v>1000.0</v>
      </c>
      <c r="N356" s="64">
        <v>1000.0</v>
      </c>
      <c r="O356" s="59"/>
      <c r="P356" s="62">
        <v>1000.0</v>
      </c>
      <c r="Q356" s="62">
        <v>1000.0</v>
      </c>
      <c r="R356" s="62">
        <v>8489.0</v>
      </c>
      <c r="S356" s="58">
        <v>0.67</v>
      </c>
      <c r="T356" s="59">
        <f>IFERROR(__xludf.DUMMYFUNCTION("((IFERROR(MIN(FILTER({L356, O356, R356}, ISNUMBER({L356, O356, R356}), {L356, O356, R356} &gt; 0)), """"))*S356)+IFERROR(MIN(FILTER({L356, O356, R356}, ISNUMBER({L356, O356, R356}), {L356, O356, R356} &gt; 0)), """")"),14176.630000000001)</f>
        <v>14176.63</v>
      </c>
      <c r="U356" s="53">
        <f>IFERROR(__xludf.DUMMYFUNCTION("(T356-(IFERROR(MIN(FILTER({L356, O356, R356}, ISNUMBER({L356, O356, R356}), {L356, O356, R356} &gt; 0)), """")))/T356"),0.4011976047904192)</f>
        <v>0.4011976048</v>
      </c>
      <c r="V356" s="60">
        <v>300.0</v>
      </c>
      <c r="W356" s="60"/>
    </row>
    <row r="357" ht="22.5" customHeight="1">
      <c r="A35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SUBSTITUTE(E357, """", """")"),"#REF!")</f>
        <v>#REF!</v>
      </c>
      <c r="B357" s="37" t="s">
        <v>1422</v>
      </c>
      <c r="C357" s="37" t="s">
        <v>1423</v>
      </c>
      <c r="D357" s="37" t="s">
        <v>1242</v>
      </c>
      <c r="E357" s="38" t="s">
        <v>1425</v>
      </c>
      <c r="F357" s="49" t="s">
        <v>63</v>
      </c>
      <c r="G357" s="37" t="s">
        <v>67</v>
      </c>
      <c r="H357" s="52" t="s">
        <v>41</v>
      </c>
      <c r="I357" s="34" t="s">
        <v>312</v>
      </c>
      <c r="J357" s="62"/>
      <c r="K357" s="62"/>
      <c r="L357" s="63"/>
      <c r="M357" s="136">
        <v>5000.0</v>
      </c>
      <c r="N357" s="64">
        <v>5000.0</v>
      </c>
      <c r="O357" s="59"/>
      <c r="P357" s="62">
        <v>5000.0</v>
      </c>
      <c r="Q357" s="62">
        <v>5000.0</v>
      </c>
      <c r="R357" s="62">
        <v>6189.0</v>
      </c>
      <c r="S357" s="58">
        <v>0.67</v>
      </c>
      <c r="T357" s="59">
        <f>IFERROR(__xludf.DUMMYFUNCTION("((IFERROR(MIN(FILTER({L357, O357, R357}, ISNUMBER({L357, O357, R357}), {L357, O357, R357} &gt; 0)), """"))*S357)+IFERROR(MIN(FILTER({L357, O357, R357}, ISNUMBER({L357, O357, R357}), {L357, O357, R357} &gt; 0)), """")"),10335.630000000001)</f>
        <v>10335.63</v>
      </c>
      <c r="U357" s="53">
        <f>IFERROR(__xludf.DUMMYFUNCTION("(T357-(IFERROR(MIN(FILTER({L357, O357, R357}, ISNUMBER({L357, O357, R357}), {L357, O357, R357} &gt; 0)), """")))/T357"),0.4011976047904192)</f>
        <v>0.4011976048</v>
      </c>
      <c r="V357" s="60">
        <v>300.0</v>
      </c>
      <c r="W357" s="60"/>
    </row>
    <row r="358" ht="22.5" customHeight="1">
      <c r="A35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SUBSTITUTE(E358, """", """")"),"#REF!")</f>
        <v>#REF!</v>
      </c>
      <c r="B358" s="37" t="s">
        <v>1422</v>
      </c>
      <c r="C358" s="37" t="s">
        <v>1423</v>
      </c>
      <c r="D358" s="37" t="s">
        <v>1242</v>
      </c>
      <c r="E358" s="38" t="s">
        <v>1425</v>
      </c>
      <c r="F358" s="49" t="s">
        <v>63</v>
      </c>
      <c r="G358" s="37" t="s">
        <v>67</v>
      </c>
      <c r="H358" s="52" t="s">
        <v>41</v>
      </c>
      <c r="I358" s="34" t="s">
        <v>152</v>
      </c>
      <c r="J358" s="63">
        <v>50000.0</v>
      </c>
      <c r="K358" s="63">
        <v>50000.0</v>
      </c>
      <c r="L358" s="62">
        <v>2400.0</v>
      </c>
      <c r="M358" s="136">
        <v>5000.0</v>
      </c>
      <c r="N358" s="64">
        <v>5000.0</v>
      </c>
      <c r="O358" s="64">
        <v>6189.0</v>
      </c>
      <c r="P358" s="62">
        <v>5000.0</v>
      </c>
      <c r="Q358" s="62">
        <v>5000.0</v>
      </c>
      <c r="R358" s="62"/>
      <c r="S358" s="58">
        <v>0.67</v>
      </c>
      <c r="T358" s="59">
        <f>IFERROR(__xludf.DUMMYFUNCTION("((IFERROR(MIN(FILTER({L358, O358, R358}, ISNUMBER({L358, O358, R358}), {L358, O358, R358} &gt; 0)), """"))*S358)+IFERROR(MIN(FILTER({L358, O358, R358}, ISNUMBER({L358, O358, R358}), {L358, O358, R358} &gt; 0)), """")"),4008.0)</f>
        <v>4008</v>
      </c>
      <c r="U358" s="53">
        <f>IFERROR(__xludf.DUMMYFUNCTION("(T358-(IFERROR(MIN(FILTER({L358, O358, R358}, ISNUMBER({L358, O358, R358}), {L358, O358, R358} &gt; 0)), """")))/T358"),0.40119760479041916)</f>
        <v>0.4011976048</v>
      </c>
      <c r="V358" s="60">
        <v>300.0</v>
      </c>
      <c r="W358" s="60"/>
    </row>
    <row r="359" ht="22.5" customHeight="1">
      <c r="A35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SUBSTITUTE(E359, """", """")"),"#REF!")</f>
        <v>#REF!</v>
      </c>
      <c r="B359" s="37" t="s">
        <v>1422</v>
      </c>
      <c r="C359" s="37" t="s">
        <v>1434</v>
      </c>
      <c r="D359" s="37" t="s">
        <v>1242</v>
      </c>
      <c r="E359" s="38" t="s">
        <v>170</v>
      </c>
      <c r="F359" s="49" t="s">
        <v>63</v>
      </c>
      <c r="G359" s="37" t="s">
        <v>67</v>
      </c>
      <c r="H359" s="52" t="s">
        <v>41</v>
      </c>
      <c r="I359" s="34" t="s">
        <v>312</v>
      </c>
      <c r="J359" s="62"/>
      <c r="K359" s="62"/>
      <c r="L359" s="63"/>
      <c r="M359" s="136">
        <v>10000.0</v>
      </c>
      <c r="N359" s="64">
        <v>10000.0</v>
      </c>
      <c r="O359" s="59"/>
      <c r="P359" s="62">
        <v>10000.0</v>
      </c>
      <c r="Q359" s="62">
        <v>10000.0</v>
      </c>
      <c r="R359" s="62">
        <v>5388.0</v>
      </c>
      <c r="S359" s="58">
        <v>0.67</v>
      </c>
      <c r="T359" s="59">
        <f>IFERROR(__xludf.DUMMYFUNCTION("((IFERROR(MIN(FILTER({L359, O359, R359}, ISNUMBER({L359, O359, R359}), {L359, O359, R359} &gt; 0)), """"))*S359)+IFERROR(MIN(FILTER({L359, O359, R359}, ISNUMBER({L359, O359, R359}), {L359, O359, R359} &gt; 0)), """")"),8997.96)</f>
        <v>8997.96</v>
      </c>
      <c r="U359" s="53">
        <f>IFERROR(__xludf.DUMMYFUNCTION("(T359-(IFERROR(MIN(FILTER({L359, O359, R359}, ISNUMBER({L359, O359, R359}), {L359, O359, R359} &gt; 0)), """")))/T359"),0.4011976047904191)</f>
        <v>0.4011976048</v>
      </c>
      <c r="V359" s="60">
        <v>300.0</v>
      </c>
      <c r="W359" s="60"/>
    </row>
    <row r="360" ht="22.5" customHeight="1">
      <c r="A36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SUBSTITUTE(E360, """", """")"),"#REF!")</f>
        <v>#REF!</v>
      </c>
      <c r="B360" s="37" t="s">
        <v>1422</v>
      </c>
      <c r="C360" s="37" t="s">
        <v>1434</v>
      </c>
      <c r="D360" s="37" t="s">
        <v>1242</v>
      </c>
      <c r="E360" s="38" t="s">
        <v>170</v>
      </c>
      <c r="F360" s="49" t="s">
        <v>63</v>
      </c>
      <c r="G360" s="37" t="s">
        <v>67</v>
      </c>
      <c r="H360" s="52" t="s">
        <v>41</v>
      </c>
      <c r="I360" s="34" t="s">
        <v>152</v>
      </c>
      <c r="J360" s="63">
        <v>50000.0</v>
      </c>
      <c r="K360" s="63">
        <v>50000.0</v>
      </c>
      <c r="L360" s="62">
        <v>2100.0</v>
      </c>
      <c r="M360" s="136">
        <v>10000.0</v>
      </c>
      <c r="N360" s="64">
        <v>10000.0</v>
      </c>
      <c r="O360" s="64">
        <v>5388.0</v>
      </c>
      <c r="P360" s="62">
        <v>10000.0</v>
      </c>
      <c r="Q360" s="62">
        <v>10000.0</v>
      </c>
      <c r="R360" s="62"/>
      <c r="S360" s="58">
        <v>0.67</v>
      </c>
      <c r="T360" s="59">
        <f>IFERROR(__xludf.DUMMYFUNCTION("((IFERROR(MIN(FILTER({L360, O360, R360}, ISNUMBER({L360, O360, R360}), {L360, O360, R360} &gt; 0)), """"))*S360)+IFERROR(MIN(FILTER({L360, O360, R360}, ISNUMBER({L360, O360, R360}), {L360, O360, R360} &gt; 0)), """")"),3507.0)</f>
        <v>3507</v>
      </c>
      <c r="U360" s="53">
        <f>IFERROR(__xludf.DUMMYFUNCTION("(T360-(IFERROR(MIN(FILTER({L360, O360, R360}, ISNUMBER({L360, O360, R360}), {L360, O360, R360} &gt; 0)), """")))/T360"),0.40119760479041916)</f>
        <v>0.4011976048</v>
      </c>
      <c r="V360" s="60">
        <v>300.0</v>
      </c>
      <c r="W360" s="60"/>
    </row>
    <row r="361" ht="22.5" customHeight="1">
      <c r="A36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SUBSTITUTE(E361, """", """")"),"#REF!")</f>
        <v>#REF!</v>
      </c>
      <c r="B361" s="37" t="s">
        <v>1422</v>
      </c>
      <c r="C361" s="37" t="s">
        <v>1441</v>
      </c>
      <c r="D361" s="37" t="s">
        <v>1242</v>
      </c>
      <c r="E361" s="38" t="s">
        <v>1442</v>
      </c>
      <c r="F361" s="49" t="s">
        <v>63</v>
      </c>
      <c r="G361" s="37" t="s">
        <v>67</v>
      </c>
      <c r="H361" s="52" t="s">
        <v>41</v>
      </c>
      <c r="I361" s="34" t="s">
        <v>312</v>
      </c>
      <c r="J361" s="62"/>
      <c r="K361" s="62"/>
      <c r="L361" s="63"/>
      <c r="M361" s="136">
        <v>20000.0</v>
      </c>
      <c r="N361" s="64">
        <v>20000.0</v>
      </c>
      <c r="O361" s="59"/>
      <c r="P361" s="62">
        <v>20000.0</v>
      </c>
      <c r="Q361" s="62">
        <v>20000.0</v>
      </c>
      <c r="R361" s="62">
        <v>4444.0</v>
      </c>
      <c r="S361" s="58">
        <v>0.67</v>
      </c>
      <c r="T361" s="59">
        <f>IFERROR(__xludf.DUMMYFUNCTION("((IFERROR(MIN(FILTER({L361, O361, R361}, ISNUMBER({L361, O361, R361}), {L361, O361, R361} &gt; 0)), """"))*S361)+IFERROR(MIN(FILTER({L361, O361, R361}, ISNUMBER({L361, O361, R361}), {L361, O361, R361} &gt; 0)), """")"),7421.48)</f>
        <v>7421.48</v>
      </c>
      <c r="U361" s="53">
        <f>IFERROR(__xludf.DUMMYFUNCTION("(T361-(IFERROR(MIN(FILTER({L361, O361, R361}, ISNUMBER({L361, O361, R361}), {L361, O361, R361} &gt; 0)), """")))/T361"),0.4011976047904191)</f>
        <v>0.4011976048</v>
      </c>
      <c r="V361" s="60">
        <v>300.0</v>
      </c>
      <c r="W361" s="60"/>
    </row>
    <row r="362" ht="22.5" customHeight="1">
      <c r="A36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SUBSTITUTE(E362, """", """")"),"#REF!")</f>
        <v>#REF!</v>
      </c>
      <c r="B362" s="37" t="s">
        <v>1422</v>
      </c>
      <c r="C362" s="37" t="s">
        <v>1441</v>
      </c>
      <c r="D362" s="37" t="s">
        <v>1242</v>
      </c>
      <c r="E362" s="38" t="s">
        <v>1442</v>
      </c>
      <c r="F362" s="49" t="s">
        <v>63</v>
      </c>
      <c r="G362" s="37" t="s">
        <v>67</v>
      </c>
      <c r="H362" s="52" t="s">
        <v>41</v>
      </c>
      <c r="I362" s="34" t="s">
        <v>152</v>
      </c>
      <c r="J362" s="63">
        <v>50000.0</v>
      </c>
      <c r="K362" s="63">
        <v>50000.0</v>
      </c>
      <c r="L362" s="62">
        <v>1800.0</v>
      </c>
      <c r="M362" s="136">
        <v>20000.0</v>
      </c>
      <c r="N362" s="64">
        <v>20000.0</v>
      </c>
      <c r="O362" s="64">
        <v>4444.0</v>
      </c>
      <c r="P362" s="62">
        <v>20000.0</v>
      </c>
      <c r="Q362" s="62">
        <v>20000.0</v>
      </c>
      <c r="R362" s="62"/>
      <c r="S362" s="58">
        <v>0.67</v>
      </c>
      <c r="T362" s="59">
        <f>IFERROR(__xludf.DUMMYFUNCTION("((IFERROR(MIN(FILTER({L362, O362, R362}, ISNUMBER({L362, O362, R362}), {L362, O362, R362} &gt; 0)), """"))*S362)+IFERROR(MIN(FILTER({L362, O362, R362}, ISNUMBER({L362, O362, R362}), {L362, O362, R362} &gt; 0)), """")"),3006.0)</f>
        <v>3006</v>
      </c>
      <c r="U362" s="53">
        <f>IFERROR(__xludf.DUMMYFUNCTION("(T362-(IFERROR(MIN(FILTER({L362, O362, R362}, ISNUMBER({L362, O362, R362}), {L362, O362, R362} &gt; 0)), """")))/T362"),0.40119760479041916)</f>
        <v>0.4011976048</v>
      </c>
      <c r="V362" s="60">
        <v>300.0</v>
      </c>
      <c r="W362" s="60"/>
    </row>
    <row r="363" ht="22.5" customHeight="1">
      <c r="A36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SUBSTITUTE(E363, """", """")"),"#REF!")</f>
        <v>#REF!</v>
      </c>
      <c r="B363" s="37" t="s">
        <v>1378</v>
      </c>
      <c r="C363" s="37" t="s">
        <v>1451</v>
      </c>
      <c r="D363" s="37" t="s">
        <v>1242</v>
      </c>
      <c r="E363" s="38" t="s">
        <v>1380</v>
      </c>
      <c r="F363" s="49" t="s">
        <v>55</v>
      </c>
      <c r="G363" s="37" t="s">
        <v>108</v>
      </c>
      <c r="H363" s="52" t="s">
        <v>41</v>
      </c>
      <c r="I363" s="34" t="s">
        <v>152</v>
      </c>
      <c r="J363" s="62"/>
      <c r="K363" s="62"/>
      <c r="L363" s="63"/>
      <c r="M363" s="136">
        <v>1000.0</v>
      </c>
      <c r="N363" s="64">
        <v>1000.0</v>
      </c>
      <c r="O363" s="64">
        <v>8465.0</v>
      </c>
      <c r="P363" s="62">
        <v>1000.0</v>
      </c>
      <c r="Q363" s="62">
        <v>1000.0</v>
      </c>
      <c r="R363" s="63"/>
      <c r="S363" s="58">
        <v>0.67</v>
      </c>
      <c r="T363" s="59">
        <f>IFERROR(__xludf.DUMMYFUNCTION("((IFERROR(MIN(FILTER({L363, O363, R363}, ISNUMBER({L363, O363, R363}), {L363, O363, R363} &gt; 0)), """"))*S363)+IFERROR(MIN(FILTER({L363, O363, R363}, ISNUMBER({L363, O363, R363}), {L363, O363, R363} &gt; 0)), """")"),14136.55)</f>
        <v>14136.55</v>
      </c>
      <c r="U363" s="53">
        <f>IFERROR(__xludf.DUMMYFUNCTION("(T363-(IFERROR(MIN(FILTER({L363, O363, R363}, ISNUMBER({L363, O363, R363}), {L363, O363, R363} &gt; 0)), """")))/T363"),0.4011976047904191)</f>
        <v>0.4011976048</v>
      </c>
      <c r="V363" s="60">
        <v>300.0</v>
      </c>
      <c r="W363" s="60"/>
    </row>
    <row r="364" ht="22.5" customHeight="1">
      <c r="A36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SUBSTITUTE(E364, """", """")"),"#REF!")</f>
        <v>#REF!</v>
      </c>
      <c r="B364" s="37" t="s">
        <v>1455</v>
      </c>
      <c r="C364" s="37" t="s">
        <v>1456</v>
      </c>
      <c r="D364" s="37" t="s">
        <v>1242</v>
      </c>
      <c r="E364" s="38" t="s">
        <v>1457</v>
      </c>
      <c r="F364" s="49" t="s">
        <v>55</v>
      </c>
      <c r="G364" s="37" t="s">
        <v>74</v>
      </c>
      <c r="H364" s="52" t="s">
        <v>41</v>
      </c>
      <c r="I364" s="34" t="s">
        <v>152</v>
      </c>
      <c r="J364" s="62"/>
      <c r="K364" s="62"/>
      <c r="L364" s="63"/>
      <c r="M364" s="136">
        <v>1000.0</v>
      </c>
      <c r="N364" s="64">
        <v>1000.0</v>
      </c>
      <c r="O364" s="64">
        <v>7740.0</v>
      </c>
      <c r="P364" s="62">
        <v>1000.0</v>
      </c>
      <c r="Q364" s="62">
        <v>1000.0</v>
      </c>
      <c r="R364" s="62">
        <v>7740.0</v>
      </c>
      <c r="S364" s="58">
        <v>0.67</v>
      </c>
      <c r="T364" s="59">
        <f>IFERROR(__xludf.DUMMYFUNCTION("((IFERROR(MIN(FILTER({L364, O364, R364}, ISNUMBER({L364, O364, R364}), {L364, O364, R364} &gt; 0)), """"))*S364)+IFERROR(MIN(FILTER({L364, O364, R364}, ISNUMBER({L364, O364, R364}), {L364, O364, R364} &gt; 0)), """")"),12925.8)</f>
        <v>12925.8</v>
      </c>
      <c r="U364" s="53">
        <f>IFERROR(__xludf.DUMMYFUNCTION("(T364-(IFERROR(MIN(FILTER({L364, O364, R364}, ISNUMBER({L364, O364, R364}), {L364, O364, R364} &gt; 0)), """")))/T364"),0.4011976047904191)</f>
        <v>0.4011976048</v>
      </c>
      <c r="V364" s="60">
        <v>300.0</v>
      </c>
      <c r="W364" s="60"/>
    </row>
    <row r="365" ht="22.5" customHeight="1">
      <c r="A36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SUBSTITUTE(E365, """", """")"),"#REF!")</f>
        <v>#REF!</v>
      </c>
      <c r="B365" s="37" t="s">
        <v>1455</v>
      </c>
      <c r="C365" s="37" t="s">
        <v>1456</v>
      </c>
      <c r="D365" s="37" t="s">
        <v>1242</v>
      </c>
      <c r="E365" s="38" t="s">
        <v>1459</v>
      </c>
      <c r="F365" s="49" t="s">
        <v>55</v>
      </c>
      <c r="G365" s="37" t="s">
        <v>74</v>
      </c>
      <c r="H365" s="52" t="s">
        <v>41</v>
      </c>
      <c r="I365" s="34" t="s">
        <v>152</v>
      </c>
      <c r="J365" s="62"/>
      <c r="K365" s="62"/>
      <c r="L365" s="63"/>
      <c r="M365" s="136">
        <v>1000.0</v>
      </c>
      <c r="N365" s="64">
        <v>1000.0</v>
      </c>
      <c r="O365" s="59"/>
      <c r="P365" s="62">
        <v>1000.0</v>
      </c>
      <c r="Q365" s="62">
        <v>1000.0</v>
      </c>
      <c r="R365" s="62">
        <v>7842.0</v>
      </c>
      <c r="S365" s="58">
        <v>0.67</v>
      </c>
      <c r="T365" s="59">
        <f>IFERROR(__xludf.DUMMYFUNCTION("((IFERROR(MIN(FILTER({L365, O365, R365}, ISNUMBER({L365, O365, R365}), {L365, O365, R365} &gt; 0)), """"))*S365)+IFERROR(MIN(FILTER({L365, O365, R365}, ISNUMBER({L365, O365, R365}), {L365, O365, R365} &gt; 0)), """")"),13096.14)</f>
        <v>13096.14</v>
      </c>
      <c r="U365" s="53">
        <f>IFERROR(__xludf.DUMMYFUNCTION("(T365-(IFERROR(MIN(FILTER({L365, O365, R365}, ISNUMBER({L365, O365, R365}), {L365, O365, R365} &gt; 0)), """")))/T365"),0.40119760479041916)</f>
        <v>0.4011976048</v>
      </c>
      <c r="V365" s="60">
        <v>300.0</v>
      </c>
      <c r="W365" s="60"/>
    </row>
    <row r="366" ht="22.5" customHeight="1">
      <c r="A36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SUBSTITUTE(E366, """", """")"),"#REF!")</f>
        <v>#REF!</v>
      </c>
      <c r="B366" s="37" t="s">
        <v>1465</v>
      </c>
      <c r="C366" s="37" t="s">
        <v>1456</v>
      </c>
      <c r="D366" s="37" t="s">
        <v>1242</v>
      </c>
      <c r="E366" s="38" t="s">
        <v>310</v>
      </c>
      <c r="F366" s="49" t="s">
        <v>36</v>
      </c>
      <c r="G366" s="37" t="s">
        <v>1467</v>
      </c>
      <c r="H366" s="52" t="s">
        <v>41</v>
      </c>
      <c r="I366" s="34" t="s">
        <v>152</v>
      </c>
      <c r="J366" s="62"/>
      <c r="K366" s="62"/>
      <c r="L366" s="63"/>
      <c r="M366" s="136">
        <v>1000.0</v>
      </c>
      <c r="N366" s="64">
        <v>1000.0</v>
      </c>
      <c r="O366" s="64">
        <v>8384.0</v>
      </c>
      <c r="P366" s="62">
        <v>1000.0</v>
      </c>
      <c r="Q366" s="62">
        <v>1000.0</v>
      </c>
      <c r="R366" s="62">
        <v>8384.0</v>
      </c>
      <c r="S366" s="58">
        <v>0.67</v>
      </c>
      <c r="T366" s="59">
        <f>IFERROR(__xludf.DUMMYFUNCTION("((IFERROR(MIN(FILTER({L366, O366, R366}, ISNUMBER({L366, O366, R366}), {L366, O366, R366} &gt; 0)), """"))*S366)+IFERROR(MIN(FILTER({L366, O366, R366}, ISNUMBER({L366, O366, R366}), {L366, O366, R366} &gt; 0)), """")"),14001.28)</f>
        <v>14001.28</v>
      </c>
      <c r="U366" s="53">
        <f>IFERROR(__xludf.DUMMYFUNCTION("(T366-(IFERROR(MIN(FILTER({L366, O366, R366}, ISNUMBER({L366, O366, R366}), {L366, O366, R366} &gt; 0)), """")))/T366"),0.4011976047904192)</f>
        <v>0.4011976048</v>
      </c>
      <c r="V366" s="60">
        <v>300.0</v>
      </c>
      <c r="W366" s="60"/>
    </row>
    <row r="367" ht="22.5" customHeight="1">
      <c r="A36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SUBSTITUTE(E367, """", """")"),"#REF!")</f>
        <v>#REF!</v>
      </c>
      <c r="B367" s="37" t="s">
        <v>1465</v>
      </c>
      <c r="C367" s="37" t="s">
        <v>1456</v>
      </c>
      <c r="D367" s="37" t="s">
        <v>1242</v>
      </c>
      <c r="E367" s="38" t="s">
        <v>1470</v>
      </c>
      <c r="F367" s="49" t="s">
        <v>36</v>
      </c>
      <c r="G367" s="37" t="s">
        <v>1467</v>
      </c>
      <c r="H367" s="52" t="s">
        <v>41</v>
      </c>
      <c r="I367" s="34" t="s">
        <v>152</v>
      </c>
      <c r="J367" s="62"/>
      <c r="K367" s="62"/>
      <c r="L367" s="63"/>
      <c r="M367" s="136">
        <v>1000.0</v>
      </c>
      <c r="N367" s="64">
        <v>1000.0</v>
      </c>
      <c r="O367" s="64">
        <v>11874.0</v>
      </c>
      <c r="P367" s="62">
        <v>1000.0</v>
      </c>
      <c r="Q367" s="62">
        <v>1000.0</v>
      </c>
      <c r="R367" s="62">
        <v>11874.0</v>
      </c>
      <c r="S367" s="58">
        <v>0.67</v>
      </c>
      <c r="T367" s="59">
        <f>IFERROR(__xludf.DUMMYFUNCTION("((IFERROR(MIN(FILTER({L367, O367, R367}, ISNUMBER({L367, O367, R367}), {L367, O367, R367} &gt; 0)), """"))*S367)+IFERROR(MIN(FILTER({L367, O367, R367}, ISNUMBER({L367, O367, R367}), {L367, O367, R367} &gt; 0)), """")"),19829.58)</f>
        <v>19829.58</v>
      </c>
      <c r="U367" s="53">
        <f>IFERROR(__xludf.DUMMYFUNCTION("(T367-(IFERROR(MIN(FILTER({L367, O367, R367}, ISNUMBER({L367, O367, R367}), {L367, O367, R367} &gt; 0)), """")))/T367"),0.4011976047904192)</f>
        <v>0.4011976048</v>
      </c>
      <c r="V367" s="60">
        <v>300.0</v>
      </c>
      <c r="W367" s="60"/>
    </row>
    <row r="368" ht="22.5" customHeight="1">
      <c r="A36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SUBSTITUTE(E368, """", """")"),"#REF!")</f>
        <v>#REF!</v>
      </c>
      <c r="B368" s="37" t="s">
        <v>1471</v>
      </c>
      <c r="C368" s="37" t="s">
        <v>1456</v>
      </c>
      <c r="D368" s="37" t="s">
        <v>1242</v>
      </c>
      <c r="E368" s="38" t="s">
        <v>1472</v>
      </c>
      <c r="F368" s="49" t="s">
        <v>36</v>
      </c>
      <c r="G368" s="37" t="s">
        <v>1473</v>
      </c>
      <c r="H368" s="52" t="s">
        <v>41</v>
      </c>
      <c r="I368" s="34" t="s">
        <v>152</v>
      </c>
      <c r="J368" s="62"/>
      <c r="K368" s="62"/>
      <c r="L368" s="63"/>
      <c r="M368" s="136">
        <v>1000.0</v>
      </c>
      <c r="N368" s="64">
        <v>1000.0</v>
      </c>
      <c r="O368" s="64">
        <v>8478.0</v>
      </c>
      <c r="P368" s="62">
        <v>1000.0</v>
      </c>
      <c r="Q368" s="62">
        <v>1000.0</v>
      </c>
      <c r="R368" s="62">
        <v>8478.0</v>
      </c>
      <c r="S368" s="58">
        <v>0.67</v>
      </c>
      <c r="T368" s="59">
        <f>IFERROR(__xludf.DUMMYFUNCTION("((IFERROR(MIN(FILTER({L368, O368, R368}, ISNUMBER({L368, O368, R368}), {L368, O368, R368} &gt; 0)), """"))*S368)+IFERROR(MIN(FILTER({L368, O368, R368}, ISNUMBER({L368, O368, R368}), {L368, O368, R368} &gt; 0)), """")"),14158.26)</f>
        <v>14158.26</v>
      </c>
      <c r="U368" s="53">
        <f>IFERROR(__xludf.DUMMYFUNCTION("(T368-(IFERROR(MIN(FILTER({L368, O368, R368}, ISNUMBER({L368, O368, R368}), {L368, O368, R368} &gt; 0)), """")))/T368"),0.40119760479041916)</f>
        <v>0.4011976048</v>
      </c>
      <c r="V368" s="60">
        <v>300.0</v>
      </c>
      <c r="W368" s="60"/>
    </row>
    <row r="369" ht="22.5" customHeight="1">
      <c r="A369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SUBSTITUTE(E369, """", """")"),"#REF!")</f>
        <v>#REF!</v>
      </c>
      <c r="B369" s="37" t="s">
        <v>1476</v>
      </c>
      <c r="C369" s="37" t="s">
        <v>1456</v>
      </c>
      <c r="D369" s="37" t="s">
        <v>1242</v>
      </c>
      <c r="E369" s="38" t="s">
        <v>1477</v>
      </c>
      <c r="F369" s="49" t="s">
        <v>55</v>
      </c>
      <c r="G369" s="37" t="s">
        <v>100</v>
      </c>
      <c r="H369" s="52" t="s">
        <v>41</v>
      </c>
      <c r="I369" s="34" t="s">
        <v>550</v>
      </c>
      <c r="J369" s="62"/>
      <c r="K369" s="62"/>
      <c r="L369" s="63"/>
      <c r="M369" s="136">
        <v>10000.0</v>
      </c>
      <c r="N369" s="64">
        <v>10000.0</v>
      </c>
      <c r="O369" s="59"/>
      <c r="P369" s="62">
        <v>10000.0</v>
      </c>
      <c r="Q369" s="62">
        <v>10000.0</v>
      </c>
      <c r="R369" s="62">
        <v>3659.0</v>
      </c>
      <c r="S369" s="58">
        <v>0.67</v>
      </c>
      <c r="T369" s="59">
        <f>IFERROR(__xludf.DUMMYFUNCTION("((IFERROR(MIN(FILTER({L369, O369, R369}, ISNUMBER({L369, O369, R369}), {L369, O369, R369} &gt; 0)), """"))*S369)+IFERROR(MIN(FILTER({L369, O369, R369}, ISNUMBER({L369, O369, R369}), {L369, O369, R369} &gt; 0)), """")"),6110.530000000001)</f>
        <v>6110.53</v>
      </c>
      <c r="U369" s="53">
        <f>IFERROR(__xludf.DUMMYFUNCTION("(T369-(IFERROR(MIN(FILTER({L369, O369, R369}, ISNUMBER({L369, O369, R369}), {L369, O369, R369} &gt; 0)), """")))/T369"),0.4011976047904192)</f>
        <v>0.4011976048</v>
      </c>
      <c r="V369" s="60">
        <v>300.0</v>
      </c>
      <c r="W369" s="60"/>
    </row>
    <row r="370" ht="22.5" customHeight="1">
      <c r="A370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SUBSTITUTE(E370, """", """")"),"#REF!")</f>
        <v>#REF!</v>
      </c>
      <c r="B370" s="37" t="s">
        <v>307</v>
      </c>
      <c r="C370" s="37" t="s">
        <v>1456</v>
      </c>
      <c r="D370" s="37" t="s">
        <v>1478</v>
      </c>
      <c r="E370" s="38" t="s">
        <v>196</v>
      </c>
      <c r="F370" s="49" t="s">
        <v>55</v>
      </c>
      <c r="G370" s="37" t="s">
        <v>58</v>
      </c>
      <c r="H370" s="52" t="s">
        <v>41</v>
      </c>
      <c r="I370" s="34" t="s">
        <v>152</v>
      </c>
      <c r="J370" s="63">
        <v>25000.0</v>
      </c>
      <c r="K370" s="63">
        <v>25000.0</v>
      </c>
      <c r="L370" s="62">
        <v>1450.0</v>
      </c>
      <c r="M370" s="142">
        <v>25000.0</v>
      </c>
      <c r="N370" s="59">
        <v>25000.0</v>
      </c>
      <c r="O370" s="64"/>
      <c r="P370" s="63">
        <v>25000.0</v>
      </c>
      <c r="Q370" s="63">
        <v>25000.0</v>
      </c>
      <c r="R370" s="62"/>
      <c r="S370" s="58">
        <v>0.67</v>
      </c>
      <c r="T370" s="59">
        <f>IFERROR(__xludf.DUMMYFUNCTION("((IFERROR(MIN(FILTER({L370, O370, R370}, ISNUMBER({L370, O370, R370}), {L370, O370, R370} &gt; 0)), """"))*S370)+IFERROR(MIN(FILTER({L370, O370, R370}, ISNUMBER({L370, O370, R370}), {L370, O370, R370} &gt; 0)), """")"),2421.5)</f>
        <v>2421.5</v>
      </c>
      <c r="U370" s="53">
        <f>IFERROR(__xludf.DUMMYFUNCTION("(T370-(IFERROR(MIN(FILTER({L370, O370, R370}, ISNUMBER({L370, O370, R370}), {L370, O370, R370} &gt; 0)), """")))/T370"),0.40119760479041916)</f>
        <v>0.4011976048</v>
      </c>
      <c r="V370" s="60">
        <v>300.0</v>
      </c>
      <c r="W370" s="60"/>
    </row>
    <row r="371" ht="22.5" customHeight="1">
      <c r="A371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SUBSTITUTE(E371, """", """")"),"#REF!")</f>
        <v>#REF!</v>
      </c>
      <c r="B371" s="37" t="s">
        <v>1481</v>
      </c>
      <c r="C371" s="37" t="s">
        <v>1456</v>
      </c>
      <c r="D371" s="37" t="s">
        <v>1242</v>
      </c>
      <c r="E371" s="38" t="s">
        <v>1482</v>
      </c>
      <c r="F371" s="49" t="s">
        <v>55</v>
      </c>
      <c r="G371" s="37" t="s">
        <v>108</v>
      </c>
      <c r="H371" s="52" t="s">
        <v>41</v>
      </c>
      <c r="I371" s="34" t="s">
        <v>1483</v>
      </c>
      <c r="J371" s="63">
        <v>30000.0</v>
      </c>
      <c r="K371" s="63">
        <v>30000.0</v>
      </c>
      <c r="L371" s="62">
        <v>1875.0</v>
      </c>
      <c r="M371" s="142">
        <v>30000.0</v>
      </c>
      <c r="N371" s="59">
        <v>30000.0</v>
      </c>
      <c r="O371" s="64"/>
      <c r="P371" s="63">
        <v>30000.0</v>
      </c>
      <c r="Q371" s="63">
        <v>30000.0</v>
      </c>
      <c r="R371" s="62"/>
      <c r="S371" s="58">
        <v>0.67</v>
      </c>
      <c r="T371" s="59">
        <f>IFERROR(__xludf.DUMMYFUNCTION("((IFERROR(MIN(FILTER({L371, O371, R371}, ISNUMBER({L371, O371, R371}), {L371, O371, R371} &gt; 0)), """"))*S371)+IFERROR(MIN(FILTER({L371, O371, R371}, ISNUMBER({L371, O371, R371}), {L371, O371, R371} &gt; 0)), """")"),3131.25)</f>
        <v>3131.25</v>
      </c>
      <c r="U371" s="53">
        <f>IFERROR(__xludf.DUMMYFUNCTION("(T371-(IFERROR(MIN(FILTER({L371, O371, R371}, ISNUMBER({L371, O371, R371}), {L371, O371, R371} &gt; 0)), """")))/T371"),0.40119760479041916)</f>
        <v>0.4011976048</v>
      </c>
      <c r="V371" s="60">
        <v>300.0</v>
      </c>
      <c r="W371" s="60"/>
    </row>
    <row r="372" ht="22.5" customHeight="1">
      <c r="A372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SUBSTITUTE(E372, """", """")"),"#REF!")</f>
        <v>#REF!</v>
      </c>
      <c r="B372" s="37" t="s">
        <v>1484</v>
      </c>
      <c r="C372" s="37" t="s">
        <v>1456</v>
      </c>
      <c r="D372" s="37" t="s">
        <v>1242</v>
      </c>
      <c r="E372" s="38" t="s">
        <v>1485</v>
      </c>
      <c r="F372" s="49" t="s">
        <v>63</v>
      </c>
      <c r="G372" s="37" t="s">
        <v>67</v>
      </c>
      <c r="H372" s="52" t="s">
        <v>41</v>
      </c>
      <c r="I372" s="34" t="s">
        <v>152</v>
      </c>
      <c r="J372" s="62"/>
      <c r="K372" s="62"/>
      <c r="L372" s="63"/>
      <c r="M372" s="136">
        <v>1000.0</v>
      </c>
      <c r="N372" s="64">
        <v>1000.0</v>
      </c>
      <c r="O372" s="64">
        <v>8401.0</v>
      </c>
      <c r="P372" s="62">
        <v>1000.0</v>
      </c>
      <c r="Q372" s="62">
        <v>1000.0</v>
      </c>
      <c r="R372" s="63"/>
      <c r="S372" s="58">
        <v>0.67</v>
      </c>
      <c r="T372" s="59">
        <f>IFERROR(__xludf.DUMMYFUNCTION("((IFERROR(MIN(FILTER({L372, O372, R372}, ISNUMBER({L372, O372, R372}), {L372, O372, R372} &gt; 0)), """"))*S372)+IFERROR(MIN(FILTER({L372, O372, R372}, ISNUMBER({L372, O372, R372}), {L372, O372, R372} &gt; 0)), """")"),14029.67)</f>
        <v>14029.67</v>
      </c>
      <c r="U372" s="53">
        <f>IFERROR(__xludf.DUMMYFUNCTION("(T372-(IFERROR(MIN(FILTER({L372, O372, R372}, ISNUMBER({L372, O372, R372}), {L372, O372, R372} &gt; 0)), """")))/T372"),0.40119760479041916)</f>
        <v>0.4011976048</v>
      </c>
      <c r="V372" s="60">
        <v>300.0</v>
      </c>
      <c r="W372" s="60"/>
    </row>
    <row r="373" ht="22.5" customHeight="1">
      <c r="A37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SUBSTITUTE(E373, """", """")"),"#REF!")</f>
        <v>#REF!</v>
      </c>
      <c r="B373" s="37" t="s">
        <v>1484</v>
      </c>
      <c r="C373" s="37" t="s">
        <v>1456</v>
      </c>
      <c r="D373" s="37" t="s">
        <v>1242</v>
      </c>
      <c r="E373" s="38" t="s">
        <v>1486</v>
      </c>
      <c r="F373" s="49" t="s">
        <v>63</v>
      </c>
      <c r="G373" s="37" t="s">
        <v>67</v>
      </c>
      <c r="H373" s="52" t="s">
        <v>41</v>
      </c>
      <c r="I373" s="34" t="s">
        <v>152</v>
      </c>
      <c r="J373" s="62"/>
      <c r="K373" s="62"/>
      <c r="L373" s="63"/>
      <c r="M373" s="136">
        <v>1000.0</v>
      </c>
      <c r="N373" s="64">
        <v>1000.0</v>
      </c>
      <c r="O373" s="64">
        <v>8776.0</v>
      </c>
      <c r="P373" s="62">
        <v>1000.0</v>
      </c>
      <c r="Q373" s="62">
        <v>1000.0</v>
      </c>
      <c r="R373" s="63"/>
      <c r="S373" s="58">
        <v>0.67</v>
      </c>
      <c r="T373" s="59">
        <f>IFERROR(__xludf.DUMMYFUNCTION("((IFERROR(MIN(FILTER({L373, O373, R373}, ISNUMBER({L373, O373, R373}), {L373, O373, R373} &gt; 0)), """"))*S373)+IFERROR(MIN(FILTER({L373, O373, R373}, ISNUMBER({L373, O373, R373}), {L373, O373, R373} &gt; 0)), """")"),14655.92)</f>
        <v>14655.92</v>
      </c>
      <c r="U373" s="53">
        <f>IFERROR(__xludf.DUMMYFUNCTION("(T373-(IFERROR(MIN(FILTER({L373, O373, R373}, ISNUMBER({L373, O373, R373}), {L373, O373, R373} &gt; 0)), """")))/T373"),0.40119760479041916)</f>
        <v>0.4011976048</v>
      </c>
      <c r="V373" s="60">
        <v>300.0</v>
      </c>
      <c r="W373" s="60"/>
    </row>
    <row r="374" ht="22.5" customHeight="1">
      <c r="A37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SUBSTITUTE(E374, """", """")"),"#REF!")</f>
        <v>#REF!</v>
      </c>
      <c r="B374" s="37" t="s">
        <v>1465</v>
      </c>
      <c r="C374" s="37" t="s">
        <v>1456</v>
      </c>
      <c r="D374" s="37" t="s">
        <v>1242</v>
      </c>
      <c r="E374" s="38" t="s">
        <v>1487</v>
      </c>
      <c r="F374" s="49" t="s">
        <v>36</v>
      </c>
      <c r="G374" s="37" t="s">
        <v>1467</v>
      </c>
      <c r="H374" s="52" t="s">
        <v>41</v>
      </c>
      <c r="I374" s="34" t="s">
        <v>152</v>
      </c>
      <c r="J374" s="62"/>
      <c r="K374" s="62"/>
      <c r="L374" s="63"/>
      <c r="M374" s="136">
        <v>1000.0</v>
      </c>
      <c r="N374" s="64">
        <v>1000.0</v>
      </c>
      <c r="O374" s="64">
        <v>780.0</v>
      </c>
      <c r="P374" s="62">
        <v>1000.0</v>
      </c>
      <c r="Q374" s="62">
        <v>1000.0</v>
      </c>
      <c r="R374" s="63"/>
      <c r="S374" s="58">
        <v>0.67</v>
      </c>
      <c r="T374" s="59">
        <f>IFERROR(__xludf.DUMMYFUNCTION("((IFERROR(MIN(FILTER({L374, O374, R374}, ISNUMBER({L374, O374, R374}), {L374, O374, R374} &gt; 0)), """"))*S374)+IFERROR(MIN(FILTER({L374, O374, R374}, ISNUMBER({L374, O374, R374}), {L374, O374, R374} &gt; 0)), """")"),1302.6)</f>
        <v>1302.6</v>
      </c>
      <c r="U374" s="53">
        <f>IFERROR(__xludf.DUMMYFUNCTION("(T374-(IFERROR(MIN(FILTER({L374, O374, R374}, ISNUMBER({L374, O374, R374}), {L374, O374, R374} &gt; 0)), """")))/T374"),0.4011976047904191)</f>
        <v>0.4011976048</v>
      </c>
      <c r="V374" s="60">
        <v>300.0</v>
      </c>
      <c r="W374" s="60"/>
    </row>
    <row r="375" ht="22.5" customHeight="1">
      <c r="A375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SUBSTITUTE(E375, """", """")"),"#REF!")</f>
        <v>#REF!</v>
      </c>
      <c r="B375" s="37" t="s">
        <v>249</v>
      </c>
      <c r="C375" s="37" t="s">
        <v>1488</v>
      </c>
      <c r="D375" s="37" t="s">
        <v>251</v>
      </c>
      <c r="E375" s="38" t="s">
        <v>1489</v>
      </c>
      <c r="F375" s="49" t="s">
        <v>55</v>
      </c>
      <c r="G375" s="37" t="s">
        <v>121</v>
      </c>
      <c r="H375" s="52" t="s">
        <v>41</v>
      </c>
      <c r="I375" s="34" t="s">
        <v>44</v>
      </c>
      <c r="J375" s="63">
        <v>25000.0</v>
      </c>
      <c r="K375" s="63">
        <v>25000.0</v>
      </c>
      <c r="L375" s="62">
        <v>345.0</v>
      </c>
      <c r="M375" s="142">
        <v>25000.0</v>
      </c>
      <c r="N375" s="59">
        <v>25000.0</v>
      </c>
      <c r="O375" s="64"/>
      <c r="P375" s="63">
        <v>25000.0</v>
      </c>
      <c r="Q375" s="63">
        <v>25000.0</v>
      </c>
      <c r="R375" s="62"/>
      <c r="S375" s="58">
        <v>0.67</v>
      </c>
      <c r="T375" s="59">
        <f>IFERROR(__xludf.DUMMYFUNCTION("((IFERROR(MIN(FILTER({L375, O375, R375}, ISNUMBER({L375, O375, R375}), {L375, O375, R375} &gt; 0)), """"))*S375)+IFERROR(MIN(FILTER({L375, O375, R375}, ISNUMBER({L375, O375, R375}), {L375, O375, R375} &gt; 0)), """")"),576.15)</f>
        <v>576.15</v>
      </c>
      <c r="U375" s="53">
        <f>IFERROR(__xludf.DUMMYFUNCTION("(T375-(IFERROR(MIN(FILTER({L375, O375, R375}, ISNUMBER({L375, O375, R375}), {L375, O375, R375} &gt; 0)), """")))/T375"),0.40119760479041916)</f>
        <v>0.4011976048</v>
      </c>
      <c r="V375" s="60">
        <v>300.0</v>
      </c>
      <c r="W375" s="60"/>
    </row>
    <row r="376" ht="22.5" customHeight="1">
      <c r="A376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SUBSTITUTE(E376, """", """")"),"#REF!")</f>
        <v>#REF!</v>
      </c>
      <c r="B376" s="37" t="s">
        <v>1490</v>
      </c>
      <c r="C376" s="37" t="s">
        <v>1488</v>
      </c>
      <c r="D376" s="37" t="s">
        <v>1478</v>
      </c>
      <c r="E376" s="38" t="s">
        <v>1491</v>
      </c>
      <c r="F376" s="49" t="s">
        <v>55</v>
      </c>
      <c r="G376" s="37" t="s">
        <v>121</v>
      </c>
      <c r="H376" s="52" t="s">
        <v>41</v>
      </c>
      <c r="I376" s="34" t="s">
        <v>44</v>
      </c>
      <c r="J376" s="62">
        <v>25000.0</v>
      </c>
      <c r="K376" s="62">
        <v>25000.0</v>
      </c>
      <c r="L376" s="63"/>
      <c r="M376" s="136">
        <v>25000.0</v>
      </c>
      <c r="N376" s="64">
        <v>25000.0</v>
      </c>
      <c r="O376" s="64">
        <v>20.0</v>
      </c>
      <c r="P376" s="62">
        <v>25000.0</v>
      </c>
      <c r="Q376" s="62">
        <v>25000.0</v>
      </c>
      <c r="R376" s="63"/>
      <c r="S376" s="58">
        <v>0.67</v>
      </c>
      <c r="T376" s="59">
        <f>IFERROR(__xludf.DUMMYFUNCTION("((IFERROR(MIN(FILTER({L376, O376, R376}, ISNUMBER({L376, O376, R376}), {L376, O376, R376} &gt; 0)), """"))*S376)+IFERROR(MIN(FILTER({L376, O376, R376}, ISNUMBER({L376, O376, R376}), {L376, O376, R376} &gt; 0)), """")"),33.4)</f>
        <v>33.4</v>
      </c>
      <c r="U376" s="53">
        <f>IFERROR(__xludf.DUMMYFUNCTION("(T376-(IFERROR(MIN(FILTER({L376, O376, R376}, ISNUMBER({L376, O376, R376}), {L376, O376, R376} &gt; 0)), """")))/T376"),0.40119760479041916)</f>
        <v>0.4011976048</v>
      </c>
      <c r="V376" s="60">
        <v>300.0</v>
      </c>
      <c r="W376" s="60"/>
    </row>
    <row r="377" ht="22.5" customHeight="1">
      <c r="A377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SUBSTITUTE(E377, """", """")"),"#REF!")</f>
        <v>#REF!</v>
      </c>
      <c r="B377" s="37" t="s">
        <v>1492</v>
      </c>
      <c r="C377" s="37" t="s">
        <v>1488</v>
      </c>
      <c r="D377" s="37" t="s">
        <v>251</v>
      </c>
      <c r="E377" s="38" t="s">
        <v>1493</v>
      </c>
      <c r="F377" s="49" t="s">
        <v>36</v>
      </c>
      <c r="G377" s="37" t="s">
        <v>892</v>
      </c>
      <c r="H377" s="52" t="s">
        <v>41</v>
      </c>
      <c r="I377" s="34" t="s">
        <v>44</v>
      </c>
      <c r="J377" s="62"/>
      <c r="K377" s="62"/>
      <c r="L377" s="63"/>
      <c r="M377" s="136">
        <v>3000.0</v>
      </c>
      <c r="N377" s="64">
        <v>3000.0</v>
      </c>
      <c r="O377" s="64">
        <v>320.0</v>
      </c>
      <c r="P377" s="62">
        <v>3000.0</v>
      </c>
      <c r="Q377" s="62">
        <v>3000.0</v>
      </c>
      <c r="R377" s="63"/>
      <c r="S377" s="58">
        <v>0.67</v>
      </c>
      <c r="T377" s="59">
        <f>IFERROR(__xludf.DUMMYFUNCTION("((IFERROR(MIN(FILTER({L377, O377, R377}, ISNUMBER({L377, O377, R377}), {L377, O377, R377} &gt; 0)), """"))*S377)+IFERROR(MIN(FILTER({L377, O377, R377}, ISNUMBER({L377, O377, R377}), {L377, O377, R377} &gt; 0)), """")"),534.4)</f>
        <v>534.4</v>
      </c>
      <c r="U377" s="53">
        <f>IFERROR(__xludf.DUMMYFUNCTION("(T377-(IFERROR(MIN(FILTER({L377, O377, R377}, ISNUMBER({L377, O377, R377}), {L377, O377, R377} &gt; 0)), """")))/T377"),0.40119760479041916)</f>
        <v>0.4011976048</v>
      </c>
      <c r="V377" s="60">
        <v>300.0</v>
      </c>
      <c r="W377" s="60"/>
    </row>
    <row r="378" ht="22.5" customHeight="1">
      <c r="A378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SUBSTITUTE(E378, """", """")"),"#REF!")</f>
        <v>#REF!</v>
      </c>
      <c r="B378" s="37" t="s">
        <v>1492</v>
      </c>
      <c r="C378" s="37" t="s">
        <v>1488</v>
      </c>
      <c r="D378" s="37" t="s">
        <v>251</v>
      </c>
      <c r="E378" s="38" t="s">
        <v>1493</v>
      </c>
      <c r="F378" s="49" t="s">
        <v>36</v>
      </c>
      <c r="G378" s="37" t="s">
        <v>892</v>
      </c>
      <c r="H378" s="52" t="s">
        <v>41</v>
      </c>
      <c r="I378" s="34" t="s">
        <v>44</v>
      </c>
      <c r="J378" s="62"/>
      <c r="K378" s="62"/>
      <c r="L378" s="63"/>
      <c r="M378" s="136">
        <v>5000.0</v>
      </c>
      <c r="N378" s="64">
        <v>5000.0</v>
      </c>
      <c r="O378" s="64">
        <v>30.0</v>
      </c>
      <c r="P378" s="62">
        <v>5000.0</v>
      </c>
      <c r="Q378" s="62">
        <v>5000.0</v>
      </c>
      <c r="R378" s="63"/>
      <c r="S378" s="58">
        <v>0.67</v>
      </c>
      <c r="T378" s="59">
        <f>IFERROR(__xludf.DUMMYFUNCTION("((IFERROR(MIN(FILTER({L378, O378, R378}, ISNUMBER({L378, O378, R378}), {L378, O378, R378} &gt; 0)), """"))*S378)+IFERROR(MIN(FILTER({L378, O378, R378}, ISNUMBER({L378, O378, R378}), {L378, O378, R378} &gt; 0)), """")"),50.1)</f>
        <v>50.1</v>
      </c>
      <c r="U378" s="53">
        <f>IFERROR(__xludf.DUMMYFUNCTION("(T378-(IFERROR(MIN(FILTER({L378, O378, R378}, ISNUMBER({L378, O378, R378}), {L378, O378, R378} &gt; 0)), """")))/T378"),0.40119760479041916)</f>
        <v>0.4011976048</v>
      </c>
      <c r="V378" s="60">
        <v>300.0</v>
      </c>
      <c r="W378" s="60"/>
    </row>
    <row r="379" ht="22.5" customHeight="1">
      <c r="A3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SUBSTITUTE(E379, """", """")"),"#REF!")</f>
        <v>#REF!</v>
      </c>
      <c r="B379" s="47" t="s">
        <v>1494</v>
      </c>
      <c r="C379" s="47" t="s">
        <v>1488</v>
      </c>
      <c r="D379" s="47" t="s">
        <v>251</v>
      </c>
      <c r="E379" s="48" t="s">
        <v>1495</v>
      </c>
      <c r="F379" s="49" t="s">
        <v>36</v>
      </c>
      <c r="G379" s="47" t="s">
        <v>1473</v>
      </c>
      <c r="H379" s="52" t="s">
        <v>41</v>
      </c>
      <c r="I379" s="34" t="s">
        <v>44</v>
      </c>
      <c r="J379" s="54"/>
      <c r="K379" s="54"/>
      <c r="L379" s="54"/>
      <c r="M379" s="135">
        <v>10000.0</v>
      </c>
      <c r="N379" s="56">
        <v>10000.0</v>
      </c>
      <c r="O379" s="106"/>
      <c r="P379" s="54">
        <v>10000.0</v>
      </c>
      <c r="Q379" s="54">
        <v>10000.0</v>
      </c>
      <c r="R379" s="54">
        <v>2470.0</v>
      </c>
      <c r="S379" s="58">
        <v>0.67</v>
      </c>
      <c r="T379" s="59">
        <f>IFERROR(__xludf.DUMMYFUNCTION("((IFERROR(MIN(FILTER({L379, O379, R379}, ISNUMBER({L379, O379, R379}), {L379, O379, R379} &gt; 0)), """"))*S379)+IFERROR(MIN(FILTER({L379, O379, R379}, ISNUMBER({L379, O379, R379}), {L379, O379, R379} &gt; 0)), """")"),4124.9)</f>
        <v>4124.9</v>
      </c>
      <c r="U379" s="53">
        <f>IFERROR(__xludf.DUMMYFUNCTION("(T379-(IFERROR(MIN(FILTER({L379, O379, R379}, ISNUMBER({L379, O379, R379}), {L379, O379, R379} &gt; 0)), """")))/T379"),0.4011976047904191)</f>
        <v>0.4011976048</v>
      </c>
      <c r="V379" s="60">
        <v>300.0</v>
      </c>
      <c r="W379" s="60"/>
    </row>
    <row r="380" ht="22.5" customHeight="1">
      <c r="A3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SUBSTITUTE(E380, """", """")"),"#REF!")</f>
        <v>#REF!</v>
      </c>
      <c r="B380" s="47" t="s">
        <v>1496</v>
      </c>
      <c r="C380" s="47" t="s">
        <v>1488</v>
      </c>
      <c r="D380" s="47" t="s">
        <v>251</v>
      </c>
      <c r="E380" s="48" t="s">
        <v>1497</v>
      </c>
      <c r="F380" s="49" t="s">
        <v>63</v>
      </c>
      <c r="G380" s="47" t="s">
        <v>67</v>
      </c>
      <c r="H380" s="52" t="s">
        <v>41</v>
      </c>
      <c r="I380" s="34" t="s">
        <v>44</v>
      </c>
      <c r="J380" s="54"/>
      <c r="K380" s="54"/>
      <c r="L380" s="54"/>
      <c r="M380" s="135">
        <v>1000.0</v>
      </c>
      <c r="N380" s="56">
        <v>1000.0</v>
      </c>
      <c r="O380" s="106"/>
      <c r="P380" s="54">
        <v>1000.0</v>
      </c>
      <c r="Q380" s="54">
        <v>1000.0</v>
      </c>
      <c r="R380" s="54">
        <v>3650.0</v>
      </c>
      <c r="S380" s="58">
        <v>0.67</v>
      </c>
      <c r="T380" s="59">
        <f>IFERROR(__xludf.DUMMYFUNCTION("((IFERROR(MIN(FILTER({L380, O380, R380}, ISNUMBER({L380, O380, R380}), {L380, O380, R380} &gt; 0)), """"))*S380)+IFERROR(MIN(FILTER({L380, O380, R380}, ISNUMBER({L380, O380, R380}), {L380, O380, R380} &gt; 0)), """")"),6095.5)</f>
        <v>6095.5</v>
      </c>
      <c r="U380" s="53">
        <f>IFERROR(__xludf.DUMMYFUNCTION("(T380-(IFERROR(MIN(FILTER({L380, O380, R380}, ISNUMBER({L380, O380, R380}), {L380, O380, R380} &gt; 0)), """")))/T380"),0.40119760479041916)</f>
        <v>0.4011976048</v>
      </c>
      <c r="V380" s="60">
        <v>300.0</v>
      </c>
      <c r="W380" s="60"/>
    </row>
    <row r="381" ht="22.5" customHeight="1">
      <c r="A3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SUBSTITUTE(E381, """", """")"),"#REF!")</f>
        <v>#REF!</v>
      </c>
      <c r="B381" s="47" t="s">
        <v>253</v>
      </c>
      <c r="C381" s="47" t="s">
        <v>1488</v>
      </c>
      <c r="D381" s="47" t="s">
        <v>1478</v>
      </c>
      <c r="E381" s="48" t="s">
        <v>1498</v>
      </c>
      <c r="F381" s="49" t="s">
        <v>55</v>
      </c>
      <c r="G381" s="47" t="s">
        <v>121</v>
      </c>
      <c r="H381" s="52" t="s">
        <v>41</v>
      </c>
      <c r="I381" s="34" t="s">
        <v>44</v>
      </c>
      <c r="J381" s="54">
        <v>25000.0</v>
      </c>
      <c r="K381" s="54">
        <v>25000.0</v>
      </c>
      <c r="L381" s="54">
        <v>675.0</v>
      </c>
      <c r="M381" s="135">
        <v>25000.0</v>
      </c>
      <c r="N381" s="56">
        <v>25000.0</v>
      </c>
      <c r="O381" s="106"/>
      <c r="P381" s="54">
        <v>25000.0</v>
      </c>
      <c r="Q381" s="54">
        <v>25000.0</v>
      </c>
      <c r="R381" s="57"/>
      <c r="S381" s="58">
        <v>0.67</v>
      </c>
      <c r="T381" s="59">
        <f>IFERROR(__xludf.DUMMYFUNCTION("((IFERROR(MIN(FILTER({L381, O381, R381}, ISNUMBER({L381, O381, R381}), {L381, O381, R381} &gt; 0)), """"))*S381)+IFERROR(MIN(FILTER({L381, O381, R381}, ISNUMBER({L381, O381, R381}), {L381, O381, R381} &gt; 0)), """")"),1127.25)</f>
        <v>1127.25</v>
      </c>
      <c r="U381" s="53">
        <f>IFERROR(__xludf.DUMMYFUNCTION("(T381-(IFERROR(MIN(FILTER({L381, O381, R381}, ISNUMBER({L381, O381, R381}), {L381, O381, R381} &gt; 0)), """")))/T381"),0.40119760479041916)</f>
        <v>0.4011976048</v>
      </c>
      <c r="V381" s="60">
        <v>300.0</v>
      </c>
      <c r="W381" s="60"/>
    </row>
    <row r="382" ht="22.5" customHeight="1">
      <c r="A3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SUBSTITUTE(E382, """", """")"),"#REF!")</f>
        <v>#REF!</v>
      </c>
      <c r="B382" s="47" t="s">
        <v>1064</v>
      </c>
      <c r="C382" s="47" t="s">
        <v>1488</v>
      </c>
      <c r="D382" s="47" t="s">
        <v>1478</v>
      </c>
      <c r="E382" s="48" t="s">
        <v>1499</v>
      </c>
      <c r="F382" s="52" t="s">
        <v>55</v>
      </c>
      <c r="G382" s="47" t="s">
        <v>100</v>
      </c>
      <c r="H382" s="52" t="s">
        <v>41</v>
      </c>
      <c r="I382" s="34" t="s">
        <v>507</v>
      </c>
      <c r="J382" s="54"/>
      <c r="K382" s="54"/>
      <c r="L382" s="57"/>
      <c r="M382" s="135">
        <v>1000.0</v>
      </c>
      <c r="N382" s="56">
        <v>1000.0</v>
      </c>
      <c r="O382" s="106"/>
      <c r="P382" s="54">
        <v>1000.0</v>
      </c>
      <c r="Q382" s="54">
        <v>1000.0</v>
      </c>
      <c r="R382" s="54">
        <v>3600.0</v>
      </c>
      <c r="S382" s="144"/>
      <c r="T382" s="59">
        <f>IFERROR(__xludf.DUMMYFUNCTION("((IFERROR(MIN(FILTER({L382, O382, R382}, ISNUMBER({L382, O382, R382}), {L382, O382, R382} &gt; 0)), """"))*S382)+IFERROR(MIN(FILTER({L382, O382, R382}, ISNUMBER({L382, O382, R382}), {L382, O382, R382} &gt; 0)), """")"),3600.0)</f>
        <v>3600</v>
      </c>
      <c r="U382" s="53">
        <f>IFERROR(__xludf.DUMMYFUNCTION("(T382-(IFERROR(MIN(FILTER({L382, O382, R382}, ISNUMBER({L382, O382, R382}), {L382, O382, R382} &gt; 0)), """")))/T382"),0.0)</f>
        <v>0</v>
      </c>
      <c r="V382" s="60">
        <v>300.0</v>
      </c>
      <c r="W382" s="60"/>
    </row>
    <row r="383" ht="22.5" customHeight="1">
      <c r="A383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SUBSTITUTE(E383, """", """")"),"#REF!")</f>
        <v>#REF!</v>
      </c>
      <c r="B383" s="37" t="s">
        <v>240</v>
      </c>
      <c r="C383" s="37" t="s">
        <v>65</v>
      </c>
      <c r="D383" s="37" t="s">
        <v>234</v>
      </c>
      <c r="E383" s="38" t="s">
        <v>241</v>
      </c>
      <c r="F383" s="49" t="s">
        <v>63</v>
      </c>
      <c r="G383" s="37" t="s">
        <v>67</v>
      </c>
      <c r="H383" s="52" t="s">
        <v>41</v>
      </c>
      <c r="I383" s="34" t="s">
        <v>44</v>
      </c>
      <c r="J383" s="62"/>
      <c r="K383" s="62"/>
      <c r="L383" s="63"/>
      <c r="M383" s="136">
        <v>1000.0</v>
      </c>
      <c r="N383" s="64">
        <v>1000.0</v>
      </c>
      <c r="O383" s="64">
        <v>2550.0</v>
      </c>
      <c r="P383" s="62">
        <v>1000.0</v>
      </c>
      <c r="Q383" s="62">
        <v>1000.0</v>
      </c>
      <c r="R383" s="63"/>
      <c r="S383" s="58">
        <v>0.67</v>
      </c>
      <c r="T383" s="59">
        <f>IFERROR(__xludf.DUMMYFUNCTION("((IFERROR(MIN(FILTER({L383, O383, R383}, ISNUMBER({L383, O383, R383}), {L383, O383, R383} &gt; 0)), """"))*S383)+IFERROR(MIN(FILTER({L383, O383, R383}, ISNUMBER({L383, O383, R383}), {L383, O383, R383} &gt; 0)), """")"),4258.5)</f>
        <v>4258.5</v>
      </c>
      <c r="U383" s="53">
        <f>IFERROR(__xludf.DUMMYFUNCTION("(T383-(IFERROR(MIN(FILTER({L383, O383, R383}, ISNUMBER({L383, O383, R383}), {L383, O383, R383} &gt; 0)), """")))/T383"),0.40119760479041916)</f>
        <v>0.4011976048</v>
      </c>
      <c r="V383" s="60">
        <v>300.0</v>
      </c>
      <c r="W383" s="60"/>
    </row>
    <row r="384" ht="22.5" customHeight="1">
      <c r="A384" s="66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SUBSTITUTE(E384, """", """")"),"#REF!")</f>
        <v>#REF!</v>
      </c>
      <c r="B384" s="37" t="s">
        <v>240</v>
      </c>
      <c r="C384" s="37" t="s">
        <v>65</v>
      </c>
      <c r="D384" s="37" t="s">
        <v>234</v>
      </c>
      <c r="E384" s="38" t="s">
        <v>243</v>
      </c>
      <c r="F384" s="49" t="s">
        <v>63</v>
      </c>
      <c r="G384" s="37" t="s">
        <v>67</v>
      </c>
      <c r="H384" s="52" t="s">
        <v>41</v>
      </c>
      <c r="I384" s="34" t="s">
        <v>44</v>
      </c>
      <c r="J384" s="62"/>
      <c r="K384" s="62"/>
      <c r="L384" s="63"/>
      <c r="M384" s="136">
        <v>1000.0</v>
      </c>
      <c r="N384" s="64">
        <v>1000.0</v>
      </c>
      <c r="O384" s="64">
        <v>2650.0</v>
      </c>
      <c r="P384" s="62">
        <v>1000.0</v>
      </c>
      <c r="Q384" s="62">
        <v>1000.0</v>
      </c>
      <c r="R384" s="63"/>
      <c r="S384" s="58">
        <v>0.67</v>
      </c>
      <c r="T384" s="59">
        <f>IFERROR(__xludf.DUMMYFUNCTION("((IFERROR(MIN(FILTER({L384, O384, R384}, ISNUMBER({L384, O384, R384}), {L384, O384, R384} &gt; 0)), """"))*S384)+IFERROR(MIN(FILTER({L384, O384, R384}, ISNUMBER({L384, O384, R384}), {L384, O384, R384} &gt; 0)), """")"),4425.5)</f>
        <v>4425.5</v>
      </c>
      <c r="U384" s="53">
        <f>IFERROR(__xludf.DUMMYFUNCTION("(T384-(IFERROR(MIN(FILTER({L384, O384, R384}, ISNUMBER({L384, O384, R384}), {L384, O384, R384} &gt; 0)), """")))/T384"),0.40119760479041916)</f>
        <v>0.4011976048</v>
      </c>
      <c r="V384" s="60">
        <v>300.0</v>
      </c>
      <c r="W384" s="60"/>
    </row>
    <row r="385" ht="22.5" customHeight="1">
      <c r="A3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SUBSTITUTE(E385, """", """")"),"#REF!")</f>
        <v>#REF!</v>
      </c>
      <c r="B385" s="47" t="s">
        <v>1494</v>
      </c>
      <c r="C385" s="47" t="s">
        <v>65</v>
      </c>
      <c r="D385" s="47" t="s">
        <v>251</v>
      </c>
      <c r="E385" s="48" t="s">
        <v>1495</v>
      </c>
      <c r="F385" s="49" t="s">
        <v>36</v>
      </c>
      <c r="G385" s="47" t="s">
        <v>1473</v>
      </c>
      <c r="H385" s="52" t="s">
        <v>41</v>
      </c>
      <c r="I385" s="34" t="s">
        <v>44</v>
      </c>
      <c r="J385" s="54"/>
      <c r="K385" s="54"/>
      <c r="L385" s="54"/>
      <c r="M385" s="135">
        <v>10000.0</v>
      </c>
      <c r="N385" s="56">
        <v>10000.0</v>
      </c>
      <c r="O385" s="106"/>
      <c r="P385" s="54">
        <v>10000.0</v>
      </c>
      <c r="Q385" s="54">
        <v>10000.0</v>
      </c>
      <c r="R385" s="54">
        <v>1900.0</v>
      </c>
      <c r="S385" s="145">
        <v>0.67</v>
      </c>
      <c r="T385" s="59">
        <f>IFERROR(__xludf.DUMMYFUNCTION("((IFERROR(MIN(FILTER({L385, O385, R385}, ISNUMBER({L385, O385, R385}), {L385, O385, R385} &gt; 0)), """"))*S385)+IFERROR(MIN(FILTER({L385, O385, R385}, ISNUMBER({L385, O385, R385}), {L385, O385, R385} &gt; 0)), """")"),3173.0)</f>
        <v>3173</v>
      </c>
      <c r="U385" s="53">
        <f>IFERROR(__xludf.DUMMYFUNCTION("(T385-(IFERROR(MIN(FILTER({L385, O385, R385}, ISNUMBER({L385, O385, R385}), {L385, O385, R385} &gt; 0)), """")))/T385"),0.40119760479041916)</f>
        <v>0.4011976048</v>
      </c>
      <c r="V385" s="60">
        <v>300.0</v>
      </c>
      <c r="W385" s="60"/>
    </row>
    <row r="386" ht="22.5" customHeight="1">
      <c r="A3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SUBSTITUTE(E386, """", """")"),"#REF!")</f>
        <v>#REF!</v>
      </c>
      <c r="B386" s="146"/>
      <c r="C386" s="146"/>
      <c r="D386" s="146"/>
      <c r="E386" s="44"/>
      <c r="F386" s="147"/>
      <c r="G386" s="146"/>
      <c r="H386" s="148"/>
      <c r="I386" s="34"/>
      <c r="J386" s="149"/>
      <c r="K386" s="150"/>
      <c r="L386" s="150"/>
      <c r="M386" s="151"/>
      <c r="N386" s="152"/>
      <c r="O386" s="152"/>
      <c r="P386" s="149"/>
      <c r="Q386" s="150"/>
      <c r="R386" s="150"/>
      <c r="S386" s="153"/>
      <c r="T386" s="60">
        <f>IFERROR(__xludf.DUMMYFUNCTION("((IFERROR(MIN(FILTER({L386, O386, R386}, ISNUMBER({L386, O386, R386}), {L386, O386, R386} &gt; 0)), """"))*S386)+IFERROR(MIN(FILTER({L386, O386, R386}, ISNUMBER({L386, O386, R386}), {L386, O386, R386} &gt; 0)), """")"),0.0)</f>
        <v>0</v>
      </c>
      <c r="U386" s="53" t="str">
        <f>IFERROR(__xludf.DUMMYFUNCTION("(T386-(IFERROR(MIN(FILTER({L386, O386, R386}, ISNUMBER({L386, O386, R386}), {L386, O386, R386} &gt; 0)), """")))/T386"),"#DIV/0!")</f>
        <v>#DIV/0!</v>
      </c>
      <c r="V386" s="60">
        <v>300.0</v>
      </c>
      <c r="W386" s="60"/>
    </row>
    <row r="387" ht="22.5" customHeight="1">
      <c r="A3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SUBSTITUTE(E387, """", """")"),"#REF!")</f>
        <v>#REF!</v>
      </c>
      <c r="B387" s="146"/>
      <c r="C387" s="146"/>
      <c r="D387" s="146"/>
      <c r="E387" s="44"/>
      <c r="F387" s="147"/>
      <c r="G387" s="146"/>
      <c r="H387" s="148"/>
      <c r="I387" s="34"/>
      <c r="J387" s="149"/>
      <c r="K387" s="150"/>
      <c r="L387" s="150"/>
      <c r="M387" s="151"/>
      <c r="N387" s="152"/>
      <c r="O387" s="152"/>
      <c r="P387" s="149"/>
      <c r="Q387" s="150"/>
      <c r="R387" s="150"/>
      <c r="S387" s="153"/>
      <c r="T387" s="60">
        <f>IFERROR(__xludf.DUMMYFUNCTION("((IFERROR(MIN(FILTER({L387, O387, R387}, ISNUMBER({L387, O387, R387}), {L387, O387, R387} &gt; 0)), """"))*S387)+IFERROR(MIN(FILTER({L387, O387, R387}, ISNUMBER({L387, O387, R387}), {L387, O387, R387} &gt; 0)), """")"),0.0)</f>
        <v>0</v>
      </c>
      <c r="U387" s="53" t="str">
        <f>IFERROR(__xludf.DUMMYFUNCTION("(T387-(IFERROR(MIN(FILTER({L387, O387, R387}, ISNUMBER({L387, O387, R387}), {L387, O387, R387} &gt; 0)), """")))/T387"),"#DIV/0!")</f>
        <v>#DIV/0!</v>
      </c>
      <c r="V387" s="60">
        <v>300.0</v>
      </c>
      <c r="W387" s="60"/>
    </row>
    <row r="388" ht="22.5" customHeight="1">
      <c r="A3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SUBSTITUTE(E388, """", """")"),"#REF!")</f>
        <v>#REF!</v>
      </c>
      <c r="B388" s="146"/>
      <c r="C388" s="146"/>
      <c r="D388" s="146"/>
      <c r="E388" s="44"/>
      <c r="F388" s="147"/>
      <c r="G388" s="146"/>
      <c r="H388" s="148"/>
      <c r="I388" s="34"/>
      <c r="J388" s="149"/>
      <c r="K388" s="150"/>
      <c r="L388" s="150"/>
      <c r="M388" s="151"/>
      <c r="N388" s="152"/>
      <c r="O388" s="152"/>
      <c r="P388" s="149"/>
      <c r="Q388" s="150"/>
      <c r="R388" s="150"/>
      <c r="S388" s="153"/>
      <c r="T388" s="60">
        <f>IFERROR(__xludf.DUMMYFUNCTION("((IFERROR(MIN(FILTER({L388, O388, R388}, ISNUMBER({L388, O388, R388}), {L388, O388, R388} &gt; 0)), """"))*S388)+IFERROR(MIN(FILTER({L388, O388, R388}, ISNUMBER({L388, O388, R388}), {L388, O388, R388} &gt; 0)), """")"),0.0)</f>
        <v>0</v>
      </c>
      <c r="U388" s="53" t="str">
        <f>IFERROR(__xludf.DUMMYFUNCTION("(T388-(IFERROR(MIN(FILTER({L388, O388, R388}, ISNUMBER({L388, O388, R388}), {L388, O388, R388} &gt; 0)), """")))/T388"),"#DIV/0!")</f>
        <v>#DIV/0!</v>
      </c>
      <c r="V388" s="60">
        <v>300.0</v>
      </c>
      <c r="W388" s="60"/>
    </row>
    <row r="389" ht="22.5" customHeight="1">
      <c r="A3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SUBSTITUTE(E389, """", """")"),"#REF!")</f>
        <v>#REF!</v>
      </c>
      <c r="B389" s="146"/>
      <c r="C389" s="146"/>
      <c r="D389" s="146"/>
      <c r="E389" s="44"/>
      <c r="F389" s="147"/>
      <c r="G389" s="146"/>
      <c r="H389" s="148"/>
      <c r="I389" s="34"/>
      <c r="J389" s="149"/>
      <c r="K389" s="150"/>
      <c r="L389" s="150"/>
      <c r="M389" s="151"/>
      <c r="N389" s="152"/>
      <c r="O389" s="152"/>
      <c r="P389" s="149"/>
      <c r="Q389" s="150"/>
      <c r="R389" s="150"/>
      <c r="S389" s="153"/>
      <c r="T389" s="60">
        <f>IFERROR(__xludf.DUMMYFUNCTION("((IFERROR(MIN(FILTER({L389, O389, R389}, ISNUMBER({L389, O389, R389}), {L389, O389, R389} &gt; 0)), """"))*S389)+IFERROR(MIN(FILTER({L389, O389, R389}, ISNUMBER({L389, O389, R389}), {L389, O389, R389} &gt; 0)), """")"),0.0)</f>
        <v>0</v>
      </c>
      <c r="U389" s="53" t="str">
        <f>IFERROR(__xludf.DUMMYFUNCTION("(T389-(IFERROR(MIN(FILTER({L389, O389, R389}, ISNUMBER({L389, O389, R389}), {L389, O389, R389} &gt; 0)), """")))/T389"),"#DIV/0!")</f>
        <v>#DIV/0!</v>
      </c>
      <c r="V389" s="60">
        <v>300.0</v>
      </c>
      <c r="W389" s="60"/>
    </row>
    <row r="390" ht="22.5" customHeight="1">
      <c r="A3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SUBSTITUTE(E390, """", """")"),"#REF!")</f>
        <v>#REF!</v>
      </c>
      <c r="B390" s="146"/>
      <c r="C390" s="146"/>
      <c r="D390" s="146"/>
      <c r="E390" s="44"/>
      <c r="F390" s="147"/>
      <c r="G390" s="146"/>
      <c r="H390" s="148"/>
      <c r="I390" s="3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3"/>
      <c r="T390" s="155"/>
      <c r="U390" s="156" t="str">
        <f t="shared" ref="U390:U931" si="8">(T390-L390)/T390</f>
        <v>#DIV/0!</v>
      </c>
      <c r="V390" s="157">
        <v>300.0</v>
      </c>
      <c r="W390" s="158"/>
    </row>
    <row r="391" ht="22.5" customHeight="1">
      <c r="A3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SUBSTITUTE(E391, """", """")"),"#REF!")</f>
        <v>#REF!</v>
      </c>
      <c r="B391" s="146"/>
      <c r="C391" s="146"/>
      <c r="D391" s="146"/>
      <c r="E391" s="44"/>
      <c r="F391" s="147"/>
      <c r="G391" s="146"/>
      <c r="H391" s="148"/>
      <c r="I391" s="3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3"/>
      <c r="T391" s="155"/>
      <c r="U391" s="156" t="str">
        <f t="shared" si="8"/>
        <v>#DIV/0!</v>
      </c>
      <c r="V391" s="157">
        <v>300.0</v>
      </c>
      <c r="W391" s="158"/>
    </row>
    <row r="392" ht="22.5" customHeight="1">
      <c r="A3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SUBSTITUTE(E392, """", """")"),"#REF!")</f>
        <v>#REF!</v>
      </c>
      <c r="B392" s="146"/>
      <c r="C392" s="146"/>
      <c r="D392" s="146"/>
      <c r="E392" s="44"/>
      <c r="F392" s="147"/>
      <c r="G392" s="146"/>
      <c r="H392" s="148"/>
      <c r="I392" s="3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3"/>
      <c r="T392" s="155"/>
      <c r="U392" s="156" t="str">
        <f t="shared" si="8"/>
        <v>#DIV/0!</v>
      </c>
      <c r="V392" s="157">
        <v>300.0</v>
      </c>
      <c r="W392" s="158"/>
    </row>
    <row r="393" ht="22.5" customHeight="1">
      <c r="A3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SUBSTITUTE(E393, """", """")"),"#REF!")</f>
        <v>#REF!</v>
      </c>
      <c r="B393" s="146"/>
      <c r="C393" s="146"/>
      <c r="D393" s="146"/>
      <c r="E393" s="44"/>
      <c r="F393" s="147"/>
      <c r="G393" s="146"/>
      <c r="H393" s="148"/>
      <c r="I393" s="3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3"/>
      <c r="T393" s="155"/>
      <c r="U393" s="156" t="str">
        <f t="shared" si="8"/>
        <v>#DIV/0!</v>
      </c>
      <c r="V393" s="157">
        <v>300.0</v>
      </c>
      <c r="W393" s="158"/>
    </row>
    <row r="394" ht="22.5" customHeight="1">
      <c r="A3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SUBSTITUTE(E394, """", """")"),"#REF!")</f>
        <v>#REF!</v>
      </c>
      <c r="B394" s="146"/>
      <c r="C394" s="146"/>
      <c r="D394" s="146"/>
      <c r="E394" s="44"/>
      <c r="F394" s="147"/>
      <c r="G394" s="146"/>
      <c r="H394" s="148"/>
      <c r="I394" s="3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3"/>
      <c r="T394" s="155"/>
      <c r="U394" s="156" t="str">
        <f t="shared" si="8"/>
        <v>#DIV/0!</v>
      </c>
      <c r="V394" s="157">
        <v>300.0</v>
      </c>
      <c r="W394" s="158"/>
    </row>
    <row r="395" ht="22.5" customHeight="1">
      <c r="A3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SUBSTITUTE(E395, """", """")"),"#REF!")</f>
        <v>#REF!</v>
      </c>
      <c r="B395" s="146"/>
      <c r="C395" s="146"/>
      <c r="D395" s="146"/>
      <c r="E395" s="44"/>
      <c r="F395" s="147"/>
      <c r="G395" s="146"/>
      <c r="H395" s="148"/>
      <c r="I395" s="3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3"/>
      <c r="T395" s="155"/>
      <c r="U395" s="156" t="str">
        <f t="shared" si="8"/>
        <v>#DIV/0!</v>
      </c>
      <c r="V395" s="157">
        <v>300.0</v>
      </c>
      <c r="W395" s="158"/>
    </row>
    <row r="396" ht="22.5" customHeight="1">
      <c r="A3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SUBSTITUTE(E396, """", """")"),"#REF!")</f>
        <v>#REF!</v>
      </c>
      <c r="B396" s="146"/>
      <c r="C396" s="146"/>
      <c r="D396" s="146"/>
      <c r="E396" s="44"/>
      <c r="F396" s="147"/>
      <c r="G396" s="146"/>
      <c r="H396" s="148"/>
      <c r="I396" s="3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3"/>
      <c r="T396" s="155"/>
      <c r="U396" s="156" t="str">
        <f t="shared" si="8"/>
        <v>#DIV/0!</v>
      </c>
      <c r="V396" s="157">
        <v>300.0</v>
      </c>
      <c r="W396" s="158"/>
    </row>
    <row r="397" ht="22.5" customHeight="1">
      <c r="A3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SUBSTITUTE(E397, """", """")"),"#REF!")</f>
        <v>#REF!</v>
      </c>
      <c r="B397" s="146"/>
      <c r="C397" s="146"/>
      <c r="D397" s="146"/>
      <c r="E397" s="44"/>
      <c r="F397" s="147"/>
      <c r="G397" s="146"/>
      <c r="H397" s="148"/>
      <c r="I397" s="3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3"/>
      <c r="T397" s="155"/>
      <c r="U397" s="156" t="str">
        <f t="shared" si="8"/>
        <v>#DIV/0!</v>
      </c>
      <c r="V397" s="157">
        <v>300.0</v>
      </c>
      <c r="W397" s="158"/>
    </row>
    <row r="398" ht="22.5" customHeight="1">
      <c r="A3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SUBSTITUTE(E398, """", """")"),"#REF!")</f>
        <v>#REF!</v>
      </c>
      <c r="B398" s="146"/>
      <c r="C398" s="146"/>
      <c r="D398" s="146"/>
      <c r="E398" s="44"/>
      <c r="F398" s="147"/>
      <c r="G398" s="146"/>
      <c r="H398" s="148"/>
      <c r="I398" s="3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3"/>
      <c r="T398" s="155"/>
      <c r="U398" s="156" t="str">
        <f t="shared" si="8"/>
        <v>#DIV/0!</v>
      </c>
      <c r="V398" s="157">
        <v>300.0</v>
      </c>
      <c r="W398" s="158"/>
    </row>
    <row r="399" ht="22.5" customHeight="1">
      <c r="A3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SUBSTITUTE(E399, """", """")"),"#REF!")</f>
        <v>#REF!</v>
      </c>
      <c r="B399" s="146"/>
      <c r="C399" s="146"/>
      <c r="D399" s="146"/>
      <c r="E399" s="44"/>
      <c r="F399" s="147"/>
      <c r="G399" s="146"/>
      <c r="H399" s="148"/>
      <c r="I399" s="3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3"/>
      <c r="T399" s="155"/>
      <c r="U399" s="156" t="str">
        <f t="shared" si="8"/>
        <v>#DIV/0!</v>
      </c>
      <c r="V399" s="157">
        <v>300.0</v>
      </c>
      <c r="W399" s="158"/>
    </row>
    <row r="400" ht="22.5" customHeight="1">
      <c r="A4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SUBSTITUTE(E400, """", """")"),"#REF!")</f>
        <v>#REF!</v>
      </c>
      <c r="B400" s="146"/>
      <c r="C400" s="146"/>
      <c r="D400" s="146"/>
      <c r="E400" s="44"/>
      <c r="F400" s="147"/>
      <c r="G400" s="146"/>
      <c r="H400" s="148"/>
      <c r="I400" s="3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3"/>
      <c r="T400" s="155"/>
      <c r="U400" s="156" t="str">
        <f t="shared" si="8"/>
        <v>#DIV/0!</v>
      </c>
      <c r="V400" s="157">
        <v>300.0</v>
      </c>
      <c r="W400" s="158"/>
    </row>
    <row r="401" ht="22.5" customHeight="1">
      <c r="A4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SUBSTITUTE(E401, """", """")"),"#REF!")</f>
        <v>#REF!</v>
      </c>
      <c r="B401" s="146"/>
      <c r="C401" s="146"/>
      <c r="D401" s="146"/>
      <c r="E401" s="44"/>
      <c r="F401" s="147"/>
      <c r="G401" s="146"/>
      <c r="H401" s="148"/>
      <c r="I401" s="3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3"/>
      <c r="T401" s="155"/>
      <c r="U401" s="156" t="str">
        <f t="shared" si="8"/>
        <v>#DIV/0!</v>
      </c>
      <c r="V401" s="157">
        <v>300.0</v>
      </c>
      <c r="W401" s="158"/>
    </row>
    <row r="402" ht="22.5" customHeight="1">
      <c r="A4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SUBSTITUTE(E402, """", """")"),"#REF!")</f>
        <v>#REF!</v>
      </c>
      <c r="B402" s="146"/>
      <c r="C402" s="146"/>
      <c r="D402" s="146"/>
      <c r="E402" s="44"/>
      <c r="F402" s="147"/>
      <c r="G402" s="146"/>
      <c r="H402" s="148"/>
      <c r="I402" s="3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3"/>
      <c r="T402" s="155"/>
      <c r="U402" s="156" t="str">
        <f t="shared" si="8"/>
        <v>#DIV/0!</v>
      </c>
      <c r="V402" s="157">
        <v>300.0</v>
      </c>
      <c r="W402" s="158"/>
    </row>
    <row r="403" ht="22.5" customHeight="1">
      <c r="A4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SUBSTITUTE(E403, """", """")"),"#REF!")</f>
        <v>#REF!</v>
      </c>
      <c r="B403" s="146"/>
      <c r="C403" s="146"/>
      <c r="D403" s="146"/>
      <c r="E403" s="44"/>
      <c r="F403" s="147"/>
      <c r="G403" s="146"/>
      <c r="H403" s="148"/>
      <c r="I403" s="3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3"/>
      <c r="T403" s="155"/>
      <c r="U403" s="156" t="str">
        <f t="shared" si="8"/>
        <v>#DIV/0!</v>
      </c>
      <c r="V403" s="157">
        <v>300.0</v>
      </c>
      <c r="W403" s="158"/>
    </row>
    <row r="404" ht="22.5" customHeight="1">
      <c r="A4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SUBSTITUTE(E404, """", """")"),"#REF!")</f>
        <v>#REF!</v>
      </c>
      <c r="B404" s="146"/>
      <c r="C404" s="146"/>
      <c r="D404" s="146"/>
      <c r="E404" s="44"/>
      <c r="F404" s="147"/>
      <c r="G404" s="146"/>
      <c r="H404" s="148"/>
      <c r="I404" s="3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3"/>
      <c r="T404" s="155"/>
      <c r="U404" s="156" t="str">
        <f t="shared" si="8"/>
        <v>#DIV/0!</v>
      </c>
      <c r="V404" s="157">
        <v>300.0</v>
      </c>
      <c r="W404" s="158"/>
    </row>
    <row r="405" ht="22.5" customHeight="1">
      <c r="A4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SUBSTITUTE(E405, """", """")"),"#REF!")</f>
        <v>#REF!</v>
      </c>
      <c r="B405" s="146"/>
      <c r="C405" s="146"/>
      <c r="D405" s="146"/>
      <c r="E405" s="44"/>
      <c r="F405" s="147"/>
      <c r="G405" s="146"/>
      <c r="H405" s="148"/>
      <c r="I405" s="3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3"/>
      <c r="T405" s="155"/>
      <c r="U405" s="156" t="str">
        <f t="shared" si="8"/>
        <v>#DIV/0!</v>
      </c>
      <c r="V405" s="157">
        <v>300.0</v>
      </c>
      <c r="W405" s="158"/>
    </row>
    <row r="406" ht="22.5" customHeight="1">
      <c r="A4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SUBSTITUTE(E406, """", """")"),"#REF!")</f>
        <v>#REF!</v>
      </c>
      <c r="B406" s="146"/>
      <c r="C406" s="146"/>
      <c r="D406" s="146"/>
      <c r="E406" s="44"/>
      <c r="F406" s="147"/>
      <c r="G406" s="146"/>
      <c r="H406" s="148"/>
      <c r="I406" s="3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3"/>
      <c r="T406" s="155"/>
      <c r="U406" s="156" t="str">
        <f t="shared" si="8"/>
        <v>#DIV/0!</v>
      </c>
      <c r="V406" s="157">
        <v>300.0</v>
      </c>
      <c r="W406" s="158"/>
    </row>
    <row r="407" ht="22.5" customHeight="1">
      <c r="A4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SUBSTITUTE(E407, """", """")"),"#REF!")</f>
        <v>#REF!</v>
      </c>
      <c r="B407" s="146"/>
      <c r="C407" s="146"/>
      <c r="D407" s="146"/>
      <c r="E407" s="44"/>
      <c r="F407" s="147"/>
      <c r="G407" s="146"/>
      <c r="H407" s="148"/>
      <c r="I407" s="3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3"/>
      <c r="T407" s="155"/>
      <c r="U407" s="156" t="str">
        <f t="shared" si="8"/>
        <v>#DIV/0!</v>
      </c>
      <c r="V407" s="157">
        <v>300.0</v>
      </c>
      <c r="W407" s="158"/>
    </row>
    <row r="408" ht="22.5" customHeight="1">
      <c r="A4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SUBSTITUTE(E408, """", """")"),"#REF!")</f>
        <v>#REF!</v>
      </c>
      <c r="B408" s="146"/>
      <c r="C408" s="146"/>
      <c r="D408" s="146"/>
      <c r="E408" s="44"/>
      <c r="F408" s="147"/>
      <c r="G408" s="146"/>
      <c r="H408" s="148"/>
      <c r="I408" s="3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3"/>
      <c r="T408" s="155"/>
      <c r="U408" s="156" t="str">
        <f t="shared" si="8"/>
        <v>#DIV/0!</v>
      </c>
      <c r="V408" s="157">
        <v>300.0</v>
      </c>
      <c r="W408" s="158"/>
    </row>
    <row r="409" ht="22.5" customHeight="1">
      <c r="A4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SUBSTITUTE(E409, """", """")"),"#REF!")</f>
        <v>#REF!</v>
      </c>
      <c r="B409" s="146"/>
      <c r="C409" s="146"/>
      <c r="D409" s="146"/>
      <c r="E409" s="44"/>
      <c r="F409" s="147"/>
      <c r="G409" s="146"/>
      <c r="H409" s="148"/>
      <c r="I409" s="3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3"/>
      <c r="T409" s="155"/>
      <c r="U409" s="156" t="str">
        <f t="shared" si="8"/>
        <v>#DIV/0!</v>
      </c>
      <c r="V409" s="157">
        <v>300.0</v>
      </c>
      <c r="W409" s="158"/>
    </row>
    <row r="410" ht="22.5" customHeight="1">
      <c r="A4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SUBSTITUTE(E410, """", """")"),"#REF!")</f>
        <v>#REF!</v>
      </c>
      <c r="B410" s="146"/>
      <c r="C410" s="146"/>
      <c r="D410" s="146"/>
      <c r="E410" s="44"/>
      <c r="F410" s="147"/>
      <c r="G410" s="146"/>
      <c r="H410" s="148"/>
      <c r="I410" s="3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3"/>
      <c r="T410" s="155"/>
      <c r="U410" s="156" t="str">
        <f t="shared" si="8"/>
        <v>#DIV/0!</v>
      </c>
      <c r="V410" s="157">
        <v>300.0</v>
      </c>
      <c r="W410" s="158"/>
    </row>
    <row r="411" ht="22.5" customHeight="1">
      <c r="A4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SUBSTITUTE(E411, """", """")"),"#REF!")</f>
        <v>#REF!</v>
      </c>
      <c r="B411" s="146"/>
      <c r="C411" s="146"/>
      <c r="D411" s="146"/>
      <c r="E411" s="44"/>
      <c r="F411" s="147"/>
      <c r="G411" s="146"/>
      <c r="H411" s="148"/>
      <c r="I411" s="3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3"/>
      <c r="T411" s="155"/>
      <c r="U411" s="156" t="str">
        <f t="shared" si="8"/>
        <v>#DIV/0!</v>
      </c>
      <c r="V411" s="157">
        <v>300.0</v>
      </c>
      <c r="W411" s="158"/>
    </row>
    <row r="412" ht="22.5" customHeight="1">
      <c r="A4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SUBSTITUTE(E412, """", """")"),"#REF!")</f>
        <v>#REF!</v>
      </c>
      <c r="B412" s="146"/>
      <c r="C412" s="146"/>
      <c r="D412" s="146"/>
      <c r="E412" s="44"/>
      <c r="F412" s="147"/>
      <c r="G412" s="146"/>
      <c r="H412" s="148"/>
      <c r="I412" s="3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3"/>
      <c r="T412" s="155"/>
      <c r="U412" s="156" t="str">
        <f t="shared" si="8"/>
        <v>#DIV/0!</v>
      </c>
      <c r="V412" s="157">
        <v>300.0</v>
      </c>
      <c r="W412" s="158"/>
    </row>
    <row r="413" ht="22.5" customHeight="1">
      <c r="A4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SUBSTITUTE(E413, """", """")"),"#REF!")</f>
        <v>#REF!</v>
      </c>
      <c r="B413" s="146"/>
      <c r="C413" s="146"/>
      <c r="D413" s="146"/>
      <c r="E413" s="44"/>
      <c r="F413" s="147"/>
      <c r="G413" s="146"/>
      <c r="H413" s="148"/>
      <c r="I413" s="3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3"/>
      <c r="T413" s="155"/>
      <c r="U413" s="156" t="str">
        <f t="shared" si="8"/>
        <v>#DIV/0!</v>
      </c>
      <c r="V413" s="157">
        <v>300.0</v>
      </c>
      <c r="W413" s="158"/>
    </row>
    <row r="414" ht="22.5" customHeight="1">
      <c r="A4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SUBSTITUTE(E414, """", """")"),"#REF!")</f>
        <v>#REF!</v>
      </c>
      <c r="B414" s="146"/>
      <c r="C414" s="146"/>
      <c r="D414" s="146"/>
      <c r="E414" s="44"/>
      <c r="F414" s="147"/>
      <c r="G414" s="146"/>
      <c r="H414" s="148"/>
      <c r="I414" s="3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3"/>
      <c r="T414" s="155"/>
      <c r="U414" s="156" t="str">
        <f t="shared" si="8"/>
        <v>#DIV/0!</v>
      </c>
      <c r="V414" s="157">
        <v>300.0</v>
      </c>
      <c r="W414" s="158"/>
    </row>
    <row r="415" ht="22.5" customHeight="1">
      <c r="A4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SUBSTITUTE(E415, """", """")"),"#REF!")</f>
        <v>#REF!</v>
      </c>
      <c r="B415" s="146"/>
      <c r="C415" s="146"/>
      <c r="D415" s="146"/>
      <c r="E415" s="44"/>
      <c r="F415" s="147"/>
      <c r="G415" s="146"/>
      <c r="H415" s="148"/>
      <c r="I415" s="3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3"/>
      <c r="T415" s="155"/>
      <c r="U415" s="156" t="str">
        <f t="shared" si="8"/>
        <v>#DIV/0!</v>
      </c>
      <c r="V415" s="157">
        <v>300.0</v>
      </c>
      <c r="W415" s="158"/>
    </row>
    <row r="416" ht="22.5" customHeight="1">
      <c r="A4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SUBSTITUTE(E416, """", """")"),"#REF!")</f>
        <v>#REF!</v>
      </c>
      <c r="B416" s="146"/>
      <c r="C416" s="146"/>
      <c r="D416" s="146"/>
      <c r="E416" s="44"/>
      <c r="F416" s="147"/>
      <c r="G416" s="146"/>
      <c r="H416" s="148"/>
      <c r="I416" s="3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3"/>
      <c r="T416" s="155"/>
      <c r="U416" s="156" t="str">
        <f t="shared" si="8"/>
        <v>#DIV/0!</v>
      </c>
      <c r="V416" s="157">
        <v>300.0</v>
      </c>
      <c r="W416" s="158"/>
    </row>
    <row r="417" ht="22.5" customHeight="1">
      <c r="A4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SUBSTITUTE(E417, """", """")"),"#REF!")</f>
        <v>#REF!</v>
      </c>
      <c r="B417" s="146"/>
      <c r="C417" s="146"/>
      <c r="D417" s="146"/>
      <c r="E417" s="44"/>
      <c r="F417" s="147"/>
      <c r="G417" s="146"/>
      <c r="H417" s="148"/>
      <c r="I417" s="3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3"/>
      <c r="T417" s="155"/>
      <c r="U417" s="156" t="str">
        <f t="shared" si="8"/>
        <v>#DIV/0!</v>
      </c>
      <c r="V417" s="157">
        <v>300.0</v>
      </c>
      <c r="W417" s="158"/>
    </row>
    <row r="418" ht="22.5" customHeight="1">
      <c r="A4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SUBSTITUTE(E418, """", """")"),"#REF!")</f>
        <v>#REF!</v>
      </c>
      <c r="B418" s="146"/>
      <c r="C418" s="146"/>
      <c r="D418" s="146"/>
      <c r="E418" s="44"/>
      <c r="F418" s="147"/>
      <c r="G418" s="146"/>
      <c r="H418" s="148"/>
      <c r="I418" s="3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3"/>
      <c r="T418" s="155"/>
      <c r="U418" s="156" t="str">
        <f t="shared" si="8"/>
        <v>#DIV/0!</v>
      </c>
      <c r="V418" s="157">
        <v>300.0</v>
      </c>
      <c r="W418" s="158"/>
    </row>
    <row r="419" ht="22.5" customHeight="1">
      <c r="A4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SUBSTITUTE(E419, """", """")"),"#REF!")</f>
        <v>#REF!</v>
      </c>
      <c r="B419" s="146"/>
      <c r="C419" s="146"/>
      <c r="D419" s="146"/>
      <c r="E419" s="44"/>
      <c r="F419" s="147"/>
      <c r="G419" s="146"/>
      <c r="H419" s="148"/>
      <c r="I419" s="3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3"/>
      <c r="T419" s="155"/>
      <c r="U419" s="156" t="str">
        <f t="shared" si="8"/>
        <v>#DIV/0!</v>
      </c>
      <c r="V419" s="157">
        <v>300.0</v>
      </c>
      <c r="W419" s="158"/>
    </row>
    <row r="420" ht="22.5" customHeight="1">
      <c r="A4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SUBSTITUTE(E420, """", """")"),"#REF!")</f>
        <v>#REF!</v>
      </c>
      <c r="B420" s="146"/>
      <c r="C420" s="146"/>
      <c r="D420" s="146"/>
      <c r="E420" s="44"/>
      <c r="F420" s="147"/>
      <c r="G420" s="146"/>
      <c r="H420" s="148"/>
      <c r="I420" s="3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3"/>
      <c r="T420" s="155"/>
      <c r="U420" s="156" t="str">
        <f t="shared" si="8"/>
        <v>#DIV/0!</v>
      </c>
      <c r="V420" s="157">
        <v>300.0</v>
      </c>
      <c r="W420" s="158"/>
    </row>
    <row r="421" ht="22.5" customHeight="1">
      <c r="A4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SUBSTITUTE(E421, """", """")"),"#REF!")</f>
        <v>#REF!</v>
      </c>
      <c r="B421" s="146"/>
      <c r="C421" s="146"/>
      <c r="D421" s="146"/>
      <c r="E421" s="44"/>
      <c r="F421" s="147"/>
      <c r="G421" s="146"/>
      <c r="H421" s="148"/>
      <c r="I421" s="3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3"/>
      <c r="T421" s="155"/>
      <c r="U421" s="156" t="str">
        <f t="shared" si="8"/>
        <v>#DIV/0!</v>
      </c>
      <c r="V421" s="157">
        <v>300.0</v>
      </c>
      <c r="W421" s="158"/>
    </row>
    <row r="422" ht="22.5" customHeight="1">
      <c r="A4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SUBSTITUTE(E422, """", """")"),"#REF!")</f>
        <v>#REF!</v>
      </c>
      <c r="B422" s="146"/>
      <c r="C422" s="146"/>
      <c r="D422" s="146"/>
      <c r="E422" s="44"/>
      <c r="F422" s="147"/>
      <c r="G422" s="146"/>
      <c r="H422" s="148"/>
      <c r="I422" s="3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3"/>
      <c r="T422" s="155"/>
      <c r="U422" s="156" t="str">
        <f t="shared" si="8"/>
        <v>#DIV/0!</v>
      </c>
      <c r="V422" s="157">
        <v>300.0</v>
      </c>
      <c r="W422" s="158"/>
    </row>
    <row r="423" ht="22.5" customHeight="1">
      <c r="A4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SUBSTITUTE(E423, """", """")"),"#REF!")</f>
        <v>#REF!</v>
      </c>
      <c r="B423" s="146"/>
      <c r="C423" s="146"/>
      <c r="D423" s="146"/>
      <c r="E423" s="44"/>
      <c r="F423" s="147"/>
      <c r="G423" s="146"/>
      <c r="H423" s="148"/>
      <c r="I423" s="3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3"/>
      <c r="T423" s="155"/>
      <c r="U423" s="156" t="str">
        <f t="shared" si="8"/>
        <v>#DIV/0!</v>
      </c>
      <c r="V423" s="157">
        <v>300.0</v>
      </c>
      <c r="W423" s="158"/>
    </row>
    <row r="424" ht="22.5" customHeight="1">
      <c r="A4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SUBSTITUTE(E424, """", """")"),"#REF!")</f>
        <v>#REF!</v>
      </c>
      <c r="B424" s="146"/>
      <c r="C424" s="146"/>
      <c r="D424" s="146"/>
      <c r="E424" s="44"/>
      <c r="F424" s="147"/>
      <c r="G424" s="146"/>
      <c r="H424" s="148"/>
      <c r="I424" s="3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3"/>
      <c r="T424" s="155"/>
      <c r="U424" s="156" t="str">
        <f t="shared" si="8"/>
        <v>#DIV/0!</v>
      </c>
      <c r="V424" s="157">
        <v>300.0</v>
      </c>
      <c r="W424" s="158"/>
    </row>
    <row r="425" ht="22.5" customHeight="1">
      <c r="A4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SUBSTITUTE(E425, """", """")"),"#REF!")</f>
        <v>#REF!</v>
      </c>
      <c r="B425" s="146"/>
      <c r="C425" s="146"/>
      <c r="D425" s="146"/>
      <c r="E425" s="44"/>
      <c r="F425" s="147"/>
      <c r="G425" s="146"/>
      <c r="H425" s="148"/>
      <c r="I425" s="3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3"/>
      <c r="T425" s="155"/>
      <c r="U425" s="156" t="str">
        <f t="shared" si="8"/>
        <v>#DIV/0!</v>
      </c>
      <c r="V425" s="157">
        <v>300.0</v>
      </c>
      <c r="W425" s="158"/>
    </row>
    <row r="426" ht="22.5" customHeight="1">
      <c r="A4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SUBSTITUTE(E426, """", """")"),"#REF!")</f>
        <v>#REF!</v>
      </c>
      <c r="B426" s="146"/>
      <c r="C426" s="146"/>
      <c r="D426" s="146"/>
      <c r="E426" s="44"/>
      <c r="F426" s="147"/>
      <c r="G426" s="146"/>
      <c r="H426" s="148"/>
      <c r="I426" s="3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3"/>
      <c r="T426" s="155"/>
      <c r="U426" s="156" t="str">
        <f t="shared" si="8"/>
        <v>#DIV/0!</v>
      </c>
      <c r="V426" s="157">
        <v>300.0</v>
      </c>
      <c r="W426" s="158"/>
    </row>
    <row r="427" ht="22.5" customHeight="1">
      <c r="A4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SUBSTITUTE(E427, """", """")"),"#REF!")</f>
        <v>#REF!</v>
      </c>
      <c r="B427" s="146"/>
      <c r="C427" s="146"/>
      <c r="D427" s="146"/>
      <c r="E427" s="44"/>
      <c r="F427" s="147"/>
      <c r="G427" s="146"/>
      <c r="H427" s="148"/>
      <c r="I427" s="3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3"/>
      <c r="T427" s="155"/>
      <c r="U427" s="156" t="str">
        <f t="shared" si="8"/>
        <v>#DIV/0!</v>
      </c>
      <c r="V427" s="157">
        <v>300.0</v>
      </c>
      <c r="W427" s="158"/>
    </row>
    <row r="428" ht="22.5" customHeight="1">
      <c r="A4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SUBSTITUTE(E428, """", """")"),"#REF!")</f>
        <v>#REF!</v>
      </c>
      <c r="B428" s="146"/>
      <c r="C428" s="146"/>
      <c r="D428" s="146"/>
      <c r="E428" s="44"/>
      <c r="F428" s="147"/>
      <c r="G428" s="146"/>
      <c r="H428" s="148"/>
      <c r="I428" s="3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3"/>
      <c r="T428" s="155"/>
      <c r="U428" s="156" t="str">
        <f t="shared" si="8"/>
        <v>#DIV/0!</v>
      </c>
      <c r="V428" s="157">
        <v>300.0</v>
      </c>
      <c r="W428" s="158"/>
    </row>
    <row r="429" ht="22.5" customHeight="1">
      <c r="A4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SUBSTITUTE(E429, """", """")"),"#REF!")</f>
        <v>#REF!</v>
      </c>
      <c r="B429" s="146"/>
      <c r="C429" s="146"/>
      <c r="D429" s="146"/>
      <c r="E429" s="44"/>
      <c r="F429" s="147"/>
      <c r="G429" s="146"/>
      <c r="H429" s="148"/>
      <c r="I429" s="34"/>
      <c r="J429" s="170"/>
      <c r="K429" s="170"/>
      <c r="L429" s="170"/>
      <c r="M429" s="170"/>
      <c r="N429" s="170"/>
      <c r="O429" s="170"/>
      <c r="P429" s="170"/>
      <c r="Q429" s="170"/>
      <c r="R429" s="170"/>
      <c r="S429" s="153"/>
      <c r="T429" s="171"/>
      <c r="U429" s="156" t="str">
        <f t="shared" si="8"/>
        <v>#DIV/0!</v>
      </c>
      <c r="V429" s="172">
        <v>300.0</v>
      </c>
      <c r="W429" s="173"/>
    </row>
    <row r="430" ht="22.5" customHeight="1">
      <c r="A4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SUBSTITUTE(E430, """", """")"),"#REF!")</f>
        <v>#REF!</v>
      </c>
      <c r="B430" s="146"/>
      <c r="C430" s="146"/>
      <c r="D430" s="146"/>
      <c r="E430" s="44"/>
      <c r="F430" s="147"/>
      <c r="G430" s="146"/>
      <c r="H430" s="148"/>
      <c r="I430" s="34"/>
      <c r="J430" s="170"/>
      <c r="K430" s="170"/>
      <c r="L430" s="170"/>
      <c r="M430" s="170"/>
      <c r="N430" s="170"/>
      <c r="O430" s="170"/>
      <c r="P430" s="170"/>
      <c r="Q430" s="170"/>
      <c r="R430" s="170"/>
      <c r="S430" s="153"/>
      <c r="T430" s="171"/>
      <c r="U430" s="156" t="str">
        <f t="shared" si="8"/>
        <v>#DIV/0!</v>
      </c>
      <c r="V430" s="172">
        <v>300.0</v>
      </c>
      <c r="W430" s="173"/>
    </row>
    <row r="431" ht="22.5" customHeight="1">
      <c r="A4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SUBSTITUTE(E431, """", """")"),"#REF!")</f>
        <v>#REF!</v>
      </c>
      <c r="B431" s="146"/>
      <c r="C431" s="146"/>
      <c r="D431" s="146"/>
      <c r="E431" s="44"/>
      <c r="F431" s="147"/>
      <c r="G431" s="146"/>
      <c r="H431" s="148"/>
      <c r="I431" s="34"/>
      <c r="J431" s="170"/>
      <c r="K431" s="170"/>
      <c r="L431" s="170"/>
      <c r="M431" s="170"/>
      <c r="N431" s="170"/>
      <c r="O431" s="170"/>
      <c r="P431" s="170"/>
      <c r="Q431" s="170"/>
      <c r="R431" s="170"/>
      <c r="S431" s="153"/>
      <c r="T431" s="171"/>
      <c r="U431" s="156" t="str">
        <f t="shared" si="8"/>
        <v>#DIV/0!</v>
      </c>
      <c r="V431" s="172">
        <v>300.0</v>
      </c>
      <c r="W431" s="173"/>
    </row>
    <row r="432" ht="22.5" customHeight="1">
      <c r="A4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SUBSTITUTE(E432, """", """")"),"#REF!")</f>
        <v>#REF!</v>
      </c>
      <c r="B432" s="146"/>
      <c r="C432" s="146"/>
      <c r="D432" s="146"/>
      <c r="E432" s="44"/>
      <c r="F432" s="147"/>
      <c r="G432" s="146"/>
      <c r="H432" s="148"/>
      <c r="I432" s="34"/>
      <c r="J432" s="170"/>
      <c r="K432" s="170"/>
      <c r="L432" s="170"/>
      <c r="M432" s="170"/>
      <c r="N432" s="170"/>
      <c r="O432" s="170"/>
      <c r="P432" s="170"/>
      <c r="Q432" s="170"/>
      <c r="R432" s="170"/>
      <c r="S432" s="153"/>
      <c r="T432" s="171"/>
      <c r="U432" s="156" t="str">
        <f t="shared" si="8"/>
        <v>#DIV/0!</v>
      </c>
      <c r="V432" s="172">
        <v>300.0</v>
      </c>
      <c r="W432" s="173"/>
    </row>
    <row r="433" ht="22.5" customHeight="1">
      <c r="A4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SUBSTITUTE(E433, """", """")"),"#REF!")</f>
        <v>#REF!</v>
      </c>
      <c r="B433" s="146"/>
      <c r="C433" s="146"/>
      <c r="D433" s="146"/>
      <c r="E433" s="44"/>
      <c r="F433" s="147"/>
      <c r="G433" s="146"/>
      <c r="H433" s="148"/>
      <c r="I433" s="34"/>
      <c r="J433" s="170"/>
      <c r="K433" s="170"/>
      <c r="L433" s="170"/>
      <c r="M433" s="170"/>
      <c r="N433" s="170"/>
      <c r="O433" s="170"/>
      <c r="P433" s="170"/>
      <c r="Q433" s="170"/>
      <c r="R433" s="170"/>
      <c r="S433" s="153"/>
      <c r="T433" s="171"/>
      <c r="U433" s="156" t="str">
        <f t="shared" si="8"/>
        <v>#DIV/0!</v>
      </c>
      <c r="V433" s="172">
        <v>300.0</v>
      </c>
      <c r="W433" s="173"/>
    </row>
    <row r="434" ht="22.5" customHeight="1">
      <c r="A4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SUBSTITUTE(E434, """", """")"),"#REF!")</f>
        <v>#REF!</v>
      </c>
      <c r="B434" s="146"/>
      <c r="C434" s="146"/>
      <c r="D434" s="146"/>
      <c r="E434" s="44"/>
      <c r="F434" s="147"/>
      <c r="G434" s="146"/>
      <c r="H434" s="148"/>
      <c r="I434" s="34"/>
      <c r="J434" s="170"/>
      <c r="K434" s="170"/>
      <c r="L434" s="170"/>
      <c r="M434" s="170"/>
      <c r="N434" s="170"/>
      <c r="O434" s="170"/>
      <c r="P434" s="170"/>
      <c r="Q434" s="170"/>
      <c r="R434" s="170"/>
      <c r="S434" s="153"/>
      <c r="T434" s="171"/>
      <c r="U434" s="156" t="str">
        <f t="shared" si="8"/>
        <v>#DIV/0!</v>
      </c>
      <c r="V434" s="172">
        <v>300.0</v>
      </c>
      <c r="W434" s="173"/>
    </row>
    <row r="435" ht="22.5" customHeight="1">
      <c r="A4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SUBSTITUTE(E435, """", """")"),"#REF!")</f>
        <v>#REF!</v>
      </c>
      <c r="B435" s="146"/>
      <c r="C435" s="146"/>
      <c r="D435" s="146"/>
      <c r="E435" s="44"/>
      <c r="F435" s="147"/>
      <c r="G435" s="146"/>
      <c r="H435" s="148"/>
      <c r="I435" s="34"/>
      <c r="J435" s="170"/>
      <c r="K435" s="170"/>
      <c r="L435" s="170"/>
      <c r="M435" s="170"/>
      <c r="N435" s="170"/>
      <c r="O435" s="170"/>
      <c r="P435" s="170"/>
      <c r="Q435" s="170"/>
      <c r="R435" s="170"/>
      <c r="S435" s="153"/>
      <c r="T435" s="171"/>
      <c r="U435" s="156" t="str">
        <f t="shared" si="8"/>
        <v>#DIV/0!</v>
      </c>
      <c r="V435" s="172">
        <v>300.0</v>
      </c>
      <c r="W435" s="173"/>
    </row>
    <row r="436" ht="22.5" customHeight="1">
      <c r="A4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SUBSTITUTE(E436, """", """")"),"#REF!")</f>
        <v>#REF!</v>
      </c>
      <c r="B436" s="146"/>
      <c r="C436" s="146"/>
      <c r="D436" s="146"/>
      <c r="E436" s="44"/>
      <c r="F436" s="147"/>
      <c r="G436" s="146"/>
      <c r="H436" s="148"/>
      <c r="I436" s="34"/>
      <c r="J436" s="170"/>
      <c r="K436" s="170"/>
      <c r="L436" s="170"/>
      <c r="M436" s="170"/>
      <c r="N436" s="170"/>
      <c r="O436" s="170"/>
      <c r="P436" s="170"/>
      <c r="Q436" s="170"/>
      <c r="R436" s="170"/>
      <c r="S436" s="153"/>
      <c r="T436" s="171"/>
      <c r="U436" s="156" t="str">
        <f t="shared" si="8"/>
        <v>#DIV/0!</v>
      </c>
      <c r="V436" s="172">
        <v>300.0</v>
      </c>
      <c r="W436" s="173"/>
    </row>
    <row r="437" ht="22.5" customHeight="1">
      <c r="A4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SUBSTITUTE(E437, """", """")"),"#REF!")</f>
        <v>#REF!</v>
      </c>
      <c r="B437" s="146"/>
      <c r="C437" s="146"/>
      <c r="D437" s="146"/>
      <c r="E437" s="44"/>
      <c r="F437" s="147"/>
      <c r="G437" s="146"/>
      <c r="H437" s="148"/>
      <c r="I437" s="34"/>
      <c r="J437" s="170"/>
      <c r="K437" s="170"/>
      <c r="L437" s="170"/>
      <c r="M437" s="170"/>
      <c r="N437" s="170"/>
      <c r="O437" s="170"/>
      <c r="P437" s="170"/>
      <c r="Q437" s="170"/>
      <c r="R437" s="170"/>
      <c r="S437" s="153"/>
      <c r="T437" s="171"/>
      <c r="U437" s="156" t="str">
        <f t="shared" si="8"/>
        <v>#DIV/0!</v>
      </c>
      <c r="V437" s="172">
        <v>300.0</v>
      </c>
      <c r="W437" s="173"/>
    </row>
    <row r="438" ht="22.5" customHeight="1">
      <c r="A4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SUBSTITUTE(E438, """", """")"),"#REF!")</f>
        <v>#REF!</v>
      </c>
      <c r="B438" s="146"/>
      <c r="C438" s="146"/>
      <c r="D438" s="146"/>
      <c r="E438" s="44"/>
      <c r="F438" s="147"/>
      <c r="G438" s="146"/>
      <c r="H438" s="148"/>
      <c r="I438" s="34"/>
      <c r="J438" s="170"/>
      <c r="K438" s="170"/>
      <c r="L438" s="170"/>
      <c r="M438" s="170"/>
      <c r="N438" s="170"/>
      <c r="O438" s="170"/>
      <c r="P438" s="170"/>
      <c r="Q438" s="170"/>
      <c r="R438" s="170"/>
      <c r="S438" s="153"/>
      <c r="T438" s="171"/>
      <c r="U438" s="156" t="str">
        <f t="shared" si="8"/>
        <v>#DIV/0!</v>
      </c>
      <c r="V438" s="172">
        <v>300.0</v>
      </c>
      <c r="W438" s="173"/>
    </row>
    <row r="439" ht="22.5" customHeight="1">
      <c r="A4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SUBSTITUTE(E439, """", """")"),"#REF!")</f>
        <v>#REF!</v>
      </c>
      <c r="B439" s="146"/>
      <c r="C439" s="146"/>
      <c r="D439" s="146"/>
      <c r="E439" s="44"/>
      <c r="F439" s="147"/>
      <c r="G439" s="146"/>
      <c r="H439" s="148"/>
      <c r="I439" s="34"/>
      <c r="J439" s="170"/>
      <c r="K439" s="170"/>
      <c r="L439" s="170"/>
      <c r="M439" s="170"/>
      <c r="N439" s="170"/>
      <c r="O439" s="170"/>
      <c r="P439" s="170"/>
      <c r="Q439" s="170"/>
      <c r="R439" s="170"/>
      <c r="S439" s="153"/>
      <c r="T439" s="171"/>
      <c r="U439" s="156" t="str">
        <f t="shared" si="8"/>
        <v>#DIV/0!</v>
      </c>
      <c r="V439" s="172">
        <v>300.0</v>
      </c>
      <c r="W439" s="173"/>
    </row>
    <row r="440" ht="22.5" customHeight="1">
      <c r="A4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SUBSTITUTE(E440, """", """")"),"#REF!")</f>
        <v>#REF!</v>
      </c>
      <c r="B440" s="146"/>
      <c r="C440" s="146"/>
      <c r="D440" s="146"/>
      <c r="E440" s="44"/>
      <c r="F440" s="147"/>
      <c r="G440" s="146"/>
      <c r="H440" s="148"/>
      <c r="I440" s="34"/>
      <c r="J440" s="170"/>
      <c r="K440" s="170"/>
      <c r="L440" s="170"/>
      <c r="M440" s="170"/>
      <c r="N440" s="170"/>
      <c r="O440" s="170"/>
      <c r="P440" s="170"/>
      <c r="Q440" s="170"/>
      <c r="R440" s="170"/>
      <c r="S440" s="153"/>
      <c r="T440" s="171"/>
      <c r="U440" s="156" t="str">
        <f t="shared" si="8"/>
        <v>#DIV/0!</v>
      </c>
      <c r="V440" s="172">
        <v>300.0</v>
      </c>
      <c r="W440" s="173"/>
    </row>
    <row r="441" ht="22.5" customHeight="1">
      <c r="A4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SUBSTITUTE(E441, """", """")"),"#REF!")</f>
        <v>#REF!</v>
      </c>
      <c r="B441" s="146"/>
      <c r="C441" s="146"/>
      <c r="D441" s="146"/>
      <c r="E441" s="44"/>
      <c r="F441" s="147"/>
      <c r="G441" s="146"/>
      <c r="H441" s="148"/>
      <c r="I441" s="34"/>
      <c r="J441" s="170"/>
      <c r="K441" s="170"/>
      <c r="L441" s="170"/>
      <c r="M441" s="170"/>
      <c r="N441" s="170"/>
      <c r="O441" s="170"/>
      <c r="P441" s="170"/>
      <c r="Q441" s="170"/>
      <c r="R441" s="170"/>
      <c r="S441" s="153"/>
      <c r="T441" s="171"/>
      <c r="U441" s="156" t="str">
        <f t="shared" si="8"/>
        <v>#DIV/0!</v>
      </c>
      <c r="V441" s="172">
        <v>300.0</v>
      </c>
      <c r="W441" s="173"/>
    </row>
    <row r="442" ht="22.5" customHeight="1">
      <c r="A4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SUBSTITUTE(E442, """", """")"),"#REF!")</f>
        <v>#REF!</v>
      </c>
      <c r="B442" s="146"/>
      <c r="C442" s="146"/>
      <c r="D442" s="146"/>
      <c r="E442" s="44"/>
      <c r="F442" s="147"/>
      <c r="G442" s="146"/>
      <c r="H442" s="148"/>
      <c r="I442" s="34"/>
      <c r="J442" s="170"/>
      <c r="K442" s="170"/>
      <c r="L442" s="170"/>
      <c r="M442" s="170"/>
      <c r="N442" s="170"/>
      <c r="O442" s="170"/>
      <c r="P442" s="170"/>
      <c r="Q442" s="170"/>
      <c r="R442" s="170"/>
      <c r="S442" s="153"/>
      <c r="T442" s="171"/>
      <c r="U442" s="156" t="str">
        <f t="shared" si="8"/>
        <v>#DIV/0!</v>
      </c>
      <c r="V442" s="172">
        <v>300.0</v>
      </c>
      <c r="W442" s="173"/>
    </row>
    <row r="443" ht="22.5" customHeight="1">
      <c r="A4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SUBSTITUTE(E443, """", """")"),"#REF!")</f>
        <v>#REF!</v>
      </c>
      <c r="B443" s="146"/>
      <c r="C443" s="146"/>
      <c r="D443" s="146"/>
      <c r="E443" s="44"/>
      <c r="F443" s="147"/>
      <c r="G443" s="146"/>
      <c r="H443" s="148"/>
      <c r="I443" s="34"/>
      <c r="J443" s="170"/>
      <c r="K443" s="170"/>
      <c r="L443" s="170"/>
      <c r="M443" s="170"/>
      <c r="N443" s="170"/>
      <c r="O443" s="170"/>
      <c r="P443" s="170"/>
      <c r="Q443" s="170"/>
      <c r="R443" s="170"/>
      <c r="S443" s="153"/>
      <c r="T443" s="171"/>
      <c r="U443" s="156" t="str">
        <f t="shared" si="8"/>
        <v>#DIV/0!</v>
      </c>
      <c r="V443" s="172">
        <v>300.0</v>
      </c>
      <c r="W443" s="173"/>
    </row>
    <row r="444" ht="22.5" customHeight="1">
      <c r="A4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SUBSTITUTE(E444, """", """")"),"#REF!")</f>
        <v>#REF!</v>
      </c>
      <c r="B444" s="146"/>
      <c r="C444" s="146"/>
      <c r="D444" s="146"/>
      <c r="E444" s="44"/>
      <c r="F444" s="147"/>
      <c r="G444" s="146"/>
      <c r="H444" s="148"/>
      <c r="I444" s="34"/>
      <c r="J444" s="170"/>
      <c r="K444" s="170"/>
      <c r="L444" s="170"/>
      <c r="M444" s="170"/>
      <c r="N444" s="170"/>
      <c r="O444" s="170"/>
      <c r="P444" s="170"/>
      <c r="Q444" s="170"/>
      <c r="R444" s="170"/>
      <c r="S444" s="153"/>
      <c r="T444" s="171"/>
      <c r="U444" s="156" t="str">
        <f t="shared" si="8"/>
        <v>#DIV/0!</v>
      </c>
      <c r="V444" s="172">
        <v>300.0</v>
      </c>
      <c r="W444" s="173"/>
    </row>
    <row r="445" ht="22.5" customHeight="1">
      <c r="A4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SUBSTITUTE(E445, """", """")"),"#REF!")</f>
        <v>#REF!</v>
      </c>
      <c r="B445" s="146"/>
      <c r="C445" s="146"/>
      <c r="D445" s="146"/>
      <c r="E445" s="44"/>
      <c r="F445" s="147"/>
      <c r="G445" s="146"/>
      <c r="H445" s="148"/>
      <c r="I445" s="34"/>
      <c r="J445" s="170"/>
      <c r="K445" s="170"/>
      <c r="L445" s="170"/>
      <c r="M445" s="170"/>
      <c r="N445" s="170"/>
      <c r="O445" s="170"/>
      <c r="P445" s="170"/>
      <c r="Q445" s="170"/>
      <c r="R445" s="170"/>
      <c r="S445" s="153"/>
      <c r="T445" s="171"/>
      <c r="U445" s="156" t="str">
        <f t="shared" si="8"/>
        <v>#DIV/0!</v>
      </c>
      <c r="V445" s="172">
        <v>300.0</v>
      </c>
      <c r="W445" s="173"/>
    </row>
    <row r="446" ht="22.5" customHeight="1">
      <c r="A4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SUBSTITUTE(E446, """", """")"),"#REF!")</f>
        <v>#REF!</v>
      </c>
      <c r="B446" s="146"/>
      <c r="C446" s="146"/>
      <c r="D446" s="146"/>
      <c r="E446" s="44"/>
      <c r="F446" s="147"/>
      <c r="G446" s="146"/>
      <c r="H446" s="148"/>
      <c r="I446" s="34"/>
      <c r="J446" s="170"/>
      <c r="K446" s="170"/>
      <c r="L446" s="170"/>
      <c r="M446" s="170"/>
      <c r="N446" s="170"/>
      <c r="O446" s="170"/>
      <c r="P446" s="170"/>
      <c r="Q446" s="170"/>
      <c r="R446" s="170"/>
      <c r="S446" s="153"/>
      <c r="T446" s="171"/>
      <c r="U446" s="156" t="str">
        <f t="shared" si="8"/>
        <v>#DIV/0!</v>
      </c>
      <c r="V446" s="172">
        <v>300.0</v>
      </c>
      <c r="W446" s="173"/>
    </row>
    <row r="447" ht="22.5" customHeight="1">
      <c r="A44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SUBSTITUTE(E447, """", """")"),"#REF!")</f>
        <v>#REF!</v>
      </c>
      <c r="B447" s="146"/>
      <c r="C447" s="146"/>
      <c r="D447" s="146"/>
      <c r="E447" s="44"/>
      <c r="F447" s="147"/>
      <c r="G447" s="146"/>
      <c r="H447" s="148"/>
      <c r="I447" s="34"/>
      <c r="J447" s="170"/>
      <c r="K447" s="170"/>
      <c r="L447" s="170"/>
      <c r="M447" s="170"/>
      <c r="N447" s="170"/>
      <c r="O447" s="170"/>
      <c r="P447" s="170"/>
      <c r="Q447" s="170"/>
      <c r="R447" s="170"/>
      <c r="S447" s="153"/>
      <c r="T447" s="171"/>
      <c r="U447" s="156" t="str">
        <f t="shared" si="8"/>
        <v>#DIV/0!</v>
      </c>
      <c r="V447" s="172">
        <v>300.0</v>
      </c>
      <c r="W447" s="173"/>
    </row>
    <row r="448" ht="22.5" customHeight="1">
      <c r="A44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SUBSTITUTE(E448, """", """")"),"#REF!")</f>
        <v>#REF!</v>
      </c>
      <c r="B448" s="146"/>
      <c r="C448" s="146"/>
      <c r="D448" s="146"/>
      <c r="E448" s="44"/>
      <c r="F448" s="147"/>
      <c r="G448" s="146"/>
      <c r="H448" s="148"/>
      <c r="I448" s="34"/>
      <c r="J448" s="170"/>
      <c r="K448" s="170"/>
      <c r="L448" s="170"/>
      <c r="M448" s="170"/>
      <c r="N448" s="170"/>
      <c r="O448" s="170"/>
      <c r="P448" s="170"/>
      <c r="Q448" s="170"/>
      <c r="R448" s="170"/>
      <c r="S448" s="153"/>
      <c r="T448" s="171"/>
      <c r="U448" s="156" t="str">
        <f t="shared" si="8"/>
        <v>#DIV/0!</v>
      </c>
      <c r="V448" s="172">
        <v>300.0</v>
      </c>
      <c r="W448" s="173"/>
    </row>
    <row r="449" ht="22.5" customHeight="1">
      <c r="A44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SUBSTITUTE(E449, """", """")"),"#REF!")</f>
        <v>#REF!</v>
      </c>
      <c r="B449" s="146"/>
      <c r="C449" s="146"/>
      <c r="D449" s="146"/>
      <c r="E449" s="44"/>
      <c r="F449" s="147"/>
      <c r="G449" s="146"/>
      <c r="H449" s="148"/>
      <c r="I449" s="34"/>
      <c r="J449" s="170"/>
      <c r="K449" s="170"/>
      <c r="L449" s="170"/>
      <c r="M449" s="170"/>
      <c r="N449" s="170"/>
      <c r="O449" s="170"/>
      <c r="P449" s="170"/>
      <c r="Q449" s="170"/>
      <c r="R449" s="170"/>
      <c r="S449" s="153"/>
      <c r="T449" s="171"/>
      <c r="U449" s="156" t="str">
        <f t="shared" si="8"/>
        <v>#DIV/0!</v>
      </c>
      <c r="V449" s="172">
        <v>300.0</v>
      </c>
      <c r="W449" s="173"/>
    </row>
    <row r="450" ht="22.5" customHeight="1">
      <c r="A45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SUBSTITUTE(E450, """", """")"),"#REF!")</f>
        <v>#REF!</v>
      </c>
      <c r="B450" s="146"/>
      <c r="C450" s="146"/>
      <c r="D450" s="146"/>
      <c r="E450" s="44"/>
      <c r="F450" s="147"/>
      <c r="G450" s="146"/>
      <c r="H450" s="148"/>
      <c r="I450" s="34"/>
      <c r="J450" s="170"/>
      <c r="K450" s="170"/>
      <c r="L450" s="170"/>
      <c r="M450" s="170"/>
      <c r="N450" s="170"/>
      <c r="O450" s="170"/>
      <c r="P450" s="170"/>
      <c r="Q450" s="170"/>
      <c r="R450" s="170"/>
      <c r="S450" s="153"/>
      <c r="T450" s="171"/>
      <c r="U450" s="156" t="str">
        <f t="shared" si="8"/>
        <v>#DIV/0!</v>
      </c>
      <c r="V450" s="172">
        <v>300.0</v>
      </c>
      <c r="W450" s="173"/>
    </row>
    <row r="451" ht="22.5" customHeight="1">
      <c r="A45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SUBSTITUTE(E451, """", """")"),"#REF!")</f>
        <v>#REF!</v>
      </c>
      <c r="B451" s="146"/>
      <c r="C451" s="146"/>
      <c r="D451" s="146"/>
      <c r="E451" s="44"/>
      <c r="F451" s="147"/>
      <c r="G451" s="146"/>
      <c r="H451" s="148"/>
      <c r="I451" s="34"/>
      <c r="J451" s="170"/>
      <c r="K451" s="170"/>
      <c r="L451" s="170"/>
      <c r="M451" s="170"/>
      <c r="N451" s="170"/>
      <c r="O451" s="170"/>
      <c r="P451" s="170"/>
      <c r="Q451" s="170"/>
      <c r="R451" s="170"/>
      <c r="S451" s="153"/>
      <c r="T451" s="171"/>
      <c r="U451" s="156" t="str">
        <f t="shared" si="8"/>
        <v>#DIV/0!</v>
      </c>
      <c r="V451" s="172">
        <v>300.0</v>
      </c>
      <c r="W451" s="173"/>
    </row>
    <row r="452" ht="22.5" customHeight="1">
      <c r="A45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SUBSTITUTE(E452, """", """")"),"#REF!")</f>
        <v>#REF!</v>
      </c>
      <c r="B452" s="146"/>
      <c r="C452" s="146"/>
      <c r="D452" s="146"/>
      <c r="E452" s="44"/>
      <c r="F452" s="147"/>
      <c r="G452" s="146"/>
      <c r="H452" s="148"/>
      <c r="I452" s="34"/>
      <c r="J452" s="170"/>
      <c r="K452" s="170"/>
      <c r="L452" s="170"/>
      <c r="M452" s="170"/>
      <c r="N452" s="170"/>
      <c r="O452" s="170"/>
      <c r="P452" s="170"/>
      <c r="Q452" s="170"/>
      <c r="R452" s="170"/>
      <c r="S452" s="153"/>
      <c r="T452" s="171"/>
      <c r="U452" s="156" t="str">
        <f t="shared" si="8"/>
        <v>#DIV/0!</v>
      </c>
      <c r="V452" s="172">
        <v>300.0</v>
      </c>
      <c r="W452" s="173"/>
    </row>
    <row r="453" ht="22.5" customHeight="1">
      <c r="A45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SUBSTITUTE(E453, """", """")"),"#REF!")</f>
        <v>#REF!</v>
      </c>
      <c r="B453" s="146"/>
      <c r="C453" s="146"/>
      <c r="D453" s="146"/>
      <c r="E453" s="44"/>
      <c r="F453" s="147"/>
      <c r="G453" s="146"/>
      <c r="H453" s="148"/>
      <c r="I453" s="34"/>
      <c r="J453" s="170"/>
      <c r="K453" s="170"/>
      <c r="L453" s="170"/>
      <c r="M453" s="170"/>
      <c r="N453" s="170"/>
      <c r="O453" s="170"/>
      <c r="P453" s="170"/>
      <c r="Q453" s="170"/>
      <c r="R453" s="170"/>
      <c r="S453" s="153"/>
      <c r="T453" s="171"/>
      <c r="U453" s="156" t="str">
        <f t="shared" si="8"/>
        <v>#DIV/0!</v>
      </c>
      <c r="V453" s="172">
        <v>300.0</v>
      </c>
      <c r="W453" s="173"/>
    </row>
    <row r="454" ht="22.5" customHeight="1">
      <c r="A45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SUBSTITUTE(E454, """", """")"),"#REF!")</f>
        <v>#REF!</v>
      </c>
      <c r="B454" s="146"/>
      <c r="C454" s="146"/>
      <c r="D454" s="146"/>
      <c r="E454" s="44"/>
      <c r="F454" s="147"/>
      <c r="G454" s="146"/>
      <c r="H454" s="148"/>
      <c r="I454" s="34"/>
      <c r="J454" s="170"/>
      <c r="K454" s="170"/>
      <c r="L454" s="170"/>
      <c r="M454" s="170"/>
      <c r="N454" s="170"/>
      <c r="O454" s="170"/>
      <c r="P454" s="170"/>
      <c r="Q454" s="170"/>
      <c r="R454" s="170"/>
      <c r="S454" s="153"/>
      <c r="T454" s="171"/>
      <c r="U454" s="156" t="str">
        <f t="shared" si="8"/>
        <v>#DIV/0!</v>
      </c>
      <c r="V454" s="172">
        <v>300.0</v>
      </c>
      <c r="W454" s="173"/>
    </row>
    <row r="455" ht="22.5" customHeight="1">
      <c r="A45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SUBSTITUTE(E455, """", """")"),"#REF!")</f>
        <v>#REF!</v>
      </c>
      <c r="B455" s="146"/>
      <c r="C455" s="146"/>
      <c r="D455" s="146"/>
      <c r="E455" s="44"/>
      <c r="F455" s="147"/>
      <c r="G455" s="146"/>
      <c r="H455" s="148"/>
      <c r="I455" s="34"/>
      <c r="J455" s="170"/>
      <c r="K455" s="170"/>
      <c r="L455" s="170"/>
      <c r="M455" s="170"/>
      <c r="N455" s="170"/>
      <c r="O455" s="170"/>
      <c r="P455" s="170"/>
      <c r="Q455" s="170"/>
      <c r="R455" s="170"/>
      <c r="S455" s="153"/>
      <c r="T455" s="171"/>
      <c r="U455" s="156" t="str">
        <f t="shared" si="8"/>
        <v>#DIV/0!</v>
      </c>
      <c r="V455" s="172">
        <v>300.0</v>
      </c>
      <c r="W455" s="173"/>
    </row>
    <row r="456" ht="22.5" customHeight="1">
      <c r="A45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SUBSTITUTE(E456, """", """")"),"#REF!")</f>
        <v>#REF!</v>
      </c>
      <c r="B456" s="146"/>
      <c r="C456" s="146"/>
      <c r="D456" s="146"/>
      <c r="E456" s="44"/>
      <c r="F456" s="147"/>
      <c r="G456" s="146"/>
      <c r="H456" s="148"/>
      <c r="I456" s="34"/>
      <c r="J456" s="170"/>
      <c r="K456" s="170"/>
      <c r="L456" s="170"/>
      <c r="M456" s="170"/>
      <c r="N456" s="170"/>
      <c r="O456" s="170"/>
      <c r="P456" s="170"/>
      <c r="Q456" s="170"/>
      <c r="R456" s="170"/>
      <c r="S456" s="153"/>
      <c r="T456" s="171"/>
      <c r="U456" s="156" t="str">
        <f t="shared" si="8"/>
        <v>#DIV/0!</v>
      </c>
      <c r="V456" s="172">
        <v>300.0</v>
      </c>
      <c r="W456" s="173"/>
    </row>
    <row r="457" ht="22.5" customHeight="1">
      <c r="A45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SUBSTITUTE(E457, """", """")"),"#REF!")</f>
        <v>#REF!</v>
      </c>
      <c r="B457" s="146"/>
      <c r="C457" s="146"/>
      <c r="D457" s="146"/>
      <c r="E457" s="44"/>
      <c r="F457" s="147"/>
      <c r="G457" s="146"/>
      <c r="H457" s="148"/>
      <c r="I457" s="34"/>
      <c r="J457" s="170"/>
      <c r="K457" s="170"/>
      <c r="L457" s="170"/>
      <c r="M457" s="170"/>
      <c r="N457" s="170"/>
      <c r="O457" s="170"/>
      <c r="P457" s="170"/>
      <c r="Q457" s="170"/>
      <c r="R457" s="170"/>
      <c r="S457" s="153"/>
      <c r="T457" s="171"/>
      <c r="U457" s="156" t="str">
        <f t="shared" si="8"/>
        <v>#DIV/0!</v>
      </c>
      <c r="V457" s="172">
        <v>300.0</v>
      </c>
      <c r="W457" s="173"/>
    </row>
    <row r="458" ht="22.5" customHeight="1">
      <c r="A45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SUBSTITUTE(E458, """", """")"),"#REF!")</f>
        <v>#REF!</v>
      </c>
      <c r="B458" s="146"/>
      <c r="C458" s="146"/>
      <c r="D458" s="146"/>
      <c r="E458" s="44"/>
      <c r="F458" s="147"/>
      <c r="G458" s="146"/>
      <c r="H458" s="148"/>
      <c r="I458" s="34"/>
      <c r="J458" s="170"/>
      <c r="K458" s="170"/>
      <c r="L458" s="170"/>
      <c r="M458" s="170"/>
      <c r="N458" s="170"/>
      <c r="O458" s="170"/>
      <c r="P458" s="170"/>
      <c r="Q458" s="170"/>
      <c r="R458" s="170"/>
      <c r="S458" s="153"/>
      <c r="T458" s="171"/>
      <c r="U458" s="156" t="str">
        <f t="shared" si="8"/>
        <v>#DIV/0!</v>
      </c>
      <c r="V458" s="172">
        <v>300.0</v>
      </c>
      <c r="W458" s="173"/>
    </row>
    <row r="459" ht="22.5" customHeight="1">
      <c r="A45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SUBSTITUTE(E459, """", """")"),"#REF!")</f>
        <v>#REF!</v>
      </c>
      <c r="B459" s="146"/>
      <c r="C459" s="146"/>
      <c r="D459" s="146"/>
      <c r="E459" s="44"/>
      <c r="F459" s="147"/>
      <c r="G459" s="146"/>
      <c r="H459" s="148"/>
      <c r="I459" s="34"/>
      <c r="J459" s="170"/>
      <c r="K459" s="170"/>
      <c r="L459" s="170"/>
      <c r="M459" s="170"/>
      <c r="N459" s="170"/>
      <c r="O459" s="170"/>
      <c r="P459" s="170"/>
      <c r="Q459" s="170"/>
      <c r="R459" s="170"/>
      <c r="S459" s="153"/>
      <c r="T459" s="171"/>
      <c r="U459" s="156" t="str">
        <f t="shared" si="8"/>
        <v>#DIV/0!</v>
      </c>
      <c r="V459" s="172">
        <v>300.0</v>
      </c>
      <c r="W459" s="173"/>
    </row>
    <row r="460" ht="22.5" customHeight="1">
      <c r="A46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SUBSTITUTE(E460, """", """")"),"#REF!")</f>
        <v>#REF!</v>
      </c>
      <c r="B460" s="146"/>
      <c r="C460" s="146"/>
      <c r="D460" s="146"/>
      <c r="E460" s="44"/>
      <c r="F460" s="147"/>
      <c r="G460" s="146"/>
      <c r="H460" s="148"/>
      <c r="I460" s="34"/>
      <c r="J460" s="170"/>
      <c r="K460" s="170"/>
      <c r="L460" s="170"/>
      <c r="M460" s="170"/>
      <c r="N460" s="170"/>
      <c r="O460" s="170"/>
      <c r="P460" s="170"/>
      <c r="Q460" s="170"/>
      <c r="R460" s="170"/>
      <c r="S460" s="153"/>
      <c r="T460" s="171"/>
      <c r="U460" s="156" t="str">
        <f t="shared" si="8"/>
        <v>#DIV/0!</v>
      </c>
      <c r="V460" s="172">
        <v>300.0</v>
      </c>
      <c r="W460" s="173"/>
    </row>
    <row r="461" ht="22.5" customHeight="1">
      <c r="A46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SUBSTITUTE(E461, """", """")"),"#REF!")</f>
        <v>#REF!</v>
      </c>
      <c r="B461" s="146"/>
      <c r="C461" s="146"/>
      <c r="D461" s="146"/>
      <c r="E461" s="44"/>
      <c r="F461" s="147"/>
      <c r="G461" s="146"/>
      <c r="H461" s="148"/>
      <c r="I461" s="34"/>
      <c r="J461" s="170"/>
      <c r="K461" s="170"/>
      <c r="L461" s="170"/>
      <c r="M461" s="170"/>
      <c r="N461" s="170"/>
      <c r="O461" s="170"/>
      <c r="P461" s="170"/>
      <c r="Q461" s="170"/>
      <c r="R461" s="170"/>
      <c r="S461" s="153"/>
      <c r="T461" s="171"/>
      <c r="U461" s="156" t="str">
        <f t="shared" si="8"/>
        <v>#DIV/0!</v>
      </c>
      <c r="V461" s="172">
        <v>300.0</v>
      </c>
      <c r="W461" s="173"/>
    </row>
    <row r="462" ht="22.5" customHeight="1">
      <c r="A46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SUBSTITUTE(E462, """", """")"),"#REF!")</f>
        <v>#REF!</v>
      </c>
      <c r="B462" s="146"/>
      <c r="C462" s="146"/>
      <c r="D462" s="146"/>
      <c r="E462" s="44"/>
      <c r="F462" s="147"/>
      <c r="G462" s="146"/>
      <c r="H462" s="148"/>
      <c r="I462" s="34"/>
      <c r="J462" s="170"/>
      <c r="K462" s="170"/>
      <c r="L462" s="170"/>
      <c r="M462" s="170"/>
      <c r="N462" s="170"/>
      <c r="O462" s="170"/>
      <c r="P462" s="170"/>
      <c r="Q462" s="170"/>
      <c r="R462" s="170"/>
      <c r="S462" s="153"/>
      <c r="T462" s="171"/>
      <c r="U462" s="156" t="str">
        <f t="shared" si="8"/>
        <v>#DIV/0!</v>
      </c>
      <c r="V462" s="172">
        <v>300.0</v>
      </c>
      <c r="W462" s="173"/>
    </row>
    <row r="463" ht="22.5" customHeight="1">
      <c r="A46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SUBSTITUTE(E463, """", """")"),"#REF!")</f>
        <v>#REF!</v>
      </c>
      <c r="B463" s="146"/>
      <c r="C463" s="146"/>
      <c r="D463" s="146"/>
      <c r="E463" s="44"/>
      <c r="F463" s="147"/>
      <c r="G463" s="146"/>
      <c r="H463" s="148"/>
      <c r="I463" s="34"/>
      <c r="J463" s="170"/>
      <c r="K463" s="170"/>
      <c r="L463" s="170"/>
      <c r="M463" s="170"/>
      <c r="N463" s="170"/>
      <c r="O463" s="170"/>
      <c r="P463" s="170"/>
      <c r="Q463" s="170"/>
      <c r="R463" s="170"/>
      <c r="S463" s="153"/>
      <c r="T463" s="171"/>
      <c r="U463" s="156" t="str">
        <f t="shared" si="8"/>
        <v>#DIV/0!</v>
      </c>
      <c r="V463" s="172">
        <v>300.0</v>
      </c>
      <c r="W463" s="173"/>
    </row>
    <row r="464" ht="22.5" customHeight="1">
      <c r="A46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SUBSTITUTE(E464, """", """")"),"#REF!")</f>
        <v>#REF!</v>
      </c>
      <c r="B464" s="146"/>
      <c r="C464" s="146"/>
      <c r="D464" s="146"/>
      <c r="E464" s="44"/>
      <c r="F464" s="147"/>
      <c r="G464" s="146"/>
      <c r="H464" s="148"/>
      <c r="I464" s="34"/>
      <c r="J464" s="170"/>
      <c r="K464" s="170"/>
      <c r="L464" s="170"/>
      <c r="M464" s="170"/>
      <c r="N464" s="170"/>
      <c r="O464" s="170"/>
      <c r="P464" s="170"/>
      <c r="Q464" s="170"/>
      <c r="R464" s="170"/>
      <c r="S464" s="153"/>
      <c r="T464" s="171"/>
      <c r="U464" s="156" t="str">
        <f t="shared" si="8"/>
        <v>#DIV/0!</v>
      </c>
      <c r="V464" s="172">
        <v>300.0</v>
      </c>
      <c r="W464" s="173"/>
    </row>
    <row r="465" ht="22.5" customHeight="1">
      <c r="A46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SUBSTITUTE(E465, """", """")"),"#REF!")</f>
        <v>#REF!</v>
      </c>
      <c r="B465" s="146"/>
      <c r="C465" s="146"/>
      <c r="D465" s="146"/>
      <c r="E465" s="44"/>
      <c r="F465" s="147"/>
      <c r="G465" s="146"/>
      <c r="H465" s="148"/>
      <c r="I465" s="34"/>
      <c r="J465" s="170"/>
      <c r="K465" s="170"/>
      <c r="L465" s="170"/>
      <c r="M465" s="170"/>
      <c r="N465" s="170"/>
      <c r="O465" s="170"/>
      <c r="P465" s="170"/>
      <c r="Q465" s="170"/>
      <c r="R465" s="170"/>
      <c r="S465" s="153"/>
      <c r="T465" s="171"/>
      <c r="U465" s="156" t="str">
        <f t="shared" si="8"/>
        <v>#DIV/0!</v>
      </c>
      <c r="V465" s="172">
        <v>300.0</v>
      </c>
      <c r="W465" s="173"/>
    </row>
    <row r="466" ht="22.5" customHeight="1">
      <c r="A4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SUBSTITUTE(E466, """", """")"),"#REF!")</f>
        <v>#REF!</v>
      </c>
      <c r="B466" s="146"/>
      <c r="C466" s="146"/>
      <c r="D466" s="146"/>
      <c r="E466" s="44"/>
      <c r="F466" s="147"/>
      <c r="G466" s="146"/>
      <c r="H466" s="148"/>
      <c r="I466" s="34"/>
      <c r="J466" s="170"/>
      <c r="K466" s="170"/>
      <c r="L466" s="170"/>
      <c r="M466" s="170"/>
      <c r="N466" s="170"/>
      <c r="O466" s="170"/>
      <c r="P466" s="170"/>
      <c r="Q466" s="170"/>
      <c r="R466" s="170"/>
      <c r="S466" s="153"/>
      <c r="T466" s="171"/>
      <c r="U466" s="156" t="str">
        <f t="shared" si="8"/>
        <v>#DIV/0!</v>
      </c>
      <c r="V466" s="172">
        <v>300.0</v>
      </c>
      <c r="W466" s="173"/>
    </row>
    <row r="467" ht="22.5" customHeight="1">
      <c r="A4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SUBSTITUTE(E467, """", """")"),"#REF!")</f>
        <v>#REF!</v>
      </c>
      <c r="B467" s="146"/>
      <c r="C467" s="146"/>
      <c r="D467" s="146"/>
      <c r="E467" s="44"/>
      <c r="F467" s="147"/>
      <c r="G467" s="146"/>
      <c r="H467" s="148"/>
      <c r="I467" s="34"/>
      <c r="J467" s="170"/>
      <c r="K467" s="170"/>
      <c r="L467" s="170"/>
      <c r="M467" s="170"/>
      <c r="N467" s="170"/>
      <c r="O467" s="170"/>
      <c r="P467" s="170"/>
      <c r="Q467" s="170"/>
      <c r="R467" s="170"/>
      <c r="S467" s="153"/>
      <c r="T467" s="171"/>
      <c r="U467" s="156" t="str">
        <f t="shared" si="8"/>
        <v>#DIV/0!</v>
      </c>
      <c r="V467" s="172">
        <v>300.0</v>
      </c>
      <c r="W467" s="173"/>
    </row>
    <row r="468" ht="22.5" customHeight="1">
      <c r="A46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SUBSTITUTE(E468, """", """")"),"#REF!")</f>
        <v>#REF!</v>
      </c>
      <c r="B468" s="146"/>
      <c r="C468" s="146"/>
      <c r="D468" s="146"/>
      <c r="E468" s="44"/>
      <c r="F468" s="147"/>
      <c r="G468" s="146"/>
      <c r="H468" s="148"/>
      <c r="I468" s="34"/>
      <c r="J468" s="170"/>
      <c r="K468" s="170"/>
      <c r="L468" s="170"/>
      <c r="M468" s="170"/>
      <c r="N468" s="170"/>
      <c r="O468" s="170"/>
      <c r="P468" s="170"/>
      <c r="Q468" s="170"/>
      <c r="R468" s="170"/>
      <c r="S468" s="153"/>
      <c r="T468" s="171"/>
      <c r="U468" s="156" t="str">
        <f t="shared" si="8"/>
        <v>#DIV/0!</v>
      </c>
      <c r="V468" s="172">
        <v>300.0</v>
      </c>
      <c r="W468" s="173"/>
    </row>
    <row r="469" ht="22.5" customHeight="1">
      <c r="A46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SUBSTITUTE(E469, """", """")"),"#REF!")</f>
        <v>#REF!</v>
      </c>
      <c r="B469" s="146"/>
      <c r="C469" s="146"/>
      <c r="D469" s="146"/>
      <c r="E469" s="44"/>
      <c r="F469" s="147"/>
      <c r="G469" s="146"/>
      <c r="H469" s="148"/>
      <c r="I469" s="34"/>
      <c r="J469" s="170"/>
      <c r="K469" s="170"/>
      <c r="L469" s="170"/>
      <c r="M469" s="170"/>
      <c r="N469" s="170"/>
      <c r="O469" s="170"/>
      <c r="P469" s="170"/>
      <c r="Q469" s="170"/>
      <c r="R469" s="170"/>
      <c r="S469" s="153"/>
      <c r="T469" s="171"/>
      <c r="U469" s="156" t="str">
        <f t="shared" si="8"/>
        <v>#DIV/0!</v>
      </c>
      <c r="V469" s="172">
        <v>300.0</v>
      </c>
      <c r="W469" s="173"/>
    </row>
    <row r="470" ht="22.5" customHeight="1">
      <c r="A47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SUBSTITUTE(E470, """", """")"),"#REF!")</f>
        <v>#REF!</v>
      </c>
      <c r="B470" s="146"/>
      <c r="C470" s="146"/>
      <c r="D470" s="146"/>
      <c r="E470" s="44"/>
      <c r="F470" s="147"/>
      <c r="G470" s="146"/>
      <c r="H470" s="148"/>
      <c r="I470" s="34"/>
      <c r="J470" s="170"/>
      <c r="K470" s="170"/>
      <c r="L470" s="170"/>
      <c r="M470" s="170"/>
      <c r="N470" s="170"/>
      <c r="O470" s="170"/>
      <c r="P470" s="170"/>
      <c r="Q470" s="170"/>
      <c r="R470" s="170"/>
      <c r="S470" s="153"/>
      <c r="T470" s="171"/>
      <c r="U470" s="156" t="str">
        <f t="shared" si="8"/>
        <v>#DIV/0!</v>
      </c>
      <c r="V470" s="172">
        <v>300.0</v>
      </c>
      <c r="W470" s="173"/>
    </row>
    <row r="471" ht="22.5" customHeight="1">
      <c r="A47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SUBSTITUTE(E471, """", """")"),"#REF!")</f>
        <v>#REF!</v>
      </c>
      <c r="B471" s="146"/>
      <c r="C471" s="146"/>
      <c r="D471" s="146"/>
      <c r="E471" s="44"/>
      <c r="F471" s="147"/>
      <c r="G471" s="146"/>
      <c r="H471" s="148"/>
      <c r="I471" s="34"/>
      <c r="J471" s="170"/>
      <c r="K471" s="170"/>
      <c r="L471" s="170"/>
      <c r="M471" s="170"/>
      <c r="N471" s="170"/>
      <c r="O471" s="170"/>
      <c r="P471" s="170"/>
      <c r="Q471" s="170"/>
      <c r="R471" s="170"/>
      <c r="S471" s="153"/>
      <c r="T471" s="171"/>
      <c r="U471" s="156" t="str">
        <f t="shared" si="8"/>
        <v>#DIV/0!</v>
      </c>
      <c r="V471" s="172">
        <v>300.0</v>
      </c>
      <c r="W471" s="173"/>
    </row>
    <row r="472" ht="22.5" customHeight="1">
      <c r="A47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SUBSTITUTE(E472, """", """")"),"#REF!")</f>
        <v>#REF!</v>
      </c>
      <c r="B472" s="146"/>
      <c r="C472" s="146"/>
      <c r="D472" s="146"/>
      <c r="E472" s="44"/>
      <c r="F472" s="147"/>
      <c r="G472" s="146"/>
      <c r="H472" s="148"/>
      <c r="I472" s="34"/>
      <c r="J472" s="170"/>
      <c r="K472" s="170"/>
      <c r="L472" s="170"/>
      <c r="M472" s="170"/>
      <c r="N472" s="170"/>
      <c r="O472" s="170"/>
      <c r="P472" s="170"/>
      <c r="Q472" s="170"/>
      <c r="R472" s="170"/>
      <c r="S472" s="153"/>
      <c r="T472" s="171"/>
      <c r="U472" s="156" t="str">
        <f t="shared" si="8"/>
        <v>#DIV/0!</v>
      </c>
      <c r="V472" s="172">
        <v>300.0</v>
      </c>
      <c r="W472" s="173"/>
    </row>
    <row r="473" ht="22.5" customHeight="1">
      <c r="A47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SUBSTITUTE(E473, """", """")"),"#REF!")</f>
        <v>#REF!</v>
      </c>
      <c r="B473" s="146"/>
      <c r="C473" s="146"/>
      <c r="D473" s="146"/>
      <c r="E473" s="44"/>
      <c r="F473" s="147"/>
      <c r="G473" s="146"/>
      <c r="H473" s="148"/>
      <c r="I473" s="34"/>
      <c r="J473" s="170"/>
      <c r="K473" s="170"/>
      <c r="L473" s="170"/>
      <c r="M473" s="170"/>
      <c r="N473" s="170"/>
      <c r="O473" s="170"/>
      <c r="P473" s="170"/>
      <c r="Q473" s="170"/>
      <c r="R473" s="170"/>
      <c r="S473" s="153"/>
      <c r="T473" s="171"/>
      <c r="U473" s="156" t="str">
        <f t="shared" si="8"/>
        <v>#DIV/0!</v>
      </c>
      <c r="V473" s="172">
        <v>300.0</v>
      </c>
      <c r="W473" s="173"/>
    </row>
    <row r="474" ht="22.5" customHeight="1">
      <c r="A47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SUBSTITUTE(E474, """", """")"),"#REF!")</f>
        <v>#REF!</v>
      </c>
      <c r="B474" s="146"/>
      <c r="C474" s="146"/>
      <c r="D474" s="146"/>
      <c r="E474" s="44"/>
      <c r="F474" s="147"/>
      <c r="G474" s="146"/>
      <c r="H474" s="148"/>
      <c r="I474" s="34"/>
      <c r="J474" s="170"/>
      <c r="K474" s="170"/>
      <c r="L474" s="170"/>
      <c r="M474" s="170"/>
      <c r="N474" s="170"/>
      <c r="O474" s="170"/>
      <c r="P474" s="170"/>
      <c r="Q474" s="170"/>
      <c r="R474" s="170"/>
      <c r="S474" s="153"/>
      <c r="T474" s="171"/>
      <c r="U474" s="156" t="str">
        <f t="shared" si="8"/>
        <v>#DIV/0!</v>
      </c>
      <c r="V474" s="172">
        <v>300.0</v>
      </c>
      <c r="W474" s="173"/>
    </row>
    <row r="475" ht="22.5" customHeight="1">
      <c r="A47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SUBSTITUTE(E475, """", """")"),"#REF!")</f>
        <v>#REF!</v>
      </c>
      <c r="B475" s="146"/>
      <c r="C475" s="146"/>
      <c r="D475" s="146"/>
      <c r="E475" s="44"/>
      <c r="F475" s="147"/>
      <c r="G475" s="146"/>
      <c r="H475" s="148"/>
      <c r="I475" s="34"/>
      <c r="J475" s="170"/>
      <c r="K475" s="170"/>
      <c r="L475" s="170"/>
      <c r="M475" s="170"/>
      <c r="N475" s="170"/>
      <c r="O475" s="170"/>
      <c r="P475" s="170"/>
      <c r="Q475" s="170"/>
      <c r="R475" s="170"/>
      <c r="S475" s="153"/>
      <c r="T475" s="171"/>
      <c r="U475" s="156" t="str">
        <f t="shared" si="8"/>
        <v>#DIV/0!</v>
      </c>
      <c r="V475" s="172">
        <v>300.0</v>
      </c>
      <c r="W475" s="173"/>
    </row>
    <row r="476" ht="22.5" customHeight="1">
      <c r="A47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SUBSTITUTE(E476, """", """")"),"#REF!")</f>
        <v>#REF!</v>
      </c>
      <c r="B476" s="146"/>
      <c r="C476" s="146"/>
      <c r="D476" s="146"/>
      <c r="E476" s="44"/>
      <c r="F476" s="147"/>
      <c r="G476" s="146"/>
      <c r="H476" s="148"/>
      <c r="I476" s="34"/>
      <c r="J476" s="170"/>
      <c r="K476" s="170"/>
      <c r="L476" s="170"/>
      <c r="M476" s="170"/>
      <c r="N476" s="170"/>
      <c r="O476" s="170"/>
      <c r="P476" s="170"/>
      <c r="Q476" s="170"/>
      <c r="R476" s="170"/>
      <c r="S476" s="153"/>
      <c r="T476" s="171"/>
      <c r="U476" s="156" t="str">
        <f t="shared" si="8"/>
        <v>#DIV/0!</v>
      </c>
      <c r="V476" s="172">
        <v>300.0</v>
      </c>
      <c r="W476" s="173"/>
    </row>
    <row r="477" ht="22.5" customHeight="1">
      <c r="A47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SUBSTITUTE(E477, """", """")"),"#REF!")</f>
        <v>#REF!</v>
      </c>
      <c r="B477" s="146"/>
      <c r="C477" s="146"/>
      <c r="D477" s="146"/>
      <c r="E477" s="44"/>
      <c r="F477" s="147"/>
      <c r="G477" s="146"/>
      <c r="H477" s="148"/>
      <c r="I477" s="34"/>
      <c r="J477" s="170"/>
      <c r="K477" s="170"/>
      <c r="L477" s="170"/>
      <c r="M477" s="170"/>
      <c r="N477" s="170"/>
      <c r="O477" s="170"/>
      <c r="P477" s="170"/>
      <c r="Q477" s="170"/>
      <c r="R477" s="170"/>
      <c r="S477" s="153"/>
      <c r="T477" s="171"/>
      <c r="U477" s="156" t="str">
        <f t="shared" si="8"/>
        <v>#DIV/0!</v>
      </c>
      <c r="V477" s="172">
        <v>300.0</v>
      </c>
      <c r="W477" s="173"/>
    </row>
    <row r="478" ht="22.5" customHeight="1">
      <c r="A47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SUBSTITUTE(E478, """", """")"),"#REF!")</f>
        <v>#REF!</v>
      </c>
      <c r="B478" s="146"/>
      <c r="C478" s="146"/>
      <c r="D478" s="146"/>
      <c r="E478" s="44"/>
      <c r="F478" s="147"/>
      <c r="G478" s="146"/>
      <c r="H478" s="148"/>
      <c r="I478" s="34"/>
      <c r="J478" s="170"/>
      <c r="K478" s="170"/>
      <c r="L478" s="170"/>
      <c r="M478" s="170"/>
      <c r="N478" s="170"/>
      <c r="O478" s="170"/>
      <c r="P478" s="170"/>
      <c r="Q478" s="170"/>
      <c r="R478" s="170"/>
      <c r="S478" s="153"/>
      <c r="T478" s="171"/>
      <c r="U478" s="156" t="str">
        <f t="shared" si="8"/>
        <v>#DIV/0!</v>
      </c>
      <c r="V478" s="172">
        <v>300.0</v>
      </c>
      <c r="W478" s="173"/>
    </row>
    <row r="479" ht="22.5" customHeight="1">
      <c r="A4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SUBSTITUTE(E479, """", """")"),"#REF!")</f>
        <v>#REF!</v>
      </c>
      <c r="B479" s="146"/>
      <c r="C479" s="146"/>
      <c r="D479" s="146"/>
      <c r="E479" s="44"/>
      <c r="F479" s="147"/>
      <c r="G479" s="146"/>
      <c r="H479" s="148"/>
      <c r="I479" s="34"/>
      <c r="J479" s="170"/>
      <c r="K479" s="170"/>
      <c r="L479" s="170"/>
      <c r="M479" s="170"/>
      <c r="N479" s="170"/>
      <c r="O479" s="170"/>
      <c r="P479" s="170"/>
      <c r="Q479" s="170"/>
      <c r="R479" s="170"/>
      <c r="S479" s="153"/>
      <c r="T479" s="171"/>
      <c r="U479" s="156" t="str">
        <f t="shared" si="8"/>
        <v>#DIV/0!</v>
      </c>
      <c r="V479" s="172">
        <v>300.0</v>
      </c>
      <c r="W479" s="173"/>
    </row>
    <row r="480" ht="22.5" customHeight="1">
      <c r="A4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SUBSTITUTE(E480, """", """")"),"#REF!")</f>
        <v>#REF!</v>
      </c>
      <c r="B480" s="146"/>
      <c r="C480" s="146"/>
      <c r="D480" s="146"/>
      <c r="E480" s="44"/>
      <c r="F480" s="147"/>
      <c r="G480" s="146"/>
      <c r="H480" s="148"/>
      <c r="I480" s="34"/>
      <c r="J480" s="170"/>
      <c r="K480" s="170"/>
      <c r="L480" s="170"/>
      <c r="M480" s="170"/>
      <c r="N480" s="170"/>
      <c r="O480" s="170"/>
      <c r="P480" s="170"/>
      <c r="Q480" s="170"/>
      <c r="R480" s="170"/>
      <c r="S480" s="153"/>
      <c r="T480" s="171"/>
      <c r="U480" s="156" t="str">
        <f t="shared" si="8"/>
        <v>#DIV/0!</v>
      </c>
      <c r="V480" s="172">
        <v>300.0</v>
      </c>
      <c r="W480" s="173"/>
    </row>
    <row r="481" ht="22.5" customHeight="1">
      <c r="A4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SUBSTITUTE(E481, """", """")"),"#REF!")</f>
        <v>#REF!</v>
      </c>
      <c r="B481" s="146"/>
      <c r="C481" s="146"/>
      <c r="D481" s="146"/>
      <c r="E481" s="44"/>
      <c r="F481" s="147"/>
      <c r="G481" s="146"/>
      <c r="H481" s="148"/>
      <c r="I481" s="34"/>
      <c r="J481" s="170"/>
      <c r="K481" s="170"/>
      <c r="L481" s="170"/>
      <c r="M481" s="170"/>
      <c r="N481" s="170"/>
      <c r="O481" s="170"/>
      <c r="P481" s="170"/>
      <c r="Q481" s="170"/>
      <c r="R481" s="170"/>
      <c r="S481" s="153"/>
      <c r="T481" s="171"/>
      <c r="U481" s="156" t="str">
        <f t="shared" si="8"/>
        <v>#DIV/0!</v>
      </c>
      <c r="V481" s="172">
        <v>300.0</v>
      </c>
      <c r="W481" s="173"/>
    </row>
    <row r="482" ht="22.5" customHeight="1">
      <c r="A4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SUBSTITUTE(E482, """", """")"),"#REF!")</f>
        <v>#REF!</v>
      </c>
      <c r="B482" s="146"/>
      <c r="C482" s="146"/>
      <c r="D482" s="146"/>
      <c r="E482" s="44"/>
      <c r="F482" s="147"/>
      <c r="G482" s="146"/>
      <c r="H482" s="148"/>
      <c r="I482" s="34"/>
      <c r="J482" s="170"/>
      <c r="K482" s="170"/>
      <c r="L482" s="170"/>
      <c r="M482" s="170"/>
      <c r="N482" s="170"/>
      <c r="O482" s="170"/>
      <c r="P482" s="170"/>
      <c r="Q482" s="170"/>
      <c r="R482" s="170"/>
      <c r="S482" s="153"/>
      <c r="T482" s="171"/>
      <c r="U482" s="156" t="str">
        <f t="shared" si="8"/>
        <v>#DIV/0!</v>
      </c>
      <c r="V482" s="172">
        <v>300.0</v>
      </c>
      <c r="W482" s="173"/>
    </row>
    <row r="483" ht="22.5" customHeight="1">
      <c r="A48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SUBSTITUTE(E483, """", """")"),"#REF!")</f>
        <v>#REF!</v>
      </c>
      <c r="B483" s="146"/>
      <c r="C483" s="146"/>
      <c r="D483" s="146"/>
      <c r="E483" s="44"/>
      <c r="F483" s="147"/>
      <c r="G483" s="146"/>
      <c r="H483" s="148"/>
      <c r="I483" s="34"/>
      <c r="J483" s="170"/>
      <c r="K483" s="170"/>
      <c r="L483" s="170"/>
      <c r="M483" s="170"/>
      <c r="N483" s="170"/>
      <c r="O483" s="170"/>
      <c r="P483" s="170"/>
      <c r="Q483" s="170"/>
      <c r="R483" s="170"/>
      <c r="S483" s="153"/>
      <c r="T483" s="171"/>
      <c r="U483" s="156" t="str">
        <f t="shared" si="8"/>
        <v>#DIV/0!</v>
      </c>
      <c r="V483" s="172">
        <v>300.0</v>
      </c>
      <c r="W483" s="173"/>
    </row>
    <row r="484" ht="22.5" customHeight="1">
      <c r="A48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SUBSTITUTE(E484, """", """")"),"#REF!")</f>
        <v>#REF!</v>
      </c>
      <c r="B484" s="146"/>
      <c r="C484" s="146"/>
      <c r="D484" s="146"/>
      <c r="E484" s="44"/>
      <c r="F484" s="147"/>
      <c r="G484" s="146"/>
      <c r="H484" s="148"/>
      <c r="I484" s="34"/>
      <c r="J484" s="170"/>
      <c r="K484" s="170"/>
      <c r="L484" s="170"/>
      <c r="M484" s="170"/>
      <c r="N484" s="170"/>
      <c r="O484" s="170"/>
      <c r="P484" s="170"/>
      <c r="Q484" s="170"/>
      <c r="R484" s="170"/>
      <c r="S484" s="153"/>
      <c r="T484" s="171"/>
      <c r="U484" s="156" t="str">
        <f t="shared" si="8"/>
        <v>#DIV/0!</v>
      </c>
      <c r="V484" s="172">
        <v>300.0</v>
      </c>
      <c r="W484" s="173"/>
    </row>
    <row r="485" ht="22.5" customHeight="1">
      <c r="A4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SUBSTITUTE(E485, """", """")"),"#REF!")</f>
        <v>#REF!</v>
      </c>
      <c r="B485" s="146"/>
      <c r="C485" s="146"/>
      <c r="D485" s="146"/>
      <c r="E485" s="44"/>
      <c r="F485" s="147"/>
      <c r="G485" s="146"/>
      <c r="H485" s="148"/>
      <c r="I485" s="34"/>
      <c r="J485" s="170"/>
      <c r="K485" s="170"/>
      <c r="L485" s="170"/>
      <c r="M485" s="170"/>
      <c r="N485" s="170"/>
      <c r="O485" s="170"/>
      <c r="P485" s="170"/>
      <c r="Q485" s="170"/>
      <c r="R485" s="170"/>
      <c r="S485" s="153"/>
      <c r="T485" s="171"/>
      <c r="U485" s="156" t="str">
        <f t="shared" si="8"/>
        <v>#DIV/0!</v>
      </c>
      <c r="V485" s="172">
        <v>300.0</v>
      </c>
      <c r="W485" s="173"/>
    </row>
    <row r="486" ht="22.5" customHeight="1">
      <c r="A4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SUBSTITUTE(E486, """", """")"),"#REF!")</f>
        <v>#REF!</v>
      </c>
      <c r="B486" s="146"/>
      <c r="C486" s="146"/>
      <c r="D486" s="146"/>
      <c r="E486" s="44"/>
      <c r="F486" s="147"/>
      <c r="G486" s="146"/>
      <c r="H486" s="148"/>
      <c r="I486" s="34"/>
      <c r="J486" s="170"/>
      <c r="K486" s="170"/>
      <c r="L486" s="170"/>
      <c r="M486" s="170"/>
      <c r="N486" s="170"/>
      <c r="O486" s="170"/>
      <c r="P486" s="170"/>
      <c r="Q486" s="170"/>
      <c r="R486" s="170"/>
      <c r="S486" s="153"/>
      <c r="T486" s="171"/>
      <c r="U486" s="156" t="str">
        <f t="shared" si="8"/>
        <v>#DIV/0!</v>
      </c>
      <c r="V486" s="172">
        <v>300.0</v>
      </c>
      <c r="W486" s="173"/>
    </row>
    <row r="487" ht="22.5" customHeight="1">
      <c r="A4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SUBSTITUTE(E487, """", """")"),"#REF!")</f>
        <v>#REF!</v>
      </c>
      <c r="B487" s="146"/>
      <c r="C487" s="146"/>
      <c r="D487" s="146"/>
      <c r="E487" s="44"/>
      <c r="F487" s="147"/>
      <c r="G487" s="146"/>
      <c r="H487" s="148"/>
      <c r="I487" s="34"/>
      <c r="J487" s="170"/>
      <c r="K487" s="170"/>
      <c r="L487" s="170"/>
      <c r="M487" s="170"/>
      <c r="N487" s="170"/>
      <c r="O487" s="170"/>
      <c r="P487" s="170"/>
      <c r="Q487" s="170"/>
      <c r="R487" s="170"/>
      <c r="S487" s="153"/>
      <c r="T487" s="171"/>
      <c r="U487" s="156" t="str">
        <f t="shared" si="8"/>
        <v>#DIV/0!</v>
      </c>
      <c r="V487" s="172">
        <v>300.0</v>
      </c>
      <c r="W487" s="173"/>
    </row>
    <row r="488" ht="22.5" customHeight="1">
      <c r="A4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SUBSTITUTE(E488, """", """")"),"#REF!")</f>
        <v>#REF!</v>
      </c>
      <c r="B488" s="146"/>
      <c r="C488" s="146"/>
      <c r="D488" s="146"/>
      <c r="E488" s="44"/>
      <c r="F488" s="147"/>
      <c r="G488" s="146"/>
      <c r="H488" s="148"/>
      <c r="I488" s="34"/>
      <c r="J488" s="170"/>
      <c r="K488" s="170"/>
      <c r="L488" s="170"/>
      <c r="M488" s="170"/>
      <c r="N488" s="170"/>
      <c r="O488" s="170"/>
      <c r="P488" s="170"/>
      <c r="Q488" s="170"/>
      <c r="R488" s="170"/>
      <c r="S488" s="153"/>
      <c r="T488" s="171"/>
      <c r="U488" s="156" t="str">
        <f t="shared" si="8"/>
        <v>#DIV/0!</v>
      </c>
      <c r="V488" s="172">
        <v>300.0</v>
      </c>
      <c r="W488" s="173"/>
    </row>
    <row r="489" ht="22.5" customHeight="1">
      <c r="A4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SUBSTITUTE(E489, """", """")"),"#REF!")</f>
        <v>#REF!</v>
      </c>
      <c r="B489" s="146"/>
      <c r="C489" s="146"/>
      <c r="D489" s="146"/>
      <c r="E489" s="44"/>
      <c r="F489" s="147"/>
      <c r="G489" s="146"/>
      <c r="H489" s="148"/>
      <c r="I489" s="148"/>
      <c r="J489" s="170"/>
      <c r="K489" s="170"/>
      <c r="L489" s="170"/>
      <c r="M489" s="170"/>
      <c r="N489" s="170"/>
      <c r="O489" s="170"/>
      <c r="P489" s="170"/>
      <c r="Q489" s="170"/>
      <c r="R489" s="170"/>
      <c r="S489" s="153"/>
      <c r="T489" s="171"/>
      <c r="U489" s="156" t="str">
        <f t="shared" si="8"/>
        <v>#DIV/0!</v>
      </c>
      <c r="V489" s="172">
        <v>300.0</v>
      </c>
      <c r="W489" s="173"/>
    </row>
    <row r="490" ht="22.5" customHeight="1">
      <c r="A4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SUBSTITUTE(E490, """", """")"),"#REF!")</f>
        <v>#REF!</v>
      </c>
      <c r="B490" s="146"/>
      <c r="C490" s="146"/>
      <c r="D490" s="146"/>
      <c r="E490" s="44"/>
      <c r="F490" s="147"/>
      <c r="G490" s="146"/>
      <c r="H490" s="148"/>
      <c r="I490" s="148"/>
      <c r="J490" s="170"/>
      <c r="K490" s="170"/>
      <c r="L490" s="170"/>
      <c r="M490" s="170"/>
      <c r="N490" s="170"/>
      <c r="O490" s="170"/>
      <c r="P490" s="170"/>
      <c r="Q490" s="170"/>
      <c r="R490" s="170"/>
      <c r="S490" s="153"/>
      <c r="T490" s="171"/>
      <c r="U490" s="156" t="str">
        <f t="shared" si="8"/>
        <v>#DIV/0!</v>
      </c>
      <c r="V490" s="172">
        <v>300.0</v>
      </c>
      <c r="W490" s="173"/>
    </row>
    <row r="491" ht="22.5" customHeight="1">
      <c r="A4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SUBSTITUTE(E491, """", """")"),"#REF!")</f>
        <v>#REF!</v>
      </c>
      <c r="B491" s="146"/>
      <c r="C491" s="146"/>
      <c r="D491" s="146"/>
      <c r="E491" s="44"/>
      <c r="F491" s="147"/>
      <c r="G491" s="146"/>
      <c r="H491" s="148"/>
      <c r="I491" s="148"/>
      <c r="J491" s="170"/>
      <c r="K491" s="170"/>
      <c r="L491" s="170"/>
      <c r="M491" s="170"/>
      <c r="N491" s="170"/>
      <c r="O491" s="170"/>
      <c r="P491" s="170"/>
      <c r="Q491" s="170"/>
      <c r="R491" s="170"/>
      <c r="S491" s="153"/>
      <c r="T491" s="171"/>
      <c r="U491" s="156" t="str">
        <f t="shared" si="8"/>
        <v>#DIV/0!</v>
      </c>
      <c r="V491" s="172">
        <v>300.0</v>
      </c>
      <c r="W491" s="173"/>
    </row>
    <row r="492" ht="22.5" customHeight="1">
      <c r="A4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SUBSTITUTE(E492, """", """")"),"#REF!")</f>
        <v>#REF!</v>
      </c>
      <c r="B492" s="146"/>
      <c r="C492" s="146"/>
      <c r="D492" s="146"/>
      <c r="E492" s="44"/>
      <c r="F492" s="147"/>
      <c r="G492" s="146"/>
      <c r="H492" s="148"/>
      <c r="I492" s="148"/>
      <c r="J492" s="170"/>
      <c r="K492" s="170"/>
      <c r="L492" s="170"/>
      <c r="M492" s="170"/>
      <c r="N492" s="170"/>
      <c r="O492" s="170"/>
      <c r="P492" s="170"/>
      <c r="Q492" s="170"/>
      <c r="R492" s="170"/>
      <c r="S492" s="153"/>
      <c r="T492" s="171"/>
      <c r="U492" s="156" t="str">
        <f t="shared" si="8"/>
        <v>#DIV/0!</v>
      </c>
      <c r="V492" s="172">
        <v>300.0</v>
      </c>
      <c r="W492" s="173"/>
    </row>
    <row r="493" ht="22.5" customHeight="1">
      <c r="A4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SUBSTITUTE(E493, """", """")"),"#REF!")</f>
        <v>#REF!</v>
      </c>
      <c r="B493" s="146"/>
      <c r="C493" s="146"/>
      <c r="D493" s="146"/>
      <c r="E493" s="44"/>
      <c r="F493" s="147"/>
      <c r="G493" s="146"/>
      <c r="H493" s="148"/>
      <c r="I493" s="148"/>
      <c r="J493" s="170"/>
      <c r="K493" s="170"/>
      <c r="L493" s="170"/>
      <c r="M493" s="170"/>
      <c r="N493" s="170"/>
      <c r="O493" s="170"/>
      <c r="P493" s="170"/>
      <c r="Q493" s="170"/>
      <c r="R493" s="170"/>
      <c r="S493" s="153"/>
      <c r="T493" s="171"/>
      <c r="U493" s="156" t="str">
        <f t="shared" si="8"/>
        <v>#DIV/0!</v>
      </c>
      <c r="V493" s="172">
        <v>300.0</v>
      </c>
      <c r="W493" s="173"/>
    </row>
    <row r="494" ht="22.5" customHeight="1">
      <c r="A4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SUBSTITUTE(E494, """", """")"),"#REF!")</f>
        <v>#REF!</v>
      </c>
      <c r="B494" s="146"/>
      <c r="C494" s="146"/>
      <c r="D494" s="146"/>
      <c r="E494" s="44"/>
      <c r="F494" s="147"/>
      <c r="G494" s="146"/>
      <c r="H494" s="148"/>
      <c r="I494" s="148"/>
      <c r="J494" s="170"/>
      <c r="K494" s="170"/>
      <c r="L494" s="170"/>
      <c r="M494" s="170"/>
      <c r="N494" s="170"/>
      <c r="O494" s="170"/>
      <c r="P494" s="170"/>
      <c r="Q494" s="170"/>
      <c r="R494" s="170"/>
      <c r="S494" s="153"/>
      <c r="T494" s="171"/>
      <c r="U494" s="156" t="str">
        <f t="shared" si="8"/>
        <v>#DIV/0!</v>
      </c>
      <c r="V494" s="172">
        <v>300.0</v>
      </c>
      <c r="W494" s="173"/>
    </row>
    <row r="495" ht="22.5" customHeight="1">
      <c r="A4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SUBSTITUTE(E495, """", """")"),"#REF!")</f>
        <v>#REF!</v>
      </c>
      <c r="B495" s="146"/>
      <c r="C495" s="146"/>
      <c r="D495" s="146"/>
      <c r="E495" s="44"/>
      <c r="F495" s="147"/>
      <c r="G495" s="146"/>
      <c r="H495" s="148"/>
      <c r="I495" s="148"/>
      <c r="J495" s="170"/>
      <c r="K495" s="170"/>
      <c r="L495" s="170"/>
      <c r="M495" s="170"/>
      <c r="N495" s="170"/>
      <c r="O495" s="170"/>
      <c r="P495" s="170"/>
      <c r="Q495" s="170"/>
      <c r="R495" s="170"/>
      <c r="S495" s="153"/>
      <c r="T495" s="171"/>
      <c r="U495" s="156" t="str">
        <f t="shared" si="8"/>
        <v>#DIV/0!</v>
      </c>
      <c r="V495" s="172">
        <v>300.0</v>
      </c>
      <c r="W495" s="173"/>
    </row>
    <row r="496" ht="22.5" customHeight="1">
      <c r="A4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SUBSTITUTE(E496, """", """")"),"#REF!")</f>
        <v>#REF!</v>
      </c>
      <c r="B496" s="146"/>
      <c r="C496" s="146"/>
      <c r="D496" s="146"/>
      <c r="E496" s="44"/>
      <c r="F496" s="147"/>
      <c r="G496" s="146"/>
      <c r="H496" s="148"/>
      <c r="I496" s="148"/>
      <c r="J496" s="170"/>
      <c r="K496" s="170"/>
      <c r="L496" s="170"/>
      <c r="M496" s="170"/>
      <c r="N496" s="170"/>
      <c r="O496" s="170"/>
      <c r="P496" s="170"/>
      <c r="Q496" s="170"/>
      <c r="R496" s="170"/>
      <c r="S496" s="153"/>
      <c r="T496" s="171"/>
      <c r="U496" s="156" t="str">
        <f t="shared" si="8"/>
        <v>#DIV/0!</v>
      </c>
      <c r="V496" s="172">
        <v>300.0</v>
      </c>
      <c r="W496" s="173"/>
    </row>
    <row r="497" ht="22.5" customHeight="1">
      <c r="A4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SUBSTITUTE(E497, """", """")"),"#REF!")</f>
        <v>#REF!</v>
      </c>
      <c r="B497" s="146"/>
      <c r="C497" s="146"/>
      <c r="D497" s="146"/>
      <c r="E497" s="44"/>
      <c r="F497" s="147"/>
      <c r="G497" s="146"/>
      <c r="H497" s="148"/>
      <c r="I497" s="148"/>
      <c r="J497" s="170"/>
      <c r="K497" s="170"/>
      <c r="L497" s="170"/>
      <c r="M497" s="170"/>
      <c r="N497" s="170"/>
      <c r="O497" s="170"/>
      <c r="P497" s="170"/>
      <c r="Q497" s="170"/>
      <c r="R497" s="170"/>
      <c r="S497" s="153"/>
      <c r="T497" s="171"/>
      <c r="U497" s="156" t="str">
        <f t="shared" si="8"/>
        <v>#DIV/0!</v>
      </c>
      <c r="V497" s="172">
        <v>300.0</v>
      </c>
      <c r="W497" s="173"/>
    </row>
    <row r="498" ht="22.5" customHeight="1">
      <c r="A4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SUBSTITUTE(E498, """", """")"),"#REF!")</f>
        <v>#REF!</v>
      </c>
      <c r="B498" s="146"/>
      <c r="C498" s="146"/>
      <c r="D498" s="146"/>
      <c r="E498" s="44"/>
      <c r="F498" s="147"/>
      <c r="G498" s="146"/>
      <c r="H498" s="148"/>
      <c r="I498" s="148"/>
      <c r="J498" s="170"/>
      <c r="K498" s="170"/>
      <c r="L498" s="170"/>
      <c r="M498" s="170"/>
      <c r="N498" s="170"/>
      <c r="O498" s="170"/>
      <c r="P498" s="170"/>
      <c r="Q498" s="170"/>
      <c r="R498" s="170"/>
      <c r="S498" s="153"/>
      <c r="T498" s="171"/>
      <c r="U498" s="156" t="str">
        <f t="shared" si="8"/>
        <v>#DIV/0!</v>
      </c>
      <c r="V498" s="172">
        <v>300.0</v>
      </c>
      <c r="W498" s="173"/>
    </row>
    <row r="499" ht="22.5" customHeight="1">
      <c r="A4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SUBSTITUTE(E499, """", """")"),"#REF!")</f>
        <v>#REF!</v>
      </c>
      <c r="B499" s="146"/>
      <c r="C499" s="146"/>
      <c r="D499" s="146"/>
      <c r="E499" s="44"/>
      <c r="F499" s="147"/>
      <c r="G499" s="146"/>
      <c r="H499" s="148"/>
      <c r="I499" s="148"/>
      <c r="J499" s="170"/>
      <c r="K499" s="170"/>
      <c r="L499" s="170"/>
      <c r="M499" s="170"/>
      <c r="N499" s="170"/>
      <c r="O499" s="170"/>
      <c r="P499" s="170"/>
      <c r="Q499" s="170"/>
      <c r="R499" s="170"/>
      <c r="S499" s="153"/>
      <c r="T499" s="171"/>
      <c r="U499" s="156" t="str">
        <f t="shared" si="8"/>
        <v>#DIV/0!</v>
      </c>
      <c r="V499" s="172">
        <v>300.0</v>
      </c>
      <c r="W499" s="173"/>
    </row>
    <row r="500" ht="22.5" customHeight="1">
      <c r="A5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SUBSTITUTE(E500, """", """")"),"#REF!")</f>
        <v>#REF!</v>
      </c>
      <c r="B500" s="146"/>
      <c r="C500" s="146"/>
      <c r="D500" s="146"/>
      <c r="E500" s="44"/>
      <c r="F500" s="147"/>
      <c r="G500" s="146"/>
      <c r="H500" s="148"/>
      <c r="I500" s="148"/>
      <c r="J500" s="170"/>
      <c r="K500" s="170"/>
      <c r="L500" s="170"/>
      <c r="M500" s="170"/>
      <c r="N500" s="170"/>
      <c r="O500" s="170"/>
      <c r="P500" s="170"/>
      <c r="Q500" s="170"/>
      <c r="R500" s="170"/>
      <c r="S500" s="153"/>
      <c r="T500" s="171"/>
      <c r="U500" s="156" t="str">
        <f t="shared" si="8"/>
        <v>#DIV/0!</v>
      </c>
      <c r="V500" s="172">
        <v>300.0</v>
      </c>
      <c r="W500" s="173"/>
    </row>
    <row r="501" ht="22.5" customHeight="1">
      <c r="A5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SUBSTITUTE(E501, """", """")"),"#REF!")</f>
        <v>#REF!</v>
      </c>
      <c r="B501" s="146"/>
      <c r="C501" s="146"/>
      <c r="D501" s="146"/>
      <c r="E501" s="44"/>
      <c r="F501" s="147"/>
      <c r="G501" s="146"/>
      <c r="H501" s="148"/>
      <c r="I501" s="148"/>
      <c r="J501" s="170"/>
      <c r="K501" s="170"/>
      <c r="L501" s="170"/>
      <c r="M501" s="170"/>
      <c r="N501" s="170"/>
      <c r="O501" s="170"/>
      <c r="P501" s="170"/>
      <c r="Q501" s="170"/>
      <c r="R501" s="170"/>
      <c r="S501" s="153"/>
      <c r="T501" s="171"/>
      <c r="U501" s="156" t="str">
        <f t="shared" si="8"/>
        <v>#DIV/0!</v>
      </c>
      <c r="V501" s="172">
        <v>300.0</v>
      </c>
      <c r="W501" s="173"/>
    </row>
    <row r="502" ht="22.5" customHeight="1">
      <c r="A5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SUBSTITUTE(E502, """", """")"),"#REF!")</f>
        <v>#REF!</v>
      </c>
      <c r="B502" s="146"/>
      <c r="C502" s="146"/>
      <c r="D502" s="146"/>
      <c r="E502" s="44"/>
      <c r="F502" s="147"/>
      <c r="G502" s="146"/>
      <c r="H502" s="148"/>
      <c r="I502" s="148"/>
      <c r="J502" s="170"/>
      <c r="K502" s="170"/>
      <c r="L502" s="170"/>
      <c r="M502" s="170"/>
      <c r="N502" s="170"/>
      <c r="O502" s="170"/>
      <c r="P502" s="170"/>
      <c r="Q502" s="170"/>
      <c r="R502" s="170"/>
      <c r="S502" s="153"/>
      <c r="T502" s="171"/>
      <c r="U502" s="156" t="str">
        <f t="shared" si="8"/>
        <v>#DIV/0!</v>
      </c>
      <c r="V502" s="172">
        <v>300.0</v>
      </c>
      <c r="W502" s="173"/>
    </row>
    <row r="503" ht="22.5" customHeight="1">
      <c r="A5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SUBSTITUTE(E503, """", """")"),"#REF!")</f>
        <v>#REF!</v>
      </c>
      <c r="B503" s="146"/>
      <c r="C503" s="146"/>
      <c r="D503" s="146"/>
      <c r="E503" s="44"/>
      <c r="F503" s="147"/>
      <c r="G503" s="146"/>
      <c r="H503" s="148"/>
      <c r="I503" s="148"/>
      <c r="J503" s="170"/>
      <c r="K503" s="170"/>
      <c r="L503" s="170"/>
      <c r="M503" s="170"/>
      <c r="N503" s="170"/>
      <c r="O503" s="170"/>
      <c r="P503" s="170"/>
      <c r="Q503" s="170"/>
      <c r="R503" s="170"/>
      <c r="S503" s="153"/>
      <c r="T503" s="171"/>
      <c r="U503" s="156" t="str">
        <f t="shared" si="8"/>
        <v>#DIV/0!</v>
      </c>
      <c r="V503" s="172">
        <v>300.0</v>
      </c>
      <c r="W503" s="173"/>
    </row>
    <row r="504" ht="22.5" customHeight="1">
      <c r="A5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SUBSTITUTE(E504, """", """")"),"#REF!")</f>
        <v>#REF!</v>
      </c>
      <c r="B504" s="146"/>
      <c r="C504" s="146"/>
      <c r="D504" s="146"/>
      <c r="E504" s="44"/>
      <c r="F504" s="147"/>
      <c r="G504" s="146"/>
      <c r="H504" s="148"/>
      <c r="I504" s="148"/>
      <c r="J504" s="170"/>
      <c r="K504" s="170"/>
      <c r="L504" s="170"/>
      <c r="M504" s="170"/>
      <c r="N504" s="170"/>
      <c r="O504" s="170"/>
      <c r="P504" s="170"/>
      <c r="Q504" s="170"/>
      <c r="R504" s="170"/>
      <c r="S504" s="153"/>
      <c r="T504" s="171"/>
      <c r="U504" s="156" t="str">
        <f t="shared" si="8"/>
        <v>#DIV/0!</v>
      </c>
      <c r="V504" s="172">
        <v>300.0</v>
      </c>
      <c r="W504" s="173"/>
    </row>
    <row r="505" ht="22.5" customHeight="1">
      <c r="A5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SUBSTITUTE(E505, """", """")"),"#REF!")</f>
        <v>#REF!</v>
      </c>
      <c r="B505" s="146"/>
      <c r="C505" s="146"/>
      <c r="D505" s="146"/>
      <c r="E505" s="44"/>
      <c r="F505" s="147"/>
      <c r="G505" s="146"/>
      <c r="H505" s="148"/>
      <c r="I505" s="148"/>
      <c r="J505" s="170"/>
      <c r="K505" s="170"/>
      <c r="L505" s="170"/>
      <c r="M505" s="170"/>
      <c r="N505" s="170"/>
      <c r="O505" s="170"/>
      <c r="P505" s="170"/>
      <c r="Q505" s="170"/>
      <c r="R505" s="170"/>
      <c r="S505" s="153"/>
      <c r="T505" s="171"/>
      <c r="U505" s="156" t="str">
        <f t="shared" si="8"/>
        <v>#DIV/0!</v>
      </c>
      <c r="V505" s="172">
        <v>300.0</v>
      </c>
      <c r="W505" s="173"/>
    </row>
    <row r="506" ht="22.5" customHeight="1">
      <c r="A5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SUBSTITUTE(E506, """", """")"),"#REF!")</f>
        <v>#REF!</v>
      </c>
      <c r="B506" s="146"/>
      <c r="C506" s="146"/>
      <c r="D506" s="146"/>
      <c r="E506" s="44"/>
      <c r="F506" s="147"/>
      <c r="G506" s="146"/>
      <c r="H506" s="148"/>
      <c r="I506" s="148"/>
      <c r="J506" s="170"/>
      <c r="K506" s="170"/>
      <c r="L506" s="170"/>
      <c r="M506" s="170"/>
      <c r="N506" s="170"/>
      <c r="O506" s="170"/>
      <c r="P506" s="170"/>
      <c r="Q506" s="170"/>
      <c r="R506" s="170"/>
      <c r="S506" s="153"/>
      <c r="T506" s="171"/>
      <c r="U506" s="156" t="str">
        <f t="shared" si="8"/>
        <v>#DIV/0!</v>
      </c>
      <c r="V506" s="172">
        <v>300.0</v>
      </c>
      <c r="W506" s="173"/>
    </row>
    <row r="507" ht="22.5" customHeight="1">
      <c r="A5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SUBSTITUTE(E507, """", """")"),"#REF!")</f>
        <v>#REF!</v>
      </c>
      <c r="B507" s="146"/>
      <c r="C507" s="146"/>
      <c r="D507" s="146"/>
      <c r="E507" s="44"/>
      <c r="F507" s="147"/>
      <c r="G507" s="146"/>
      <c r="H507" s="148"/>
      <c r="I507" s="148"/>
      <c r="J507" s="170"/>
      <c r="K507" s="170"/>
      <c r="L507" s="170"/>
      <c r="M507" s="170"/>
      <c r="N507" s="170"/>
      <c r="O507" s="170"/>
      <c r="P507" s="170"/>
      <c r="Q507" s="170"/>
      <c r="R507" s="170"/>
      <c r="S507" s="153"/>
      <c r="T507" s="171"/>
      <c r="U507" s="156" t="str">
        <f t="shared" si="8"/>
        <v>#DIV/0!</v>
      </c>
      <c r="V507" s="172">
        <v>300.0</v>
      </c>
      <c r="W507" s="173"/>
    </row>
    <row r="508" ht="22.5" customHeight="1">
      <c r="A5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SUBSTITUTE(E508, """", """")"),"#REF!")</f>
        <v>#REF!</v>
      </c>
      <c r="B508" s="146"/>
      <c r="C508" s="146"/>
      <c r="D508" s="146"/>
      <c r="E508" s="44"/>
      <c r="F508" s="147"/>
      <c r="G508" s="146"/>
      <c r="H508" s="148"/>
      <c r="I508" s="148"/>
      <c r="J508" s="170"/>
      <c r="K508" s="170"/>
      <c r="L508" s="170"/>
      <c r="M508" s="170"/>
      <c r="N508" s="170"/>
      <c r="O508" s="170"/>
      <c r="P508" s="170"/>
      <c r="Q508" s="170"/>
      <c r="R508" s="170"/>
      <c r="S508" s="153"/>
      <c r="T508" s="171"/>
      <c r="U508" s="156" t="str">
        <f t="shared" si="8"/>
        <v>#DIV/0!</v>
      </c>
      <c r="V508" s="172">
        <v>300.0</v>
      </c>
      <c r="W508" s="173"/>
    </row>
    <row r="509" ht="22.5" customHeight="1">
      <c r="A5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SUBSTITUTE(E509, """", """")"),"#REF!")</f>
        <v>#REF!</v>
      </c>
      <c r="B509" s="146"/>
      <c r="C509" s="146"/>
      <c r="D509" s="146"/>
      <c r="E509" s="44"/>
      <c r="F509" s="147"/>
      <c r="G509" s="146"/>
      <c r="H509" s="148"/>
      <c r="I509" s="148"/>
      <c r="J509" s="170"/>
      <c r="K509" s="170"/>
      <c r="L509" s="170"/>
      <c r="M509" s="170"/>
      <c r="N509" s="170"/>
      <c r="O509" s="170"/>
      <c r="P509" s="170"/>
      <c r="Q509" s="170"/>
      <c r="R509" s="170"/>
      <c r="S509" s="153"/>
      <c r="T509" s="171"/>
      <c r="U509" s="156" t="str">
        <f t="shared" si="8"/>
        <v>#DIV/0!</v>
      </c>
      <c r="V509" s="172">
        <v>300.0</v>
      </c>
      <c r="W509" s="173"/>
    </row>
    <row r="510" ht="22.5" customHeight="1">
      <c r="A5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SUBSTITUTE(E510, """", """")"),"#REF!")</f>
        <v>#REF!</v>
      </c>
      <c r="B510" s="146"/>
      <c r="C510" s="146"/>
      <c r="D510" s="146"/>
      <c r="E510" s="44"/>
      <c r="F510" s="147"/>
      <c r="G510" s="146"/>
      <c r="H510" s="148"/>
      <c r="I510" s="148"/>
      <c r="J510" s="170"/>
      <c r="K510" s="170"/>
      <c r="L510" s="170"/>
      <c r="M510" s="170"/>
      <c r="N510" s="170"/>
      <c r="O510" s="170"/>
      <c r="P510" s="170"/>
      <c r="Q510" s="170"/>
      <c r="R510" s="170"/>
      <c r="S510" s="153"/>
      <c r="T510" s="171"/>
      <c r="U510" s="156" t="str">
        <f t="shared" si="8"/>
        <v>#DIV/0!</v>
      </c>
      <c r="V510" s="172">
        <v>300.0</v>
      </c>
      <c r="W510" s="173"/>
    </row>
    <row r="511" ht="22.5" customHeight="1">
      <c r="A5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SUBSTITUTE(E511, """", """")"),"#REF!")</f>
        <v>#REF!</v>
      </c>
      <c r="B511" s="146"/>
      <c r="C511" s="146"/>
      <c r="D511" s="146"/>
      <c r="E511" s="44"/>
      <c r="F511" s="147"/>
      <c r="G511" s="146"/>
      <c r="H511" s="148"/>
      <c r="I511" s="148"/>
      <c r="J511" s="170"/>
      <c r="K511" s="170"/>
      <c r="L511" s="170"/>
      <c r="M511" s="170"/>
      <c r="N511" s="170"/>
      <c r="O511" s="170"/>
      <c r="P511" s="170"/>
      <c r="Q511" s="170"/>
      <c r="R511" s="170"/>
      <c r="S511" s="153"/>
      <c r="T511" s="171"/>
      <c r="U511" s="156" t="str">
        <f t="shared" si="8"/>
        <v>#DIV/0!</v>
      </c>
      <c r="V511" s="172">
        <v>300.0</v>
      </c>
      <c r="W511" s="173"/>
    </row>
    <row r="512" ht="22.5" customHeight="1">
      <c r="A5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SUBSTITUTE(E512, """", """")"),"#REF!")</f>
        <v>#REF!</v>
      </c>
      <c r="B512" s="146"/>
      <c r="C512" s="146"/>
      <c r="D512" s="146"/>
      <c r="E512" s="44"/>
      <c r="F512" s="147"/>
      <c r="G512" s="146"/>
      <c r="H512" s="148"/>
      <c r="I512" s="148"/>
      <c r="J512" s="170"/>
      <c r="K512" s="170"/>
      <c r="L512" s="170"/>
      <c r="M512" s="170"/>
      <c r="N512" s="170"/>
      <c r="O512" s="170"/>
      <c r="P512" s="170"/>
      <c r="Q512" s="170"/>
      <c r="R512" s="170"/>
      <c r="S512" s="153"/>
      <c r="T512" s="171"/>
      <c r="U512" s="156" t="str">
        <f t="shared" si="8"/>
        <v>#DIV/0!</v>
      </c>
      <c r="V512" s="172">
        <v>300.0</v>
      </c>
      <c r="W512" s="173"/>
    </row>
    <row r="513" ht="22.5" customHeight="1">
      <c r="A5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SUBSTITUTE(E513, """", """")"),"#REF!")</f>
        <v>#REF!</v>
      </c>
      <c r="B513" s="146"/>
      <c r="C513" s="146"/>
      <c r="D513" s="146"/>
      <c r="E513" s="44"/>
      <c r="F513" s="147"/>
      <c r="G513" s="146"/>
      <c r="H513" s="148"/>
      <c r="I513" s="148"/>
      <c r="J513" s="170"/>
      <c r="K513" s="170"/>
      <c r="L513" s="170"/>
      <c r="M513" s="170"/>
      <c r="N513" s="170"/>
      <c r="O513" s="170"/>
      <c r="P513" s="170"/>
      <c r="Q513" s="170"/>
      <c r="R513" s="170"/>
      <c r="S513" s="153"/>
      <c r="T513" s="171"/>
      <c r="U513" s="156" t="str">
        <f t="shared" si="8"/>
        <v>#DIV/0!</v>
      </c>
      <c r="V513" s="172">
        <v>300.0</v>
      </c>
      <c r="W513" s="173"/>
    </row>
    <row r="514" ht="22.5" customHeight="1">
      <c r="A5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SUBSTITUTE(E514, """", """")"),"#REF!")</f>
        <v>#REF!</v>
      </c>
      <c r="B514" s="146"/>
      <c r="C514" s="146"/>
      <c r="D514" s="146"/>
      <c r="E514" s="44"/>
      <c r="F514" s="147"/>
      <c r="G514" s="146"/>
      <c r="H514" s="148"/>
      <c r="I514" s="148"/>
      <c r="J514" s="170"/>
      <c r="K514" s="170"/>
      <c r="L514" s="170"/>
      <c r="M514" s="170"/>
      <c r="N514" s="170"/>
      <c r="O514" s="170"/>
      <c r="P514" s="170"/>
      <c r="Q514" s="170"/>
      <c r="R514" s="170"/>
      <c r="S514" s="153"/>
      <c r="T514" s="171"/>
      <c r="U514" s="156" t="str">
        <f t="shared" si="8"/>
        <v>#DIV/0!</v>
      </c>
      <c r="V514" s="172">
        <v>300.0</v>
      </c>
      <c r="W514" s="173"/>
    </row>
    <row r="515" ht="22.5" customHeight="1">
      <c r="A5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SUBSTITUTE(E515, """", """")"),"#REF!")</f>
        <v>#REF!</v>
      </c>
      <c r="B515" s="146"/>
      <c r="C515" s="146"/>
      <c r="D515" s="146"/>
      <c r="E515" s="44"/>
      <c r="F515" s="147"/>
      <c r="G515" s="146"/>
      <c r="H515" s="148"/>
      <c r="I515" s="148"/>
      <c r="J515" s="170"/>
      <c r="K515" s="170"/>
      <c r="L515" s="170"/>
      <c r="M515" s="170"/>
      <c r="N515" s="170"/>
      <c r="O515" s="170"/>
      <c r="P515" s="170"/>
      <c r="Q515" s="170"/>
      <c r="R515" s="170"/>
      <c r="S515" s="153"/>
      <c r="T515" s="171"/>
      <c r="U515" s="156" t="str">
        <f t="shared" si="8"/>
        <v>#DIV/0!</v>
      </c>
      <c r="V515" s="172">
        <v>300.0</v>
      </c>
      <c r="W515" s="173"/>
    </row>
    <row r="516" ht="22.5" customHeight="1">
      <c r="A5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SUBSTITUTE(E516, """", """")"),"#REF!")</f>
        <v>#REF!</v>
      </c>
      <c r="B516" s="146"/>
      <c r="C516" s="146"/>
      <c r="D516" s="146"/>
      <c r="E516" s="44"/>
      <c r="F516" s="147"/>
      <c r="G516" s="146"/>
      <c r="H516" s="148"/>
      <c r="I516" s="148"/>
      <c r="J516" s="170"/>
      <c r="K516" s="170"/>
      <c r="L516" s="170"/>
      <c r="M516" s="170"/>
      <c r="N516" s="170"/>
      <c r="O516" s="170"/>
      <c r="P516" s="170"/>
      <c r="Q516" s="170"/>
      <c r="R516" s="170"/>
      <c r="S516" s="153"/>
      <c r="T516" s="171"/>
      <c r="U516" s="156" t="str">
        <f t="shared" si="8"/>
        <v>#DIV/0!</v>
      </c>
      <c r="V516" s="172">
        <v>300.0</v>
      </c>
      <c r="W516" s="173"/>
    </row>
    <row r="517" ht="22.5" customHeight="1">
      <c r="A5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SUBSTITUTE(E517, """", """")"),"#REF!")</f>
        <v>#REF!</v>
      </c>
      <c r="B517" s="146"/>
      <c r="C517" s="146"/>
      <c r="D517" s="146"/>
      <c r="E517" s="44"/>
      <c r="F517" s="147"/>
      <c r="G517" s="146"/>
      <c r="H517" s="148"/>
      <c r="I517" s="148"/>
      <c r="J517" s="170"/>
      <c r="K517" s="170"/>
      <c r="L517" s="170"/>
      <c r="M517" s="170"/>
      <c r="N517" s="170"/>
      <c r="O517" s="170"/>
      <c r="P517" s="170"/>
      <c r="Q517" s="170"/>
      <c r="R517" s="170"/>
      <c r="S517" s="153"/>
      <c r="T517" s="171"/>
      <c r="U517" s="156" t="str">
        <f t="shared" si="8"/>
        <v>#DIV/0!</v>
      </c>
      <c r="V517" s="172">
        <v>300.0</v>
      </c>
      <c r="W517" s="173"/>
    </row>
    <row r="518" ht="22.5" customHeight="1">
      <c r="A5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SUBSTITUTE(E518, """", """")"),"#REF!")</f>
        <v>#REF!</v>
      </c>
      <c r="B518" s="146"/>
      <c r="C518" s="146"/>
      <c r="D518" s="146"/>
      <c r="E518" s="44"/>
      <c r="F518" s="147"/>
      <c r="G518" s="146"/>
      <c r="H518" s="148"/>
      <c r="I518" s="148"/>
      <c r="J518" s="170"/>
      <c r="K518" s="170"/>
      <c r="L518" s="170"/>
      <c r="M518" s="170"/>
      <c r="N518" s="170"/>
      <c r="O518" s="170"/>
      <c r="P518" s="170"/>
      <c r="Q518" s="170"/>
      <c r="R518" s="170"/>
      <c r="S518" s="153"/>
      <c r="T518" s="171"/>
      <c r="U518" s="156" t="str">
        <f t="shared" si="8"/>
        <v>#DIV/0!</v>
      </c>
      <c r="V518" s="172">
        <v>300.0</v>
      </c>
      <c r="W518" s="173"/>
    </row>
    <row r="519" ht="22.5" customHeight="1">
      <c r="A5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SUBSTITUTE(E519, """", """")"),"#REF!")</f>
        <v>#REF!</v>
      </c>
      <c r="B519" s="146"/>
      <c r="C519" s="146"/>
      <c r="D519" s="146"/>
      <c r="E519" s="44"/>
      <c r="F519" s="147"/>
      <c r="G519" s="146"/>
      <c r="H519" s="148"/>
      <c r="I519" s="148"/>
      <c r="J519" s="170"/>
      <c r="K519" s="170"/>
      <c r="L519" s="170"/>
      <c r="M519" s="170"/>
      <c r="N519" s="170"/>
      <c r="O519" s="170"/>
      <c r="P519" s="170"/>
      <c r="Q519" s="170"/>
      <c r="R519" s="170"/>
      <c r="S519" s="153"/>
      <c r="T519" s="171"/>
      <c r="U519" s="156" t="str">
        <f t="shared" si="8"/>
        <v>#DIV/0!</v>
      </c>
      <c r="V519" s="172">
        <v>300.0</v>
      </c>
      <c r="W519" s="173"/>
    </row>
    <row r="520" ht="22.5" customHeight="1">
      <c r="A5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SUBSTITUTE(E520, """", """")"),"#REF!")</f>
        <v>#REF!</v>
      </c>
      <c r="B520" s="146"/>
      <c r="C520" s="146"/>
      <c r="D520" s="146"/>
      <c r="E520" s="44"/>
      <c r="F520" s="147"/>
      <c r="G520" s="146"/>
      <c r="H520" s="148"/>
      <c r="I520" s="148"/>
      <c r="J520" s="170"/>
      <c r="K520" s="170"/>
      <c r="L520" s="170"/>
      <c r="M520" s="170"/>
      <c r="N520" s="170"/>
      <c r="O520" s="170"/>
      <c r="P520" s="170"/>
      <c r="Q520" s="170"/>
      <c r="R520" s="170"/>
      <c r="S520" s="153"/>
      <c r="T520" s="171"/>
      <c r="U520" s="156" t="str">
        <f t="shared" si="8"/>
        <v>#DIV/0!</v>
      </c>
      <c r="V520" s="172">
        <v>300.0</v>
      </c>
      <c r="W520" s="173"/>
    </row>
    <row r="521" ht="22.5" customHeight="1">
      <c r="A5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SUBSTITUTE(E521, """", """")"),"#REF!")</f>
        <v>#REF!</v>
      </c>
      <c r="B521" s="146"/>
      <c r="C521" s="146"/>
      <c r="D521" s="146"/>
      <c r="E521" s="44"/>
      <c r="F521" s="147"/>
      <c r="G521" s="146"/>
      <c r="H521" s="148"/>
      <c r="I521" s="148"/>
      <c r="J521" s="170"/>
      <c r="K521" s="170"/>
      <c r="L521" s="170"/>
      <c r="M521" s="170"/>
      <c r="N521" s="170"/>
      <c r="O521" s="170"/>
      <c r="P521" s="170"/>
      <c r="Q521" s="170"/>
      <c r="R521" s="170"/>
      <c r="S521" s="153"/>
      <c r="T521" s="171"/>
      <c r="U521" s="156" t="str">
        <f t="shared" si="8"/>
        <v>#DIV/0!</v>
      </c>
      <c r="V521" s="172">
        <v>300.0</v>
      </c>
      <c r="W521" s="173"/>
    </row>
    <row r="522" ht="22.5" customHeight="1">
      <c r="A5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SUBSTITUTE(E522, """", """")"),"#REF!")</f>
        <v>#REF!</v>
      </c>
      <c r="B522" s="146"/>
      <c r="C522" s="146"/>
      <c r="D522" s="146"/>
      <c r="E522" s="44"/>
      <c r="F522" s="147"/>
      <c r="G522" s="146"/>
      <c r="H522" s="148"/>
      <c r="I522" s="148"/>
      <c r="J522" s="170"/>
      <c r="K522" s="170"/>
      <c r="L522" s="170"/>
      <c r="M522" s="170"/>
      <c r="N522" s="170"/>
      <c r="O522" s="170"/>
      <c r="P522" s="170"/>
      <c r="Q522" s="170"/>
      <c r="R522" s="170"/>
      <c r="S522" s="153"/>
      <c r="T522" s="171"/>
      <c r="U522" s="156" t="str">
        <f t="shared" si="8"/>
        <v>#DIV/0!</v>
      </c>
      <c r="V522" s="172">
        <v>300.0</v>
      </c>
      <c r="W522" s="173"/>
    </row>
    <row r="523" ht="22.5" customHeight="1">
      <c r="A5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SUBSTITUTE(E523, """", """")"),"#REF!")</f>
        <v>#REF!</v>
      </c>
      <c r="B523" s="146"/>
      <c r="C523" s="146"/>
      <c r="D523" s="146"/>
      <c r="E523" s="44"/>
      <c r="F523" s="147"/>
      <c r="G523" s="146"/>
      <c r="H523" s="148"/>
      <c r="I523" s="148"/>
      <c r="J523" s="170"/>
      <c r="K523" s="170"/>
      <c r="L523" s="170"/>
      <c r="M523" s="170"/>
      <c r="N523" s="170"/>
      <c r="O523" s="170"/>
      <c r="P523" s="170"/>
      <c r="Q523" s="170"/>
      <c r="R523" s="170"/>
      <c r="S523" s="153"/>
      <c r="T523" s="171"/>
      <c r="U523" s="156" t="str">
        <f t="shared" si="8"/>
        <v>#DIV/0!</v>
      </c>
      <c r="V523" s="172">
        <v>300.0</v>
      </c>
      <c r="W523" s="173"/>
    </row>
    <row r="524" ht="22.5" customHeight="1">
      <c r="A5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SUBSTITUTE(E524, """", """")"),"#REF!")</f>
        <v>#REF!</v>
      </c>
      <c r="B524" s="146"/>
      <c r="C524" s="146"/>
      <c r="D524" s="146"/>
      <c r="E524" s="44"/>
      <c r="F524" s="147"/>
      <c r="G524" s="146"/>
      <c r="H524" s="148"/>
      <c r="I524" s="148"/>
      <c r="J524" s="170"/>
      <c r="K524" s="170"/>
      <c r="L524" s="170"/>
      <c r="M524" s="170"/>
      <c r="N524" s="170"/>
      <c r="O524" s="170"/>
      <c r="P524" s="170"/>
      <c r="Q524" s="170"/>
      <c r="R524" s="170"/>
      <c r="S524" s="153"/>
      <c r="T524" s="171"/>
      <c r="U524" s="156" t="str">
        <f t="shared" si="8"/>
        <v>#DIV/0!</v>
      </c>
      <c r="V524" s="172">
        <v>300.0</v>
      </c>
      <c r="W524" s="173"/>
    </row>
    <row r="525" ht="22.5" customHeight="1">
      <c r="A5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SUBSTITUTE(E525, """", """")"),"#REF!")</f>
        <v>#REF!</v>
      </c>
      <c r="B525" s="146"/>
      <c r="C525" s="146"/>
      <c r="D525" s="146"/>
      <c r="E525" s="44"/>
      <c r="F525" s="147"/>
      <c r="G525" s="146"/>
      <c r="H525" s="148"/>
      <c r="I525" s="148"/>
      <c r="J525" s="170"/>
      <c r="K525" s="170"/>
      <c r="L525" s="170"/>
      <c r="M525" s="170"/>
      <c r="N525" s="170"/>
      <c r="O525" s="170"/>
      <c r="P525" s="170"/>
      <c r="Q525" s="170"/>
      <c r="R525" s="170"/>
      <c r="S525" s="153"/>
      <c r="T525" s="171"/>
      <c r="U525" s="156" t="str">
        <f t="shared" si="8"/>
        <v>#DIV/0!</v>
      </c>
      <c r="V525" s="172">
        <v>300.0</v>
      </c>
      <c r="W525" s="173"/>
    </row>
    <row r="526" ht="22.5" customHeight="1">
      <c r="A5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SUBSTITUTE(E526, """", """")"),"#REF!")</f>
        <v>#REF!</v>
      </c>
      <c r="B526" s="146"/>
      <c r="C526" s="146"/>
      <c r="D526" s="146"/>
      <c r="E526" s="44"/>
      <c r="F526" s="147"/>
      <c r="G526" s="146"/>
      <c r="H526" s="148"/>
      <c r="I526" s="148"/>
      <c r="J526" s="170"/>
      <c r="K526" s="170"/>
      <c r="L526" s="170"/>
      <c r="M526" s="170"/>
      <c r="N526" s="170"/>
      <c r="O526" s="170"/>
      <c r="P526" s="170"/>
      <c r="Q526" s="170"/>
      <c r="R526" s="170"/>
      <c r="S526" s="153"/>
      <c r="T526" s="171"/>
      <c r="U526" s="156" t="str">
        <f t="shared" si="8"/>
        <v>#DIV/0!</v>
      </c>
      <c r="V526" s="172">
        <v>300.0</v>
      </c>
      <c r="W526" s="173"/>
    </row>
    <row r="527" ht="22.5" customHeight="1">
      <c r="A5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SUBSTITUTE(E527, """", """")"),"#REF!")</f>
        <v>#REF!</v>
      </c>
      <c r="B527" s="146"/>
      <c r="C527" s="146"/>
      <c r="D527" s="146"/>
      <c r="E527" s="44"/>
      <c r="F527" s="147"/>
      <c r="G527" s="146"/>
      <c r="H527" s="148"/>
      <c r="I527" s="148"/>
      <c r="J527" s="170"/>
      <c r="K527" s="170"/>
      <c r="L527" s="170"/>
      <c r="M527" s="170"/>
      <c r="N527" s="170"/>
      <c r="O527" s="170"/>
      <c r="P527" s="170"/>
      <c r="Q527" s="170"/>
      <c r="R527" s="170"/>
      <c r="S527" s="153"/>
      <c r="T527" s="171"/>
      <c r="U527" s="156" t="str">
        <f t="shared" si="8"/>
        <v>#DIV/0!</v>
      </c>
      <c r="V527" s="172">
        <v>300.0</v>
      </c>
      <c r="W527" s="173"/>
    </row>
    <row r="528" ht="22.5" customHeight="1">
      <c r="A5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SUBSTITUTE(E528, """", """")"),"#REF!")</f>
        <v>#REF!</v>
      </c>
      <c r="B528" s="146"/>
      <c r="C528" s="146"/>
      <c r="D528" s="146"/>
      <c r="E528" s="44"/>
      <c r="F528" s="147"/>
      <c r="G528" s="146"/>
      <c r="H528" s="148"/>
      <c r="I528" s="148"/>
      <c r="J528" s="170"/>
      <c r="K528" s="170"/>
      <c r="L528" s="170"/>
      <c r="M528" s="170"/>
      <c r="N528" s="170"/>
      <c r="O528" s="170"/>
      <c r="P528" s="170"/>
      <c r="Q528" s="170"/>
      <c r="R528" s="170"/>
      <c r="S528" s="153"/>
      <c r="T528" s="171"/>
      <c r="U528" s="156" t="str">
        <f t="shared" si="8"/>
        <v>#DIV/0!</v>
      </c>
      <c r="V528" s="172">
        <v>300.0</v>
      </c>
      <c r="W528" s="173"/>
    </row>
    <row r="529" ht="22.5" customHeight="1">
      <c r="A5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SUBSTITUTE(E529, """", """")"),"#REF!")</f>
        <v>#REF!</v>
      </c>
      <c r="B529" s="146"/>
      <c r="C529" s="146"/>
      <c r="D529" s="146"/>
      <c r="E529" s="44"/>
      <c r="F529" s="147"/>
      <c r="G529" s="146"/>
      <c r="H529" s="148"/>
      <c r="I529" s="148"/>
      <c r="J529" s="170"/>
      <c r="K529" s="170"/>
      <c r="L529" s="170"/>
      <c r="M529" s="170"/>
      <c r="N529" s="170"/>
      <c r="O529" s="170"/>
      <c r="P529" s="170"/>
      <c r="Q529" s="170"/>
      <c r="R529" s="170"/>
      <c r="S529" s="153"/>
      <c r="T529" s="171"/>
      <c r="U529" s="156" t="str">
        <f t="shared" si="8"/>
        <v>#DIV/0!</v>
      </c>
      <c r="V529" s="172">
        <v>300.0</v>
      </c>
      <c r="W529" s="173"/>
    </row>
    <row r="530" ht="22.5" customHeight="1">
      <c r="A5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SUBSTITUTE(E530, """", """")"),"#REF!")</f>
        <v>#REF!</v>
      </c>
      <c r="B530" s="146"/>
      <c r="C530" s="146"/>
      <c r="D530" s="146"/>
      <c r="E530" s="44"/>
      <c r="F530" s="147"/>
      <c r="G530" s="146"/>
      <c r="H530" s="148"/>
      <c r="I530" s="148"/>
      <c r="J530" s="170"/>
      <c r="K530" s="170"/>
      <c r="L530" s="170"/>
      <c r="M530" s="170"/>
      <c r="N530" s="170"/>
      <c r="O530" s="170"/>
      <c r="P530" s="170"/>
      <c r="Q530" s="170"/>
      <c r="R530" s="170"/>
      <c r="S530" s="153"/>
      <c r="T530" s="171"/>
      <c r="U530" s="156" t="str">
        <f t="shared" si="8"/>
        <v>#DIV/0!</v>
      </c>
      <c r="V530" s="172">
        <v>300.0</v>
      </c>
      <c r="W530" s="173"/>
    </row>
    <row r="531" ht="22.5" customHeight="1">
      <c r="A5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SUBSTITUTE(E531, """", """")"),"#REF!")</f>
        <v>#REF!</v>
      </c>
      <c r="B531" s="146"/>
      <c r="C531" s="146"/>
      <c r="D531" s="146"/>
      <c r="E531" s="44"/>
      <c r="F531" s="147"/>
      <c r="G531" s="146"/>
      <c r="H531" s="148"/>
      <c r="I531" s="148"/>
      <c r="J531" s="170"/>
      <c r="K531" s="170"/>
      <c r="L531" s="170"/>
      <c r="M531" s="170"/>
      <c r="N531" s="170"/>
      <c r="O531" s="170"/>
      <c r="P531" s="170"/>
      <c r="Q531" s="170"/>
      <c r="R531" s="170"/>
      <c r="S531" s="153"/>
      <c r="T531" s="171"/>
      <c r="U531" s="156" t="str">
        <f t="shared" si="8"/>
        <v>#DIV/0!</v>
      </c>
      <c r="V531" s="172">
        <v>300.0</v>
      </c>
      <c r="W531" s="173"/>
    </row>
    <row r="532" ht="22.5" customHeight="1">
      <c r="A5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SUBSTITUTE(E532, """", """")"),"#REF!")</f>
        <v>#REF!</v>
      </c>
      <c r="B532" s="146"/>
      <c r="C532" s="146"/>
      <c r="D532" s="146"/>
      <c r="E532" s="44"/>
      <c r="F532" s="147"/>
      <c r="G532" s="146"/>
      <c r="H532" s="148"/>
      <c r="I532" s="148"/>
      <c r="J532" s="170"/>
      <c r="K532" s="170"/>
      <c r="L532" s="170"/>
      <c r="M532" s="170"/>
      <c r="N532" s="170"/>
      <c r="O532" s="170"/>
      <c r="P532" s="170"/>
      <c r="Q532" s="170"/>
      <c r="R532" s="170"/>
      <c r="S532" s="153"/>
      <c r="T532" s="171"/>
      <c r="U532" s="156" t="str">
        <f t="shared" si="8"/>
        <v>#DIV/0!</v>
      </c>
      <c r="V532" s="172">
        <v>300.0</v>
      </c>
      <c r="W532" s="173"/>
    </row>
    <row r="533" ht="22.5" customHeight="1">
      <c r="A5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SUBSTITUTE(E533, """", """")"),"#REF!")</f>
        <v>#REF!</v>
      </c>
      <c r="B533" s="146"/>
      <c r="C533" s="146"/>
      <c r="D533" s="146"/>
      <c r="E533" s="44"/>
      <c r="F533" s="147"/>
      <c r="G533" s="146"/>
      <c r="H533" s="148"/>
      <c r="I533" s="148"/>
      <c r="J533" s="170"/>
      <c r="K533" s="170"/>
      <c r="L533" s="170"/>
      <c r="M533" s="170"/>
      <c r="N533" s="170"/>
      <c r="O533" s="170"/>
      <c r="P533" s="170"/>
      <c r="Q533" s="170"/>
      <c r="R533" s="170"/>
      <c r="S533" s="153"/>
      <c r="T533" s="171"/>
      <c r="U533" s="156" t="str">
        <f t="shared" si="8"/>
        <v>#DIV/0!</v>
      </c>
      <c r="V533" s="172">
        <v>300.0</v>
      </c>
      <c r="W533" s="173"/>
    </row>
    <row r="534" ht="22.5" customHeight="1">
      <c r="A5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SUBSTITUTE(E534, """", """")"),"#REF!")</f>
        <v>#REF!</v>
      </c>
      <c r="B534" s="146"/>
      <c r="C534" s="146"/>
      <c r="D534" s="146"/>
      <c r="E534" s="44"/>
      <c r="F534" s="147"/>
      <c r="G534" s="146"/>
      <c r="H534" s="148"/>
      <c r="I534" s="148"/>
      <c r="J534" s="170"/>
      <c r="K534" s="170"/>
      <c r="L534" s="170"/>
      <c r="M534" s="170"/>
      <c r="N534" s="170"/>
      <c r="O534" s="170"/>
      <c r="P534" s="170"/>
      <c r="Q534" s="170"/>
      <c r="R534" s="170"/>
      <c r="S534" s="153"/>
      <c r="T534" s="171"/>
      <c r="U534" s="156" t="str">
        <f t="shared" si="8"/>
        <v>#DIV/0!</v>
      </c>
      <c r="V534" s="172">
        <v>300.0</v>
      </c>
      <c r="W534" s="173"/>
    </row>
    <row r="535" ht="22.5" customHeight="1">
      <c r="A5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SUBSTITUTE(E535, """", """")"),"#REF!")</f>
        <v>#REF!</v>
      </c>
      <c r="B535" s="146"/>
      <c r="C535" s="146"/>
      <c r="D535" s="146"/>
      <c r="E535" s="44"/>
      <c r="F535" s="147"/>
      <c r="G535" s="146"/>
      <c r="H535" s="148"/>
      <c r="I535" s="148"/>
      <c r="J535" s="170"/>
      <c r="K535" s="170"/>
      <c r="L535" s="170"/>
      <c r="M535" s="170"/>
      <c r="N535" s="170"/>
      <c r="O535" s="170"/>
      <c r="P535" s="170"/>
      <c r="Q535" s="170"/>
      <c r="R535" s="170"/>
      <c r="S535" s="153"/>
      <c r="T535" s="171"/>
      <c r="U535" s="156" t="str">
        <f t="shared" si="8"/>
        <v>#DIV/0!</v>
      </c>
      <c r="V535" s="172">
        <v>300.0</v>
      </c>
      <c r="W535" s="173"/>
    </row>
    <row r="536" ht="22.5" customHeight="1">
      <c r="A5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SUBSTITUTE(E536, """", """")"),"#REF!")</f>
        <v>#REF!</v>
      </c>
      <c r="B536" s="146"/>
      <c r="C536" s="146"/>
      <c r="D536" s="146"/>
      <c r="E536" s="44"/>
      <c r="F536" s="147"/>
      <c r="G536" s="146"/>
      <c r="H536" s="148"/>
      <c r="I536" s="148"/>
      <c r="J536" s="170"/>
      <c r="K536" s="170"/>
      <c r="L536" s="170"/>
      <c r="M536" s="170"/>
      <c r="N536" s="170"/>
      <c r="O536" s="170"/>
      <c r="P536" s="170"/>
      <c r="Q536" s="170"/>
      <c r="R536" s="170"/>
      <c r="S536" s="153"/>
      <c r="T536" s="171"/>
      <c r="U536" s="156" t="str">
        <f t="shared" si="8"/>
        <v>#DIV/0!</v>
      </c>
      <c r="V536" s="172">
        <v>300.0</v>
      </c>
      <c r="W536" s="173"/>
    </row>
    <row r="537" ht="22.5" customHeight="1">
      <c r="A5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SUBSTITUTE(E537, """", """")"),"#REF!")</f>
        <v>#REF!</v>
      </c>
      <c r="B537" s="146"/>
      <c r="C537" s="146"/>
      <c r="D537" s="146"/>
      <c r="E537" s="44"/>
      <c r="F537" s="147"/>
      <c r="G537" s="146"/>
      <c r="H537" s="148"/>
      <c r="I537" s="148"/>
      <c r="J537" s="170"/>
      <c r="K537" s="170"/>
      <c r="L537" s="170"/>
      <c r="M537" s="170"/>
      <c r="N537" s="170"/>
      <c r="O537" s="170"/>
      <c r="P537" s="170"/>
      <c r="Q537" s="170"/>
      <c r="R537" s="170"/>
      <c r="S537" s="153"/>
      <c r="T537" s="171"/>
      <c r="U537" s="156" t="str">
        <f t="shared" si="8"/>
        <v>#DIV/0!</v>
      </c>
      <c r="V537" s="172">
        <v>300.0</v>
      </c>
      <c r="W537" s="173"/>
    </row>
    <row r="538" ht="22.5" customHeight="1">
      <c r="A5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SUBSTITUTE(E538, """", """")"),"#REF!")</f>
        <v>#REF!</v>
      </c>
      <c r="B538" s="146"/>
      <c r="C538" s="146"/>
      <c r="D538" s="146"/>
      <c r="E538" s="44"/>
      <c r="F538" s="147"/>
      <c r="G538" s="146"/>
      <c r="H538" s="148"/>
      <c r="I538" s="148"/>
      <c r="J538" s="170"/>
      <c r="K538" s="170"/>
      <c r="L538" s="170"/>
      <c r="M538" s="170"/>
      <c r="N538" s="170"/>
      <c r="O538" s="170"/>
      <c r="P538" s="170"/>
      <c r="Q538" s="170"/>
      <c r="R538" s="170"/>
      <c r="S538" s="153"/>
      <c r="T538" s="171"/>
      <c r="U538" s="156" t="str">
        <f t="shared" si="8"/>
        <v>#DIV/0!</v>
      </c>
      <c r="V538" s="172">
        <v>300.0</v>
      </c>
      <c r="W538" s="173"/>
    </row>
    <row r="539" ht="22.5" customHeight="1">
      <c r="A5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SUBSTITUTE(E539, """", """")"),"#REF!")</f>
        <v>#REF!</v>
      </c>
      <c r="B539" s="146"/>
      <c r="C539" s="146"/>
      <c r="D539" s="146"/>
      <c r="E539" s="44"/>
      <c r="F539" s="147"/>
      <c r="G539" s="146"/>
      <c r="H539" s="148"/>
      <c r="I539" s="148"/>
      <c r="J539" s="170"/>
      <c r="K539" s="170"/>
      <c r="L539" s="170"/>
      <c r="M539" s="170"/>
      <c r="N539" s="170"/>
      <c r="O539" s="170"/>
      <c r="P539" s="170"/>
      <c r="Q539" s="170"/>
      <c r="R539" s="170"/>
      <c r="S539" s="153"/>
      <c r="T539" s="171"/>
      <c r="U539" s="156" t="str">
        <f t="shared" si="8"/>
        <v>#DIV/0!</v>
      </c>
      <c r="V539" s="172">
        <v>300.0</v>
      </c>
      <c r="W539" s="173"/>
    </row>
    <row r="540" ht="22.5" customHeight="1">
      <c r="A5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SUBSTITUTE(E540, """", """")"),"#REF!")</f>
        <v>#REF!</v>
      </c>
      <c r="B540" s="146"/>
      <c r="C540" s="146"/>
      <c r="D540" s="146"/>
      <c r="E540" s="44"/>
      <c r="F540" s="147"/>
      <c r="G540" s="146"/>
      <c r="H540" s="148"/>
      <c r="I540" s="148"/>
      <c r="J540" s="170"/>
      <c r="K540" s="170"/>
      <c r="L540" s="170"/>
      <c r="M540" s="170"/>
      <c r="N540" s="170"/>
      <c r="O540" s="170"/>
      <c r="P540" s="170"/>
      <c r="Q540" s="170"/>
      <c r="R540" s="170"/>
      <c r="S540" s="153"/>
      <c r="T540" s="171"/>
      <c r="U540" s="156" t="str">
        <f t="shared" si="8"/>
        <v>#DIV/0!</v>
      </c>
      <c r="V540" s="172">
        <v>300.0</v>
      </c>
      <c r="W540" s="173"/>
    </row>
    <row r="541" ht="22.5" customHeight="1">
      <c r="A5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SUBSTITUTE(E541, """", """")"),"#REF!")</f>
        <v>#REF!</v>
      </c>
      <c r="B541" s="146"/>
      <c r="C541" s="146"/>
      <c r="D541" s="146"/>
      <c r="E541" s="44"/>
      <c r="F541" s="147"/>
      <c r="G541" s="146"/>
      <c r="H541" s="148"/>
      <c r="I541" s="148"/>
      <c r="J541" s="170"/>
      <c r="K541" s="170"/>
      <c r="L541" s="170"/>
      <c r="M541" s="170"/>
      <c r="N541" s="170"/>
      <c r="O541" s="170"/>
      <c r="P541" s="170"/>
      <c r="Q541" s="170"/>
      <c r="R541" s="170"/>
      <c r="S541" s="153"/>
      <c r="T541" s="171"/>
      <c r="U541" s="156" t="str">
        <f t="shared" si="8"/>
        <v>#DIV/0!</v>
      </c>
      <c r="V541" s="172">
        <v>300.0</v>
      </c>
      <c r="W541" s="173"/>
    </row>
    <row r="542" ht="22.5" customHeight="1">
      <c r="A5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SUBSTITUTE(E542, """", """")"),"#REF!")</f>
        <v>#REF!</v>
      </c>
      <c r="B542" s="146"/>
      <c r="C542" s="146"/>
      <c r="D542" s="146"/>
      <c r="E542" s="44"/>
      <c r="F542" s="147"/>
      <c r="G542" s="146"/>
      <c r="H542" s="148"/>
      <c r="I542" s="148"/>
      <c r="J542" s="170"/>
      <c r="K542" s="170"/>
      <c r="L542" s="170"/>
      <c r="M542" s="170"/>
      <c r="N542" s="170"/>
      <c r="O542" s="170"/>
      <c r="P542" s="170"/>
      <c r="Q542" s="170"/>
      <c r="R542" s="170"/>
      <c r="S542" s="153"/>
      <c r="T542" s="171"/>
      <c r="U542" s="156" t="str">
        <f t="shared" si="8"/>
        <v>#DIV/0!</v>
      </c>
      <c r="V542" s="172">
        <v>300.0</v>
      </c>
      <c r="W542" s="173"/>
    </row>
    <row r="543" ht="22.5" customHeight="1">
      <c r="A5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SUBSTITUTE(E543, """", """")"),"#REF!")</f>
        <v>#REF!</v>
      </c>
      <c r="B543" s="146"/>
      <c r="C543" s="146"/>
      <c r="D543" s="146"/>
      <c r="E543" s="44"/>
      <c r="F543" s="147"/>
      <c r="G543" s="146"/>
      <c r="H543" s="148"/>
      <c r="I543" s="148"/>
      <c r="J543" s="170"/>
      <c r="K543" s="170"/>
      <c r="L543" s="170"/>
      <c r="M543" s="170"/>
      <c r="N543" s="170"/>
      <c r="O543" s="170"/>
      <c r="P543" s="170"/>
      <c r="Q543" s="170"/>
      <c r="R543" s="170"/>
      <c r="S543" s="153"/>
      <c r="T543" s="171"/>
      <c r="U543" s="156" t="str">
        <f t="shared" si="8"/>
        <v>#DIV/0!</v>
      </c>
      <c r="V543" s="172">
        <v>300.0</v>
      </c>
      <c r="W543" s="173"/>
    </row>
    <row r="544" ht="22.5" customHeight="1">
      <c r="A5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SUBSTITUTE(E544, """", """")"),"#REF!")</f>
        <v>#REF!</v>
      </c>
      <c r="B544" s="146"/>
      <c r="C544" s="146"/>
      <c r="D544" s="146"/>
      <c r="E544" s="44"/>
      <c r="F544" s="147"/>
      <c r="G544" s="146"/>
      <c r="H544" s="148"/>
      <c r="I544" s="148"/>
      <c r="J544" s="170"/>
      <c r="K544" s="170"/>
      <c r="L544" s="170"/>
      <c r="M544" s="170"/>
      <c r="N544" s="170"/>
      <c r="O544" s="170"/>
      <c r="P544" s="170"/>
      <c r="Q544" s="170"/>
      <c r="R544" s="170"/>
      <c r="S544" s="153"/>
      <c r="T544" s="171"/>
      <c r="U544" s="156" t="str">
        <f t="shared" si="8"/>
        <v>#DIV/0!</v>
      </c>
      <c r="V544" s="172">
        <v>300.0</v>
      </c>
      <c r="W544" s="173"/>
    </row>
    <row r="545" ht="22.5" customHeight="1">
      <c r="A5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SUBSTITUTE(E545, """", """")"),"#REF!")</f>
        <v>#REF!</v>
      </c>
      <c r="B545" s="146"/>
      <c r="C545" s="146"/>
      <c r="D545" s="146"/>
      <c r="E545" s="44"/>
      <c r="F545" s="147"/>
      <c r="G545" s="146"/>
      <c r="H545" s="148"/>
      <c r="I545" s="148"/>
      <c r="J545" s="170"/>
      <c r="K545" s="170"/>
      <c r="L545" s="170"/>
      <c r="M545" s="170"/>
      <c r="N545" s="170"/>
      <c r="O545" s="170"/>
      <c r="P545" s="170"/>
      <c r="Q545" s="170"/>
      <c r="R545" s="170"/>
      <c r="S545" s="153"/>
      <c r="T545" s="171"/>
      <c r="U545" s="156" t="str">
        <f t="shared" si="8"/>
        <v>#DIV/0!</v>
      </c>
      <c r="V545" s="172">
        <v>300.0</v>
      </c>
      <c r="W545" s="173"/>
    </row>
    <row r="546" ht="22.5" customHeight="1">
      <c r="A5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SUBSTITUTE(E546, """", """")"),"#REF!")</f>
        <v>#REF!</v>
      </c>
      <c r="B546" s="146"/>
      <c r="C546" s="146"/>
      <c r="D546" s="146"/>
      <c r="E546" s="44"/>
      <c r="F546" s="147"/>
      <c r="G546" s="146"/>
      <c r="H546" s="148"/>
      <c r="I546" s="148"/>
      <c r="J546" s="170"/>
      <c r="K546" s="170"/>
      <c r="L546" s="170"/>
      <c r="M546" s="170"/>
      <c r="N546" s="170"/>
      <c r="O546" s="170"/>
      <c r="P546" s="170"/>
      <c r="Q546" s="170"/>
      <c r="R546" s="170"/>
      <c r="S546" s="153"/>
      <c r="T546" s="171"/>
      <c r="U546" s="156" t="str">
        <f t="shared" si="8"/>
        <v>#DIV/0!</v>
      </c>
      <c r="V546" s="172">
        <v>300.0</v>
      </c>
      <c r="W546" s="173"/>
    </row>
    <row r="547" ht="22.5" customHeight="1">
      <c r="A54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SUBSTITUTE(E547, """", """")"),"#REF!")</f>
        <v>#REF!</v>
      </c>
      <c r="B547" s="146"/>
      <c r="C547" s="146"/>
      <c r="D547" s="146"/>
      <c r="E547" s="44"/>
      <c r="F547" s="147"/>
      <c r="G547" s="146"/>
      <c r="H547" s="148"/>
      <c r="I547" s="148"/>
      <c r="J547" s="170"/>
      <c r="K547" s="170"/>
      <c r="L547" s="170"/>
      <c r="M547" s="170"/>
      <c r="N547" s="170"/>
      <c r="O547" s="170"/>
      <c r="P547" s="170"/>
      <c r="Q547" s="170"/>
      <c r="R547" s="170"/>
      <c r="S547" s="153"/>
      <c r="T547" s="171"/>
      <c r="U547" s="156" t="str">
        <f t="shared" si="8"/>
        <v>#DIV/0!</v>
      </c>
      <c r="V547" s="172">
        <v>300.0</v>
      </c>
      <c r="W547" s="173"/>
    </row>
    <row r="548" ht="22.5" customHeight="1">
      <c r="A54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SUBSTITUTE(E548, """", """")"),"#REF!")</f>
        <v>#REF!</v>
      </c>
      <c r="B548" s="146"/>
      <c r="C548" s="146"/>
      <c r="D548" s="146"/>
      <c r="E548" s="44"/>
      <c r="F548" s="147"/>
      <c r="G548" s="146"/>
      <c r="H548" s="148"/>
      <c r="I548" s="148"/>
      <c r="J548" s="170"/>
      <c r="K548" s="170"/>
      <c r="L548" s="170"/>
      <c r="M548" s="170"/>
      <c r="N548" s="170"/>
      <c r="O548" s="170"/>
      <c r="P548" s="170"/>
      <c r="Q548" s="170"/>
      <c r="R548" s="170"/>
      <c r="S548" s="153"/>
      <c r="T548" s="171"/>
      <c r="U548" s="156" t="str">
        <f t="shared" si="8"/>
        <v>#DIV/0!</v>
      </c>
      <c r="V548" s="172">
        <v>300.0</v>
      </c>
      <c r="W548" s="173"/>
    </row>
    <row r="549" ht="22.5" customHeight="1">
      <c r="A54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SUBSTITUTE(E549, """", """")"),"#REF!")</f>
        <v>#REF!</v>
      </c>
      <c r="B549" s="146"/>
      <c r="C549" s="146"/>
      <c r="D549" s="146"/>
      <c r="E549" s="44"/>
      <c r="F549" s="147"/>
      <c r="G549" s="146"/>
      <c r="H549" s="148"/>
      <c r="I549" s="148"/>
      <c r="J549" s="170"/>
      <c r="K549" s="170"/>
      <c r="L549" s="170"/>
      <c r="M549" s="170"/>
      <c r="N549" s="170"/>
      <c r="O549" s="170"/>
      <c r="P549" s="170"/>
      <c r="Q549" s="170"/>
      <c r="R549" s="170"/>
      <c r="S549" s="153"/>
      <c r="T549" s="171"/>
      <c r="U549" s="156" t="str">
        <f t="shared" si="8"/>
        <v>#DIV/0!</v>
      </c>
      <c r="V549" s="172">
        <v>300.0</v>
      </c>
      <c r="W549" s="173"/>
    </row>
    <row r="550" ht="22.5" customHeight="1">
      <c r="A55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SUBSTITUTE(E550, """", """")"),"#REF!")</f>
        <v>#REF!</v>
      </c>
      <c r="B550" s="146"/>
      <c r="C550" s="146"/>
      <c r="D550" s="146"/>
      <c r="E550" s="44"/>
      <c r="F550" s="147"/>
      <c r="G550" s="146"/>
      <c r="H550" s="148"/>
      <c r="I550" s="148"/>
      <c r="J550" s="170"/>
      <c r="K550" s="170"/>
      <c r="L550" s="170"/>
      <c r="M550" s="170"/>
      <c r="N550" s="170"/>
      <c r="O550" s="170"/>
      <c r="P550" s="170"/>
      <c r="Q550" s="170"/>
      <c r="R550" s="170"/>
      <c r="S550" s="153"/>
      <c r="T550" s="171"/>
      <c r="U550" s="156" t="str">
        <f t="shared" si="8"/>
        <v>#DIV/0!</v>
      </c>
      <c r="V550" s="172">
        <v>300.0</v>
      </c>
      <c r="W550" s="173"/>
    </row>
    <row r="551" ht="22.5" customHeight="1">
      <c r="A55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SUBSTITUTE(E551, """", """")"),"#REF!")</f>
        <v>#REF!</v>
      </c>
      <c r="B551" s="146"/>
      <c r="C551" s="146"/>
      <c r="D551" s="146"/>
      <c r="E551" s="44"/>
      <c r="F551" s="147"/>
      <c r="G551" s="146"/>
      <c r="H551" s="148"/>
      <c r="I551" s="148"/>
      <c r="J551" s="170"/>
      <c r="K551" s="170"/>
      <c r="L551" s="170"/>
      <c r="M551" s="170"/>
      <c r="N551" s="170"/>
      <c r="O551" s="170"/>
      <c r="P551" s="170"/>
      <c r="Q551" s="170"/>
      <c r="R551" s="170"/>
      <c r="S551" s="153"/>
      <c r="T551" s="171"/>
      <c r="U551" s="156" t="str">
        <f t="shared" si="8"/>
        <v>#DIV/0!</v>
      </c>
      <c r="V551" s="172">
        <v>300.0</v>
      </c>
      <c r="W551" s="173"/>
    </row>
    <row r="552" ht="22.5" customHeight="1">
      <c r="A55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SUBSTITUTE(E552, """", """")"),"#REF!")</f>
        <v>#REF!</v>
      </c>
      <c r="B552" s="146"/>
      <c r="C552" s="146"/>
      <c r="D552" s="146"/>
      <c r="E552" s="44"/>
      <c r="F552" s="147"/>
      <c r="G552" s="146"/>
      <c r="H552" s="148"/>
      <c r="I552" s="148"/>
      <c r="J552" s="170"/>
      <c r="K552" s="170"/>
      <c r="L552" s="170"/>
      <c r="M552" s="170"/>
      <c r="N552" s="170"/>
      <c r="O552" s="170"/>
      <c r="P552" s="170"/>
      <c r="Q552" s="170"/>
      <c r="R552" s="170"/>
      <c r="S552" s="153"/>
      <c r="T552" s="171"/>
      <c r="U552" s="156" t="str">
        <f t="shared" si="8"/>
        <v>#DIV/0!</v>
      </c>
      <c r="V552" s="172">
        <v>300.0</v>
      </c>
      <c r="W552" s="173"/>
    </row>
    <row r="553" ht="22.5" customHeight="1">
      <c r="A55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SUBSTITUTE(E553, """", """")"),"#REF!")</f>
        <v>#REF!</v>
      </c>
      <c r="B553" s="146"/>
      <c r="C553" s="146"/>
      <c r="D553" s="146"/>
      <c r="E553" s="44"/>
      <c r="F553" s="147"/>
      <c r="G553" s="146"/>
      <c r="H553" s="148"/>
      <c r="I553" s="148"/>
      <c r="J553" s="170"/>
      <c r="K553" s="170"/>
      <c r="L553" s="170"/>
      <c r="M553" s="170"/>
      <c r="N553" s="170"/>
      <c r="O553" s="170"/>
      <c r="P553" s="170"/>
      <c r="Q553" s="170"/>
      <c r="R553" s="170"/>
      <c r="S553" s="153"/>
      <c r="T553" s="171"/>
      <c r="U553" s="156" t="str">
        <f t="shared" si="8"/>
        <v>#DIV/0!</v>
      </c>
      <c r="V553" s="172">
        <v>300.0</v>
      </c>
      <c r="W553" s="173"/>
    </row>
    <row r="554" ht="22.5" customHeight="1">
      <c r="A55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SUBSTITUTE(E554, """", """")"),"#REF!")</f>
        <v>#REF!</v>
      </c>
      <c r="B554" s="146"/>
      <c r="C554" s="146"/>
      <c r="D554" s="146"/>
      <c r="E554" s="44"/>
      <c r="F554" s="147"/>
      <c r="G554" s="146"/>
      <c r="H554" s="148"/>
      <c r="I554" s="148"/>
      <c r="J554" s="170"/>
      <c r="K554" s="170"/>
      <c r="L554" s="170"/>
      <c r="M554" s="170"/>
      <c r="N554" s="170"/>
      <c r="O554" s="170"/>
      <c r="P554" s="170"/>
      <c r="Q554" s="170"/>
      <c r="R554" s="170"/>
      <c r="S554" s="153"/>
      <c r="T554" s="171"/>
      <c r="U554" s="156" t="str">
        <f t="shared" si="8"/>
        <v>#DIV/0!</v>
      </c>
      <c r="V554" s="172">
        <v>300.0</v>
      </c>
      <c r="W554" s="173"/>
    </row>
    <row r="555" ht="22.5" customHeight="1">
      <c r="A55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SUBSTITUTE(E555, """", """")"),"#REF!")</f>
        <v>#REF!</v>
      </c>
      <c r="B555" s="146"/>
      <c r="C555" s="146"/>
      <c r="D555" s="146"/>
      <c r="E555" s="44"/>
      <c r="F555" s="147"/>
      <c r="G555" s="146"/>
      <c r="H555" s="148"/>
      <c r="I555" s="148"/>
      <c r="J555" s="170"/>
      <c r="K555" s="170"/>
      <c r="L555" s="170"/>
      <c r="M555" s="170"/>
      <c r="N555" s="170"/>
      <c r="O555" s="170"/>
      <c r="P555" s="170"/>
      <c r="Q555" s="170"/>
      <c r="R555" s="170"/>
      <c r="S555" s="153"/>
      <c r="T555" s="171"/>
      <c r="U555" s="156" t="str">
        <f t="shared" si="8"/>
        <v>#DIV/0!</v>
      </c>
      <c r="V555" s="172">
        <v>300.0</v>
      </c>
      <c r="W555" s="173"/>
    </row>
    <row r="556" ht="22.5" customHeight="1">
      <c r="A55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SUBSTITUTE(E556, """", """")"),"#REF!")</f>
        <v>#REF!</v>
      </c>
      <c r="B556" s="146"/>
      <c r="C556" s="146"/>
      <c r="D556" s="146"/>
      <c r="E556" s="44"/>
      <c r="F556" s="147"/>
      <c r="G556" s="146"/>
      <c r="H556" s="148"/>
      <c r="I556" s="148"/>
      <c r="J556" s="170"/>
      <c r="K556" s="170"/>
      <c r="L556" s="170"/>
      <c r="M556" s="170"/>
      <c r="N556" s="170"/>
      <c r="O556" s="170"/>
      <c r="P556" s="170"/>
      <c r="Q556" s="170"/>
      <c r="R556" s="170"/>
      <c r="S556" s="153"/>
      <c r="T556" s="171"/>
      <c r="U556" s="156" t="str">
        <f t="shared" si="8"/>
        <v>#DIV/0!</v>
      </c>
      <c r="V556" s="172">
        <v>300.0</v>
      </c>
      <c r="W556" s="173"/>
    </row>
    <row r="557" ht="22.5" customHeight="1">
      <c r="A55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SUBSTITUTE(E557, """", """")"),"#REF!")</f>
        <v>#REF!</v>
      </c>
      <c r="B557" s="146"/>
      <c r="C557" s="146"/>
      <c r="D557" s="146"/>
      <c r="E557" s="44"/>
      <c r="F557" s="147"/>
      <c r="G557" s="146"/>
      <c r="H557" s="148"/>
      <c r="I557" s="148"/>
      <c r="J557" s="170"/>
      <c r="K557" s="170"/>
      <c r="L557" s="170"/>
      <c r="M557" s="170"/>
      <c r="N557" s="170"/>
      <c r="O557" s="170"/>
      <c r="P557" s="170"/>
      <c r="Q557" s="170"/>
      <c r="R557" s="170"/>
      <c r="S557" s="153"/>
      <c r="T557" s="171"/>
      <c r="U557" s="156" t="str">
        <f t="shared" si="8"/>
        <v>#DIV/0!</v>
      </c>
      <c r="V557" s="172">
        <v>300.0</v>
      </c>
      <c r="W557" s="173"/>
    </row>
    <row r="558" ht="22.5" customHeight="1">
      <c r="A55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SUBSTITUTE(E558, """", """")"),"#REF!")</f>
        <v>#REF!</v>
      </c>
      <c r="B558" s="146"/>
      <c r="C558" s="146"/>
      <c r="D558" s="146"/>
      <c r="E558" s="44"/>
      <c r="F558" s="147"/>
      <c r="G558" s="146"/>
      <c r="H558" s="148"/>
      <c r="I558" s="148"/>
      <c r="J558" s="170"/>
      <c r="K558" s="170"/>
      <c r="L558" s="170"/>
      <c r="M558" s="170"/>
      <c r="N558" s="170"/>
      <c r="O558" s="170"/>
      <c r="P558" s="170"/>
      <c r="Q558" s="170"/>
      <c r="R558" s="170"/>
      <c r="S558" s="153"/>
      <c r="T558" s="171"/>
      <c r="U558" s="156" t="str">
        <f t="shared" si="8"/>
        <v>#DIV/0!</v>
      </c>
      <c r="V558" s="172">
        <v>300.0</v>
      </c>
      <c r="W558" s="173"/>
    </row>
    <row r="559" ht="22.5" customHeight="1">
      <c r="A55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SUBSTITUTE(E559, """", """")"),"#REF!")</f>
        <v>#REF!</v>
      </c>
      <c r="B559" s="146"/>
      <c r="C559" s="146"/>
      <c r="D559" s="146"/>
      <c r="E559" s="44"/>
      <c r="F559" s="147"/>
      <c r="G559" s="146"/>
      <c r="H559" s="148"/>
      <c r="I559" s="148"/>
      <c r="J559" s="170"/>
      <c r="K559" s="170"/>
      <c r="L559" s="170"/>
      <c r="M559" s="170"/>
      <c r="N559" s="170"/>
      <c r="O559" s="170"/>
      <c r="P559" s="170"/>
      <c r="Q559" s="170"/>
      <c r="R559" s="170"/>
      <c r="S559" s="153"/>
      <c r="T559" s="171"/>
      <c r="U559" s="156" t="str">
        <f t="shared" si="8"/>
        <v>#DIV/0!</v>
      </c>
      <c r="V559" s="172">
        <v>300.0</v>
      </c>
      <c r="W559" s="173"/>
    </row>
    <row r="560" ht="22.5" customHeight="1">
      <c r="A56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SUBSTITUTE(E560, """", """")"),"#REF!")</f>
        <v>#REF!</v>
      </c>
      <c r="B560" s="146"/>
      <c r="C560" s="146"/>
      <c r="D560" s="146"/>
      <c r="E560" s="44"/>
      <c r="F560" s="147"/>
      <c r="G560" s="146"/>
      <c r="H560" s="148"/>
      <c r="I560" s="148"/>
      <c r="J560" s="170"/>
      <c r="K560" s="170"/>
      <c r="L560" s="170"/>
      <c r="M560" s="170"/>
      <c r="N560" s="170"/>
      <c r="O560" s="170"/>
      <c r="P560" s="170"/>
      <c r="Q560" s="170"/>
      <c r="R560" s="170"/>
      <c r="S560" s="153"/>
      <c r="T560" s="171"/>
      <c r="U560" s="156" t="str">
        <f t="shared" si="8"/>
        <v>#DIV/0!</v>
      </c>
      <c r="V560" s="172">
        <v>300.0</v>
      </c>
      <c r="W560" s="173"/>
    </row>
    <row r="561" ht="22.5" customHeight="1">
      <c r="A56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SUBSTITUTE(E561, """", """")"),"#REF!")</f>
        <v>#REF!</v>
      </c>
      <c r="B561" s="146"/>
      <c r="C561" s="146"/>
      <c r="D561" s="146"/>
      <c r="E561" s="44"/>
      <c r="F561" s="147"/>
      <c r="G561" s="146"/>
      <c r="H561" s="148"/>
      <c r="I561" s="148"/>
      <c r="J561" s="170"/>
      <c r="K561" s="170"/>
      <c r="L561" s="170"/>
      <c r="M561" s="170"/>
      <c r="N561" s="170"/>
      <c r="O561" s="170"/>
      <c r="P561" s="170"/>
      <c r="Q561" s="170"/>
      <c r="R561" s="170"/>
      <c r="S561" s="153"/>
      <c r="T561" s="171"/>
      <c r="U561" s="156" t="str">
        <f t="shared" si="8"/>
        <v>#DIV/0!</v>
      </c>
      <c r="V561" s="172">
        <v>300.0</v>
      </c>
      <c r="W561" s="173"/>
    </row>
    <row r="562" ht="22.5" customHeight="1">
      <c r="A56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SUBSTITUTE(E562, """", """")"),"#REF!")</f>
        <v>#REF!</v>
      </c>
      <c r="B562" s="146"/>
      <c r="C562" s="146"/>
      <c r="D562" s="146"/>
      <c r="E562" s="44"/>
      <c r="F562" s="147"/>
      <c r="G562" s="146"/>
      <c r="H562" s="148"/>
      <c r="I562" s="148"/>
      <c r="J562" s="170"/>
      <c r="K562" s="170"/>
      <c r="L562" s="170"/>
      <c r="M562" s="170"/>
      <c r="N562" s="170"/>
      <c r="O562" s="170"/>
      <c r="P562" s="170"/>
      <c r="Q562" s="170"/>
      <c r="R562" s="170"/>
      <c r="S562" s="153"/>
      <c r="T562" s="171"/>
      <c r="U562" s="156" t="str">
        <f t="shared" si="8"/>
        <v>#DIV/0!</v>
      </c>
      <c r="V562" s="172">
        <v>300.0</v>
      </c>
      <c r="W562" s="173"/>
    </row>
    <row r="563" ht="22.5" customHeight="1">
      <c r="A56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SUBSTITUTE(E563, """", """")"),"#REF!")</f>
        <v>#REF!</v>
      </c>
      <c r="B563" s="146"/>
      <c r="C563" s="146"/>
      <c r="D563" s="146"/>
      <c r="E563" s="44"/>
      <c r="F563" s="147"/>
      <c r="G563" s="146"/>
      <c r="H563" s="148"/>
      <c r="I563" s="148"/>
      <c r="J563" s="170"/>
      <c r="K563" s="170"/>
      <c r="L563" s="170"/>
      <c r="M563" s="170"/>
      <c r="N563" s="170"/>
      <c r="O563" s="170"/>
      <c r="P563" s="170"/>
      <c r="Q563" s="170"/>
      <c r="R563" s="170"/>
      <c r="S563" s="153"/>
      <c r="T563" s="171"/>
      <c r="U563" s="156" t="str">
        <f t="shared" si="8"/>
        <v>#DIV/0!</v>
      </c>
      <c r="V563" s="172">
        <v>300.0</v>
      </c>
      <c r="W563" s="173"/>
    </row>
    <row r="564" ht="22.5" customHeight="1">
      <c r="A56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SUBSTITUTE(E564, """", """")"),"#REF!")</f>
        <v>#REF!</v>
      </c>
      <c r="B564" s="146"/>
      <c r="C564" s="146"/>
      <c r="D564" s="146"/>
      <c r="E564" s="44"/>
      <c r="F564" s="147"/>
      <c r="G564" s="146"/>
      <c r="H564" s="148"/>
      <c r="I564" s="148"/>
      <c r="J564" s="170"/>
      <c r="K564" s="170"/>
      <c r="L564" s="170"/>
      <c r="M564" s="170"/>
      <c r="N564" s="170"/>
      <c r="O564" s="170"/>
      <c r="P564" s="170"/>
      <c r="Q564" s="170"/>
      <c r="R564" s="170"/>
      <c r="S564" s="153"/>
      <c r="T564" s="171"/>
      <c r="U564" s="156" t="str">
        <f t="shared" si="8"/>
        <v>#DIV/0!</v>
      </c>
      <c r="V564" s="172">
        <v>300.0</v>
      </c>
      <c r="W564" s="173"/>
    </row>
    <row r="565" ht="22.5" customHeight="1">
      <c r="A56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SUBSTITUTE(E565, """", """")"),"#REF!")</f>
        <v>#REF!</v>
      </c>
      <c r="B565" s="146"/>
      <c r="C565" s="146"/>
      <c r="D565" s="146"/>
      <c r="E565" s="44"/>
      <c r="F565" s="147"/>
      <c r="G565" s="146"/>
      <c r="H565" s="148"/>
      <c r="I565" s="148"/>
      <c r="J565" s="170"/>
      <c r="K565" s="170"/>
      <c r="L565" s="170"/>
      <c r="M565" s="170"/>
      <c r="N565" s="170"/>
      <c r="O565" s="170"/>
      <c r="P565" s="170"/>
      <c r="Q565" s="170"/>
      <c r="R565" s="170"/>
      <c r="S565" s="153"/>
      <c r="T565" s="171"/>
      <c r="U565" s="156" t="str">
        <f t="shared" si="8"/>
        <v>#DIV/0!</v>
      </c>
      <c r="V565" s="172">
        <v>300.0</v>
      </c>
      <c r="W565" s="173"/>
    </row>
    <row r="566" ht="22.5" customHeight="1">
      <c r="A5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SUBSTITUTE(E566, """", """")"),"#REF!")</f>
        <v>#REF!</v>
      </c>
      <c r="B566" s="146"/>
      <c r="C566" s="146"/>
      <c r="D566" s="146"/>
      <c r="E566" s="44"/>
      <c r="F566" s="147"/>
      <c r="G566" s="146"/>
      <c r="H566" s="148"/>
      <c r="I566" s="148"/>
      <c r="J566" s="170"/>
      <c r="K566" s="170"/>
      <c r="L566" s="170"/>
      <c r="M566" s="170"/>
      <c r="N566" s="170"/>
      <c r="O566" s="170"/>
      <c r="P566" s="170"/>
      <c r="Q566" s="170"/>
      <c r="R566" s="170"/>
      <c r="S566" s="153"/>
      <c r="T566" s="171"/>
      <c r="U566" s="156" t="str">
        <f t="shared" si="8"/>
        <v>#DIV/0!</v>
      </c>
      <c r="V566" s="172">
        <v>300.0</v>
      </c>
      <c r="W566" s="173"/>
    </row>
    <row r="567" ht="22.5" customHeight="1">
      <c r="A5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SUBSTITUTE(E567, """", """")"),"#REF!")</f>
        <v>#REF!</v>
      </c>
      <c r="B567" s="146"/>
      <c r="C567" s="146"/>
      <c r="D567" s="146"/>
      <c r="E567" s="44"/>
      <c r="F567" s="147"/>
      <c r="G567" s="146"/>
      <c r="H567" s="148"/>
      <c r="I567" s="148"/>
      <c r="J567" s="170"/>
      <c r="K567" s="170"/>
      <c r="L567" s="170"/>
      <c r="M567" s="170"/>
      <c r="N567" s="170"/>
      <c r="O567" s="170"/>
      <c r="P567" s="170"/>
      <c r="Q567" s="170"/>
      <c r="R567" s="170"/>
      <c r="S567" s="153"/>
      <c r="T567" s="171"/>
      <c r="U567" s="156" t="str">
        <f t="shared" si="8"/>
        <v>#DIV/0!</v>
      </c>
      <c r="V567" s="172">
        <v>300.0</v>
      </c>
      <c r="W567" s="173"/>
    </row>
    <row r="568" ht="22.5" customHeight="1">
      <c r="A56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SUBSTITUTE(E568, """", """")"),"#REF!")</f>
        <v>#REF!</v>
      </c>
      <c r="B568" s="146"/>
      <c r="C568" s="146"/>
      <c r="D568" s="146"/>
      <c r="E568" s="44"/>
      <c r="F568" s="147"/>
      <c r="G568" s="146"/>
      <c r="H568" s="148"/>
      <c r="I568" s="148"/>
      <c r="J568" s="170"/>
      <c r="K568" s="170"/>
      <c r="L568" s="170"/>
      <c r="M568" s="170"/>
      <c r="N568" s="170"/>
      <c r="O568" s="170"/>
      <c r="P568" s="170"/>
      <c r="Q568" s="170"/>
      <c r="R568" s="170"/>
      <c r="S568" s="153"/>
      <c r="T568" s="171"/>
      <c r="U568" s="156" t="str">
        <f t="shared" si="8"/>
        <v>#DIV/0!</v>
      </c>
      <c r="V568" s="172">
        <v>300.0</v>
      </c>
      <c r="W568" s="173"/>
    </row>
    <row r="569" ht="22.5" customHeight="1">
      <c r="A56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SUBSTITUTE(E569, """", """")"),"#REF!")</f>
        <v>#REF!</v>
      </c>
      <c r="B569" s="146"/>
      <c r="C569" s="146"/>
      <c r="D569" s="146"/>
      <c r="E569" s="44"/>
      <c r="F569" s="147"/>
      <c r="G569" s="146"/>
      <c r="H569" s="148"/>
      <c r="I569" s="148"/>
      <c r="J569" s="170"/>
      <c r="K569" s="170"/>
      <c r="L569" s="170"/>
      <c r="M569" s="170"/>
      <c r="N569" s="170"/>
      <c r="O569" s="170"/>
      <c r="P569" s="170"/>
      <c r="Q569" s="170"/>
      <c r="R569" s="170"/>
      <c r="S569" s="153"/>
      <c r="T569" s="171"/>
      <c r="U569" s="156" t="str">
        <f t="shared" si="8"/>
        <v>#DIV/0!</v>
      </c>
      <c r="V569" s="172">
        <v>300.0</v>
      </c>
      <c r="W569" s="173"/>
    </row>
    <row r="570" ht="22.5" customHeight="1">
      <c r="A57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SUBSTITUTE(E570, """", """")"),"#REF!")</f>
        <v>#REF!</v>
      </c>
      <c r="B570" s="146"/>
      <c r="C570" s="146"/>
      <c r="D570" s="146"/>
      <c r="E570" s="44"/>
      <c r="F570" s="147"/>
      <c r="G570" s="146"/>
      <c r="H570" s="148"/>
      <c r="I570" s="148"/>
      <c r="J570" s="170"/>
      <c r="K570" s="170"/>
      <c r="L570" s="170"/>
      <c r="M570" s="170"/>
      <c r="N570" s="170"/>
      <c r="O570" s="170"/>
      <c r="P570" s="170"/>
      <c r="Q570" s="170"/>
      <c r="R570" s="170"/>
      <c r="S570" s="153"/>
      <c r="T570" s="171"/>
      <c r="U570" s="156" t="str">
        <f t="shared" si="8"/>
        <v>#DIV/0!</v>
      </c>
      <c r="V570" s="172">
        <v>300.0</v>
      </c>
      <c r="W570" s="173"/>
    </row>
    <row r="571" ht="22.5" customHeight="1">
      <c r="A57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SUBSTITUTE(E571, """", """")"),"#REF!")</f>
        <v>#REF!</v>
      </c>
      <c r="B571" s="146"/>
      <c r="C571" s="146"/>
      <c r="D571" s="146"/>
      <c r="E571" s="44"/>
      <c r="F571" s="147"/>
      <c r="G571" s="146"/>
      <c r="H571" s="148"/>
      <c r="I571" s="148"/>
      <c r="J571" s="170"/>
      <c r="K571" s="170"/>
      <c r="L571" s="170"/>
      <c r="M571" s="170"/>
      <c r="N571" s="170"/>
      <c r="O571" s="170"/>
      <c r="P571" s="170"/>
      <c r="Q571" s="170"/>
      <c r="R571" s="170"/>
      <c r="S571" s="153"/>
      <c r="T571" s="171"/>
      <c r="U571" s="156" t="str">
        <f t="shared" si="8"/>
        <v>#DIV/0!</v>
      </c>
      <c r="V571" s="172">
        <v>300.0</v>
      </c>
      <c r="W571" s="173"/>
    </row>
    <row r="572" ht="22.5" customHeight="1">
      <c r="A57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SUBSTITUTE(E572, """", """")"),"#REF!")</f>
        <v>#REF!</v>
      </c>
      <c r="B572" s="146"/>
      <c r="C572" s="146"/>
      <c r="D572" s="146"/>
      <c r="E572" s="44"/>
      <c r="F572" s="147"/>
      <c r="G572" s="146"/>
      <c r="H572" s="148"/>
      <c r="I572" s="148"/>
      <c r="J572" s="170"/>
      <c r="K572" s="170"/>
      <c r="L572" s="170"/>
      <c r="M572" s="170"/>
      <c r="N572" s="170"/>
      <c r="O572" s="170"/>
      <c r="P572" s="170"/>
      <c r="Q572" s="170"/>
      <c r="R572" s="170"/>
      <c r="S572" s="153"/>
      <c r="T572" s="171"/>
      <c r="U572" s="156" t="str">
        <f t="shared" si="8"/>
        <v>#DIV/0!</v>
      </c>
      <c r="V572" s="172">
        <v>300.0</v>
      </c>
      <c r="W572" s="173"/>
    </row>
    <row r="573" ht="22.5" customHeight="1">
      <c r="A57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SUBSTITUTE(E573, """", """")"),"#REF!")</f>
        <v>#REF!</v>
      </c>
      <c r="B573" s="146"/>
      <c r="C573" s="146"/>
      <c r="D573" s="146"/>
      <c r="E573" s="44"/>
      <c r="F573" s="147"/>
      <c r="G573" s="146"/>
      <c r="H573" s="148"/>
      <c r="I573" s="148"/>
      <c r="J573" s="170"/>
      <c r="K573" s="170"/>
      <c r="L573" s="170"/>
      <c r="M573" s="170"/>
      <c r="N573" s="170"/>
      <c r="O573" s="170"/>
      <c r="P573" s="170"/>
      <c r="Q573" s="170"/>
      <c r="R573" s="170"/>
      <c r="S573" s="153"/>
      <c r="T573" s="171"/>
      <c r="U573" s="156" t="str">
        <f t="shared" si="8"/>
        <v>#DIV/0!</v>
      </c>
      <c r="V573" s="172">
        <v>300.0</v>
      </c>
      <c r="W573" s="173"/>
    </row>
    <row r="574" ht="22.5" customHeight="1">
      <c r="A57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SUBSTITUTE(E574, """", """")"),"#REF!")</f>
        <v>#REF!</v>
      </c>
      <c r="B574" s="146"/>
      <c r="C574" s="146"/>
      <c r="D574" s="146"/>
      <c r="E574" s="44"/>
      <c r="F574" s="147"/>
      <c r="G574" s="146"/>
      <c r="H574" s="148"/>
      <c r="I574" s="148"/>
      <c r="J574" s="170"/>
      <c r="K574" s="170"/>
      <c r="L574" s="170"/>
      <c r="M574" s="170"/>
      <c r="N574" s="170"/>
      <c r="O574" s="170"/>
      <c r="P574" s="170"/>
      <c r="Q574" s="170"/>
      <c r="R574" s="170"/>
      <c r="S574" s="153"/>
      <c r="T574" s="171"/>
      <c r="U574" s="156" t="str">
        <f t="shared" si="8"/>
        <v>#DIV/0!</v>
      </c>
      <c r="V574" s="172">
        <v>300.0</v>
      </c>
      <c r="W574" s="173"/>
    </row>
    <row r="575" ht="22.5" customHeight="1">
      <c r="A57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SUBSTITUTE(E575, """", """")"),"#REF!")</f>
        <v>#REF!</v>
      </c>
      <c r="B575" s="146"/>
      <c r="C575" s="146"/>
      <c r="D575" s="146"/>
      <c r="E575" s="44"/>
      <c r="F575" s="147"/>
      <c r="G575" s="146"/>
      <c r="H575" s="148"/>
      <c r="I575" s="148"/>
      <c r="J575" s="170"/>
      <c r="K575" s="170"/>
      <c r="L575" s="170"/>
      <c r="M575" s="170"/>
      <c r="N575" s="170"/>
      <c r="O575" s="170"/>
      <c r="P575" s="170"/>
      <c r="Q575" s="170"/>
      <c r="R575" s="170"/>
      <c r="S575" s="153"/>
      <c r="T575" s="171"/>
      <c r="U575" s="156" t="str">
        <f t="shared" si="8"/>
        <v>#DIV/0!</v>
      </c>
      <c r="V575" s="172">
        <v>300.0</v>
      </c>
      <c r="W575" s="173"/>
    </row>
    <row r="576" ht="22.5" customHeight="1">
      <c r="A57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SUBSTITUTE(E576, """", """")"),"#REF!")</f>
        <v>#REF!</v>
      </c>
      <c r="B576" s="146"/>
      <c r="C576" s="146"/>
      <c r="D576" s="146"/>
      <c r="E576" s="44"/>
      <c r="F576" s="147"/>
      <c r="G576" s="146"/>
      <c r="H576" s="148"/>
      <c r="I576" s="148"/>
      <c r="J576" s="170"/>
      <c r="K576" s="170"/>
      <c r="L576" s="170"/>
      <c r="M576" s="170"/>
      <c r="N576" s="170"/>
      <c r="O576" s="170"/>
      <c r="P576" s="170"/>
      <c r="Q576" s="170"/>
      <c r="R576" s="170"/>
      <c r="S576" s="153"/>
      <c r="T576" s="171"/>
      <c r="U576" s="156" t="str">
        <f t="shared" si="8"/>
        <v>#DIV/0!</v>
      </c>
      <c r="V576" s="172">
        <v>300.0</v>
      </c>
      <c r="W576" s="173"/>
    </row>
    <row r="577" ht="22.5" customHeight="1">
      <c r="A57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SUBSTITUTE(E577, """", """")"),"#REF!")</f>
        <v>#REF!</v>
      </c>
      <c r="B577" s="146"/>
      <c r="C577" s="146"/>
      <c r="D577" s="146"/>
      <c r="E577" s="44"/>
      <c r="F577" s="147"/>
      <c r="G577" s="146"/>
      <c r="H577" s="148"/>
      <c r="I577" s="148"/>
      <c r="J577" s="170"/>
      <c r="K577" s="170"/>
      <c r="L577" s="170"/>
      <c r="M577" s="170"/>
      <c r="N577" s="170"/>
      <c r="O577" s="170"/>
      <c r="P577" s="170"/>
      <c r="Q577" s="170"/>
      <c r="R577" s="170"/>
      <c r="S577" s="153"/>
      <c r="T577" s="171"/>
      <c r="U577" s="156" t="str">
        <f t="shared" si="8"/>
        <v>#DIV/0!</v>
      </c>
      <c r="V577" s="172">
        <v>300.0</v>
      </c>
      <c r="W577" s="173"/>
    </row>
    <row r="578" ht="22.5" customHeight="1">
      <c r="A57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SUBSTITUTE(E578, """", """")"),"#REF!")</f>
        <v>#REF!</v>
      </c>
      <c r="B578" s="146"/>
      <c r="C578" s="146"/>
      <c r="D578" s="146"/>
      <c r="E578" s="44"/>
      <c r="F578" s="147"/>
      <c r="G578" s="146"/>
      <c r="H578" s="148"/>
      <c r="I578" s="148"/>
      <c r="J578" s="170"/>
      <c r="K578" s="170"/>
      <c r="L578" s="170"/>
      <c r="M578" s="170"/>
      <c r="N578" s="170"/>
      <c r="O578" s="170"/>
      <c r="P578" s="170"/>
      <c r="Q578" s="170"/>
      <c r="R578" s="170"/>
      <c r="S578" s="153"/>
      <c r="T578" s="171"/>
      <c r="U578" s="156" t="str">
        <f t="shared" si="8"/>
        <v>#DIV/0!</v>
      </c>
      <c r="V578" s="172">
        <v>300.0</v>
      </c>
      <c r="W578" s="173"/>
    </row>
    <row r="579" ht="22.5" customHeight="1">
      <c r="A5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SUBSTITUTE(E579, """", """")"),"#REF!")</f>
        <v>#REF!</v>
      </c>
      <c r="B579" s="146"/>
      <c r="C579" s="146"/>
      <c r="D579" s="146"/>
      <c r="E579" s="44"/>
      <c r="F579" s="147"/>
      <c r="G579" s="146"/>
      <c r="H579" s="148"/>
      <c r="I579" s="148"/>
      <c r="J579" s="170"/>
      <c r="K579" s="170"/>
      <c r="L579" s="170"/>
      <c r="M579" s="170"/>
      <c r="N579" s="170"/>
      <c r="O579" s="170"/>
      <c r="P579" s="170"/>
      <c r="Q579" s="170"/>
      <c r="R579" s="170"/>
      <c r="S579" s="153"/>
      <c r="T579" s="171"/>
      <c r="U579" s="156" t="str">
        <f t="shared" si="8"/>
        <v>#DIV/0!</v>
      </c>
      <c r="V579" s="172">
        <v>300.0</v>
      </c>
      <c r="W579" s="173"/>
    </row>
    <row r="580" ht="22.5" customHeight="1">
      <c r="A5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SUBSTITUTE(E580, """", """")"),"#REF!")</f>
        <v>#REF!</v>
      </c>
      <c r="B580" s="146"/>
      <c r="C580" s="146"/>
      <c r="D580" s="146"/>
      <c r="E580" s="44"/>
      <c r="F580" s="147"/>
      <c r="G580" s="146"/>
      <c r="H580" s="148"/>
      <c r="I580" s="148"/>
      <c r="J580" s="170"/>
      <c r="K580" s="170"/>
      <c r="L580" s="170"/>
      <c r="M580" s="170"/>
      <c r="N580" s="170"/>
      <c r="O580" s="170"/>
      <c r="P580" s="170"/>
      <c r="Q580" s="170"/>
      <c r="R580" s="170"/>
      <c r="S580" s="153"/>
      <c r="T580" s="171"/>
      <c r="U580" s="156" t="str">
        <f t="shared" si="8"/>
        <v>#DIV/0!</v>
      </c>
      <c r="V580" s="172">
        <v>300.0</v>
      </c>
      <c r="W580" s="173"/>
    </row>
    <row r="581" ht="22.5" customHeight="1">
      <c r="A5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SUBSTITUTE(E581, """", """")"),"#REF!")</f>
        <v>#REF!</v>
      </c>
      <c r="B581" s="146"/>
      <c r="C581" s="146"/>
      <c r="D581" s="146"/>
      <c r="E581" s="44"/>
      <c r="F581" s="147"/>
      <c r="G581" s="146"/>
      <c r="H581" s="148"/>
      <c r="I581" s="148"/>
      <c r="J581" s="170"/>
      <c r="K581" s="170"/>
      <c r="L581" s="170"/>
      <c r="M581" s="170"/>
      <c r="N581" s="170"/>
      <c r="O581" s="170"/>
      <c r="P581" s="170"/>
      <c r="Q581" s="170"/>
      <c r="R581" s="170"/>
      <c r="S581" s="153"/>
      <c r="T581" s="171"/>
      <c r="U581" s="156" t="str">
        <f t="shared" si="8"/>
        <v>#DIV/0!</v>
      </c>
      <c r="V581" s="172">
        <v>300.0</v>
      </c>
      <c r="W581" s="173"/>
    </row>
    <row r="582" ht="22.5" customHeight="1">
      <c r="A5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SUBSTITUTE(E582, """", """")"),"#REF!")</f>
        <v>#REF!</v>
      </c>
      <c r="B582" s="146"/>
      <c r="C582" s="146"/>
      <c r="D582" s="146"/>
      <c r="E582" s="44"/>
      <c r="F582" s="147"/>
      <c r="G582" s="146"/>
      <c r="H582" s="148"/>
      <c r="I582" s="148"/>
      <c r="J582" s="170"/>
      <c r="K582" s="170"/>
      <c r="L582" s="170"/>
      <c r="M582" s="170"/>
      <c r="N582" s="170"/>
      <c r="O582" s="170"/>
      <c r="P582" s="170"/>
      <c r="Q582" s="170"/>
      <c r="R582" s="170"/>
      <c r="S582" s="153"/>
      <c r="T582" s="171"/>
      <c r="U582" s="156" t="str">
        <f t="shared" si="8"/>
        <v>#DIV/0!</v>
      </c>
      <c r="V582" s="172">
        <v>300.0</v>
      </c>
      <c r="W582" s="173"/>
    </row>
    <row r="583" ht="22.5" customHeight="1">
      <c r="A58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SUBSTITUTE(E583, """", """")"),"#REF!")</f>
        <v>#REF!</v>
      </c>
      <c r="B583" s="146"/>
      <c r="C583" s="146"/>
      <c r="D583" s="146"/>
      <c r="E583" s="44"/>
      <c r="F583" s="147"/>
      <c r="G583" s="146"/>
      <c r="H583" s="148"/>
      <c r="I583" s="148"/>
      <c r="J583" s="170"/>
      <c r="K583" s="170"/>
      <c r="L583" s="170"/>
      <c r="M583" s="170"/>
      <c r="N583" s="170"/>
      <c r="O583" s="170"/>
      <c r="P583" s="170"/>
      <c r="Q583" s="170"/>
      <c r="R583" s="170"/>
      <c r="S583" s="153"/>
      <c r="T583" s="171"/>
      <c r="U583" s="156" t="str">
        <f t="shared" si="8"/>
        <v>#DIV/0!</v>
      </c>
      <c r="V583" s="172">
        <v>300.0</v>
      </c>
      <c r="W583" s="173"/>
    </row>
    <row r="584" ht="22.5" customHeight="1">
      <c r="A58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SUBSTITUTE(E584, """", """")"),"#REF!")</f>
        <v>#REF!</v>
      </c>
      <c r="B584" s="146"/>
      <c r="C584" s="146"/>
      <c r="D584" s="146"/>
      <c r="E584" s="44"/>
      <c r="F584" s="147"/>
      <c r="G584" s="146"/>
      <c r="H584" s="148"/>
      <c r="I584" s="148"/>
      <c r="J584" s="170"/>
      <c r="K584" s="170"/>
      <c r="L584" s="170"/>
      <c r="M584" s="170"/>
      <c r="N584" s="170"/>
      <c r="O584" s="170"/>
      <c r="P584" s="170"/>
      <c r="Q584" s="170"/>
      <c r="R584" s="170"/>
      <c r="S584" s="153"/>
      <c r="T584" s="171"/>
      <c r="U584" s="156" t="str">
        <f t="shared" si="8"/>
        <v>#DIV/0!</v>
      </c>
      <c r="V584" s="172">
        <v>300.0</v>
      </c>
      <c r="W584" s="173"/>
    </row>
    <row r="585" ht="22.5" customHeight="1">
      <c r="A5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SUBSTITUTE(E585, """", """")"),"#REF!")</f>
        <v>#REF!</v>
      </c>
      <c r="B585" s="146"/>
      <c r="C585" s="146"/>
      <c r="D585" s="146"/>
      <c r="E585" s="44"/>
      <c r="F585" s="147"/>
      <c r="G585" s="146"/>
      <c r="H585" s="148"/>
      <c r="I585" s="148"/>
      <c r="J585" s="170"/>
      <c r="K585" s="170"/>
      <c r="L585" s="170"/>
      <c r="M585" s="170"/>
      <c r="N585" s="170"/>
      <c r="O585" s="170"/>
      <c r="P585" s="170"/>
      <c r="Q585" s="170"/>
      <c r="R585" s="170"/>
      <c r="S585" s="153"/>
      <c r="T585" s="171"/>
      <c r="U585" s="156" t="str">
        <f t="shared" si="8"/>
        <v>#DIV/0!</v>
      </c>
      <c r="V585" s="172">
        <v>300.0</v>
      </c>
      <c r="W585" s="173"/>
    </row>
    <row r="586" ht="22.5" customHeight="1">
      <c r="A5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SUBSTITUTE(E586, """", """")"),"#REF!")</f>
        <v>#REF!</v>
      </c>
      <c r="B586" s="146"/>
      <c r="C586" s="146"/>
      <c r="D586" s="146"/>
      <c r="E586" s="44"/>
      <c r="F586" s="147"/>
      <c r="G586" s="146"/>
      <c r="H586" s="148"/>
      <c r="I586" s="148"/>
      <c r="J586" s="170"/>
      <c r="K586" s="170"/>
      <c r="L586" s="170"/>
      <c r="M586" s="170"/>
      <c r="N586" s="170"/>
      <c r="O586" s="170"/>
      <c r="P586" s="170"/>
      <c r="Q586" s="170"/>
      <c r="R586" s="170"/>
      <c r="S586" s="153"/>
      <c r="T586" s="171"/>
      <c r="U586" s="156" t="str">
        <f t="shared" si="8"/>
        <v>#DIV/0!</v>
      </c>
      <c r="V586" s="172">
        <v>300.0</v>
      </c>
      <c r="W586" s="173"/>
    </row>
    <row r="587" ht="22.5" customHeight="1">
      <c r="A5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SUBSTITUTE(E587, """", """")"),"#REF!")</f>
        <v>#REF!</v>
      </c>
      <c r="B587" s="146"/>
      <c r="C587" s="146"/>
      <c r="D587" s="146"/>
      <c r="E587" s="44"/>
      <c r="F587" s="147"/>
      <c r="G587" s="146"/>
      <c r="H587" s="148"/>
      <c r="I587" s="148"/>
      <c r="J587" s="170"/>
      <c r="K587" s="170"/>
      <c r="L587" s="170"/>
      <c r="M587" s="170"/>
      <c r="N587" s="170"/>
      <c r="O587" s="170"/>
      <c r="P587" s="170"/>
      <c r="Q587" s="170"/>
      <c r="R587" s="170"/>
      <c r="S587" s="153"/>
      <c r="T587" s="171"/>
      <c r="U587" s="156" t="str">
        <f t="shared" si="8"/>
        <v>#DIV/0!</v>
      </c>
      <c r="V587" s="172">
        <v>300.0</v>
      </c>
      <c r="W587" s="173"/>
    </row>
    <row r="588" ht="22.5" customHeight="1">
      <c r="A5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SUBSTITUTE(E588, """", """")"),"#REF!")</f>
        <v>#REF!</v>
      </c>
      <c r="B588" s="146"/>
      <c r="C588" s="146"/>
      <c r="D588" s="146"/>
      <c r="E588" s="44"/>
      <c r="F588" s="147"/>
      <c r="G588" s="146"/>
      <c r="H588" s="148"/>
      <c r="I588" s="148"/>
      <c r="J588" s="170"/>
      <c r="K588" s="170"/>
      <c r="L588" s="170"/>
      <c r="M588" s="170"/>
      <c r="N588" s="170"/>
      <c r="O588" s="170"/>
      <c r="P588" s="170"/>
      <c r="Q588" s="170"/>
      <c r="R588" s="170"/>
      <c r="S588" s="153"/>
      <c r="T588" s="171"/>
      <c r="U588" s="156" t="str">
        <f t="shared" si="8"/>
        <v>#DIV/0!</v>
      </c>
      <c r="V588" s="172">
        <v>300.0</v>
      </c>
      <c r="W588" s="173"/>
    </row>
    <row r="589" ht="22.5" customHeight="1">
      <c r="A5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SUBSTITUTE(E589, """", """")"),"#REF!")</f>
        <v>#REF!</v>
      </c>
      <c r="B589" s="146"/>
      <c r="C589" s="146"/>
      <c r="D589" s="146"/>
      <c r="E589" s="44"/>
      <c r="F589" s="147"/>
      <c r="G589" s="146"/>
      <c r="H589" s="148"/>
      <c r="I589" s="148"/>
      <c r="J589" s="170"/>
      <c r="K589" s="170"/>
      <c r="L589" s="170"/>
      <c r="M589" s="170"/>
      <c r="N589" s="170"/>
      <c r="O589" s="170"/>
      <c r="P589" s="170"/>
      <c r="Q589" s="170"/>
      <c r="R589" s="170"/>
      <c r="S589" s="153"/>
      <c r="T589" s="171"/>
      <c r="U589" s="156" t="str">
        <f t="shared" si="8"/>
        <v>#DIV/0!</v>
      </c>
      <c r="V589" s="172">
        <v>300.0</v>
      </c>
      <c r="W589" s="173"/>
    </row>
    <row r="590" ht="22.5" customHeight="1">
      <c r="A5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SUBSTITUTE(E590, """", """")"),"#REF!")</f>
        <v>#REF!</v>
      </c>
      <c r="B590" s="146"/>
      <c r="C590" s="146"/>
      <c r="D590" s="146"/>
      <c r="E590" s="44"/>
      <c r="F590" s="147"/>
      <c r="G590" s="146"/>
      <c r="H590" s="148"/>
      <c r="I590" s="148"/>
      <c r="J590" s="170"/>
      <c r="K590" s="170"/>
      <c r="L590" s="170"/>
      <c r="M590" s="170"/>
      <c r="N590" s="170"/>
      <c r="O590" s="170"/>
      <c r="P590" s="170"/>
      <c r="Q590" s="170"/>
      <c r="R590" s="170"/>
      <c r="S590" s="153"/>
      <c r="T590" s="171"/>
      <c r="U590" s="156" t="str">
        <f t="shared" si="8"/>
        <v>#DIV/0!</v>
      </c>
      <c r="V590" s="172">
        <v>300.0</v>
      </c>
      <c r="W590" s="173"/>
    </row>
    <row r="591" ht="22.5" customHeight="1">
      <c r="A5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SUBSTITUTE(E591, """", """")"),"#REF!")</f>
        <v>#REF!</v>
      </c>
      <c r="B591" s="146"/>
      <c r="C591" s="146"/>
      <c r="D591" s="146"/>
      <c r="E591" s="44"/>
      <c r="F591" s="147"/>
      <c r="G591" s="146"/>
      <c r="H591" s="148"/>
      <c r="I591" s="148"/>
      <c r="J591" s="170"/>
      <c r="K591" s="170"/>
      <c r="L591" s="170"/>
      <c r="M591" s="170"/>
      <c r="N591" s="170"/>
      <c r="O591" s="170"/>
      <c r="P591" s="170"/>
      <c r="Q591" s="170"/>
      <c r="R591" s="170"/>
      <c r="S591" s="153"/>
      <c r="T591" s="171"/>
      <c r="U591" s="156" t="str">
        <f t="shared" si="8"/>
        <v>#DIV/0!</v>
      </c>
      <c r="V591" s="172">
        <v>300.0</v>
      </c>
      <c r="W591" s="173"/>
    </row>
    <row r="592" ht="22.5" customHeight="1">
      <c r="A5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SUBSTITUTE(E592, """", """")"),"#REF!")</f>
        <v>#REF!</v>
      </c>
      <c r="B592" s="146"/>
      <c r="C592" s="146"/>
      <c r="D592" s="146"/>
      <c r="E592" s="44"/>
      <c r="F592" s="147"/>
      <c r="G592" s="146"/>
      <c r="H592" s="148"/>
      <c r="I592" s="148"/>
      <c r="J592" s="170"/>
      <c r="K592" s="170"/>
      <c r="L592" s="170"/>
      <c r="M592" s="170"/>
      <c r="N592" s="170"/>
      <c r="O592" s="170"/>
      <c r="P592" s="170"/>
      <c r="Q592" s="170"/>
      <c r="R592" s="170"/>
      <c r="S592" s="153"/>
      <c r="T592" s="171"/>
      <c r="U592" s="156" t="str">
        <f t="shared" si="8"/>
        <v>#DIV/0!</v>
      </c>
      <c r="V592" s="172">
        <v>300.0</v>
      </c>
      <c r="W592" s="173"/>
    </row>
    <row r="593" ht="22.5" customHeight="1">
      <c r="A5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SUBSTITUTE(E593, """", """")"),"#REF!")</f>
        <v>#REF!</v>
      </c>
      <c r="B593" s="146"/>
      <c r="C593" s="146"/>
      <c r="D593" s="146"/>
      <c r="E593" s="44"/>
      <c r="F593" s="147"/>
      <c r="G593" s="146"/>
      <c r="H593" s="148"/>
      <c r="I593" s="148"/>
      <c r="J593" s="170"/>
      <c r="K593" s="170"/>
      <c r="L593" s="170"/>
      <c r="M593" s="170"/>
      <c r="N593" s="170"/>
      <c r="O593" s="170"/>
      <c r="P593" s="170"/>
      <c r="Q593" s="170"/>
      <c r="R593" s="170"/>
      <c r="S593" s="153"/>
      <c r="T593" s="171"/>
      <c r="U593" s="156" t="str">
        <f t="shared" si="8"/>
        <v>#DIV/0!</v>
      </c>
      <c r="V593" s="172">
        <v>300.0</v>
      </c>
      <c r="W593" s="173"/>
    </row>
    <row r="594" ht="22.5" customHeight="1">
      <c r="A5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SUBSTITUTE(E594, """", """")"),"#REF!")</f>
        <v>#REF!</v>
      </c>
      <c r="B594" s="146"/>
      <c r="C594" s="146"/>
      <c r="D594" s="146"/>
      <c r="E594" s="44"/>
      <c r="F594" s="147"/>
      <c r="G594" s="146"/>
      <c r="H594" s="148"/>
      <c r="I594" s="148"/>
      <c r="J594" s="170"/>
      <c r="K594" s="170"/>
      <c r="L594" s="170"/>
      <c r="M594" s="170"/>
      <c r="N594" s="170"/>
      <c r="O594" s="170"/>
      <c r="P594" s="170"/>
      <c r="Q594" s="170"/>
      <c r="R594" s="170"/>
      <c r="S594" s="153"/>
      <c r="T594" s="171"/>
      <c r="U594" s="156" t="str">
        <f t="shared" si="8"/>
        <v>#DIV/0!</v>
      </c>
      <c r="V594" s="172">
        <v>300.0</v>
      </c>
      <c r="W594" s="173"/>
    </row>
    <row r="595" ht="22.5" customHeight="1">
      <c r="A5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SUBSTITUTE(E595, """", """")"),"#REF!")</f>
        <v>#REF!</v>
      </c>
      <c r="B595" s="146"/>
      <c r="C595" s="146"/>
      <c r="D595" s="146"/>
      <c r="E595" s="44"/>
      <c r="F595" s="147"/>
      <c r="G595" s="146"/>
      <c r="H595" s="148"/>
      <c r="I595" s="148"/>
      <c r="J595" s="170"/>
      <c r="K595" s="170"/>
      <c r="L595" s="170"/>
      <c r="M595" s="170"/>
      <c r="N595" s="170"/>
      <c r="O595" s="170"/>
      <c r="P595" s="170"/>
      <c r="Q595" s="170"/>
      <c r="R595" s="170"/>
      <c r="S595" s="153"/>
      <c r="T595" s="171"/>
      <c r="U595" s="156" t="str">
        <f t="shared" si="8"/>
        <v>#DIV/0!</v>
      </c>
      <c r="V595" s="172">
        <v>300.0</v>
      </c>
      <c r="W595" s="173"/>
    </row>
    <row r="596" ht="22.5" customHeight="1">
      <c r="A5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SUBSTITUTE(E596, """", """")"),"#REF!")</f>
        <v>#REF!</v>
      </c>
      <c r="B596" s="146"/>
      <c r="C596" s="146"/>
      <c r="D596" s="146"/>
      <c r="E596" s="44"/>
      <c r="F596" s="147"/>
      <c r="G596" s="146"/>
      <c r="H596" s="148"/>
      <c r="I596" s="148"/>
      <c r="J596" s="170"/>
      <c r="K596" s="170"/>
      <c r="L596" s="170"/>
      <c r="M596" s="170"/>
      <c r="N596" s="170"/>
      <c r="O596" s="170"/>
      <c r="P596" s="170"/>
      <c r="Q596" s="170"/>
      <c r="R596" s="170"/>
      <c r="S596" s="153"/>
      <c r="T596" s="171"/>
      <c r="U596" s="156" t="str">
        <f t="shared" si="8"/>
        <v>#DIV/0!</v>
      </c>
      <c r="V596" s="172">
        <v>300.0</v>
      </c>
      <c r="W596" s="173"/>
    </row>
    <row r="597" ht="22.5" customHeight="1">
      <c r="A5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SUBSTITUTE(E597, """", """")"),"#REF!")</f>
        <v>#REF!</v>
      </c>
      <c r="B597" s="146"/>
      <c r="C597" s="146"/>
      <c r="D597" s="146"/>
      <c r="E597" s="44"/>
      <c r="F597" s="147"/>
      <c r="G597" s="146"/>
      <c r="H597" s="148"/>
      <c r="I597" s="148"/>
      <c r="J597" s="170"/>
      <c r="K597" s="170"/>
      <c r="L597" s="170"/>
      <c r="M597" s="170"/>
      <c r="N597" s="170"/>
      <c r="O597" s="170"/>
      <c r="P597" s="170"/>
      <c r="Q597" s="170"/>
      <c r="R597" s="170"/>
      <c r="S597" s="153"/>
      <c r="T597" s="171"/>
      <c r="U597" s="156" t="str">
        <f t="shared" si="8"/>
        <v>#DIV/0!</v>
      </c>
      <c r="V597" s="172">
        <v>300.0</v>
      </c>
      <c r="W597" s="173"/>
    </row>
    <row r="598" ht="22.5" customHeight="1">
      <c r="A5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SUBSTITUTE(E598, """", """")"),"#REF!")</f>
        <v>#REF!</v>
      </c>
      <c r="B598" s="146"/>
      <c r="C598" s="146"/>
      <c r="D598" s="146"/>
      <c r="E598" s="44"/>
      <c r="F598" s="147"/>
      <c r="G598" s="146"/>
      <c r="H598" s="148"/>
      <c r="I598" s="148"/>
      <c r="J598" s="170"/>
      <c r="K598" s="170"/>
      <c r="L598" s="170"/>
      <c r="M598" s="170"/>
      <c r="N598" s="170"/>
      <c r="O598" s="170"/>
      <c r="P598" s="170"/>
      <c r="Q598" s="170"/>
      <c r="R598" s="170"/>
      <c r="S598" s="153"/>
      <c r="T598" s="171"/>
      <c r="U598" s="156" t="str">
        <f t="shared" si="8"/>
        <v>#DIV/0!</v>
      </c>
      <c r="V598" s="172">
        <v>300.0</v>
      </c>
      <c r="W598" s="173"/>
    </row>
    <row r="599" ht="22.5" customHeight="1">
      <c r="A5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SUBSTITUTE(E599, """", """")"),"#REF!")</f>
        <v>#REF!</v>
      </c>
      <c r="B599" s="146"/>
      <c r="C599" s="146"/>
      <c r="D599" s="146"/>
      <c r="E599" s="44"/>
      <c r="F599" s="147"/>
      <c r="G599" s="146"/>
      <c r="H599" s="148"/>
      <c r="I599" s="148"/>
      <c r="J599" s="170"/>
      <c r="K599" s="170"/>
      <c r="L599" s="170"/>
      <c r="M599" s="170"/>
      <c r="N599" s="170"/>
      <c r="O599" s="170"/>
      <c r="P599" s="170"/>
      <c r="Q599" s="170"/>
      <c r="R599" s="170"/>
      <c r="S599" s="153"/>
      <c r="T599" s="171"/>
      <c r="U599" s="156" t="str">
        <f t="shared" si="8"/>
        <v>#DIV/0!</v>
      </c>
      <c r="V599" s="172">
        <v>300.0</v>
      </c>
      <c r="W599" s="173"/>
    </row>
    <row r="600" ht="22.5" customHeight="1">
      <c r="A6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SUBSTITUTE(E600, """", """")"),"#REF!")</f>
        <v>#REF!</v>
      </c>
      <c r="B600" s="146"/>
      <c r="C600" s="146"/>
      <c r="D600" s="146"/>
      <c r="E600" s="44"/>
      <c r="F600" s="147"/>
      <c r="G600" s="146"/>
      <c r="H600" s="148"/>
      <c r="I600" s="148"/>
      <c r="J600" s="170"/>
      <c r="K600" s="170"/>
      <c r="L600" s="170"/>
      <c r="M600" s="170"/>
      <c r="N600" s="170"/>
      <c r="O600" s="170"/>
      <c r="P600" s="170"/>
      <c r="Q600" s="170"/>
      <c r="R600" s="170"/>
      <c r="S600" s="153"/>
      <c r="T600" s="171"/>
      <c r="U600" s="156" t="str">
        <f t="shared" si="8"/>
        <v>#DIV/0!</v>
      </c>
      <c r="V600" s="172">
        <v>300.0</v>
      </c>
      <c r="W600" s="173"/>
    </row>
    <row r="601" ht="22.5" customHeight="1">
      <c r="A6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SUBSTITUTE(E601, """", """")"),"#REF!")</f>
        <v>#REF!</v>
      </c>
      <c r="B601" s="146"/>
      <c r="C601" s="146"/>
      <c r="D601" s="146"/>
      <c r="E601" s="44"/>
      <c r="F601" s="147"/>
      <c r="G601" s="146"/>
      <c r="H601" s="148"/>
      <c r="I601" s="148"/>
      <c r="J601" s="170"/>
      <c r="K601" s="170"/>
      <c r="L601" s="170"/>
      <c r="M601" s="170"/>
      <c r="N601" s="170"/>
      <c r="O601" s="170"/>
      <c r="P601" s="170"/>
      <c r="Q601" s="170"/>
      <c r="R601" s="170"/>
      <c r="S601" s="153"/>
      <c r="T601" s="171"/>
      <c r="U601" s="156" t="str">
        <f t="shared" si="8"/>
        <v>#DIV/0!</v>
      </c>
      <c r="V601" s="172">
        <v>300.0</v>
      </c>
      <c r="W601" s="173"/>
    </row>
    <row r="602" ht="22.5" customHeight="1">
      <c r="A6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SUBSTITUTE(E602, """", """")"),"#REF!")</f>
        <v>#REF!</v>
      </c>
      <c r="B602" s="146"/>
      <c r="C602" s="146"/>
      <c r="D602" s="146"/>
      <c r="E602" s="44"/>
      <c r="F602" s="147"/>
      <c r="G602" s="146"/>
      <c r="H602" s="148"/>
      <c r="I602" s="148"/>
      <c r="J602" s="170"/>
      <c r="K602" s="170"/>
      <c r="L602" s="170"/>
      <c r="M602" s="170"/>
      <c r="N602" s="170"/>
      <c r="O602" s="170"/>
      <c r="P602" s="170"/>
      <c r="Q602" s="170"/>
      <c r="R602" s="170"/>
      <c r="S602" s="153"/>
      <c r="T602" s="171"/>
      <c r="U602" s="156" t="str">
        <f t="shared" si="8"/>
        <v>#DIV/0!</v>
      </c>
      <c r="V602" s="172">
        <v>300.0</v>
      </c>
      <c r="W602" s="173"/>
    </row>
    <row r="603" ht="22.5" customHeight="1">
      <c r="A6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SUBSTITUTE(E603, """", """")"),"#REF!")</f>
        <v>#REF!</v>
      </c>
      <c r="B603" s="146"/>
      <c r="C603" s="146"/>
      <c r="D603" s="146"/>
      <c r="E603" s="44"/>
      <c r="F603" s="147"/>
      <c r="G603" s="146"/>
      <c r="H603" s="148"/>
      <c r="I603" s="148"/>
      <c r="J603" s="170"/>
      <c r="K603" s="170"/>
      <c r="L603" s="170"/>
      <c r="M603" s="170"/>
      <c r="N603" s="170"/>
      <c r="O603" s="170"/>
      <c r="P603" s="170"/>
      <c r="Q603" s="170"/>
      <c r="R603" s="170"/>
      <c r="S603" s="153"/>
      <c r="T603" s="171"/>
      <c r="U603" s="156" t="str">
        <f t="shared" si="8"/>
        <v>#DIV/0!</v>
      </c>
      <c r="V603" s="172">
        <v>300.0</v>
      </c>
      <c r="W603" s="173"/>
    </row>
    <row r="604" ht="22.5" customHeight="1">
      <c r="A6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SUBSTITUTE(E604, """", """")"),"#REF!")</f>
        <v>#REF!</v>
      </c>
      <c r="B604" s="146"/>
      <c r="C604" s="146"/>
      <c r="D604" s="146"/>
      <c r="E604" s="44"/>
      <c r="F604" s="147"/>
      <c r="G604" s="146"/>
      <c r="H604" s="148"/>
      <c r="I604" s="148"/>
      <c r="J604" s="170"/>
      <c r="K604" s="170"/>
      <c r="L604" s="170"/>
      <c r="M604" s="170"/>
      <c r="N604" s="170"/>
      <c r="O604" s="170"/>
      <c r="P604" s="170"/>
      <c r="Q604" s="170"/>
      <c r="R604" s="170"/>
      <c r="S604" s="153"/>
      <c r="T604" s="171"/>
      <c r="U604" s="156" t="str">
        <f t="shared" si="8"/>
        <v>#DIV/0!</v>
      </c>
      <c r="V604" s="172">
        <v>300.0</v>
      </c>
      <c r="W604" s="173"/>
    </row>
    <row r="605" ht="22.5" customHeight="1">
      <c r="A6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SUBSTITUTE(E605, """", """")"),"#REF!")</f>
        <v>#REF!</v>
      </c>
      <c r="B605" s="146"/>
      <c r="C605" s="146"/>
      <c r="D605" s="146"/>
      <c r="E605" s="44"/>
      <c r="F605" s="147"/>
      <c r="G605" s="146"/>
      <c r="H605" s="148"/>
      <c r="I605" s="148"/>
      <c r="J605" s="170"/>
      <c r="K605" s="170"/>
      <c r="L605" s="170"/>
      <c r="M605" s="170"/>
      <c r="N605" s="170"/>
      <c r="O605" s="170"/>
      <c r="P605" s="170"/>
      <c r="Q605" s="170"/>
      <c r="R605" s="170"/>
      <c r="S605" s="153"/>
      <c r="T605" s="171"/>
      <c r="U605" s="156" t="str">
        <f t="shared" si="8"/>
        <v>#DIV/0!</v>
      </c>
      <c r="V605" s="172">
        <v>300.0</v>
      </c>
      <c r="W605" s="173"/>
    </row>
    <row r="606" ht="22.5" customHeight="1">
      <c r="A6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SUBSTITUTE(E606, """", """")"),"#REF!")</f>
        <v>#REF!</v>
      </c>
      <c r="B606" s="146"/>
      <c r="C606" s="146"/>
      <c r="D606" s="146"/>
      <c r="E606" s="44"/>
      <c r="F606" s="147"/>
      <c r="G606" s="146"/>
      <c r="H606" s="148"/>
      <c r="I606" s="148"/>
      <c r="J606" s="170"/>
      <c r="K606" s="170"/>
      <c r="L606" s="170"/>
      <c r="M606" s="170"/>
      <c r="N606" s="170"/>
      <c r="O606" s="170"/>
      <c r="P606" s="170"/>
      <c r="Q606" s="170"/>
      <c r="R606" s="170"/>
      <c r="S606" s="153"/>
      <c r="T606" s="171"/>
      <c r="U606" s="156" t="str">
        <f t="shared" si="8"/>
        <v>#DIV/0!</v>
      </c>
      <c r="V606" s="172">
        <v>300.0</v>
      </c>
      <c r="W606" s="173"/>
    </row>
    <row r="607" ht="22.5" customHeight="1">
      <c r="A6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SUBSTITUTE(E607, """", """")"),"#REF!")</f>
        <v>#REF!</v>
      </c>
      <c r="B607" s="146"/>
      <c r="C607" s="146"/>
      <c r="D607" s="146"/>
      <c r="E607" s="44"/>
      <c r="F607" s="147"/>
      <c r="G607" s="146"/>
      <c r="H607" s="148"/>
      <c r="I607" s="148"/>
      <c r="J607" s="170"/>
      <c r="K607" s="170"/>
      <c r="L607" s="170"/>
      <c r="M607" s="170"/>
      <c r="N607" s="170"/>
      <c r="O607" s="170"/>
      <c r="P607" s="170"/>
      <c r="Q607" s="170"/>
      <c r="R607" s="170"/>
      <c r="S607" s="153"/>
      <c r="T607" s="171"/>
      <c r="U607" s="156" t="str">
        <f t="shared" si="8"/>
        <v>#DIV/0!</v>
      </c>
      <c r="V607" s="172">
        <v>300.0</v>
      </c>
      <c r="W607" s="173"/>
    </row>
    <row r="608" ht="22.5" customHeight="1">
      <c r="A6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SUBSTITUTE(E608, """", """")"),"#REF!")</f>
        <v>#REF!</v>
      </c>
      <c r="B608" s="146"/>
      <c r="C608" s="146"/>
      <c r="D608" s="146"/>
      <c r="E608" s="44"/>
      <c r="F608" s="147"/>
      <c r="G608" s="146"/>
      <c r="H608" s="148"/>
      <c r="I608" s="148"/>
      <c r="J608" s="170"/>
      <c r="K608" s="170"/>
      <c r="L608" s="170"/>
      <c r="M608" s="170"/>
      <c r="N608" s="170"/>
      <c r="O608" s="170"/>
      <c r="P608" s="170"/>
      <c r="Q608" s="170"/>
      <c r="R608" s="170"/>
      <c r="S608" s="153"/>
      <c r="T608" s="171"/>
      <c r="U608" s="156" t="str">
        <f t="shared" si="8"/>
        <v>#DIV/0!</v>
      </c>
      <c r="V608" s="172">
        <v>300.0</v>
      </c>
      <c r="W608" s="173"/>
    </row>
    <row r="609" ht="22.5" customHeight="1">
      <c r="A6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SUBSTITUTE(E609, """", """")"),"#REF!")</f>
        <v>#REF!</v>
      </c>
      <c r="B609" s="146"/>
      <c r="C609" s="146"/>
      <c r="D609" s="146"/>
      <c r="E609" s="44"/>
      <c r="F609" s="147"/>
      <c r="G609" s="146"/>
      <c r="H609" s="148"/>
      <c r="I609" s="148"/>
      <c r="J609" s="170"/>
      <c r="K609" s="170"/>
      <c r="L609" s="170"/>
      <c r="M609" s="170"/>
      <c r="N609" s="170"/>
      <c r="O609" s="170"/>
      <c r="P609" s="170"/>
      <c r="Q609" s="170"/>
      <c r="R609" s="170"/>
      <c r="S609" s="153"/>
      <c r="T609" s="171"/>
      <c r="U609" s="156" t="str">
        <f t="shared" si="8"/>
        <v>#DIV/0!</v>
      </c>
      <c r="V609" s="172">
        <v>300.0</v>
      </c>
      <c r="W609" s="173"/>
    </row>
    <row r="610" ht="22.5" customHeight="1">
      <c r="A6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SUBSTITUTE(E610, """", """")"),"#REF!")</f>
        <v>#REF!</v>
      </c>
      <c r="B610" s="146"/>
      <c r="C610" s="146"/>
      <c r="D610" s="146"/>
      <c r="E610" s="44"/>
      <c r="F610" s="147"/>
      <c r="G610" s="146"/>
      <c r="H610" s="148"/>
      <c r="I610" s="148"/>
      <c r="J610" s="170"/>
      <c r="K610" s="170"/>
      <c r="L610" s="170"/>
      <c r="M610" s="170"/>
      <c r="N610" s="170"/>
      <c r="O610" s="170"/>
      <c r="P610" s="170"/>
      <c r="Q610" s="170"/>
      <c r="R610" s="170"/>
      <c r="S610" s="153"/>
      <c r="T610" s="171"/>
      <c r="U610" s="156" t="str">
        <f t="shared" si="8"/>
        <v>#DIV/0!</v>
      </c>
      <c r="V610" s="172">
        <v>300.0</v>
      </c>
      <c r="W610" s="173"/>
    </row>
    <row r="611" ht="22.5" customHeight="1">
      <c r="A6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SUBSTITUTE(E611, """", """")"),"#REF!")</f>
        <v>#REF!</v>
      </c>
      <c r="B611" s="146"/>
      <c r="C611" s="146"/>
      <c r="D611" s="146"/>
      <c r="E611" s="44"/>
      <c r="F611" s="147"/>
      <c r="G611" s="146"/>
      <c r="H611" s="148"/>
      <c r="I611" s="148"/>
      <c r="J611" s="170"/>
      <c r="K611" s="170"/>
      <c r="L611" s="170"/>
      <c r="M611" s="170"/>
      <c r="N611" s="170"/>
      <c r="O611" s="170"/>
      <c r="P611" s="170"/>
      <c r="Q611" s="170"/>
      <c r="R611" s="170"/>
      <c r="S611" s="153"/>
      <c r="T611" s="171"/>
      <c r="U611" s="156" t="str">
        <f t="shared" si="8"/>
        <v>#DIV/0!</v>
      </c>
      <c r="V611" s="172">
        <v>300.0</v>
      </c>
      <c r="W611" s="173"/>
    </row>
    <row r="612" ht="22.5" customHeight="1">
      <c r="A6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SUBSTITUTE(E612, """", """")"),"#REF!")</f>
        <v>#REF!</v>
      </c>
      <c r="B612" s="146"/>
      <c r="C612" s="146"/>
      <c r="D612" s="146"/>
      <c r="E612" s="44"/>
      <c r="F612" s="147"/>
      <c r="G612" s="146"/>
      <c r="H612" s="148"/>
      <c r="I612" s="148"/>
      <c r="J612" s="170"/>
      <c r="K612" s="170"/>
      <c r="L612" s="170"/>
      <c r="M612" s="170"/>
      <c r="N612" s="170"/>
      <c r="O612" s="170"/>
      <c r="P612" s="170"/>
      <c r="Q612" s="170"/>
      <c r="R612" s="170"/>
      <c r="S612" s="153"/>
      <c r="T612" s="171"/>
      <c r="U612" s="156" t="str">
        <f t="shared" si="8"/>
        <v>#DIV/0!</v>
      </c>
      <c r="V612" s="172">
        <v>300.0</v>
      </c>
      <c r="W612" s="173"/>
    </row>
    <row r="613" ht="22.5" customHeight="1">
      <c r="A6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SUBSTITUTE(E613, """", """")"),"#REF!")</f>
        <v>#REF!</v>
      </c>
      <c r="B613" s="146"/>
      <c r="C613" s="146"/>
      <c r="D613" s="146"/>
      <c r="E613" s="44"/>
      <c r="F613" s="147"/>
      <c r="G613" s="146"/>
      <c r="H613" s="148"/>
      <c r="I613" s="148"/>
      <c r="J613" s="170"/>
      <c r="K613" s="170"/>
      <c r="L613" s="170"/>
      <c r="M613" s="170"/>
      <c r="N613" s="170"/>
      <c r="O613" s="170"/>
      <c r="P613" s="170"/>
      <c r="Q613" s="170"/>
      <c r="R613" s="170"/>
      <c r="S613" s="153"/>
      <c r="T613" s="171"/>
      <c r="U613" s="156" t="str">
        <f t="shared" si="8"/>
        <v>#DIV/0!</v>
      </c>
      <c r="V613" s="172">
        <v>300.0</v>
      </c>
      <c r="W613" s="173"/>
    </row>
    <row r="614" ht="22.5" customHeight="1">
      <c r="A6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SUBSTITUTE(E614, """", """")"),"#REF!")</f>
        <v>#REF!</v>
      </c>
      <c r="B614" s="146"/>
      <c r="C614" s="146"/>
      <c r="D614" s="146"/>
      <c r="E614" s="44"/>
      <c r="F614" s="147"/>
      <c r="G614" s="146"/>
      <c r="H614" s="148"/>
      <c r="I614" s="148"/>
      <c r="J614" s="170"/>
      <c r="K614" s="170"/>
      <c r="L614" s="170"/>
      <c r="M614" s="170"/>
      <c r="N614" s="170"/>
      <c r="O614" s="170"/>
      <c r="P614" s="170"/>
      <c r="Q614" s="170"/>
      <c r="R614" s="170"/>
      <c r="S614" s="153"/>
      <c r="T614" s="171"/>
      <c r="U614" s="156" t="str">
        <f t="shared" si="8"/>
        <v>#DIV/0!</v>
      </c>
      <c r="V614" s="172">
        <v>300.0</v>
      </c>
      <c r="W614" s="173"/>
    </row>
    <row r="615" ht="22.5" customHeight="1">
      <c r="A6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SUBSTITUTE(E615, """", """")"),"#REF!")</f>
        <v>#REF!</v>
      </c>
      <c r="B615" s="146"/>
      <c r="C615" s="146"/>
      <c r="D615" s="146"/>
      <c r="E615" s="44"/>
      <c r="F615" s="147"/>
      <c r="G615" s="146"/>
      <c r="H615" s="148"/>
      <c r="I615" s="148"/>
      <c r="J615" s="170"/>
      <c r="K615" s="170"/>
      <c r="L615" s="170"/>
      <c r="M615" s="170"/>
      <c r="N615" s="170"/>
      <c r="O615" s="170"/>
      <c r="P615" s="170"/>
      <c r="Q615" s="170"/>
      <c r="R615" s="170"/>
      <c r="S615" s="153"/>
      <c r="T615" s="171"/>
      <c r="U615" s="156" t="str">
        <f t="shared" si="8"/>
        <v>#DIV/0!</v>
      </c>
      <c r="V615" s="172">
        <v>300.0</v>
      </c>
      <c r="W615" s="173"/>
    </row>
    <row r="616" ht="22.5" customHeight="1">
      <c r="A6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SUBSTITUTE(E616, """", """")"),"#REF!")</f>
        <v>#REF!</v>
      </c>
      <c r="B616" s="146"/>
      <c r="C616" s="146"/>
      <c r="D616" s="146"/>
      <c r="E616" s="44"/>
      <c r="F616" s="147"/>
      <c r="G616" s="146"/>
      <c r="H616" s="148"/>
      <c r="I616" s="148"/>
      <c r="J616" s="170"/>
      <c r="K616" s="170"/>
      <c r="L616" s="170"/>
      <c r="M616" s="170"/>
      <c r="N616" s="170"/>
      <c r="O616" s="170"/>
      <c r="P616" s="170"/>
      <c r="Q616" s="170"/>
      <c r="R616" s="170"/>
      <c r="S616" s="153"/>
      <c r="T616" s="171"/>
      <c r="U616" s="156" t="str">
        <f t="shared" si="8"/>
        <v>#DIV/0!</v>
      </c>
      <c r="V616" s="172">
        <v>300.0</v>
      </c>
      <c r="W616" s="173"/>
    </row>
    <row r="617" ht="22.5" customHeight="1">
      <c r="A6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SUBSTITUTE(E617, """", """")"),"#REF!")</f>
        <v>#REF!</v>
      </c>
      <c r="B617" s="146"/>
      <c r="C617" s="146"/>
      <c r="D617" s="146"/>
      <c r="E617" s="44"/>
      <c r="F617" s="147"/>
      <c r="G617" s="146"/>
      <c r="H617" s="148"/>
      <c r="I617" s="148"/>
      <c r="J617" s="170"/>
      <c r="K617" s="170"/>
      <c r="L617" s="170"/>
      <c r="M617" s="170"/>
      <c r="N617" s="170"/>
      <c r="O617" s="170"/>
      <c r="P617" s="170"/>
      <c r="Q617" s="170"/>
      <c r="R617" s="170"/>
      <c r="S617" s="153"/>
      <c r="T617" s="171"/>
      <c r="U617" s="156" t="str">
        <f t="shared" si="8"/>
        <v>#DIV/0!</v>
      </c>
      <c r="V617" s="172">
        <v>300.0</v>
      </c>
      <c r="W617" s="173"/>
    </row>
    <row r="618" ht="22.5" customHeight="1">
      <c r="A6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SUBSTITUTE(E618, """", """")"),"#REF!")</f>
        <v>#REF!</v>
      </c>
      <c r="B618" s="146"/>
      <c r="C618" s="146"/>
      <c r="D618" s="146"/>
      <c r="E618" s="44"/>
      <c r="F618" s="147"/>
      <c r="G618" s="146"/>
      <c r="H618" s="148"/>
      <c r="I618" s="148"/>
      <c r="J618" s="170"/>
      <c r="K618" s="170"/>
      <c r="L618" s="170"/>
      <c r="M618" s="170"/>
      <c r="N618" s="170"/>
      <c r="O618" s="170"/>
      <c r="P618" s="170"/>
      <c r="Q618" s="170"/>
      <c r="R618" s="170"/>
      <c r="S618" s="153"/>
      <c r="T618" s="171"/>
      <c r="U618" s="156" t="str">
        <f t="shared" si="8"/>
        <v>#DIV/0!</v>
      </c>
      <c r="V618" s="172">
        <v>300.0</v>
      </c>
      <c r="W618" s="173"/>
    </row>
    <row r="619" ht="22.5" customHeight="1">
      <c r="A6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SUBSTITUTE(E619, """", """")"),"#REF!")</f>
        <v>#REF!</v>
      </c>
      <c r="B619" s="146"/>
      <c r="C619" s="146"/>
      <c r="D619" s="146"/>
      <c r="E619" s="44"/>
      <c r="F619" s="147"/>
      <c r="G619" s="146"/>
      <c r="H619" s="148"/>
      <c r="I619" s="148"/>
      <c r="J619" s="170"/>
      <c r="K619" s="170"/>
      <c r="L619" s="170"/>
      <c r="M619" s="170"/>
      <c r="N619" s="170"/>
      <c r="O619" s="170"/>
      <c r="P619" s="170"/>
      <c r="Q619" s="170"/>
      <c r="R619" s="170"/>
      <c r="S619" s="153"/>
      <c r="T619" s="171"/>
      <c r="U619" s="156" t="str">
        <f t="shared" si="8"/>
        <v>#DIV/0!</v>
      </c>
      <c r="V619" s="172">
        <v>300.0</v>
      </c>
      <c r="W619" s="173"/>
    </row>
    <row r="620" ht="22.5" customHeight="1">
      <c r="A6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SUBSTITUTE(E620, """", """")"),"#REF!")</f>
        <v>#REF!</v>
      </c>
      <c r="B620" s="146"/>
      <c r="C620" s="146"/>
      <c r="D620" s="146"/>
      <c r="E620" s="44"/>
      <c r="F620" s="147"/>
      <c r="G620" s="146"/>
      <c r="H620" s="148"/>
      <c r="I620" s="148"/>
      <c r="J620" s="170"/>
      <c r="K620" s="170"/>
      <c r="L620" s="170"/>
      <c r="M620" s="170"/>
      <c r="N620" s="170"/>
      <c r="O620" s="170"/>
      <c r="P620" s="170"/>
      <c r="Q620" s="170"/>
      <c r="R620" s="170"/>
      <c r="S620" s="153"/>
      <c r="T620" s="171"/>
      <c r="U620" s="156" t="str">
        <f t="shared" si="8"/>
        <v>#DIV/0!</v>
      </c>
      <c r="V620" s="172">
        <v>300.0</v>
      </c>
      <c r="W620" s="173"/>
    </row>
    <row r="621" ht="22.5" customHeight="1">
      <c r="A6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SUBSTITUTE(E621, """", """")"),"#REF!")</f>
        <v>#REF!</v>
      </c>
      <c r="B621" s="146"/>
      <c r="C621" s="146"/>
      <c r="D621" s="146"/>
      <c r="E621" s="44"/>
      <c r="F621" s="147"/>
      <c r="G621" s="146"/>
      <c r="H621" s="148"/>
      <c r="I621" s="148"/>
      <c r="J621" s="170"/>
      <c r="K621" s="170"/>
      <c r="L621" s="170"/>
      <c r="M621" s="170"/>
      <c r="N621" s="170"/>
      <c r="O621" s="170"/>
      <c r="P621" s="170"/>
      <c r="Q621" s="170"/>
      <c r="R621" s="170"/>
      <c r="S621" s="153"/>
      <c r="T621" s="171"/>
      <c r="U621" s="156" t="str">
        <f t="shared" si="8"/>
        <v>#DIV/0!</v>
      </c>
      <c r="V621" s="172">
        <v>300.0</v>
      </c>
      <c r="W621" s="173"/>
    </row>
    <row r="622" ht="22.5" customHeight="1">
      <c r="A6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SUBSTITUTE(E622, """", """")"),"#REF!")</f>
        <v>#REF!</v>
      </c>
      <c r="B622" s="146"/>
      <c r="C622" s="146"/>
      <c r="D622" s="146"/>
      <c r="E622" s="44"/>
      <c r="F622" s="147"/>
      <c r="G622" s="146"/>
      <c r="H622" s="148"/>
      <c r="I622" s="148"/>
      <c r="J622" s="170"/>
      <c r="K622" s="170"/>
      <c r="L622" s="170"/>
      <c r="M622" s="170"/>
      <c r="N622" s="170"/>
      <c r="O622" s="170"/>
      <c r="P622" s="170"/>
      <c r="Q622" s="170"/>
      <c r="R622" s="170"/>
      <c r="S622" s="153"/>
      <c r="T622" s="171"/>
      <c r="U622" s="156" t="str">
        <f t="shared" si="8"/>
        <v>#DIV/0!</v>
      </c>
      <c r="V622" s="172">
        <v>300.0</v>
      </c>
      <c r="W622" s="173"/>
    </row>
    <row r="623" ht="22.5" customHeight="1">
      <c r="A6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SUBSTITUTE(E623, """", """")"),"#REF!")</f>
        <v>#REF!</v>
      </c>
      <c r="B623" s="146"/>
      <c r="C623" s="146"/>
      <c r="D623" s="146"/>
      <c r="E623" s="44"/>
      <c r="F623" s="147"/>
      <c r="G623" s="146"/>
      <c r="H623" s="148"/>
      <c r="I623" s="148"/>
      <c r="J623" s="170"/>
      <c r="K623" s="170"/>
      <c r="L623" s="170"/>
      <c r="M623" s="170"/>
      <c r="N623" s="170"/>
      <c r="O623" s="170"/>
      <c r="P623" s="170"/>
      <c r="Q623" s="170"/>
      <c r="R623" s="170"/>
      <c r="S623" s="153"/>
      <c r="T623" s="171"/>
      <c r="U623" s="156" t="str">
        <f t="shared" si="8"/>
        <v>#DIV/0!</v>
      </c>
      <c r="V623" s="172">
        <v>300.0</v>
      </c>
      <c r="W623" s="173"/>
    </row>
    <row r="624" ht="22.5" customHeight="1">
      <c r="A6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SUBSTITUTE(E624, """", """")"),"#REF!")</f>
        <v>#REF!</v>
      </c>
      <c r="B624" s="146"/>
      <c r="C624" s="146"/>
      <c r="D624" s="146"/>
      <c r="E624" s="44"/>
      <c r="F624" s="147"/>
      <c r="G624" s="146"/>
      <c r="H624" s="148"/>
      <c r="I624" s="148"/>
      <c r="J624" s="170"/>
      <c r="K624" s="170"/>
      <c r="L624" s="170"/>
      <c r="M624" s="170"/>
      <c r="N624" s="170"/>
      <c r="O624" s="170"/>
      <c r="P624" s="170"/>
      <c r="Q624" s="170"/>
      <c r="R624" s="170"/>
      <c r="S624" s="153"/>
      <c r="T624" s="171"/>
      <c r="U624" s="156" t="str">
        <f t="shared" si="8"/>
        <v>#DIV/0!</v>
      </c>
      <c r="V624" s="172">
        <v>300.0</v>
      </c>
      <c r="W624" s="173"/>
    </row>
    <row r="625" ht="22.5" customHeight="1">
      <c r="A6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SUBSTITUTE(E625, """", """")"),"#REF!")</f>
        <v>#REF!</v>
      </c>
      <c r="B625" s="146"/>
      <c r="C625" s="146"/>
      <c r="D625" s="146"/>
      <c r="E625" s="44"/>
      <c r="F625" s="147"/>
      <c r="G625" s="146"/>
      <c r="H625" s="148"/>
      <c r="I625" s="148"/>
      <c r="J625" s="170"/>
      <c r="K625" s="170"/>
      <c r="L625" s="170"/>
      <c r="M625" s="170"/>
      <c r="N625" s="170"/>
      <c r="O625" s="170"/>
      <c r="P625" s="170"/>
      <c r="Q625" s="170"/>
      <c r="R625" s="170"/>
      <c r="S625" s="153"/>
      <c r="T625" s="171"/>
      <c r="U625" s="156" t="str">
        <f t="shared" si="8"/>
        <v>#DIV/0!</v>
      </c>
      <c r="V625" s="172">
        <v>300.0</v>
      </c>
      <c r="W625" s="173"/>
    </row>
    <row r="626" ht="22.5" customHeight="1">
      <c r="A6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SUBSTITUTE(E626, """", """")"),"#REF!")</f>
        <v>#REF!</v>
      </c>
      <c r="B626" s="146"/>
      <c r="C626" s="146"/>
      <c r="D626" s="146"/>
      <c r="E626" s="44"/>
      <c r="F626" s="147"/>
      <c r="G626" s="146"/>
      <c r="H626" s="148"/>
      <c r="I626" s="148"/>
      <c r="J626" s="170"/>
      <c r="K626" s="170"/>
      <c r="L626" s="170"/>
      <c r="M626" s="170"/>
      <c r="N626" s="170"/>
      <c r="O626" s="170"/>
      <c r="P626" s="170"/>
      <c r="Q626" s="170"/>
      <c r="R626" s="170"/>
      <c r="S626" s="153"/>
      <c r="T626" s="171"/>
      <c r="U626" s="156" t="str">
        <f t="shared" si="8"/>
        <v>#DIV/0!</v>
      </c>
      <c r="V626" s="172">
        <v>300.0</v>
      </c>
      <c r="W626" s="173"/>
    </row>
    <row r="627" ht="22.5" customHeight="1">
      <c r="A6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SUBSTITUTE(E627, """", """")"),"#REF!")</f>
        <v>#REF!</v>
      </c>
      <c r="B627" s="146"/>
      <c r="C627" s="146"/>
      <c r="D627" s="146"/>
      <c r="E627" s="44"/>
      <c r="F627" s="147"/>
      <c r="G627" s="146"/>
      <c r="H627" s="148"/>
      <c r="I627" s="148"/>
      <c r="J627" s="170"/>
      <c r="K627" s="170"/>
      <c r="L627" s="170"/>
      <c r="M627" s="170"/>
      <c r="N627" s="170"/>
      <c r="O627" s="170"/>
      <c r="P627" s="170"/>
      <c r="Q627" s="170"/>
      <c r="R627" s="170"/>
      <c r="S627" s="153"/>
      <c r="T627" s="171"/>
      <c r="U627" s="156" t="str">
        <f t="shared" si="8"/>
        <v>#DIV/0!</v>
      </c>
      <c r="V627" s="172">
        <v>300.0</v>
      </c>
      <c r="W627" s="173"/>
    </row>
    <row r="628" ht="22.5" customHeight="1">
      <c r="A6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SUBSTITUTE(E628, """", """")"),"#REF!")</f>
        <v>#REF!</v>
      </c>
      <c r="B628" s="146"/>
      <c r="C628" s="146"/>
      <c r="D628" s="146"/>
      <c r="E628" s="44"/>
      <c r="F628" s="147"/>
      <c r="G628" s="146"/>
      <c r="H628" s="148"/>
      <c r="I628" s="148"/>
      <c r="J628" s="170"/>
      <c r="K628" s="170"/>
      <c r="L628" s="170"/>
      <c r="M628" s="170"/>
      <c r="N628" s="170"/>
      <c r="O628" s="170"/>
      <c r="P628" s="170"/>
      <c r="Q628" s="170"/>
      <c r="R628" s="170"/>
      <c r="S628" s="153"/>
      <c r="T628" s="171"/>
      <c r="U628" s="156" t="str">
        <f t="shared" si="8"/>
        <v>#DIV/0!</v>
      </c>
      <c r="V628" s="172">
        <v>300.0</v>
      </c>
      <c r="W628" s="173"/>
    </row>
    <row r="629" ht="22.5" customHeight="1">
      <c r="A6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SUBSTITUTE(E629, """", """")"),"#REF!")</f>
        <v>#REF!</v>
      </c>
      <c r="B629" s="146"/>
      <c r="C629" s="146"/>
      <c r="D629" s="146"/>
      <c r="E629" s="44"/>
      <c r="F629" s="147"/>
      <c r="G629" s="146"/>
      <c r="H629" s="148"/>
      <c r="I629" s="148"/>
      <c r="J629" s="170"/>
      <c r="K629" s="170"/>
      <c r="L629" s="170"/>
      <c r="M629" s="170"/>
      <c r="N629" s="170"/>
      <c r="O629" s="170"/>
      <c r="P629" s="170"/>
      <c r="Q629" s="170"/>
      <c r="R629" s="170"/>
      <c r="S629" s="153"/>
      <c r="T629" s="171"/>
      <c r="U629" s="156" t="str">
        <f t="shared" si="8"/>
        <v>#DIV/0!</v>
      </c>
      <c r="V629" s="172">
        <v>300.0</v>
      </c>
      <c r="W629" s="173"/>
    </row>
    <row r="630" ht="22.5" customHeight="1">
      <c r="A6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SUBSTITUTE(E630, """", """")"),"#REF!")</f>
        <v>#REF!</v>
      </c>
      <c r="B630" s="146"/>
      <c r="C630" s="146"/>
      <c r="D630" s="146"/>
      <c r="E630" s="44"/>
      <c r="F630" s="147"/>
      <c r="G630" s="146"/>
      <c r="H630" s="148"/>
      <c r="I630" s="148"/>
      <c r="J630" s="170"/>
      <c r="K630" s="170"/>
      <c r="L630" s="170"/>
      <c r="M630" s="170"/>
      <c r="N630" s="170"/>
      <c r="O630" s="170"/>
      <c r="P630" s="170"/>
      <c r="Q630" s="170"/>
      <c r="R630" s="170"/>
      <c r="S630" s="153"/>
      <c r="T630" s="171"/>
      <c r="U630" s="156" t="str">
        <f t="shared" si="8"/>
        <v>#DIV/0!</v>
      </c>
      <c r="V630" s="172">
        <v>300.0</v>
      </c>
      <c r="W630" s="173"/>
    </row>
    <row r="631" ht="22.5" customHeight="1">
      <c r="A6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SUBSTITUTE(E631, """", """")"),"#REF!")</f>
        <v>#REF!</v>
      </c>
      <c r="B631" s="146"/>
      <c r="C631" s="146"/>
      <c r="D631" s="146"/>
      <c r="E631" s="44"/>
      <c r="F631" s="147"/>
      <c r="G631" s="146"/>
      <c r="H631" s="148"/>
      <c r="I631" s="148"/>
      <c r="J631" s="170"/>
      <c r="K631" s="170"/>
      <c r="L631" s="170"/>
      <c r="M631" s="170"/>
      <c r="N631" s="170"/>
      <c r="O631" s="170"/>
      <c r="P631" s="170"/>
      <c r="Q631" s="170"/>
      <c r="R631" s="170"/>
      <c r="S631" s="153"/>
      <c r="T631" s="171"/>
      <c r="U631" s="156" t="str">
        <f t="shared" si="8"/>
        <v>#DIV/0!</v>
      </c>
      <c r="V631" s="172">
        <v>300.0</v>
      </c>
      <c r="W631" s="173"/>
    </row>
    <row r="632" ht="22.5" customHeight="1">
      <c r="A6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SUBSTITUTE(E632, """", """")"),"#REF!")</f>
        <v>#REF!</v>
      </c>
      <c r="B632" s="146"/>
      <c r="C632" s="146"/>
      <c r="D632" s="146"/>
      <c r="E632" s="44"/>
      <c r="F632" s="147"/>
      <c r="G632" s="146"/>
      <c r="H632" s="148"/>
      <c r="I632" s="148"/>
      <c r="J632" s="170"/>
      <c r="K632" s="170"/>
      <c r="L632" s="170"/>
      <c r="M632" s="170"/>
      <c r="N632" s="170"/>
      <c r="O632" s="170"/>
      <c r="P632" s="170"/>
      <c r="Q632" s="170"/>
      <c r="R632" s="170"/>
      <c r="S632" s="153"/>
      <c r="T632" s="171"/>
      <c r="U632" s="156" t="str">
        <f t="shared" si="8"/>
        <v>#DIV/0!</v>
      </c>
      <c r="V632" s="172">
        <v>300.0</v>
      </c>
      <c r="W632" s="173"/>
    </row>
    <row r="633" ht="22.5" customHeight="1">
      <c r="A6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SUBSTITUTE(E633, """", """")"),"#REF!")</f>
        <v>#REF!</v>
      </c>
      <c r="B633" s="146"/>
      <c r="C633" s="146"/>
      <c r="D633" s="146"/>
      <c r="E633" s="44"/>
      <c r="F633" s="147"/>
      <c r="G633" s="146"/>
      <c r="H633" s="148"/>
      <c r="I633" s="148"/>
      <c r="J633" s="170"/>
      <c r="K633" s="170"/>
      <c r="L633" s="170"/>
      <c r="M633" s="170"/>
      <c r="N633" s="170"/>
      <c r="O633" s="170"/>
      <c r="P633" s="170"/>
      <c r="Q633" s="170"/>
      <c r="R633" s="170"/>
      <c r="S633" s="153"/>
      <c r="T633" s="171"/>
      <c r="U633" s="156" t="str">
        <f t="shared" si="8"/>
        <v>#DIV/0!</v>
      </c>
      <c r="V633" s="172">
        <v>300.0</v>
      </c>
      <c r="W633" s="173"/>
    </row>
    <row r="634" ht="22.5" customHeight="1">
      <c r="A6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SUBSTITUTE(E634, """", """")"),"#REF!")</f>
        <v>#REF!</v>
      </c>
      <c r="B634" s="146"/>
      <c r="C634" s="146"/>
      <c r="D634" s="146"/>
      <c r="E634" s="44"/>
      <c r="F634" s="147"/>
      <c r="G634" s="146"/>
      <c r="H634" s="148"/>
      <c r="I634" s="148"/>
      <c r="J634" s="170"/>
      <c r="K634" s="170"/>
      <c r="L634" s="170"/>
      <c r="M634" s="170"/>
      <c r="N634" s="170"/>
      <c r="O634" s="170"/>
      <c r="P634" s="170"/>
      <c r="Q634" s="170"/>
      <c r="R634" s="170"/>
      <c r="S634" s="153"/>
      <c r="T634" s="171"/>
      <c r="U634" s="156" t="str">
        <f t="shared" si="8"/>
        <v>#DIV/0!</v>
      </c>
      <c r="V634" s="172">
        <v>300.0</v>
      </c>
      <c r="W634" s="173"/>
    </row>
    <row r="635" ht="22.5" customHeight="1">
      <c r="A6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SUBSTITUTE(E635, """", """")"),"#REF!")</f>
        <v>#REF!</v>
      </c>
      <c r="B635" s="146"/>
      <c r="C635" s="146"/>
      <c r="D635" s="146"/>
      <c r="E635" s="44"/>
      <c r="F635" s="147"/>
      <c r="G635" s="146"/>
      <c r="H635" s="148"/>
      <c r="I635" s="148"/>
      <c r="J635" s="170"/>
      <c r="K635" s="170"/>
      <c r="L635" s="170"/>
      <c r="M635" s="170"/>
      <c r="N635" s="170"/>
      <c r="O635" s="170"/>
      <c r="P635" s="170"/>
      <c r="Q635" s="170"/>
      <c r="R635" s="170"/>
      <c r="S635" s="153"/>
      <c r="T635" s="171"/>
      <c r="U635" s="156" t="str">
        <f t="shared" si="8"/>
        <v>#DIV/0!</v>
      </c>
      <c r="V635" s="172">
        <v>300.0</v>
      </c>
      <c r="W635" s="173"/>
    </row>
    <row r="636" ht="22.5" customHeight="1">
      <c r="A6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SUBSTITUTE(E636, """", """")"),"#REF!")</f>
        <v>#REF!</v>
      </c>
      <c r="B636" s="146"/>
      <c r="C636" s="146"/>
      <c r="D636" s="146"/>
      <c r="E636" s="44"/>
      <c r="F636" s="147"/>
      <c r="G636" s="146"/>
      <c r="H636" s="148"/>
      <c r="I636" s="148"/>
      <c r="J636" s="170"/>
      <c r="K636" s="170"/>
      <c r="L636" s="170"/>
      <c r="M636" s="170"/>
      <c r="N636" s="170"/>
      <c r="O636" s="170"/>
      <c r="P636" s="170"/>
      <c r="Q636" s="170"/>
      <c r="R636" s="170"/>
      <c r="S636" s="153"/>
      <c r="T636" s="171"/>
      <c r="U636" s="156" t="str">
        <f t="shared" si="8"/>
        <v>#DIV/0!</v>
      </c>
      <c r="V636" s="172">
        <v>300.0</v>
      </c>
      <c r="W636" s="173"/>
    </row>
    <row r="637" ht="22.5" customHeight="1">
      <c r="A6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SUBSTITUTE(E637, """", """")"),"#REF!")</f>
        <v>#REF!</v>
      </c>
      <c r="B637" s="146"/>
      <c r="C637" s="146"/>
      <c r="D637" s="146"/>
      <c r="E637" s="44"/>
      <c r="F637" s="147"/>
      <c r="G637" s="146"/>
      <c r="H637" s="148"/>
      <c r="I637" s="148"/>
      <c r="J637" s="170"/>
      <c r="K637" s="170"/>
      <c r="L637" s="170"/>
      <c r="M637" s="170"/>
      <c r="N637" s="170"/>
      <c r="O637" s="170"/>
      <c r="P637" s="170"/>
      <c r="Q637" s="170"/>
      <c r="R637" s="170"/>
      <c r="S637" s="153"/>
      <c r="T637" s="171"/>
      <c r="U637" s="156" t="str">
        <f t="shared" si="8"/>
        <v>#DIV/0!</v>
      </c>
      <c r="V637" s="172">
        <v>300.0</v>
      </c>
      <c r="W637" s="173"/>
    </row>
    <row r="638" ht="22.5" customHeight="1">
      <c r="A6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SUBSTITUTE(E638, """", """")"),"#REF!")</f>
        <v>#REF!</v>
      </c>
      <c r="B638" s="146"/>
      <c r="C638" s="146"/>
      <c r="D638" s="146"/>
      <c r="E638" s="44"/>
      <c r="F638" s="147"/>
      <c r="G638" s="146"/>
      <c r="H638" s="148"/>
      <c r="I638" s="148"/>
      <c r="J638" s="170"/>
      <c r="K638" s="170"/>
      <c r="L638" s="170"/>
      <c r="M638" s="170"/>
      <c r="N638" s="170"/>
      <c r="O638" s="170"/>
      <c r="P638" s="170"/>
      <c r="Q638" s="170"/>
      <c r="R638" s="170"/>
      <c r="S638" s="153"/>
      <c r="T638" s="171"/>
      <c r="U638" s="156" t="str">
        <f t="shared" si="8"/>
        <v>#DIV/0!</v>
      </c>
      <c r="V638" s="172">
        <v>300.0</v>
      </c>
      <c r="W638" s="173"/>
    </row>
    <row r="639" ht="22.5" customHeight="1">
      <c r="A6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SUBSTITUTE(E639, """", """")"),"#REF!")</f>
        <v>#REF!</v>
      </c>
      <c r="B639" s="146"/>
      <c r="C639" s="146"/>
      <c r="D639" s="146"/>
      <c r="E639" s="44"/>
      <c r="F639" s="147"/>
      <c r="G639" s="146"/>
      <c r="H639" s="148"/>
      <c r="I639" s="148"/>
      <c r="J639" s="170"/>
      <c r="K639" s="170"/>
      <c r="L639" s="170"/>
      <c r="M639" s="170"/>
      <c r="N639" s="170"/>
      <c r="O639" s="170"/>
      <c r="P639" s="170"/>
      <c r="Q639" s="170"/>
      <c r="R639" s="170"/>
      <c r="S639" s="153"/>
      <c r="T639" s="171"/>
      <c r="U639" s="156" t="str">
        <f t="shared" si="8"/>
        <v>#DIV/0!</v>
      </c>
      <c r="V639" s="172">
        <v>300.0</v>
      </c>
      <c r="W639" s="173"/>
    </row>
    <row r="640" ht="22.5" customHeight="1">
      <c r="A6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SUBSTITUTE(E640, """", """")"),"#REF!")</f>
        <v>#REF!</v>
      </c>
      <c r="B640" s="146"/>
      <c r="C640" s="146"/>
      <c r="D640" s="146"/>
      <c r="E640" s="44"/>
      <c r="F640" s="147"/>
      <c r="G640" s="146"/>
      <c r="H640" s="148"/>
      <c r="I640" s="148"/>
      <c r="J640" s="170"/>
      <c r="K640" s="170"/>
      <c r="L640" s="170"/>
      <c r="M640" s="170"/>
      <c r="N640" s="170"/>
      <c r="O640" s="170"/>
      <c r="P640" s="170"/>
      <c r="Q640" s="170"/>
      <c r="R640" s="170"/>
      <c r="S640" s="153"/>
      <c r="T640" s="171"/>
      <c r="U640" s="156" t="str">
        <f t="shared" si="8"/>
        <v>#DIV/0!</v>
      </c>
      <c r="V640" s="172">
        <v>300.0</v>
      </c>
      <c r="W640" s="173"/>
    </row>
    <row r="641" ht="22.5" customHeight="1">
      <c r="A6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SUBSTITUTE(E641, """", """")"),"#REF!")</f>
        <v>#REF!</v>
      </c>
      <c r="B641" s="146"/>
      <c r="C641" s="146"/>
      <c r="D641" s="146"/>
      <c r="E641" s="44"/>
      <c r="F641" s="147"/>
      <c r="G641" s="146"/>
      <c r="H641" s="148"/>
      <c r="I641" s="148"/>
      <c r="J641" s="170"/>
      <c r="K641" s="170"/>
      <c r="L641" s="170"/>
      <c r="M641" s="170"/>
      <c r="N641" s="170"/>
      <c r="O641" s="170"/>
      <c r="P641" s="170"/>
      <c r="Q641" s="170"/>
      <c r="R641" s="170"/>
      <c r="S641" s="153"/>
      <c r="T641" s="171"/>
      <c r="U641" s="156" t="str">
        <f t="shared" si="8"/>
        <v>#DIV/0!</v>
      </c>
      <c r="V641" s="172">
        <v>300.0</v>
      </c>
      <c r="W641" s="173"/>
    </row>
    <row r="642" ht="22.5" customHeight="1">
      <c r="A6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SUBSTITUTE(E642, """", """")"),"#REF!")</f>
        <v>#REF!</v>
      </c>
      <c r="B642" s="146"/>
      <c r="C642" s="146"/>
      <c r="D642" s="146"/>
      <c r="E642" s="44"/>
      <c r="F642" s="147"/>
      <c r="G642" s="146"/>
      <c r="H642" s="148"/>
      <c r="I642" s="148"/>
      <c r="J642" s="170"/>
      <c r="K642" s="170"/>
      <c r="L642" s="170"/>
      <c r="M642" s="170"/>
      <c r="N642" s="170"/>
      <c r="O642" s="170"/>
      <c r="P642" s="170"/>
      <c r="Q642" s="170"/>
      <c r="R642" s="170"/>
      <c r="S642" s="153"/>
      <c r="T642" s="171"/>
      <c r="U642" s="156" t="str">
        <f t="shared" si="8"/>
        <v>#DIV/0!</v>
      </c>
      <c r="V642" s="172">
        <v>300.0</v>
      </c>
      <c r="W642" s="173"/>
    </row>
    <row r="643" ht="22.5" customHeight="1">
      <c r="A6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SUBSTITUTE(E643, """", """")"),"#REF!")</f>
        <v>#REF!</v>
      </c>
      <c r="B643" s="146"/>
      <c r="C643" s="146"/>
      <c r="D643" s="146"/>
      <c r="E643" s="44"/>
      <c r="F643" s="147"/>
      <c r="G643" s="146"/>
      <c r="H643" s="148"/>
      <c r="I643" s="148"/>
      <c r="J643" s="170"/>
      <c r="K643" s="170"/>
      <c r="L643" s="170"/>
      <c r="M643" s="170"/>
      <c r="N643" s="170"/>
      <c r="O643" s="170"/>
      <c r="P643" s="170"/>
      <c r="Q643" s="170"/>
      <c r="R643" s="170"/>
      <c r="S643" s="153"/>
      <c r="T643" s="171"/>
      <c r="U643" s="156" t="str">
        <f t="shared" si="8"/>
        <v>#DIV/0!</v>
      </c>
      <c r="V643" s="172">
        <v>300.0</v>
      </c>
      <c r="W643" s="173"/>
    </row>
    <row r="644" ht="22.5" customHeight="1">
      <c r="A6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SUBSTITUTE(E644, """", """")"),"#REF!")</f>
        <v>#REF!</v>
      </c>
      <c r="B644" s="146"/>
      <c r="C644" s="146"/>
      <c r="D644" s="146"/>
      <c r="E644" s="44"/>
      <c r="F644" s="147"/>
      <c r="G644" s="146"/>
      <c r="H644" s="148"/>
      <c r="I644" s="148"/>
      <c r="J644" s="170"/>
      <c r="K644" s="170"/>
      <c r="L644" s="170"/>
      <c r="M644" s="170"/>
      <c r="N644" s="170"/>
      <c r="O644" s="170"/>
      <c r="P644" s="170"/>
      <c r="Q644" s="170"/>
      <c r="R644" s="170"/>
      <c r="S644" s="153"/>
      <c r="T644" s="171"/>
      <c r="U644" s="156" t="str">
        <f t="shared" si="8"/>
        <v>#DIV/0!</v>
      </c>
      <c r="V644" s="172">
        <v>300.0</v>
      </c>
      <c r="W644" s="173"/>
    </row>
    <row r="645" ht="22.5" customHeight="1">
      <c r="A6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SUBSTITUTE(E645, """", """")"),"#REF!")</f>
        <v>#REF!</v>
      </c>
      <c r="B645" s="146"/>
      <c r="C645" s="146"/>
      <c r="D645" s="146"/>
      <c r="E645" s="44"/>
      <c r="F645" s="147"/>
      <c r="G645" s="146"/>
      <c r="H645" s="148"/>
      <c r="I645" s="148"/>
      <c r="J645" s="170"/>
      <c r="K645" s="170"/>
      <c r="L645" s="170"/>
      <c r="M645" s="170"/>
      <c r="N645" s="170"/>
      <c r="O645" s="170"/>
      <c r="P645" s="170"/>
      <c r="Q645" s="170"/>
      <c r="R645" s="170"/>
      <c r="S645" s="153"/>
      <c r="T645" s="171"/>
      <c r="U645" s="156" t="str">
        <f t="shared" si="8"/>
        <v>#DIV/0!</v>
      </c>
      <c r="V645" s="172">
        <v>300.0</v>
      </c>
      <c r="W645" s="173"/>
    </row>
    <row r="646" ht="22.5" customHeight="1">
      <c r="A6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SUBSTITUTE(E646, """", """")"),"#REF!")</f>
        <v>#REF!</v>
      </c>
      <c r="B646" s="146"/>
      <c r="C646" s="146"/>
      <c r="D646" s="146"/>
      <c r="E646" s="44"/>
      <c r="F646" s="147"/>
      <c r="G646" s="146"/>
      <c r="H646" s="148"/>
      <c r="I646" s="148"/>
      <c r="J646" s="170"/>
      <c r="K646" s="170"/>
      <c r="L646" s="170"/>
      <c r="M646" s="170"/>
      <c r="N646" s="170"/>
      <c r="O646" s="170"/>
      <c r="P646" s="170"/>
      <c r="Q646" s="170"/>
      <c r="R646" s="170"/>
      <c r="S646" s="153"/>
      <c r="T646" s="171"/>
      <c r="U646" s="156" t="str">
        <f t="shared" si="8"/>
        <v>#DIV/0!</v>
      </c>
      <c r="V646" s="172">
        <v>300.0</v>
      </c>
      <c r="W646" s="173"/>
    </row>
    <row r="647" ht="22.5" customHeight="1">
      <c r="A64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SUBSTITUTE(E647, """", """")"),"#REF!")</f>
        <v>#REF!</v>
      </c>
      <c r="B647" s="146"/>
      <c r="C647" s="146"/>
      <c r="D647" s="146"/>
      <c r="E647" s="44"/>
      <c r="F647" s="147"/>
      <c r="G647" s="146"/>
      <c r="H647" s="148"/>
      <c r="I647" s="148"/>
      <c r="J647" s="170"/>
      <c r="K647" s="170"/>
      <c r="L647" s="170"/>
      <c r="M647" s="170"/>
      <c r="N647" s="170"/>
      <c r="O647" s="170"/>
      <c r="P647" s="170"/>
      <c r="Q647" s="170"/>
      <c r="R647" s="170"/>
      <c r="S647" s="153"/>
      <c r="T647" s="171"/>
      <c r="U647" s="156" t="str">
        <f t="shared" si="8"/>
        <v>#DIV/0!</v>
      </c>
      <c r="V647" s="172">
        <v>300.0</v>
      </c>
      <c r="W647" s="173"/>
    </row>
    <row r="648" ht="22.5" customHeight="1">
      <c r="A64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SUBSTITUTE(E648, """", """")"),"#REF!")</f>
        <v>#REF!</v>
      </c>
      <c r="B648" s="146"/>
      <c r="C648" s="146"/>
      <c r="D648" s="146"/>
      <c r="E648" s="44"/>
      <c r="F648" s="147"/>
      <c r="G648" s="146"/>
      <c r="H648" s="148"/>
      <c r="I648" s="148"/>
      <c r="J648" s="170"/>
      <c r="K648" s="170"/>
      <c r="L648" s="170"/>
      <c r="M648" s="170"/>
      <c r="N648" s="170"/>
      <c r="O648" s="170"/>
      <c r="P648" s="170"/>
      <c r="Q648" s="170"/>
      <c r="R648" s="170"/>
      <c r="S648" s="153"/>
      <c r="T648" s="171"/>
      <c r="U648" s="156" t="str">
        <f t="shared" si="8"/>
        <v>#DIV/0!</v>
      </c>
      <c r="V648" s="172">
        <v>300.0</v>
      </c>
      <c r="W648" s="173"/>
    </row>
    <row r="649" ht="22.5" customHeight="1">
      <c r="A64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SUBSTITUTE(E649, """", """")"),"#REF!")</f>
        <v>#REF!</v>
      </c>
      <c r="B649" s="146"/>
      <c r="C649" s="146"/>
      <c r="D649" s="146"/>
      <c r="E649" s="44"/>
      <c r="F649" s="147"/>
      <c r="G649" s="146"/>
      <c r="H649" s="148"/>
      <c r="I649" s="148"/>
      <c r="J649" s="170"/>
      <c r="K649" s="170"/>
      <c r="L649" s="170"/>
      <c r="M649" s="170"/>
      <c r="N649" s="170"/>
      <c r="O649" s="170"/>
      <c r="P649" s="170"/>
      <c r="Q649" s="170"/>
      <c r="R649" s="170"/>
      <c r="S649" s="153"/>
      <c r="T649" s="171"/>
      <c r="U649" s="156" t="str">
        <f t="shared" si="8"/>
        <v>#DIV/0!</v>
      </c>
      <c r="V649" s="172">
        <v>300.0</v>
      </c>
      <c r="W649" s="173"/>
    </row>
    <row r="650" ht="22.5" customHeight="1">
      <c r="A65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SUBSTITUTE(E650, """", """")"),"#REF!")</f>
        <v>#REF!</v>
      </c>
      <c r="B650" s="146"/>
      <c r="C650" s="146"/>
      <c r="D650" s="146"/>
      <c r="E650" s="44"/>
      <c r="F650" s="147"/>
      <c r="G650" s="146"/>
      <c r="H650" s="148"/>
      <c r="I650" s="148"/>
      <c r="J650" s="170"/>
      <c r="K650" s="170"/>
      <c r="L650" s="170"/>
      <c r="M650" s="170"/>
      <c r="N650" s="170"/>
      <c r="O650" s="170"/>
      <c r="P650" s="170"/>
      <c r="Q650" s="170"/>
      <c r="R650" s="170"/>
      <c r="S650" s="153"/>
      <c r="T650" s="171"/>
      <c r="U650" s="156" t="str">
        <f t="shared" si="8"/>
        <v>#DIV/0!</v>
      </c>
      <c r="V650" s="172">
        <v>300.0</v>
      </c>
      <c r="W650" s="173"/>
    </row>
    <row r="651" ht="22.5" customHeight="1">
      <c r="A65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SUBSTITUTE(E651, """", """")"),"#REF!")</f>
        <v>#REF!</v>
      </c>
      <c r="B651" s="146"/>
      <c r="C651" s="146"/>
      <c r="D651" s="146"/>
      <c r="E651" s="44"/>
      <c r="F651" s="147"/>
      <c r="G651" s="146"/>
      <c r="H651" s="148"/>
      <c r="I651" s="148"/>
      <c r="J651" s="170"/>
      <c r="K651" s="170"/>
      <c r="L651" s="170"/>
      <c r="M651" s="170"/>
      <c r="N651" s="170"/>
      <c r="O651" s="170"/>
      <c r="P651" s="170"/>
      <c r="Q651" s="170"/>
      <c r="R651" s="170"/>
      <c r="S651" s="153"/>
      <c r="T651" s="171"/>
      <c r="U651" s="156" t="str">
        <f t="shared" si="8"/>
        <v>#DIV/0!</v>
      </c>
      <c r="V651" s="172">
        <v>300.0</v>
      </c>
      <c r="W651" s="173"/>
    </row>
    <row r="652" ht="22.5" customHeight="1">
      <c r="A65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SUBSTITUTE(E652, """", """")"),"#REF!")</f>
        <v>#REF!</v>
      </c>
      <c r="B652" s="146"/>
      <c r="C652" s="146"/>
      <c r="D652" s="146"/>
      <c r="E652" s="44"/>
      <c r="F652" s="147"/>
      <c r="G652" s="146"/>
      <c r="H652" s="148"/>
      <c r="I652" s="148"/>
      <c r="J652" s="170"/>
      <c r="K652" s="170"/>
      <c r="L652" s="170"/>
      <c r="M652" s="170"/>
      <c r="N652" s="170"/>
      <c r="O652" s="170"/>
      <c r="P652" s="170"/>
      <c r="Q652" s="170"/>
      <c r="R652" s="170"/>
      <c r="S652" s="153"/>
      <c r="T652" s="171"/>
      <c r="U652" s="156" t="str">
        <f t="shared" si="8"/>
        <v>#DIV/0!</v>
      </c>
      <c r="V652" s="172">
        <v>300.0</v>
      </c>
      <c r="W652" s="173"/>
    </row>
    <row r="653" ht="22.5" customHeight="1">
      <c r="A65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SUBSTITUTE(E653, """", """")"),"#REF!")</f>
        <v>#REF!</v>
      </c>
      <c r="B653" s="146"/>
      <c r="C653" s="146"/>
      <c r="D653" s="146"/>
      <c r="E653" s="44"/>
      <c r="F653" s="147"/>
      <c r="G653" s="146"/>
      <c r="H653" s="148"/>
      <c r="I653" s="148"/>
      <c r="J653" s="170"/>
      <c r="K653" s="170"/>
      <c r="L653" s="170"/>
      <c r="M653" s="170"/>
      <c r="N653" s="170"/>
      <c r="O653" s="170"/>
      <c r="P653" s="170"/>
      <c r="Q653" s="170"/>
      <c r="R653" s="170"/>
      <c r="S653" s="153"/>
      <c r="T653" s="171"/>
      <c r="U653" s="156" t="str">
        <f t="shared" si="8"/>
        <v>#DIV/0!</v>
      </c>
      <c r="V653" s="172">
        <v>300.0</v>
      </c>
      <c r="W653" s="173"/>
    </row>
    <row r="654" ht="22.5" customHeight="1">
      <c r="A65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SUBSTITUTE(E654, """", """")"),"#REF!")</f>
        <v>#REF!</v>
      </c>
      <c r="B654" s="146"/>
      <c r="C654" s="146"/>
      <c r="D654" s="146"/>
      <c r="E654" s="44"/>
      <c r="F654" s="147"/>
      <c r="G654" s="146"/>
      <c r="H654" s="148"/>
      <c r="I654" s="148"/>
      <c r="J654" s="170"/>
      <c r="K654" s="170"/>
      <c r="L654" s="170"/>
      <c r="M654" s="170"/>
      <c r="N654" s="170"/>
      <c r="O654" s="170"/>
      <c r="P654" s="170"/>
      <c r="Q654" s="170"/>
      <c r="R654" s="170"/>
      <c r="S654" s="153"/>
      <c r="T654" s="171"/>
      <c r="U654" s="156" t="str">
        <f t="shared" si="8"/>
        <v>#DIV/0!</v>
      </c>
      <c r="V654" s="172">
        <v>300.0</v>
      </c>
      <c r="W654" s="173"/>
    </row>
    <row r="655" ht="22.5" customHeight="1">
      <c r="A65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SUBSTITUTE(E655, """", """")"),"#REF!")</f>
        <v>#REF!</v>
      </c>
      <c r="B655" s="146"/>
      <c r="C655" s="146"/>
      <c r="D655" s="146"/>
      <c r="E655" s="44"/>
      <c r="F655" s="147"/>
      <c r="G655" s="146"/>
      <c r="H655" s="148"/>
      <c r="I655" s="148"/>
      <c r="J655" s="170"/>
      <c r="K655" s="170"/>
      <c r="L655" s="170"/>
      <c r="M655" s="170"/>
      <c r="N655" s="170"/>
      <c r="O655" s="170"/>
      <c r="P655" s="170"/>
      <c r="Q655" s="170"/>
      <c r="R655" s="170"/>
      <c r="S655" s="153"/>
      <c r="T655" s="171"/>
      <c r="U655" s="156" t="str">
        <f t="shared" si="8"/>
        <v>#DIV/0!</v>
      </c>
      <c r="V655" s="172">
        <v>300.0</v>
      </c>
      <c r="W655" s="173"/>
    </row>
    <row r="656" ht="22.5" customHeight="1">
      <c r="A65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SUBSTITUTE(E656, """", """")"),"#REF!")</f>
        <v>#REF!</v>
      </c>
      <c r="B656" s="146"/>
      <c r="C656" s="146"/>
      <c r="D656" s="146"/>
      <c r="E656" s="44"/>
      <c r="F656" s="147"/>
      <c r="G656" s="146"/>
      <c r="H656" s="148"/>
      <c r="I656" s="148"/>
      <c r="J656" s="170"/>
      <c r="K656" s="170"/>
      <c r="L656" s="170"/>
      <c r="M656" s="170"/>
      <c r="N656" s="170"/>
      <c r="O656" s="170"/>
      <c r="P656" s="170"/>
      <c r="Q656" s="170"/>
      <c r="R656" s="170"/>
      <c r="S656" s="153"/>
      <c r="T656" s="171"/>
      <c r="U656" s="156" t="str">
        <f t="shared" si="8"/>
        <v>#DIV/0!</v>
      </c>
      <c r="V656" s="172">
        <v>300.0</v>
      </c>
      <c r="W656" s="173"/>
    </row>
    <row r="657" ht="22.5" customHeight="1">
      <c r="A65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SUBSTITUTE(E657, """", """")"),"#REF!")</f>
        <v>#REF!</v>
      </c>
      <c r="B657" s="146"/>
      <c r="C657" s="146"/>
      <c r="D657" s="146"/>
      <c r="E657" s="44"/>
      <c r="F657" s="147"/>
      <c r="G657" s="146"/>
      <c r="H657" s="148"/>
      <c r="I657" s="148"/>
      <c r="J657" s="170"/>
      <c r="K657" s="170"/>
      <c r="L657" s="170"/>
      <c r="M657" s="170"/>
      <c r="N657" s="170"/>
      <c r="O657" s="170"/>
      <c r="P657" s="170"/>
      <c r="Q657" s="170"/>
      <c r="R657" s="170"/>
      <c r="S657" s="153"/>
      <c r="T657" s="171"/>
      <c r="U657" s="156" t="str">
        <f t="shared" si="8"/>
        <v>#DIV/0!</v>
      </c>
      <c r="V657" s="172">
        <v>300.0</v>
      </c>
      <c r="W657" s="173"/>
    </row>
    <row r="658" ht="22.5" customHeight="1">
      <c r="A65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SUBSTITUTE(E658, """", """")"),"#REF!")</f>
        <v>#REF!</v>
      </c>
      <c r="B658" s="146"/>
      <c r="C658" s="146"/>
      <c r="D658" s="146"/>
      <c r="E658" s="44"/>
      <c r="F658" s="147"/>
      <c r="G658" s="146"/>
      <c r="H658" s="148"/>
      <c r="I658" s="148"/>
      <c r="J658" s="170"/>
      <c r="K658" s="170"/>
      <c r="L658" s="170"/>
      <c r="M658" s="170"/>
      <c r="N658" s="170"/>
      <c r="O658" s="170"/>
      <c r="P658" s="170"/>
      <c r="Q658" s="170"/>
      <c r="R658" s="170"/>
      <c r="S658" s="153"/>
      <c r="T658" s="171"/>
      <c r="U658" s="156" t="str">
        <f t="shared" si="8"/>
        <v>#DIV/0!</v>
      </c>
      <c r="V658" s="172">
        <v>300.0</v>
      </c>
      <c r="W658" s="173"/>
    </row>
    <row r="659" ht="22.5" customHeight="1">
      <c r="A65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SUBSTITUTE(E659, """", """")"),"#REF!")</f>
        <v>#REF!</v>
      </c>
      <c r="B659" s="146"/>
      <c r="C659" s="146"/>
      <c r="D659" s="146"/>
      <c r="E659" s="44"/>
      <c r="F659" s="147"/>
      <c r="G659" s="146"/>
      <c r="H659" s="148"/>
      <c r="I659" s="148"/>
      <c r="J659" s="170"/>
      <c r="K659" s="170"/>
      <c r="L659" s="170"/>
      <c r="M659" s="170"/>
      <c r="N659" s="170"/>
      <c r="O659" s="170"/>
      <c r="P659" s="170"/>
      <c r="Q659" s="170"/>
      <c r="R659" s="170"/>
      <c r="S659" s="153"/>
      <c r="T659" s="171"/>
      <c r="U659" s="156" t="str">
        <f t="shared" si="8"/>
        <v>#DIV/0!</v>
      </c>
      <c r="V659" s="172">
        <v>300.0</v>
      </c>
      <c r="W659" s="173"/>
    </row>
    <row r="660" ht="22.5" customHeight="1">
      <c r="A66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SUBSTITUTE(E660, """", """")"),"#REF!")</f>
        <v>#REF!</v>
      </c>
      <c r="B660" s="146"/>
      <c r="C660" s="146"/>
      <c r="D660" s="146"/>
      <c r="E660" s="44"/>
      <c r="F660" s="147"/>
      <c r="G660" s="146"/>
      <c r="H660" s="148"/>
      <c r="I660" s="148"/>
      <c r="J660" s="170"/>
      <c r="K660" s="170"/>
      <c r="L660" s="170"/>
      <c r="M660" s="170"/>
      <c r="N660" s="170"/>
      <c r="O660" s="170"/>
      <c r="P660" s="170"/>
      <c r="Q660" s="170"/>
      <c r="R660" s="170"/>
      <c r="S660" s="153"/>
      <c r="T660" s="171"/>
      <c r="U660" s="156" t="str">
        <f t="shared" si="8"/>
        <v>#DIV/0!</v>
      </c>
      <c r="V660" s="172">
        <v>300.0</v>
      </c>
      <c r="W660" s="173"/>
    </row>
    <row r="661" ht="22.5" customHeight="1">
      <c r="A66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SUBSTITUTE(E661, """", """")"),"#REF!")</f>
        <v>#REF!</v>
      </c>
      <c r="B661" s="146"/>
      <c r="C661" s="146"/>
      <c r="D661" s="146"/>
      <c r="E661" s="44"/>
      <c r="F661" s="147"/>
      <c r="G661" s="146"/>
      <c r="H661" s="148"/>
      <c r="I661" s="148"/>
      <c r="J661" s="170"/>
      <c r="K661" s="170"/>
      <c r="L661" s="170"/>
      <c r="M661" s="170"/>
      <c r="N661" s="170"/>
      <c r="O661" s="170"/>
      <c r="P661" s="170"/>
      <c r="Q661" s="170"/>
      <c r="R661" s="170"/>
      <c r="S661" s="153"/>
      <c r="T661" s="171"/>
      <c r="U661" s="156" t="str">
        <f t="shared" si="8"/>
        <v>#DIV/0!</v>
      </c>
      <c r="V661" s="172">
        <v>300.0</v>
      </c>
      <c r="W661" s="173"/>
    </row>
    <row r="662" ht="22.5" customHeight="1">
      <c r="A66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SUBSTITUTE(E662, """", """")"),"#REF!")</f>
        <v>#REF!</v>
      </c>
      <c r="B662" s="146"/>
      <c r="C662" s="146"/>
      <c r="D662" s="146"/>
      <c r="E662" s="44"/>
      <c r="F662" s="147"/>
      <c r="G662" s="146"/>
      <c r="H662" s="148"/>
      <c r="I662" s="148"/>
      <c r="J662" s="170"/>
      <c r="K662" s="170"/>
      <c r="L662" s="170"/>
      <c r="M662" s="170"/>
      <c r="N662" s="170"/>
      <c r="O662" s="170"/>
      <c r="P662" s="170"/>
      <c r="Q662" s="170"/>
      <c r="R662" s="170"/>
      <c r="S662" s="153"/>
      <c r="T662" s="171"/>
      <c r="U662" s="156" t="str">
        <f t="shared" si="8"/>
        <v>#DIV/0!</v>
      </c>
      <c r="V662" s="172">
        <v>300.0</v>
      </c>
      <c r="W662" s="173"/>
    </row>
    <row r="663" ht="22.5" customHeight="1">
      <c r="A66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SUBSTITUTE(E663, """", """")"),"#REF!")</f>
        <v>#REF!</v>
      </c>
      <c r="B663" s="146"/>
      <c r="C663" s="146"/>
      <c r="D663" s="146"/>
      <c r="E663" s="44"/>
      <c r="F663" s="147"/>
      <c r="G663" s="146"/>
      <c r="H663" s="148"/>
      <c r="I663" s="148"/>
      <c r="J663" s="170"/>
      <c r="K663" s="170"/>
      <c r="L663" s="170"/>
      <c r="M663" s="170"/>
      <c r="N663" s="170"/>
      <c r="O663" s="170"/>
      <c r="P663" s="170"/>
      <c r="Q663" s="170"/>
      <c r="R663" s="170"/>
      <c r="S663" s="153"/>
      <c r="T663" s="171"/>
      <c r="U663" s="156" t="str">
        <f t="shared" si="8"/>
        <v>#DIV/0!</v>
      </c>
      <c r="V663" s="172">
        <v>300.0</v>
      </c>
      <c r="W663" s="173"/>
    </row>
    <row r="664" ht="22.5" customHeight="1">
      <c r="A66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SUBSTITUTE(E664, """", """")"),"#REF!")</f>
        <v>#REF!</v>
      </c>
      <c r="B664" s="146"/>
      <c r="C664" s="146"/>
      <c r="D664" s="146"/>
      <c r="E664" s="44"/>
      <c r="F664" s="147"/>
      <c r="G664" s="146"/>
      <c r="H664" s="148"/>
      <c r="I664" s="148"/>
      <c r="J664" s="170"/>
      <c r="K664" s="170"/>
      <c r="L664" s="170"/>
      <c r="M664" s="170"/>
      <c r="N664" s="170"/>
      <c r="O664" s="170"/>
      <c r="P664" s="170"/>
      <c r="Q664" s="170"/>
      <c r="R664" s="170"/>
      <c r="S664" s="153"/>
      <c r="T664" s="171"/>
      <c r="U664" s="156" t="str">
        <f t="shared" si="8"/>
        <v>#DIV/0!</v>
      </c>
      <c r="V664" s="172">
        <v>300.0</v>
      </c>
      <c r="W664" s="173"/>
    </row>
    <row r="665" ht="22.5" customHeight="1">
      <c r="A66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SUBSTITUTE(E665, """", """")"),"#REF!")</f>
        <v>#REF!</v>
      </c>
      <c r="B665" s="146"/>
      <c r="C665" s="146"/>
      <c r="D665" s="146"/>
      <c r="E665" s="44"/>
      <c r="F665" s="147"/>
      <c r="G665" s="146"/>
      <c r="H665" s="148"/>
      <c r="I665" s="148"/>
      <c r="J665" s="170"/>
      <c r="K665" s="170"/>
      <c r="L665" s="170"/>
      <c r="M665" s="170"/>
      <c r="N665" s="170"/>
      <c r="O665" s="170"/>
      <c r="P665" s="170"/>
      <c r="Q665" s="170"/>
      <c r="R665" s="170"/>
      <c r="S665" s="153"/>
      <c r="T665" s="171"/>
      <c r="U665" s="156" t="str">
        <f t="shared" si="8"/>
        <v>#DIV/0!</v>
      </c>
      <c r="V665" s="172">
        <v>300.0</v>
      </c>
      <c r="W665" s="173"/>
    </row>
    <row r="666" ht="22.5" customHeight="1">
      <c r="A6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SUBSTITUTE(E666, """", """")"),"#REF!")</f>
        <v>#REF!</v>
      </c>
      <c r="B666" s="146"/>
      <c r="C666" s="146"/>
      <c r="D666" s="146"/>
      <c r="E666" s="44"/>
      <c r="F666" s="147"/>
      <c r="G666" s="146"/>
      <c r="H666" s="148"/>
      <c r="I666" s="148"/>
      <c r="J666" s="170"/>
      <c r="K666" s="170"/>
      <c r="L666" s="170"/>
      <c r="M666" s="170"/>
      <c r="N666" s="170"/>
      <c r="O666" s="170"/>
      <c r="P666" s="170"/>
      <c r="Q666" s="170"/>
      <c r="R666" s="170"/>
      <c r="S666" s="153"/>
      <c r="T666" s="171"/>
      <c r="U666" s="156" t="str">
        <f t="shared" si="8"/>
        <v>#DIV/0!</v>
      </c>
      <c r="V666" s="172">
        <v>300.0</v>
      </c>
      <c r="W666" s="173"/>
    </row>
    <row r="667" ht="22.5" customHeight="1">
      <c r="A6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SUBSTITUTE(E667, """", """")"),"#REF!")</f>
        <v>#REF!</v>
      </c>
      <c r="B667" s="146"/>
      <c r="C667" s="146"/>
      <c r="D667" s="146"/>
      <c r="E667" s="44"/>
      <c r="F667" s="147"/>
      <c r="G667" s="146"/>
      <c r="H667" s="148"/>
      <c r="I667" s="148"/>
      <c r="J667" s="170"/>
      <c r="K667" s="170"/>
      <c r="L667" s="170"/>
      <c r="M667" s="170"/>
      <c r="N667" s="170"/>
      <c r="O667" s="170"/>
      <c r="P667" s="170"/>
      <c r="Q667" s="170"/>
      <c r="R667" s="170"/>
      <c r="S667" s="153"/>
      <c r="T667" s="171"/>
      <c r="U667" s="156" t="str">
        <f t="shared" si="8"/>
        <v>#DIV/0!</v>
      </c>
      <c r="V667" s="172">
        <v>300.0</v>
      </c>
      <c r="W667" s="173"/>
    </row>
    <row r="668" ht="22.5" customHeight="1">
      <c r="A66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SUBSTITUTE(E668, """", """")"),"#REF!")</f>
        <v>#REF!</v>
      </c>
      <c r="B668" s="146"/>
      <c r="C668" s="146"/>
      <c r="D668" s="146"/>
      <c r="E668" s="44"/>
      <c r="F668" s="147"/>
      <c r="G668" s="146"/>
      <c r="H668" s="148"/>
      <c r="I668" s="148"/>
      <c r="J668" s="170"/>
      <c r="K668" s="170"/>
      <c r="L668" s="170"/>
      <c r="M668" s="170"/>
      <c r="N668" s="170"/>
      <c r="O668" s="170"/>
      <c r="P668" s="170"/>
      <c r="Q668" s="170"/>
      <c r="R668" s="170"/>
      <c r="S668" s="153"/>
      <c r="T668" s="171"/>
      <c r="U668" s="156" t="str">
        <f t="shared" si="8"/>
        <v>#DIV/0!</v>
      </c>
      <c r="V668" s="172">
        <v>300.0</v>
      </c>
      <c r="W668" s="173"/>
    </row>
    <row r="669" ht="22.5" customHeight="1">
      <c r="A66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SUBSTITUTE(E669, """", """")"),"#REF!")</f>
        <v>#REF!</v>
      </c>
      <c r="B669" s="146"/>
      <c r="C669" s="146"/>
      <c r="D669" s="146"/>
      <c r="E669" s="44"/>
      <c r="F669" s="147"/>
      <c r="G669" s="146"/>
      <c r="H669" s="148"/>
      <c r="I669" s="148"/>
      <c r="J669" s="170"/>
      <c r="K669" s="170"/>
      <c r="L669" s="170"/>
      <c r="M669" s="170"/>
      <c r="N669" s="170"/>
      <c r="O669" s="170"/>
      <c r="P669" s="170"/>
      <c r="Q669" s="170"/>
      <c r="R669" s="170"/>
      <c r="S669" s="153"/>
      <c r="T669" s="171"/>
      <c r="U669" s="156" t="str">
        <f t="shared" si="8"/>
        <v>#DIV/0!</v>
      </c>
      <c r="V669" s="172">
        <v>300.0</v>
      </c>
      <c r="W669" s="173"/>
    </row>
    <row r="670" ht="22.5" customHeight="1">
      <c r="A67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SUBSTITUTE(E670, """", """")"),"#REF!")</f>
        <v>#REF!</v>
      </c>
      <c r="B670" s="146"/>
      <c r="C670" s="146"/>
      <c r="D670" s="146"/>
      <c r="E670" s="44"/>
      <c r="F670" s="147"/>
      <c r="G670" s="146"/>
      <c r="H670" s="148"/>
      <c r="I670" s="148"/>
      <c r="J670" s="170"/>
      <c r="K670" s="170"/>
      <c r="L670" s="170"/>
      <c r="M670" s="170"/>
      <c r="N670" s="170"/>
      <c r="O670" s="170"/>
      <c r="P670" s="170"/>
      <c r="Q670" s="170"/>
      <c r="R670" s="170"/>
      <c r="S670" s="153"/>
      <c r="T670" s="171"/>
      <c r="U670" s="156" t="str">
        <f t="shared" si="8"/>
        <v>#DIV/0!</v>
      </c>
      <c r="V670" s="172">
        <v>300.0</v>
      </c>
      <c r="W670" s="173"/>
    </row>
    <row r="671" ht="22.5" customHeight="1">
      <c r="A67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SUBSTITUTE(E671, """", """")"),"#REF!")</f>
        <v>#REF!</v>
      </c>
      <c r="B671" s="146"/>
      <c r="C671" s="146"/>
      <c r="D671" s="146"/>
      <c r="E671" s="44"/>
      <c r="F671" s="147"/>
      <c r="G671" s="146"/>
      <c r="H671" s="148"/>
      <c r="I671" s="148"/>
      <c r="J671" s="170"/>
      <c r="K671" s="170"/>
      <c r="L671" s="170"/>
      <c r="M671" s="170"/>
      <c r="N671" s="170"/>
      <c r="O671" s="170"/>
      <c r="P671" s="170"/>
      <c r="Q671" s="170"/>
      <c r="R671" s="170"/>
      <c r="S671" s="153"/>
      <c r="T671" s="171"/>
      <c r="U671" s="156" t="str">
        <f t="shared" si="8"/>
        <v>#DIV/0!</v>
      </c>
      <c r="V671" s="172">
        <v>300.0</v>
      </c>
      <c r="W671" s="173"/>
    </row>
    <row r="672" ht="22.5" customHeight="1">
      <c r="A67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SUBSTITUTE(E672, """", """")"),"#REF!")</f>
        <v>#REF!</v>
      </c>
      <c r="B672" s="146"/>
      <c r="C672" s="146"/>
      <c r="D672" s="146"/>
      <c r="E672" s="44"/>
      <c r="F672" s="147"/>
      <c r="G672" s="146"/>
      <c r="H672" s="148"/>
      <c r="I672" s="148"/>
      <c r="J672" s="170"/>
      <c r="K672" s="170"/>
      <c r="L672" s="170"/>
      <c r="M672" s="170"/>
      <c r="N672" s="170"/>
      <c r="O672" s="170"/>
      <c r="P672" s="170"/>
      <c r="Q672" s="170"/>
      <c r="R672" s="170"/>
      <c r="S672" s="153"/>
      <c r="T672" s="171"/>
      <c r="U672" s="156" t="str">
        <f t="shared" si="8"/>
        <v>#DIV/0!</v>
      </c>
      <c r="V672" s="172">
        <v>300.0</v>
      </c>
      <c r="W672" s="173"/>
    </row>
    <row r="673" ht="22.5" customHeight="1">
      <c r="A67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SUBSTITUTE(E673, """", """")"),"#REF!")</f>
        <v>#REF!</v>
      </c>
      <c r="B673" s="146"/>
      <c r="C673" s="146"/>
      <c r="D673" s="146"/>
      <c r="E673" s="44"/>
      <c r="F673" s="147"/>
      <c r="G673" s="146"/>
      <c r="H673" s="148"/>
      <c r="I673" s="148"/>
      <c r="J673" s="170"/>
      <c r="K673" s="170"/>
      <c r="L673" s="170"/>
      <c r="M673" s="170"/>
      <c r="N673" s="170"/>
      <c r="O673" s="170"/>
      <c r="P673" s="170"/>
      <c r="Q673" s="170"/>
      <c r="R673" s="170"/>
      <c r="S673" s="153"/>
      <c r="T673" s="171"/>
      <c r="U673" s="156" t="str">
        <f t="shared" si="8"/>
        <v>#DIV/0!</v>
      </c>
      <c r="V673" s="172">
        <v>300.0</v>
      </c>
      <c r="W673" s="173"/>
    </row>
    <row r="674" ht="22.5" customHeight="1">
      <c r="A67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SUBSTITUTE(E674, """", """")"),"#REF!")</f>
        <v>#REF!</v>
      </c>
      <c r="B674" s="146"/>
      <c r="C674" s="146"/>
      <c r="D674" s="146"/>
      <c r="E674" s="44"/>
      <c r="F674" s="147"/>
      <c r="G674" s="146"/>
      <c r="H674" s="148"/>
      <c r="I674" s="148"/>
      <c r="J674" s="170"/>
      <c r="K674" s="170"/>
      <c r="L674" s="170"/>
      <c r="M674" s="170"/>
      <c r="N674" s="170"/>
      <c r="O674" s="170"/>
      <c r="P674" s="170"/>
      <c r="Q674" s="170"/>
      <c r="R674" s="170"/>
      <c r="S674" s="153"/>
      <c r="T674" s="171"/>
      <c r="U674" s="156" t="str">
        <f t="shared" si="8"/>
        <v>#DIV/0!</v>
      </c>
      <c r="V674" s="172">
        <v>300.0</v>
      </c>
      <c r="W674" s="173"/>
    </row>
    <row r="675" ht="22.5" customHeight="1">
      <c r="A67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SUBSTITUTE(E675, """", """")"),"#REF!")</f>
        <v>#REF!</v>
      </c>
      <c r="B675" s="146"/>
      <c r="C675" s="146"/>
      <c r="D675" s="146"/>
      <c r="E675" s="44"/>
      <c r="F675" s="147"/>
      <c r="G675" s="146"/>
      <c r="H675" s="148"/>
      <c r="I675" s="148"/>
      <c r="J675" s="170"/>
      <c r="K675" s="170"/>
      <c r="L675" s="170"/>
      <c r="M675" s="170"/>
      <c r="N675" s="170"/>
      <c r="O675" s="170"/>
      <c r="P675" s="170"/>
      <c r="Q675" s="170"/>
      <c r="R675" s="170"/>
      <c r="S675" s="153"/>
      <c r="T675" s="171"/>
      <c r="U675" s="156" t="str">
        <f t="shared" si="8"/>
        <v>#DIV/0!</v>
      </c>
      <c r="V675" s="172">
        <v>300.0</v>
      </c>
      <c r="W675" s="173"/>
    </row>
    <row r="676" ht="22.5" customHeight="1">
      <c r="A67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SUBSTITUTE(E676, """", """")"),"#REF!")</f>
        <v>#REF!</v>
      </c>
      <c r="B676" s="146"/>
      <c r="C676" s="146"/>
      <c r="D676" s="146"/>
      <c r="E676" s="44"/>
      <c r="F676" s="147"/>
      <c r="G676" s="146"/>
      <c r="H676" s="148"/>
      <c r="I676" s="148"/>
      <c r="J676" s="170"/>
      <c r="K676" s="170"/>
      <c r="L676" s="170"/>
      <c r="M676" s="170"/>
      <c r="N676" s="170"/>
      <c r="O676" s="170"/>
      <c r="P676" s="170"/>
      <c r="Q676" s="170"/>
      <c r="R676" s="170"/>
      <c r="S676" s="153"/>
      <c r="T676" s="171"/>
      <c r="U676" s="156" t="str">
        <f t="shared" si="8"/>
        <v>#DIV/0!</v>
      </c>
      <c r="V676" s="172">
        <v>300.0</v>
      </c>
      <c r="W676" s="173"/>
    </row>
    <row r="677" ht="22.5" customHeight="1">
      <c r="A67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SUBSTITUTE(E677, """", """")"),"#REF!")</f>
        <v>#REF!</v>
      </c>
      <c r="B677" s="146"/>
      <c r="C677" s="146"/>
      <c r="D677" s="146"/>
      <c r="E677" s="44"/>
      <c r="F677" s="147"/>
      <c r="G677" s="146"/>
      <c r="H677" s="148"/>
      <c r="I677" s="148"/>
      <c r="J677" s="170"/>
      <c r="K677" s="170"/>
      <c r="L677" s="170"/>
      <c r="M677" s="170"/>
      <c r="N677" s="170"/>
      <c r="O677" s="170"/>
      <c r="P677" s="170"/>
      <c r="Q677" s="170"/>
      <c r="R677" s="170"/>
      <c r="S677" s="153"/>
      <c r="T677" s="171"/>
      <c r="U677" s="156" t="str">
        <f t="shared" si="8"/>
        <v>#DIV/0!</v>
      </c>
      <c r="V677" s="172">
        <v>300.0</v>
      </c>
      <c r="W677" s="173"/>
    </row>
    <row r="678" ht="22.5" customHeight="1">
      <c r="A67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SUBSTITUTE(E678, """", """")"),"#REF!")</f>
        <v>#REF!</v>
      </c>
      <c r="B678" s="146"/>
      <c r="C678" s="146"/>
      <c r="D678" s="146"/>
      <c r="E678" s="44"/>
      <c r="F678" s="147"/>
      <c r="G678" s="146"/>
      <c r="H678" s="148"/>
      <c r="I678" s="148"/>
      <c r="J678" s="170"/>
      <c r="K678" s="170"/>
      <c r="L678" s="170"/>
      <c r="M678" s="170"/>
      <c r="N678" s="170"/>
      <c r="O678" s="170"/>
      <c r="P678" s="170"/>
      <c r="Q678" s="170"/>
      <c r="R678" s="170"/>
      <c r="S678" s="153"/>
      <c r="T678" s="171"/>
      <c r="U678" s="156" t="str">
        <f t="shared" si="8"/>
        <v>#DIV/0!</v>
      </c>
      <c r="V678" s="172">
        <v>300.0</v>
      </c>
      <c r="W678" s="173"/>
    </row>
    <row r="679" ht="22.5" customHeight="1">
      <c r="A6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SUBSTITUTE(E679, """", """")"),"#REF!")</f>
        <v>#REF!</v>
      </c>
      <c r="B679" s="146"/>
      <c r="C679" s="146"/>
      <c r="D679" s="146"/>
      <c r="E679" s="44"/>
      <c r="F679" s="147"/>
      <c r="G679" s="146"/>
      <c r="H679" s="148"/>
      <c r="I679" s="148"/>
      <c r="J679" s="170"/>
      <c r="K679" s="170"/>
      <c r="L679" s="170"/>
      <c r="M679" s="170"/>
      <c r="N679" s="170"/>
      <c r="O679" s="170"/>
      <c r="P679" s="170"/>
      <c r="Q679" s="170"/>
      <c r="R679" s="170"/>
      <c r="S679" s="153"/>
      <c r="T679" s="171"/>
      <c r="U679" s="156" t="str">
        <f t="shared" si="8"/>
        <v>#DIV/0!</v>
      </c>
      <c r="V679" s="172">
        <v>300.0</v>
      </c>
      <c r="W679" s="173"/>
    </row>
    <row r="680" ht="22.5" customHeight="1">
      <c r="A6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SUBSTITUTE(E680, """", """")"),"#REF!")</f>
        <v>#REF!</v>
      </c>
      <c r="B680" s="146"/>
      <c r="C680" s="146"/>
      <c r="D680" s="146"/>
      <c r="E680" s="44"/>
      <c r="F680" s="147"/>
      <c r="G680" s="146"/>
      <c r="H680" s="148"/>
      <c r="I680" s="148"/>
      <c r="J680" s="170"/>
      <c r="K680" s="170"/>
      <c r="L680" s="170"/>
      <c r="M680" s="170"/>
      <c r="N680" s="170"/>
      <c r="O680" s="170"/>
      <c r="P680" s="170"/>
      <c r="Q680" s="170"/>
      <c r="R680" s="170"/>
      <c r="S680" s="153"/>
      <c r="T680" s="171"/>
      <c r="U680" s="156" t="str">
        <f t="shared" si="8"/>
        <v>#DIV/0!</v>
      </c>
      <c r="V680" s="172">
        <v>300.0</v>
      </c>
      <c r="W680" s="173"/>
    </row>
    <row r="681" ht="22.5" customHeight="1">
      <c r="A6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SUBSTITUTE(E681, """", """")"),"#REF!")</f>
        <v>#REF!</v>
      </c>
      <c r="B681" s="146"/>
      <c r="C681" s="146"/>
      <c r="D681" s="146"/>
      <c r="E681" s="44"/>
      <c r="F681" s="147"/>
      <c r="G681" s="146"/>
      <c r="H681" s="148"/>
      <c r="I681" s="148"/>
      <c r="J681" s="170"/>
      <c r="K681" s="170"/>
      <c r="L681" s="170"/>
      <c r="M681" s="170"/>
      <c r="N681" s="170"/>
      <c r="O681" s="170"/>
      <c r="P681" s="170"/>
      <c r="Q681" s="170"/>
      <c r="R681" s="170"/>
      <c r="S681" s="153"/>
      <c r="T681" s="171"/>
      <c r="U681" s="156" t="str">
        <f t="shared" si="8"/>
        <v>#DIV/0!</v>
      </c>
      <c r="V681" s="172">
        <v>300.0</v>
      </c>
      <c r="W681" s="173"/>
    </row>
    <row r="682" ht="22.5" customHeight="1">
      <c r="A6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SUBSTITUTE(E682, """", """")"),"#REF!")</f>
        <v>#REF!</v>
      </c>
      <c r="B682" s="146"/>
      <c r="C682" s="146"/>
      <c r="D682" s="146"/>
      <c r="E682" s="44"/>
      <c r="F682" s="147"/>
      <c r="G682" s="146"/>
      <c r="H682" s="148"/>
      <c r="I682" s="148"/>
      <c r="J682" s="170"/>
      <c r="K682" s="170"/>
      <c r="L682" s="170"/>
      <c r="M682" s="170"/>
      <c r="N682" s="170"/>
      <c r="O682" s="170"/>
      <c r="P682" s="170"/>
      <c r="Q682" s="170"/>
      <c r="R682" s="170"/>
      <c r="S682" s="153"/>
      <c r="T682" s="171"/>
      <c r="U682" s="156" t="str">
        <f t="shared" si="8"/>
        <v>#DIV/0!</v>
      </c>
      <c r="V682" s="172">
        <v>300.0</v>
      </c>
      <c r="W682" s="173"/>
    </row>
    <row r="683" ht="22.5" customHeight="1">
      <c r="A68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SUBSTITUTE(E683, """", """")"),"#REF!")</f>
        <v>#REF!</v>
      </c>
      <c r="B683" s="146"/>
      <c r="C683" s="146"/>
      <c r="D683" s="146"/>
      <c r="E683" s="44"/>
      <c r="F683" s="147"/>
      <c r="G683" s="146"/>
      <c r="H683" s="148"/>
      <c r="I683" s="148"/>
      <c r="J683" s="170"/>
      <c r="K683" s="170"/>
      <c r="L683" s="170"/>
      <c r="M683" s="170"/>
      <c r="N683" s="170"/>
      <c r="O683" s="170"/>
      <c r="P683" s="170"/>
      <c r="Q683" s="170"/>
      <c r="R683" s="170"/>
      <c r="S683" s="153"/>
      <c r="T683" s="171"/>
      <c r="U683" s="156" t="str">
        <f t="shared" si="8"/>
        <v>#DIV/0!</v>
      </c>
      <c r="V683" s="172">
        <v>300.0</v>
      </c>
      <c r="W683" s="173"/>
    </row>
    <row r="684" ht="22.5" customHeight="1">
      <c r="A68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SUBSTITUTE(E684, """", """")"),"#REF!")</f>
        <v>#REF!</v>
      </c>
      <c r="B684" s="146"/>
      <c r="C684" s="146"/>
      <c r="D684" s="146"/>
      <c r="E684" s="44"/>
      <c r="F684" s="147"/>
      <c r="G684" s="146"/>
      <c r="H684" s="148"/>
      <c r="I684" s="148"/>
      <c r="J684" s="170"/>
      <c r="K684" s="170"/>
      <c r="L684" s="170"/>
      <c r="M684" s="170"/>
      <c r="N684" s="170"/>
      <c r="O684" s="170"/>
      <c r="P684" s="170"/>
      <c r="Q684" s="170"/>
      <c r="R684" s="170"/>
      <c r="S684" s="153"/>
      <c r="T684" s="171"/>
      <c r="U684" s="156" t="str">
        <f t="shared" si="8"/>
        <v>#DIV/0!</v>
      </c>
      <c r="V684" s="172">
        <v>300.0</v>
      </c>
      <c r="W684" s="173"/>
    </row>
    <row r="685" ht="22.5" customHeight="1">
      <c r="A6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SUBSTITUTE(E685, """", """")"),"#REF!")</f>
        <v>#REF!</v>
      </c>
      <c r="B685" s="146"/>
      <c r="C685" s="146"/>
      <c r="D685" s="146"/>
      <c r="E685" s="44"/>
      <c r="F685" s="147"/>
      <c r="G685" s="146"/>
      <c r="H685" s="148"/>
      <c r="I685" s="148"/>
      <c r="J685" s="170"/>
      <c r="K685" s="170"/>
      <c r="L685" s="170"/>
      <c r="M685" s="170"/>
      <c r="N685" s="170"/>
      <c r="O685" s="170"/>
      <c r="P685" s="170"/>
      <c r="Q685" s="170"/>
      <c r="R685" s="170"/>
      <c r="S685" s="153"/>
      <c r="T685" s="171"/>
      <c r="U685" s="156" t="str">
        <f t="shared" si="8"/>
        <v>#DIV/0!</v>
      </c>
      <c r="V685" s="172">
        <v>300.0</v>
      </c>
      <c r="W685" s="173"/>
    </row>
    <row r="686" ht="22.5" customHeight="1">
      <c r="A6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SUBSTITUTE(E686, """", """")"),"#REF!")</f>
        <v>#REF!</v>
      </c>
      <c r="B686" s="146"/>
      <c r="C686" s="146"/>
      <c r="D686" s="146"/>
      <c r="E686" s="44"/>
      <c r="F686" s="147"/>
      <c r="G686" s="146"/>
      <c r="H686" s="148"/>
      <c r="I686" s="148"/>
      <c r="J686" s="170"/>
      <c r="K686" s="170"/>
      <c r="L686" s="170"/>
      <c r="M686" s="170"/>
      <c r="N686" s="170"/>
      <c r="O686" s="170"/>
      <c r="P686" s="170"/>
      <c r="Q686" s="170"/>
      <c r="R686" s="170"/>
      <c r="S686" s="153"/>
      <c r="T686" s="171"/>
      <c r="U686" s="156" t="str">
        <f t="shared" si="8"/>
        <v>#DIV/0!</v>
      </c>
      <c r="V686" s="172">
        <v>300.0</v>
      </c>
      <c r="W686" s="173"/>
    </row>
    <row r="687" ht="22.5" customHeight="1">
      <c r="A6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SUBSTITUTE(E687, """", """")"),"#REF!")</f>
        <v>#REF!</v>
      </c>
      <c r="B687" s="146"/>
      <c r="C687" s="146"/>
      <c r="D687" s="146"/>
      <c r="E687" s="44"/>
      <c r="F687" s="147"/>
      <c r="G687" s="146"/>
      <c r="H687" s="148"/>
      <c r="I687" s="148"/>
      <c r="J687" s="170"/>
      <c r="K687" s="170"/>
      <c r="L687" s="170"/>
      <c r="M687" s="170"/>
      <c r="N687" s="170"/>
      <c r="O687" s="170"/>
      <c r="P687" s="170"/>
      <c r="Q687" s="170"/>
      <c r="R687" s="170"/>
      <c r="S687" s="153"/>
      <c r="T687" s="171"/>
      <c r="U687" s="156" t="str">
        <f t="shared" si="8"/>
        <v>#DIV/0!</v>
      </c>
      <c r="V687" s="172">
        <v>300.0</v>
      </c>
      <c r="W687" s="173"/>
    </row>
    <row r="688" ht="22.5" customHeight="1">
      <c r="A6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SUBSTITUTE(E688, """", """")"),"#REF!")</f>
        <v>#REF!</v>
      </c>
      <c r="B688" s="146"/>
      <c r="C688" s="146"/>
      <c r="D688" s="146"/>
      <c r="E688" s="44"/>
      <c r="F688" s="147"/>
      <c r="G688" s="146"/>
      <c r="H688" s="148"/>
      <c r="I688" s="148"/>
      <c r="J688" s="170"/>
      <c r="K688" s="170"/>
      <c r="L688" s="170"/>
      <c r="M688" s="170"/>
      <c r="N688" s="170"/>
      <c r="O688" s="170"/>
      <c r="P688" s="170"/>
      <c r="Q688" s="170"/>
      <c r="R688" s="170"/>
      <c r="S688" s="153"/>
      <c r="T688" s="171"/>
      <c r="U688" s="156" t="str">
        <f t="shared" si="8"/>
        <v>#DIV/0!</v>
      </c>
      <c r="V688" s="172">
        <v>300.0</v>
      </c>
      <c r="W688" s="173"/>
    </row>
    <row r="689" ht="22.5" customHeight="1">
      <c r="A6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SUBSTITUTE(E689, """", """")"),"#REF!")</f>
        <v>#REF!</v>
      </c>
      <c r="B689" s="146"/>
      <c r="C689" s="146"/>
      <c r="D689" s="146"/>
      <c r="E689" s="44"/>
      <c r="F689" s="147"/>
      <c r="G689" s="146"/>
      <c r="H689" s="148"/>
      <c r="I689" s="148"/>
      <c r="J689" s="170"/>
      <c r="K689" s="170"/>
      <c r="L689" s="170"/>
      <c r="M689" s="170"/>
      <c r="N689" s="170"/>
      <c r="O689" s="170"/>
      <c r="P689" s="170"/>
      <c r="Q689" s="170"/>
      <c r="R689" s="170"/>
      <c r="S689" s="153"/>
      <c r="T689" s="171"/>
      <c r="U689" s="156" t="str">
        <f t="shared" si="8"/>
        <v>#DIV/0!</v>
      </c>
      <c r="V689" s="172">
        <v>300.0</v>
      </c>
      <c r="W689" s="173"/>
    </row>
    <row r="690" ht="22.5" customHeight="1">
      <c r="A6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SUBSTITUTE(E690, """", """")"),"#REF!")</f>
        <v>#REF!</v>
      </c>
      <c r="B690" s="146"/>
      <c r="C690" s="146"/>
      <c r="D690" s="146"/>
      <c r="E690" s="44"/>
      <c r="F690" s="147"/>
      <c r="G690" s="146"/>
      <c r="H690" s="148"/>
      <c r="I690" s="148"/>
      <c r="J690" s="170"/>
      <c r="K690" s="170"/>
      <c r="L690" s="170"/>
      <c r="M690" s="170"/>
      <c r="N690" s="170"/>
      <c r="O690" s="170"/>
      <c r="P690" s="170"/>
      <c r="Q690" s="170"/>
      <c r="R690" s="170"/>
      <c r="S690" s="153"/>
      <c r="T690" s="171"/>
      <c r="U690" s="156" t="str">
        <f t="shared" si="8"/>
        <v>#DIV/0!</v>
      </c>
      <c r="V690" s="172">
        <v>300.0</v>
      </c>
      <c r="W690" s="173"/>
    </row>
    <row r="691" ht="22.5" customHeight="1">
      <c r="A6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SUBSTITUTE(E691, """", """")"),"#REF!")</f>
        <v>#REF!</v>
      </c>
      <c r="B691" s="146"/>
      <c r="C691" s="146"/>
      <c r="D691" s="146"/>
      <c r="E691" s="44"/>
      <c r="F691" s="147"/>
      <c r="G691" s="146"/>
      <c r="H691" s="148"/>
      <c r="I691" s="148"/>
      <c r="J691" s="170"/>
      <c r="K691" s="170"/>
      <c r="L691" s="170"/>
      <c r="M691" s="170"/>
      <c r="N691" s="170"/>
      <c r="O691" s="170"/>
      <c r="P691" s="170"/>
      <c r="Q691" s="170"/>
      <c r="R691" s="170"/>
      <c r="S691" s="153"/>
      <c r="T691" s="171"/>
      <c r="U691" s="156" t="str">
        <f t="shared" si="8"/>
        <v>#DIV/0!</v>
      </c>
      <c r="V691" s="172">
        <v>300.0</v>
      </c>
      <c r="W691" s="173"/>
    </row>
    <row r="692" ht="22.5" customHeight="1">
      <c r="A6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SUBSTITUTE(E692, """", """")"),"#REF!")</f>
        <v>#REF!</v>
      </c>
      <c r="B692" s="146"/>
      <c r="C692" s="146"/>
      <c r="D692" s="146"/>
      <c r="E692" s="44"/>
      <c r="F692" s="147"/>
      <c r="G692" s="146"/>
      <c r="H692" s="148"/>
      <c r="I692" s="148"/>
      <c r="J692" s="170"/>
      <c r="K692" s="170"/>
      <c r="L692" s="170"/>
      <c r="M692" s="170"/>
      <c r="N692" s="170"/>
      <c r="O692" s="170"/>
      <c r="P692" s="170"/>
      <c r="Q692" s="170"/>
      <c r="R692" s="170"/>
      <c r="S692" s="153"/>
      <c r="T692" s="171"/>
      <c r="U692" s="156" t="str">
        <f t="shared" si="8"/>
        <v>#DIV/0!</v>
      </c>
      <c r="V692" s="172">
        <v>300.0</v>
      </c>
      <c r="W692" s="173"/>
    </row>
    <row r="693" ht="22.5" customHeight="1">
      <c r="A6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SUBSTITUTE(E693, """", """")"),"#REF!")</f>
        <v>#REF!</v>
      </c>
      <c r="B693" s="146"/>
      <c r="C693" s="146"/>
      <c r="D693" s="146"/>
      <c r="E693" s="44"/>
      <c r="F693" s="147"/>
      <c r="G693" s="146"/>
      <c r="H693" s="148"/>
      <c r="I693" s="148"/>
      <c r="J693" s="170"/>
      <c r="K693" s="170"/>
      <c r="L693" s="170"/>
      <c r="M693" s="170"/>
      <c r="N693" s="170"/>
      <c r="O693" s="170"/>
      <c r="P693" s="170"/>
      <c r="Q693" s="170"/>
      <c r="R693" s="170"/>
      <c r="S693" s="153"/>
      <c r="T693" s="171"/>
      <c r="U693" s="156" t="str">
        <f t="shared" si="8"/>
        <v>#DIV/0!</v>
      </c>
      <c r="V693" s="172">
        <v>300.0</v>
      </c>
      <c r="W693" s="173"/>
    </row>
    <row r="694" ht="22.5" customHeight="1">
      <c r="A6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SUBSTITUTE(E694, """", """")"),"#REF!")</f>
        <v>#REF!</v>
      </c>
      <c r="B694" s="146"/>
      <c r="C694" s="146"/>
      <c r="D694" s="146"/>
      <c r="E694" s="44"/>
      <c r="F694" s="147"/>
      <c r="G694" s="146"/>
      <c r="H694" s="148"/>
      <c r="I694" s="148"/>
      <c r="J694" s="170"/>
      <c r="K694" s="170"/>
      <c r="L694" s="170"/>
      <c r="M694" s="170"/>
      <c r="N694" s="170"/>
      <c r="O694" s="170"/>
      <c r="P694" s="170"/>
      <c r="Q694" s="170"/>
      <c r="R694" s="170"/>
      <c r="S694" s="153"/>
      <c r="T694" s="171"/>
      <c r="U694" s="156" t="str">
        <f t="shared" si="8"/>
        <v>#DIV/0!</v>
      </c>
      <c r="V694" s="172">
        <v>300.0</v>
      </c>
      <c r="W694" s="173"/>
    </row>
    <row r="695" ht="22.5" customHeight="1">
      <c r="A6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SUBSTITUTE(E695, """", """")"),"#REF!")</f>
        <v>#REF!</v>
      </c>
      <c r="B695" s="146"/>
      <c r="C695" s="146"/>
      <c r="D695" s="146"/>
      <c r="E695" s="44"/>
      <c r="F695" s="147"/>
      <c r="G695" s="146"/>
      <c r="H695" s="148"/>
      <c r="I695" s="148"/>
      <c r="J695" s="170"/>
      <c r="K695" s="170"/>
      <c r="L695" s="170"/>
      <c r="M695" s="170"/>
      <c r="N695" s="170"/>
      <c r="O695" s="170"/>
      <c r="P695" s="170"/>
      <c r="Q695" s="170"/>
      <c r="R695" s="170"/>
      <c r="S695" s="153"/>
      <c r="T695" s="171"/>
      <c r="U695" s="156" t="str">
        <f t="shared" si="8"/>
        <v>#DIV/0!</v>
      </c>
      <c r="V695" s="172">
        <v>300.0</v>
      </c>
      <c r="W695" s="173"/>
    </row>
    <row r="696" ht="22.5" customHeight="1">
      <c r="A6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SUBSTITUTE(E696, """", """")"),"#REF!")</f>
        <v>#REF!</v>
      </c>
      <c r="B696" s="146"/>
      <c r="C696" s="146"/>
      <c r="D696" s="146"/>
      <c r="E696" s="44"/>
      <c r="F696" s="147"/>
      <c r="G696" s="146"/>
      <c r="H696" s="148"/>
      <c r="I696" s="148"/>
      <c r="J696" s="170"/>
      <c r="K696" s="170"/>
      <c r="L696" s="170"/>
      <c r="M696" s="170"/>
      <c r="N696" s="170"/>
      <c r="O696" s="170"/>
      <c r="P696" s="170"/>
      <c r="Q696" s="170"/>
      <c r="R696" s="170"/>
      <c r="S696" s="153"/>
      <c r="T696" s="171"/>
      <c r="U696" s="156" t="str">
        <f t="shared" si="8"/>
        <v>#DIV/0!</v>
      </c>
      <c r="V696" s="172">
        <v>300.0</v>
      </c>
      <c r="W696" s="173"/>
    </row>
    <row r="697" ht="22.5" customHeight="1">
      <c r="A6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SUBSTITUTE(E697, """", """")"),"#REF!")</f>
        <v>#REF!</v>
      </c>
      <c r="B697" s="146"/>
      <c r="C697" s="146"/>
      <c r="D697" s="146"/>
      <c r="E697" s="44"/>
      <c r="F697" s="147"/>
      <c r="G697" s="146"/>
      <c r="H697" s="148"/>
      <c r="I697" s="148"/>
      <c r="J697" s="170"/>
      <c r="K697" s="170"/>
      <c r="L697" s="170"/>
      <c r="M697" s="170"/>
      <c r="N697" s="170"/>
      <c r="O697" s="170"/>
      <c r="P697" s="170"/>
      <c r="Q697" s="170"/>
      <c r="R697" s="170"/>
      <c r="S697" s="153"/>
      <c r="T697" s="171"/>
      <c r="U697" s="156" t="str">
        <f t="shared" si="8"/>
        <v>#DIV/0!</v>
      </c>
      <c r="V697" s="172">
        <v>300.0</v>
      </c>
      <c r="W697" s="173"/>
    </row>
    <row r="698" ht="22.5" customHeight="1">
      <c r="A6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SUBSTITUTE(E698, """", """")"),"#REF!")</f>
        <v>#REF!</v>
      </c>
      <c r="B698" s="146"/>
      <c r="C698" s="146"/>
      <c r="D698" s="146"/>
      <c r="E698" s="44"/>
      <c r="F698" s="147"/>
      <c r="G698" s="146"/>
      <c r="H698" s="148"/>
      <c r="I698" s="148"/>
      <c r="J698" s="170"/>
      <c r="K698" s="170"/>
      <c r="L698" s="170"/>
      <c r="M698" s="170"/>
      <c r="N698" s="170"/>
      <c r="O698" s="170"/>
      <c r="P698" s="170"/>
      <c r="Q698" s="170"/>
      <c r="R698" s="170"/>
      <c r="S698" s="153"/>
      <c r="T698" s="171"/>
      <c r="U698" s="156" t="str">
        <f t="shared" si="8"/>
        <v>#DIV/0!</v>
      </c>
      <c r="V698" s="172">
        <v>300.0</v>
      </c>
      <c r="W698" s="173"/>
    </row>
    <row r="699" ht="22.5" customHeight="1">
      <c r="A6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SUBSTITUTE(E699, """", """")"),"#REF!")</f>
        <v>#REF!</v>
      </c>
      <c r="B699" s="146"/>
      <c r="C699" s="146"/>
      <c r="D699" s="146"/>
      <c r="E699" s="44"/>
      <c r="F699" s="147"/>
      <c r="G699" s="146"/>
      <c r="H699" s="148"/>
      <c r="I699" s="148"/>
      <c r="J699" s="170"/>
      <c r="K699" s="170"/>
      <c r="L699" s="170"/>
      <c r="M699" s="170"/>
      <c r="N699" s="170"/>
      <c r="O699" s="170"/>
      <c r="P699" s="170"/>
      <c r="Q699" s="170"/>
      <c r="R699" s="170"/>
      <c r="S699" s="153"/>
      <c r="T699" s="171"/>
      <c r="U699" s="156" t="str">
        <f t="shared" si="8"/>
        <v>#DIV/0!</v>
      </c>
      <c r="V699" s="172">
        <v>300.0</v>
      </c>
      <c r="W699" s="173"/>
    </row>
    <row r="700" ht="22.5" customHeight="1">
      <c r="A7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SUBSTITUTE(E700, """", """")"),"#REF!")</f>
        <v>#REF!</v>
      </c>
      <c r="B700" s="146"/>
      <c r="C700" s="146"/>
      <c r="D700" s="146"/>
      <c r="E700" s="44"/>
      <c r="F700" s="147"/>
      <c r="G700" s="146"/>
      <c r="H700" s="148"/>
      <c r="I700" s="148"/>
      <c r="J700" s="170"/>
      <c r="K700" s="170"/>
      <c r="L700" s="170"/>
      <c r="M700" s="170"/>
      <c r="N700" s="170"/>
      <c r="O700" s="170"/>
      <c r="P700" s="170"/>
      <c r="Q700" s="170"/>
      <c r="R700" s="170"/>
      <c r="S700" s="153"/>
      <c r="T700" s="171"/>
      <c r="U700" s="156" t="str">
        <f t="shared" si="8"/>
        <v>#DIV/0!</v>
      </c>
      <c r="V700" s="172">
        <v>300.0</v>
      </c>
      <c r="W700" s="173"/>
    </row>
    <row r="701" ht="22.5" customHeight="1">
      <c r="A7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SUBSTITUTE(E701, """", """")"),"#REF!")</f>
        <v>#REF!</v>
      </c>
      <c r="B701" s="146"/>
      <c r="C701" s="146"/>
      <c r="D701" s="146"/>
      <c r="E701" s="44"/>
      <c r="F701" s="147"/>
      <c r="G701" s="146"/>
      <c r="H701" s="148"/>
      <c r="I701" s="148"/>
      <c r="J701" s="170"/>
      <c r="K701" s="170"/>
      <c r="L701" s="170"/>
      <c r="M701" s="170"/>
      <c r="N701" s="170"/>
      <c r="O701" s="170"/>
      <c r="P701" s="170"/>
      <c r="Q701" s="170"/>
      <c r="R701" s="170"/>
      <c r="S701" s="153"/>
      <c r="T701" s="171"/>
      <c r="U701" s="156" t="str">
        <f t="shared" si="8"/>
        <v>#DIV/0!</v>
      </c>
      <c r="V701" s="172">
        <v>300.0</v>
      </c>
      <c r="W701" s="173"/>
    </row>
    <row r="702" ht="22.5" customHeight="1">
      <c r="A7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SUBSTITUTE(E702, """", """")"),"#REF!")</f>
        <v>#REF!</v>
      </c>
      <c r="B702" s="146"/>
      <c r="C702" s="146"/>
      <c r="D702" s="146"/>
      <c r="E702" s="44"/>
      <c r="F702" s="147"/>
      <c r="G702" s="146"/>
      <c r="H702" s="148"/>
      <c r="I702" s="148"/>
      <c r="J702" s="170"/>
      <c r="K702" s="170"/>
      <c r="L702" s="170"/>
      <c r="M702" s="170"/>
      <c r="N702" s="170"/>
      <c r="O702" s="170"/>
      <c r="P702" s="170"/>
      <c r="Q702" s="170"/>
      <c r="R702" s="170"/>
      <c r="S702" s="153"/>
      <c r="T702" s="171"/>
      <c r="U702" s="156" t="str">
        <f t="shared" si="8"/>
        <v>#DIV/0!</v>
      </c>
      <c r="V702" s="172">
        <v>300.0</v>
      </c>
      <c r="W702" s="173"/>
    </row>
    <row r="703" ht="22.5" customHeight="1">
      <c r="A7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SUBSTITUTE(E703, """", """")"),"#REF!")</f>
        <v>#REF!</v>
      </c>
      <c r="B703" s="146"/>
      <c r="C703" s="146"/>
      <c r="D703" s="146"/>
      <c r="E703" s="44"/>
      <c r="F703" s="147"/>
      <c r="G703" s="146"/>
      <c r="H703" s="148"/>
      <c r="I703" s="148"/>
      <c r="J703" s="170"/>
      <c r="K703" s="170"/>
      <c r="L703" s="170"/>
      <c r="M703" s="170"/>
      <c r="N703" s="170"/>
      <c r="O703" s="170"/>
      <c r="P703" s="170"/>
      <c r="Q703" s="170"/>
      <c r="R703" s="170"/>
      <c r="S703" s="153"/>
      <c r="T703" s="171"/>
      <c r="U703" s="156" t="str">
        <f t="shared" si="8"/>
        <v>#DIV/0!</v>
      </c>
      <c r="V703" s="172">
        <v>300.0</v>
      </c>
      <c r="W703" s="173"/>
    </row>
    <row r="704" ht="22.5" customHeight="1">
      <c r="A7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SUBSTITUTE(E704, """", """")"),"#REF!")</f>
        <v>#REF!</v>
      </c>
      <c r="B704" s="146"/>
      <c r="C704" s="146"/>
      <c r="D704" s="146"/>
      <c r="E704" s="44"/>
      <c r="F704" s="147"/>
      <c r="G704" s="146"/>
      <c r="H704" s="148"/>
      <c r="I704" s="148"/>
      <c r="J704" s="170"/>
      <c r="K704" s="170"/>
      <c r="L704" s="170"/>
      <c r="M704" s="170"/>
      <c r="N704" s="170"/>
      <c r="O704" s="170"/>
      <c r="P704" s="170"/>
      <c r="Q704" s="170"/>
      <c r="R704" s="170"/>
      <c r="S704" s="153"/>
      <c r="T704" s="171"/>
      <c r="U704" s="156" t="str">
        <f t="shared" si="8"/>
        <v>#DIV/0!</v>
      </c>
      <c r="V704" s="172">
        <v>300.0</v>
      </c>
      <c r="W704" s="173"/>
    </row>
    <row r="705" ht="22.5" customHeight="1">
      <c r="A7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SUBSTITUTE(E705, """", """")"),"#REF!")</f>
        <v>#REF!</v>
      </c>
      <c r="B705" s="146"/>
      <c r="C705" s="146"/>
      <c r="D705" s="146"/>
      <c r="E705" s="44"/>
      <c r="F705" s="147"/>
      <c r="G705" s="146"/>
      <c r="H705" s="148"/>
      <c r="I705" s="148"/>
      <c r="J705" s="170"/>
      <c r="K705" s="170"/>
      <c r="L705" s="170"/>
      <c r="M705" s="170"/>
      <c r="N705" s="170"/>
      <c r="O705" s="170"/>
      <c r="P705" s="170"/>
      <c r="Q705" s="170"/>
      <c r="R705" s="170"/>
      <c r="S705" s="153"/>
      <c r="T705" s="171"/>
      <c r="U705" s="156" t="str">
        <f t="shared" si="8"/>
        <v>#DIV/0!</v>
      </c>
      <c r="V705" s="172">
        <v>300.0</v>
      </c>
      <c r="W705" s="173"/>
    </row>
    <row r="706" ht="22.5" customHeight="1">
      <c r="A7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SUBSTITUTE(E706, """", """")"),"#REF!")</f>
        <v>#REF!</v>
      </c>
      <c r="B706" s="146"/>
      <c r="C706" s="146"/>
      <c r="D706" s="146"/>
      <c r="E706" s="44"/>
      <c r="F706" s="147"/>
      <c r="G706" s="146"/>
      <c r="H706" s="148"/>
      <c r="I706" s="148"/>
      <c r="J706" s="170"/>
      <c r="K706" s="170"/>
      <c r="L706" s="170"/>
      <c r="M706" s="170"/>
      <c r="N706" s="170"/>
      <c r="O706" s="170"/>
      <c r="P706" s="170"/>
      <c r="Q706" s="170"/>
      <c r="R706" s="170"/>
      <c r="S706" s="153"/>
      <c r="T706" s="171"/>
      <c r="U706" s="156" t="str">
        <f t="shared" si="8"/>
        <v>#DIV/0!</v>
      </c>
      <c r="V706" s="172">
        <v>300.0</v>
      </c>
      <c r="W706" s="173"/>
    </row>
    <row r="707" ht="22.5" customHeight="1">
      <c r="A7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SUBSTITUTE(E707, """", """")"),"#REF!")</f>
        <v>#REF!</v>
      </c>
      <c r="B707" s="146"/>
      <c r="C707" s="146"/>
      <c r="D707" s="146"/>
      <c r="E707" s="44"/>
      <c r="F707" s="147"/>
      <c r="G707" s="146"/>
      <c r="H707" s="148"/>
      <c r="I707" s="148"/>
      <c r="J707" s="170"/>
      <c r="K707" s="170"/>
      <c r="L707" s="170"/>
      <c r="M707" s="170"/>
      <c r="N707" s="170"/>
      <c r="O707" s="170"/>
      <c r="P707" s="170"/>
      <c r="Q707" s="170"/>
      <c r="R707" s="170"/>
      <c r="S707" s="153"/>
      <c r="T707" s="171"/>
      <c r="U707" s="156" t="str">
        <f t="shared" si="8"/>
        <v>#DIV/0!</v>
      </c>
      <c r="V707" s="172">
        <v>300.0</v>
      </c>
      <c r="W707" s="173"/>
    </row>
    <row r="708" ht="22.5" customHeight="1">
      <c r="A7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SUBSTITUTE(E708, """", """")"),"#REF!")</f>
        <v>#REF!</v>
      </c>
      <c r="B708" s="146"/>
      <c r="C708" s="146"/>
      <c r="D708" s="146"/>
      <c r="E708" s="44"/>
      <c r="F708" s="147"/>
      <c r="G708" s="146"/>
      <c r="H708" s="148"/>
      <c r="I708" s="148"/>
      <c r="J708" s="170"/>
      <c r="K708" s="170"/>
      <c r="L708" s="170"/>
      <c r="M708" s="170"/>
      <c r="N708" s="170"/>
      <c r="O708" s="170"/>
      <c r="P708" s="170"/>
      <c r="Q708" s="170"/>
      <c r="R708" s="170"/>
      <c r="S708" s="153"/>
      <c r="T708" s="171"/>
      <c r="U708" s="156" t="str">
        <f t="shared" si="8"/>
        <v>#DIV/0!</v>
      </c>
      <c r="V708" s="172">
        <v>300.0</v>
      </c>
      <c r="W708" s="173"/>
    </row>
    <row r="709" ht="22.5" customHeight="1">
      <c r="A7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SUBSTITUTE(E709, """", """")"),"#REF!")</f>
        <v>#REF!</v>
      </c>
      <c r="B709" s="146"/>
      <c r="C709" s="146"/>
      <c r="D709" s="146"/>
      <c r="E709" s="44"/>
      <c r="F709" s="147"/>
      <c r="G709" s="146"/>
      <c r="H709" s="148"/>
      <c r="I709" s="148"/>
      <c r="J709" s="170"/>
      <c r="K709" s="170"/>
      <c r="L709" s="170"/>
      <c r="M709" s="170"/>
      <c r="N709" s="170"/>
      <c r="O709" s="170"/>
      <c r="P709" s="170"/>
      <c r="Q709" s="170"/>
      <c r="R709" s="170"/>
      <c r="S709" s="153"/>
      <c r="T709" s="171"/>
      <c r="U709" s="156" t="str">
        <f t="shared" si="8"/>
        <v>#DIV/0!</v>
      </c>
      <c r="V709" s="172">
        <v>300.0</v>
      </c>
      <c r="W709" s="173"/>
    </row>
    <row r="710" ht="22.5" customHeight="1">
      <c r="A7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SUBSTITUTE(E710, """", """")"),"#REF!")</f>
        <v>#REF!</v>
      </c>
      <c r="B710" s="146"/>
      <c r="C710" s="146"/>
      <c r="D710" s="146"/>
      <c r="E710" s="44"/>
      <c r="F710" s="147"/>
      <c r="G710" s="146"/>
      <c r="H710" s="148"/>
      <c r="I710" s="148"/>
      <c r="J710" s="170"/>
      <c r="K710" s="170"/>
      <c r="L710" s="170"/>
      <c r="M710" s="170"/>
      <c r="N710" s="170"/>
      <c r="O710" s="170"/>
      <c r="P710" s="170"/>
      <c r="Q710" s="170"/>
      <c r="R710" s="170"/>
      <c r="S710" s="153"/>
      <c r="T710" s="171"/>
      <c r="U710" s="156" t="str">
        <f t="shared" si="8"/>
        <v>#DIV/0!</v>
      </c>
      <c r="V710" s="172">
        <v>300.0</v>
      </c>
      <c r="W710" s="173"/>
    </row>
    <row r="711" ht="22.5" customHeight="1">
      <c r="A7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SUBSTITUTE(E711, """", """")"),"#REF!")</f>
        <v>#REF!</v>
      </c>
      <c r="B711" s="146"/>
      <c r="C711" s="146"/>
      <c r="D711" s="146"/>
      <c r="E711" s="44"/>
      <c r="F711" s="147"/>
      <c r="G711" s="146"/>
      <c r="H711" s="148"/>
      <c r="I711" s="148"/>
      <c r="J711" s="170"/>
      <c r="K711" s="170"/>
      <c r="L711" s="170"/>
      <c r="M711" s="170"/>
      <c r="N711" s="170"/>
      <c r="O711" s="170"/>
      <c r="P711" s="170"/>
      <c r="Q711" s="170"/>
      <c r="R711" s="170"/>
      <c r="S711" s="153"/>
      <c r="T711" s="171"/>
      <c r="U711" s="156" t="str">
        <f t="shared" si="8"/>
        <v>#DIV/0!</v>
      </c>
      <c r="V711" s="172">
        <v>300.0</v>
      </c>
      <c r="W711" s="173"/>
    </row>
    <row r="712" ht="22.5" customHeight="1">
      <c r="A7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SUBSTITUTE(E712, """", """")"),"#REF!")</f>
        <v>#REF!</v>
      </c>
      <c r="B712" s="146"/>
      <c r="C712" s="146"/>
      <c r="D712" s="146"/>
      <c r="E712" s="44"/>
      <c r="F712" s="147"/>
      <c r="G712" s="146"/>
      <c r="H712" s="148"/>
      <c r="I712" s="148"/>
      <c r="J712" s="170"/>
      <c r="K712" s="170"/>
      <c r="L712" s="170"/>
      <c r="M712" s="170"/>
      <c r="N712" s="170"/>
      <c r="O712" s="170"/>
      <c r="P712" s="170"/>
      <c r="Q712" s="170"/>
      <c r="R712" s="170"/>
      <c r="S712" s="153"/>
      <c r="T712" s="171"/>
      <c r="U712" s="156" t="str">
        <f t="shared" si="8"/>
        <v>#DIV/0!</v>
      </c>
      <c r="V712" s="172">
        <v>300.0</v>
      </c>
      <c r="W712" s="173"/>
    </row>
    <row r="713" ht="22.5" customHeight="1">
      <c r="A7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SUBSTITUTE(E713, """", """")"),"#REF!")</f>
        <v>#REF!</v>
      </c>
      <c r="B713" s="146"/>
      <c r="C713" s="146"/>
      <c r="D713" s="146"/>
      <c r="E713" s="44"/>
      <c r="F713" s="147"/>
      <c r="G713" s="146"/>
      <c r="H713" s="148"/>
      <c r="I713" s="148"/>
      <c r="J713" s="170"/>
      <c r="K713" s="170"/>
      <c r="L713" s="170"/>
      <c r="M713" s="170"/>
      <c r="N713" s="170"/>
      <c r="O713" s="170"/>
      <c r="P713" s="170"/>
      <c r="Q713" s="170"/>
      <c r="R713" s="170"/>
      <c r="S713" s="153"/>
      <c r="T713" s="171"/>
      <c r="U713" s="156" t="str">
        <f t="shared" si="8"/>
        <v>#DIV/0!</v>
      </c>
      <c r="V713" s="172">
        <v>300.0</v>
      </c>
      <c r="W713" s="173"/>
    </row>
    <row r="714" ht="22.5" customHeight="1">
      <c r="A7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SUBSTITUTE(E714, """", """")"),"#REF!")</f>
        <v>#REF!</v>
      </c>
      <c r="B714" s="146"/>
      <c r="C714" s="146"/>
      <c r="D714" s="146"/>
      <c r="E714" s="44"/>
      <c r="F714" s="147"/>
      <c r="G714" s="146"/>
      <c r="H714" s="148"/>
      <c r="I714" s="148"/>
      <c r="J714" s="170"/>
      <c r="K714" s="170"/>
      <c r="L714" s="170"/>
      <c r="M714" s="170"/>
      <c r="N714" s="170"/>
      <c r="O714" s="170"/>
      <c r="P714" s="170"/>
      <c r="Q714" s="170"/>
      <c r="R714" s="170"/>
      <c r="S714" s="153"/>
      <c r="T714" s="171"/>
      <c r="U714" s="156" t="str">
        <f t="shared" si="8"/>
        <v>#DIV/0!</v>
      </c>
      <c r="V714" s="172">
        <v>300.0</v>
      </c>
      <c r="W714" s="173"/>
    </row>
    <row r="715" ht="22.5" customHeight="1">
      <c r="A7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SUBSTITUTE(E715, """", """")"),"#REF!")</f>
        <v>#REF!</v>
      </c>
      <c r="B715" s="146"/>
      <c r="C715" s="146"/>
      <c r="D715" s="146"/>
      <c r="E715" s="44"/>
      <c r="F715" s="147"/>
      <c r="G715" s="146"/>
      <c r="H715" s="148"/>
      <c r="I715" s="148"/>
      <c r="J715" s="170"/>
      <c r="K715" s="170"/>
      <c r="L715" s="170"/>
      <c r="M715" s="170"/>
      <c r="N715" s="170"/>
      <c r="O715" s="170"/>
      <c r="P715" s="170"/>
      <c r="Q715" s="170"/>
      <c r="R715" s="170"/>
      <c r="S715" s="153"/>
      <c r="T715" s="171"/>
      <c r="U715" s="156" t="str">
        <f t="shared" si="8"/>
        <v>#DIV/0!</v>
      </c>
      <c r="V715" s="172">
        <v>300.0</v>
      </c>
      <c r="W715" s="173"/>
    </row>
    <row r="716" ht="22.5" customHeight="1">
      <c r="A7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SUBSTITUTE(E716, """", """")"),"#REF!")</f>
        <v>#REF!</v>
      </c>
      <c r="B716" s="146"/>
      <c r="C716" s="146"/>
      <c r="D716" s="146"/>
      <c r="E716" s="44"/>
      <c r="F716" s="147"/>
      <c r="G716" s="146"/>
      <c r="H716" s="148"/>
      <c r="I716" s="148"/>
      <c r="J716" s="170"/>
      <c r="K716" s="170"/>
      <c r="L716" s="170"/>
      <c r="M716" s="170"/>
      <c r="N716" s="170"/>
      <c r="O716" s="170"/>
      <c r="P716" s="170"/>
      <c r="Q716" s="170"/>
      <c r="R716" s="170"/>
      <c r="S716" s="153"/>
      <c r="T716" s="171"/>
      <c r="U716" s="156" t="str">
        <f t="shared" si="8"/>
        <v>#DIV/0!</v>
      </c>
      <c r="V716" s="172">
        <v>300.0</v>
      </c>
      <c r="W716" s="173"/>
    </row>
    <row r="717" ht="22.5" customHeight="1">
      <c r="A7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SUBSTITUTE(E717, """", """")"),"#REF!")</f>
        <v>#REF!</v>
      </c>
      <c r="B717" s="146"/>
      <c r="C717" s="146"/>
      <c r="D717" s="146"/>
      <c r="E717" s="44"/>
      <c r="F717" s="147"/>
      <c r="G717" s="146"/>
      <c r="H717" s="148"/>
      <c r="I717" s="148"/>
      <c r="J717" s="170"/>
      <c r="K717" s="170"/>
      <c r="L717" s="170"/>
      <c r="M717" s="170"/>
      <c r="N717" s="170"/>
      <c r="O717" s="170"/>
      <c r="P717" s="170"/>
      <c r="Q717" s="170"/>
      <c r="R717" s="170"/>
      <c r="S717" s="153"/>
      <c r="T717" s="171"/>
      <c r="U717" s="156" t="str">
        <f t="shared" si="8"/>
        <v>#DIV/0!</v>
      </c>
      <c r="V717" s="172">
        <v>300.0</v>
      </c>
      <c r="W717" s="173"/>
    </row>
    <row r="718" ht="22.5" customHeight="1">
      <c r="A7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SUBSTITUTE(E718, """", """")"),"#REF!")</f>
        <v>#REF!</v>
      </c>
      <c r="B718" s="146"/>
      <c r="C718" s="146"/>
      <c r="D718" s="146"/>
      <c r="E718" s="44"/>
      <c r="F718" s="147"/>
      <c r="G718" s="146"/>
      <c r="H718" s="148"/>
      <c r="I718" s="148"/>
      <c r="J718" s="170"/>
      <c r="K718" s="170"/>
      <c r="L718" s="170"/>
      <c r="M718" s="170"/>
      <c r="N718" s="170"/>
      <c r="O718" s="170"/>
      <c r="P718" s="170"/>
      <c r="Q718" s="170"/>
      <c r="R718" s="170"/>
      <c r="S718" s="153"/>
      <c r="T718" s="171"/>
      <c r="U718" s="156" t="str">
        <f t="shared" si="8"/>
        <v>#DIV/0!</v>
      </c>
      <c r="V718" s="172">
        <v>300.0</v>
      </c>
      <c r="W718" s="173"/>
    </row>
    <row r="719" ht="22.5" customHeight="1">
      <c r="A7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SUBSTITUTE(E719, """", """")"),"#REF!")</f>
        <v>#REF!</v>
      </c>
      <c r="B719" s="146"/>
      <c r="C719" s="146"/>
      <c r="D719" s="146"/>
      <c r="E719" s="44"/>
      <c r="F719" s="147"/>
      <c r="G719" s="146"/>
      <c r="H719" s="148"/>
      <c r="I719" s="148"/>
      <c r="J719" s="170"/>
      <c r="K719" s="170"/>
      <c r="L719" s="170"/>
      <c r="M719" s="170"/>
      <c r="N719" s="170"/>
      <c r="O719" s="170"/>
      <c r="P719" s="170"/>
      <c r="Q719" s="170"/>
      <c r="R719" s="170"/>
      <c r="S719" s="153"/>
      <c r="T719" s="171"/>
      <c r="U719" s="156" t="str">
        <f t="shared" si="8"/>
        <v>#DIV/0!</v>
      </c>
      <c r="V719" s="172">
        <v>300.0</v>
      </c>
      <c r="W719" s="173"/>
    </row>
    <row r="720" ht="22.5" customHeight="1">
      <c r="A7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SUBSTITUTE(E720, """", """")"),"#REF!")</f>
        <v>#REF!</v>
      </c>
      <c r="B720" s="146"/>
      <c r="C720" s="146"/>
      <c r="D720" s="146"/>
      <c r="E720" s="44"/>
      <c r="F720" s="147"/>
      <c r="G720" s="146"/>
      <c r="H720" s="148"/>
      <c r="I720" s="148"/>
      <c r="J720" s="170"/>
      <c r="K720" s="170"/>
      <c r="L720" s="170"/>
      <c r="M720" s="170"/>
      <c r="N720" s="170"/>
      <c r="O720" s="170"/>
      <c r="P720" s="170"/>
      <c r="Q720" s="170"/>
      <c r="R720" s="170"/>
      <c r="S720" s="153"/>
      <c r="T720" s="171"/>
      <c r="U720" s="156" t="str">
        <f t="shared" si="8"/>
        <v>#DIV/0!</v>
      </c>
      <c r="V720" s="172">
        <v>300.0</v>
      </c>
      <c r="W720" s="173"/>
    </row>
    <row r="721" ht="22.5" customHeight="1">
      <c r="A7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SUBSTITUTE(E721, """", """")"),"#REF!")</f>
        <v>#REF!</v>
      </c>
      <c r="B721" s="146"/>
      <c r="C721" s="146"/>
      <c r="D721" s="146"/>
      <c r="E721" s="44"/>
      <c r="F721" s="147"/>
      <c r="G721" s="146"/>
      <c r="H721" s="148"/>
      <c r="I721" s="148"/>
      <c r="J721" s="170"/>
      <c r="K721" s="170"/>
      <c r="L721" s="170"/>
      <c r="M721" s="170"/>
      <c r="N721" s="170"/>
      <c r="O721" s="170"/>
      <c r="P721" s="170"/>
      <c r="Q721" s="170"/>
      <c r="R721" s="170"/>
      <c r="S721" s="153"/>
      <c r="T721" s="171"/>
      <c r="U721" s="156" t="str">
        <f t="shared" si="8"/>
        <v>#DIV/0!</v>
      </c>
      <c r="V721" s="172">
        <v>300.0</v>
      </c>
      <c r="W721" s="173"/>
    </row>
    <row r="722" ht="22.5" customHeight="1">
      <c r="A7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SUBSTITUTE(E722, """", """")"),"#REF!")</f>
        <v>#REF!</v>
      </c>
      <c r="B722" s="146"/>
      <c r="C722" s="146"/>
      <c r="D722" s="146"/>
      <c r="E722" s="44"/>
      <c r="F722" s="147"/>
      <c r="G722" s="146"/>
      <c r="H722" s="148"/>
      <c r="I722" s="148"/>
      <c r="J722" s="170"/>
      <c r="K722" s="170"/>
      <c r="L722" s="170"/>
      <c r="M722" s="170"/>
      <c r="N722" s="170"/>
      <c r="O722" s="170"/>
      <c r="P722" s="170"/>
      <c r="Q722" s="170"/>
      <c r="R722" s="170"/>
      <c r="S722" s="153"/>
      <c r="T722" s="171"/>
      <c r="U722" s="156" t="str">
        <f t="shared" si="8"/>
        <v>#DIV/0!</v>
      </c>
      <c r="V722" s="172">
        <v>300.0</v>
      </c>
      <c r="W722" s="173"/>
    </row>
    <row r="723" ht="22.5" customHeight="1">
      <c r="A7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SUBSTITUTE(E723, """", """")"),"#REF!")</f>
        <v>#REF!</v>
      </c>
      <c r="B723" s="146"/>
      <c r="C723" s="146"/>
      <c r="D723" s="146"/>
      <c r="E723" s="44"/>
      <c r="F723" s="147"/>
      <c r="G723" s="146"/>
      <c r="H723" s="148"/>
      <c r="I723" s="148"/>
      <c r="J723" s="170"/>
      <c r="K723" s="170"/>
      <c r="L723" s="170"/>
      <c r="M723" s="170"/>
      <c r="N723" s="170"/>
      <c r="O723" s="170"/>
      <c r="P723" s="170"/>
      <c r="Q723" s="170"/>
      <c r="R723" s="170"/>
      <c r="S723" s="153"/>
      <c r="T723" s="171"/>
      <c r="U723" s="156" t="str">
        <f t="shared" si="8"/>
        <v>#DIV/0!</v>
      </c>
      <c r="V723" s="172">
        <v>300.0</v>
      </c>
      <c r="W723" s="173"/>
    </row>
    <row r="724" ht="22.5" customHeight="1">
      <c r="A7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SUBSTITUTE(E724, """", """")"),"#REF!")</f>
        <v>#REF!</v>
      </c>
      <c r="B724" s="146"/>
      <c r="C724" s="146"/>
      <c r="D724" s="146"/>
      <c r="E724" s="44"/>
      <c r="F724" s="147"/>
      <c r="G724" s="146"/>
      <c r="H724" s="148"/>
      <c r="I724" s="148"/>
      <c r="J724" s="170"/>
      <c r="K724" s="170"/>
      <c r="L724" s="170"/>
      <c r="M724" s="170"/>
      <c r="N724" s="170"/>
      <c r="O724" s="170"/>
      <c r="P724" s="170"/>
      <c r="Q724" s="170"/>
      <c r="R724" s="170"/>
      <c r="S724" s="153"/>
      <c r="T724" s="171"/>
      <c r="U724" s="156" t="str">
        <f t="shared" si="8"/>
        <v>#DIV/0!</v>
      </c>
      <c r="V724" s="172">
        <v>300.0</v>
      </c>
      <c r="W724" s="173"/>
    </row>
    <row r="725" ht="22.5" customHeight="1">
      <c r="A7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SUBSTITUTE(E725, """", """")"),"#REF!")</f>
        <v>#REF!</v>
      </c>
      <c r="B725" s="146"/>
      <c r="C725" s="146"/>
      <c r="D725" s="146"/>
      <c r="E725" s="44"/>
      <c r="F725" s="147"/>
      <c r="G725" s="146"/>
      <c r="H725" s="148"/>
      <c r="I725" s="148"/>
      <c r="J725" s="170"/>
      <c r="K725" s="170"/>
      <c r="L725" s="170"/>
      <c r="M725" s="170"/>
      <c r="N725" s="170"/>
      <c r="O725" s="170"/>
      <c r="P725" s="170"/>
      <c r="Q725" s="170"/>
      <c r="R725" s="170"/>
      <c r="S725" s="153"/>
      <c r="T725" s="171"/>
      <c r="U725" s="156" t="str">
        <f t="shared" si="8"/>
        <v>#DIV/0!</v>
      </c>
      <c r="V725" s="172">
        <v>300.0</v>
      </c>
      <c r="W725" s="173"/>
    </row>
    <row r="726" ht="22.5" customHeight="1">
      <c r="A7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SUBSTITUTE(E726, """", """")"),"#REF!")</f>
        <v>#REF!</v>
      </c>
      <c r="B726" s="146"/>
      <c r="C726" s="146"/>
      <c r="D726" s="146"/>
      <c r="E726" s="44"/>
      <c r="F726" s="147"/>
      <c r="G726" s="146"/>
      <c r="H726" s="148"/>
      <c r="I726" s="148"/>
      <c r="J726" s="170"/>
      <c r="K726" s="170"/>
      <c r="L726" s="170"/>
      <c r="M726" s="170"/>
      <c r="N726" s="170"/>
      <c r="O726" s="170"/>
      <c r="P726" s="170"/>
      <c r="Q726" s="170"/>
      <c r="R726" s="170"/>
      <c r="S726" s="153"/>
      <c r="T726" s="171"/>
      <c r="U726" s="156" t="str">
        <f t="shared" si="8"/>
        <v>#DIV/0!</v>
      </c>
      <c r="V726" s="172">
        <v>300.0</v>
      </c>
      <c r="W726" s="173"/>
    </row>
    <row r="727" ht="22.5" customHeight="1">
      <c r="A7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SUBSTITUTE(E727, """", """")"),"#REF!")</f>
        <v>#REF!</v>
      </c>
      <c r="B727" s="146"/>
      <c r="C727" s="146"/>
      <c r="D727" s="146"/>
      <c r="E727" s="44"/>
      <c r="F727" s="147"/>
      <c r="G727" s="146"/>
      <c r="H727" s="148"/>
      <c r="I727" s="148"/>
      <c r="J727" s="170"/>
      <c r="K727" s="170"/>
      <c r="L727" s="170"/>
      <c r="M727" s="170"/>
      <c r="N727" s="170"/>
      <c r="O727" s="170"/>
      <c r="P727" s="170"/>
      <c r="Q727" s="170"/>
      <c r="R727" s="170"/>
      <c r="S727" s="153"/>
      <c r="T727" s="171"/>
      <c r="U727" s="156" t="str">
        <f t="shared" si="8"/>
        <v>#DIV/0!</v>
      </c>
      <c r="V727" s="172">
        <v>300.0</v>
      </c>
      <c r="W727" s="173"/>
    </row>
    <row r="728" ht="22.5" customHeight="1">
      <c r="A7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SUBSTITUTE(E728, """", """")"),"#REF!")</f>
        <v>#REF!</v>
      </c>
      <c r="B728" s="146"/>
      <c r="C728" s="146"/>
      <c r="D728" s="146"/>
      <c r="E728" s="44"/>
      <c r="F728" s="147"/>
      <c r="G728" s="146"/>
      <c r="H728" s="148"/>
      <c r="I728" s="148"/>
      <c r="J728" s="170"/>
      <c r="K728" s="170"/>
      <c r="L728" s="170"/>
      <c r="M728" s="170"/>
      <c r="N728" s="170"/>
      <c r="O728" s="170"/>
      <c r="P728" s="170"/>
      <c r="Q728" s="170"/>
      <c r="R728" s="170"/>
      <c r="S728" s="153"/>
      <c r="T728" s="171"/>
      <c r="U728" s="156" t="str">
        <f t="shared" si="8"/>
        <v>#DIV/0!</v>
      </c>
      <c r="V728" s="172">
        <v>300.0</v>
      </c>
      <c r="W728" s="173"/>
    </row>
    <row r="729" ht="22.5" customHeight="1">
      <c r="A7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SUBSTITUTE(E729, """", """")"),"#REF!")</f>
        <v>#REF!</v>
      </c>
      <c r="B729" s="146"/>
      <c r="C729" s="146"/>
      <c r="D729" s="146"/>
      <c r="E729" s="44"/>
      <c r="F729" s="147"/>
      <c r="G729" s="146"/>
      <c r="H729" s="148"/>
      <c r="I729" s="148"/>
      <c r="J729" s="170"/>
      <c r="K729" s="170"/>
      <c r="L729" s="170"/>
      <c r="M729" s="170"/>
      <c r="N729" s="170"/>
      <c r="O729" s="170"/>
      <c r="P729" s="170"/>
      <c r="Q729" s="170"/>
      <c r="R729" s="170"/>
      <c r="S729" s="153"/>
      <c r="T729" s="171"/>
      <c r="U729" s="156" t="str">
        <f t="shared" si="8"/>
        <v>#DIV/0!</v>
      </c>
      <c r="V729" s="172">
        <v>300.0</v>
      </c>
      <c r="W729" s="173"/>
    </row>
    <row r="730" ht="22.5" customHeight="1">
      <c r="A7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SUBSTITUTE(E730, """", """")"),"#REF!")</f>
        <v>#REF!</v>
      </c>
      <c r="B730" s="146"/>
      <c r="C730" s="146"/>
      <c r="D730" s="146"/>
      <c r="E730" s="44"/>
      <c r="F730" s="147"/>
      <c r="G730" s="146"/>
      <c r="H730" s="148"/>
      <c r="I730" s="148"/>
      <c r="J730" s="170"/>
      <c r="K730" s="170"/>
      <c r="L730" s="170"/>
      <c r="M730" s="170"/>
      <c r="N730" s="170"/>
      <c r="O730" s="170"/>
      <c r="P730" s="170"/>
      <c r="Q730" s="170"/>
      <c r="R730" s="170"/>
      <c r="S730" s="153"/>
      <c r="T730" s="171"/>
      <c r="U730" s="156" t="str">
        <f t="shared" si="8"/>
        <v>#DIV/0!</v>
      </c>
      <c r="V730" s="172">
        <v>300.0</v>
      </c>
      <c r="W730" s="173"/>
    </row>
    <row r="731" ht="22.5" customHeight="1">
      <c r="A7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SUBSTITUTE(E731, """", """")"),"#REF!")</f>
        <v>#REF!</v>
      </c>
      <c r="B731" s="146"/>
      <c r="C731" s="146"/>
      <c r="D731" s="146"/>
      <c r="E731" s="44"/>
      <c r="F731" s="147"/>
      <c r="G731" s="146"/>
      <c r="H731" s="148"/>
      <c r="I731" s="148"/>
      <c r="J731" s="170"/>
      <c r="K731" s="170"/>
      <c r="L731" s="170"/>
      <c r="M731" s="170"/>
      <c r="N731" s="170"/>
      <c r="O731" s="170"/>
      <c r="P731" s="170"/>
      <c r="Q731" s="170"/>
      <c r="R731" s="170"/>
      <c r="S731" s="153"/>
      <c r="T731" s="171"/>
      <c r="U731" s="156" t="str">
        <f t="shared" si="8"/>
        <v>#DIV/0!</v>
      </c>
      <c r="V731" s="172">
        <v>300.0</v>
      </c>
      <c r="W731" s="173"/>
    </row>
    <row r="732" ht="22.5" customHeight="1">
      <c r="A7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SUBSTITUTE(E732, """", """")"),"#REF!")</f>
        <v>#REF!</v>
      </c>
      <c r="B732" s="146"/>
      <c r="C732" s="146"/>
      <c r="D732" s="146"/>
      <c r="E732" s="44"/>
      <c r="F732" s="147"/>
      <c r="G732" s="146"/>
      <c r="H732" s="148"/>
      <c r="I732" s="148"/>
      <c r="J732" s="170"/>
      <c r="K732" s="170"/>
      <c r="L732" s="170"/>
      <c r="M732" s="170"/>
      <c r="N732" s="170"/>
      <c r="O732" s="170"/>
      <c r="P732" s="170"/>
      <c r="Q732" s="170"/>
      <c r="R732" s="170"/>
      <c r="S732" s="153"/>
      <c r="T732" s="171"/>
      <c r="U732" s="156" t="str">
        <f t="shared" si="8"/>
        <v>#DIV/0!</v>
      </c>
      <c r="V732" s="172">
        <v>300.0</v>
      </c>
      <c r="W732" s="173"/>
    </row>
    <row r="733" ht="22.5" customHeight="1">
      <c r="A7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SUBSTITUTE(E733, """", """")"),"#REF!")</f>
        <v>#REF!</v>
      </c>
      <c r="B733" s="146"/>
      <c r="C733" s="146"/>
      <c r="D733" s="146"/>
      <c r="E733" s="44"/>
      <c r="F733" s="147"/>
      <c r="G733" s="146"/>
      <c r="H733" s="148"/>
      <c r="I733" s="148"/>
      <c r="J733" s="170"/>
      <c r="K733" s="170"/>
      <c r="L733" s="170"/>
      <c r="M733" s="170"/>
      <c r="N733" s="170"/>
      <c r="O733" s="170"/>
      <c r="P733" s="170"/>
      <c r="Q733" s="170"/>
      <c r="R733" s="170"/>
      <c r="S733" s="153"/>
      <c r="T733" s="171"/>
      <c r="U733" s="156" t="str">
        <f t="shared" si="8"/>
        <v>#DIV/0!</v>
      </c>
      <c r="V733" s="172">
        <v>300.0</v>
      </c>
      <c r="W733" s="173"/>
    </row>
    <row r="734" ht="22.5" customHeight="1">
      <c r="A7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SUBSTITUTE(E734, """", """")"),"#REF!")</f>
        <v>#REF!</v>
      </c>
      <c r="B734" s="146"/>
      <c r="C734" s="146"/>
      <c r="D734" s="146"/>
      <c r="E734" s="44"/>
      <c r="F734" s="147"/>
      <c r="G734" s="146"/>
      <c r="H734" s="148"/>
      <c r="I734" s="148"/>
      <c r="J734" s="170"/>
      <c r="K734" s="170"/>
      <c r="L734" s="170"/>
      <c r="M734" s="170"/>
      <c r="N734" s="170"/>
      <c r="O734" s="170"/>
      <c r="P734" s="170"/>
      <c r="Q734" s="170"/>
      <c r="R734" s="170"/>
      <c r="S734" s="153"/>
      <c r="T734" s="171"/>
      <c r="U734" s="156" t="str">
        <f t="shared" si="8"/>
        <v>#DIV/0!</v>
      </c>
      <c r="V734" s="172">
        <v>300.0</v>
      </c>
      <c r="W734" s="173"/>
    </row>
    <row r="735" ht="22.5" customHeight="1">
      <c r="A7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SUBSTITUTE(E735, """", """")"),"#REF!")</f>
        <v>#REF!</v>
      </c>
      <c r="B735" s="146"/>
      <c r="C735" s="146"/>
      <c r="D735" s="146"/>
      <c r="E735" s="44"/>
      <c r="F735" s="147"/>
      <c r="G735" s="146"/>
      <c r="H735" s="148"/>
      <c r="I735" s="148"/>
      <c r="J735" s="170"/>
      <c r="K735" s="170"/>
      <c r="L735" s="170"/>
      <c r="M735" s="170"/>
      <c r="N735" s="170"/>
      <c r="O735" s="170"/>
      <c r="P735" s="170"/>
      <c r="Q735" s="170"/>
      <c r="R735" s="170"/>
      <c r="S735" s="153"/>
      <c r="T735" s="171"/>
      <c r="U735" s="156" t="str">
        <f t="shared" si="8"/>
        <v>#DIV/0!</v>
      </c>
      <c r="V735" s="172">
        <v>300.0</v>
      </c>
      <c r="W735" s="173"/>
    </row>
    <row r="736" ht="22.5" customHeight="1">
      <c r="A7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SUBSTITUTE(E736, """", """")"),"#REF!")</f>
        <v>#REF!</v>
      </c>
      <c r="B736" s="146"/>
      <c r="C736" s="146"/>
      <c r="D736" s="146"/>
      <c r="E736" s="44"/>
      <c r="F736" s="147"/>
      <c r="G736" s="146"/>
      <c r="H736" s="148"/>
      <c r="I736" s="148"/>
      <c r="J736" s="170"/>
      <c r="K736" s="170"/>
      <c r="L736" s="170"/>
      <c r="M736" s="170"/>
      <c r="N736" s="170"/>
      <c r="O736" s="170"/>
      <c r="P736" s="170"/>
      <c r="Q736" s="170"/>
      <c r="R736" s="170"/>
      <c r="S736" s="153"/>
      <c r="T736" s="171"/>
      <c r="U736" s="156" t="str">
        <f t="shared" si="8"/>
        <v>#DIV/0!</v>
      </c>
      <c r="V736" s="172">
        <v>300.0</v>
      </c>
      <c r="W736" s="173"/>
    </row>
    <row r="737" ht="22.5" customHeight="1">
      <c r="A7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SUBSTITUTE(E737, """", """")"),"#REF!")</f>
        <v>#REF!</v>
      </c>
      <c r="B737" s="146"/>
      <c r="C737" s="146"/>
      <c r="D737" s="146"/>
      <c r="E737" s="44"/>
      <c r="F737" s="147"/>
      <c r="G737" s="146"/>
      <c r="H737" s="148"/>
      <c r="I737" s="148"/>
      <c r="J737" s="170"/>
      <c r="K737" s="170"/>
      <c r="L737" s="170"/>
      <c r="M737" s="170"/>
      <c r="N737" s="170"/>
      <c r="O737" s="170"/>
      <c r="P737" s="170"/>
      <c r="Q737" s="170"/>
      <c r="R737" s="170"/>
      <c r="S737" s="153"/>
      <c r="T737" s="171"/>
      <c r="U737" s="156" t="str">
        <f t="shared" si="8"/>
        <v>#DIV/0!</v>
      </c>
      <c r="V737" s="172">
        <v>300.0</v>
      </c>
      <c r="W737" s="173"/>
    </row>
    <row r="738" ht="22.5" customHeight="1">
      <c r="A7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SUBSTITUTE(E738, """", """")"),"#REF!")</f>
        <v>#REF!</v>
      </c>
      <c r="B738" s="146"/>
      <c r="C738" s="146"/>
      <c r="D738" s="146"/>
      <c r="E738" s="44"/>
      <c r="F738" s="147"/>
      <c r="G738" s="146"/>
      <c r="H738" s="148"/>
      <c r="I738" s="148"/>
      <c r="J738" s="170"/>
      <c r="K738" s="170"/>
      <c r="L738" s="170"/>
      <c r="M738" s="170"/>
      <c r="N738" s="170"/>
      <c r="O738" s="170"/>
      <c r="P738" s="170"/>
      <c r="Q738" s="170"/>
      <c r="R738" s="170"/>
      <c r="S738" s="153"/>
      <c r="T738" s="171"/>
      <c r="U738" s="156" t="str">
        <f t="shared" si="8"/>
        <v>#DIV/0!</v>
      </c>
      <c r="V738" s="172">
        <v>300.0</v>
      </c>
      <c r="W738" s="173"/>
    </row>
    <row r="739" ht="22.5" customHeight="1">
      <c r="A7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SUBSTITUTE(E739, """", """")"),"#REF!")</f>
        <v>#REF!</v>
      </c>
      <c r="B739" s="146"/>
      <c r="C739" s="146"/>
      <c r="D739" s="146"/>
      <c r="E739" s="44"/>
      <c r="F739" s="147"/>
      <c r="G739" s="146"/>
      <c r="H739" s="148"/>
      <c r="I739" s="148"/>
      <c r="J739" s="170"/>
      <c r="K739" s="170"/>
      <c r="L739" s="170"/>
      <c r="M739" s="170"/>
      <c r="N739" s="170"/>
      <c r="O739" s="170"/>
      <c r="P739" s="170"/>
      <c r="Q739" s="170"/>
      <c r="R739" s="170"/>
      <c r="S739" s="153"/>
      <c r="T739" s="171"/>
      <c r="U739" s="156" t="str">
        <f t="shared" si="8"/>
        <v>#DIV/0!</v>
      </c>
      <c r="V739" s="172">
        <v>300.0</v>
      </c>
      <c r="W739" s="173"/>
    </row>
    <row r="740" ht="22.5" customHeight="1">
      <c r="A7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SUBSTITUTE(E740, """", """")"),"#REF!")</f>
        <v>#REF!</v>
      </c>
      <c r="B740" s="146"/>
      <c r="C740" s="146"/>
      <c r="D740" s="146"/>
      <c r="E740" s="44"/>
      <c r="F740" s="147"/>
      <c r="G740" s="146"/>
      <c r="H740" s="148"/>
      <c r="I740" s="148"/>
      <c r="J740" s="170"/>
      <c r="K740" s="170"/>
      <c r="L740" s="170"/>
      <c r="M740" s="170"/>
      <c r="N740" s="170"/>
      <c r="O740" s="170"/>
      <c r="P740" s="170"/>
      <c r="Q740" s="170"/>
      <c r="R740" s="170"/>
      <c r="S740" s="153"/>
      <c r="T740" s="171"/>
      <c r="U740" s="156" t="str">
        <f t="shared" si="8"/>
        <v>#DIV/0!</v>
      </c>
      <c r="V740" s="172">
        <v>300.0</v>
      </c>
      <c r="W740" s="173"/>
    </row>
    <row r="741" ht="22.5" customHeight="1">
      <c r="A7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SUBSTITUTE(E741, """", """")"),"#REF!")</f>
        <v>#REF!</v>
      </c>
      <c r="B741" s="146"/>
      <c r="C741" s="146"/>
      <c r="D741" s="146"/>
      <c r="E741" s="44"/>
      <c r="F741" s="147"/>
      <c r="G741" s="146"/>
      <c r="H741" s="148"/>
      <c r="I741" s="148"/>
      <c r="J741" s="170"/>
      <c r="K741" s="170"/>
      <c r="L741" s="170"/>
      <c r="M741" s="170"/>
      <c r="N741" s="170"/>
      <c r="O741" s="170"/>
      <c r="P741" s="170"/>
      <c r="Q741" s="170"/>
      <c r="R741" s="170"/>
      <c r="S741" s="153"/>
      <c r="T741" s="171"/>
      <c r="U741" s="156" t="str">
        <f t="shared" si="8"/>
        <v>#DIV/0!</v>
      </c>
      <c r="V741" s="172">
        <v>300.0</v>
      </c>
      <c r="W741" s="173"/>
    </row>
    <row r="742" ht="22.5" customHeight="1">
      <c r="A7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SUBSTITUTE(E742, """", """")"),"#REF!")</f>
        <v>#REF!</v>
      </c>
      <c r="B742" s="146"/>
      <c r="C742" s="146"/>
      <c r="D742" s="146"/>
      <c r="E742" s="44"/>
      <c r="F742" s="147"/>
      <c r="G742" s="146"/>
      <c r="H742" s="148"/>
      <c r="I742" s="148"/>
      <c r="J742" s="170"/>
      <c r="K742" s="170"/>
      <c r="L742" s="170"/>
      <c r="M742" s="170"/>
      <c r="N742" s="170"/>
      <c r="O742" s="170"/>
      <c r="P742" s="170"/>
      <c r="Q742" s="170"/>
      <c r="R742" s="170"/>
      <c r="S742" s="153"/>
      <c r="T742" s="171"/>
      <c r="U742" s="156" t="str">
        <f t="shared" si="8"/>
        <v>#DIV/0!</v>
      </c>
      <c r="V742" s="172">
        <v>300.0</v>
      </c>
      <c r="W742" s="173"/>
    </row>
    <row r="743" ht="22.5" customHeight="1">
      <c r="A7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SUBSTITUTE(E743, """", """")"),"#REF!")</f>
        <v>#REF!</v>
      </c>
      <c r="B743" s="146"/>
      <c r="C743" s="146"/>
      <c r="D743" s="146"/>
      <c r="E743" s="44"/>
      <c r="F743" s="147"/>
      <c r="G743" s="146"/>
      <c r="H743" s="148"/>
      <c r="I743" s="148"/>
      <c r="J743" s="170"/>
      <c r="K743" s="170"/>
      <c r="L743" s="170"/>
      <c r="M743" s="170"/>
      <c r="N743" s="170"/>
      <c r="O743" s="170"/>
      <c r="P743" s="170"/>
      <c r="Q743" s="170"/>
      <c r="R743" s="170"/>
      <c r="S743" s="153"/>
      <c r="T743" s="171"/>
      <c r="U743" s="156" t="str">
        <f t="shared" si="8"/>
        <v>#DIV/0!</v>
      </c>
      <c r="V743" s="172">
        <v>300.0</v>
      </c>
      <c r="W743" s="173"/>
    </row>
    <row r="744" ht="22.5" customHeight="1">
      <c r="A7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SUBSTITUTE(E744, """", """")"),"#REF!")</f>
        <v>#REF!</v>
      </c>
      <c r="B744" s="146"/>
      <c r="C744" s="146"/>
      <c r="D744" s="146"/>
      <c r="E744" s="44"/>
      <c r="F744" s="147"/>
      <c r="G744" s="146"/>
      <c r="H744" s="148"/>
      <c r="I744" s="148"/>
      <c r="J744" s="170"/>
      <c r="K744" s="170"/>
      <c r="L744" s="170"/>
      <c r="M744" s="170"/>
      <c r="N744" s="170"/>
      <c r="O744" s="170"/>
      <c r="P744" s="170"/>
      <c r="Q744" s="170"/>
      <c r="R744" s="170"/>
      <c r="S744" s="153"/>
      <c r="T744" s="171"/>
      <c r="U744" s="156" t="str">
        <f t="shared" si="8"/>
        <v>#DIV/0!</v>
      </c>
      <c r="V744" s="172">
        <v>300.0</v>
      </c>
      <c r="W744" s="173"/>
    </row>
    <row r="745" ht="22.5" customHeight="1">
      <c r="A7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SUBSTITUTE(E745, """", """")"),"#REF!")</f>
        <v>#REF!</v>
      </c>
      <c r="B745" s="146"/>
      <c r="C745" s="146"/>
      <c r="D745" s="146"/>
      <c r="E745" s="44"/>
      <c r="F745" s="147"/>
      <c r="G745" s="146"/>
      <c r="H745" s="148"/>
      <c r="I745" s="148"/>
      <c r="J745" s="170"/>
      <c r="K745" s="170"/>
      <c r="L745" s="170"/>
      <c r="M745" s="170"/>
      <c r="N745" s="170"/>
      <c r="O745" s="170"/>
      <c r="P745" s="170"/>
      <c r="Q745" s="170"/>
      <c r="R745" s="170"/>
      <c r="S745" s="153"/>
      <c r="T745" s="171"/>
      <c r="U745" s="156" t="str">
        <f t="shared" si="8"/>
        <v>#DIV/0!</v>
      </c>
      <c r="V745" s="172">
        <v>300.0</v>
      </c>
      <c r="W745" s="173"/>
    </row>
    <row r="746" ht="22.5" customHeight="1">
      <c r="A7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SUBSTITUTE(E746, """", """")"),"#REF!")</f>
        <v>#REF!</v>
      </c>
      <c r="B746" s="146"/>
      <c r="C746" s="146"/>
      <c r="D746" s="146"/>
      <c r="E746" s="44"/>
      <c r="F746" s="147"/>
      <c r="G746" s="146"/>
      <c r="H746" s="148"/>
      <c r="I746" s="148"/>
      <c r="J746" s="170"/>
      <c r="K746" s="170"/>
      <c r="L746" s="170"/>
      <c r="M746" s="170"/>
      <c r="N746" s="170"/>
      <c r="O746" s="170"/>
      <c r="P746" s="170"/>
      <c r="Q746" s="170"/>
      <c r="R746" s="170"/>
      <c r="S746" s="153"/>
      <c r="T746" s="171"/>
      <c r="U746" s="156" t="str">
        <f t="shared" si="8"/>
        <v>#DIV/0!</v>
      </c>
      <c r="V746" s="172">
        <v>300.0</v>
      </c>
      <c r="W746" s="173"/>
    </row>
    <row r="747" ht="22.5" customHeight="1">
      <c r="A74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SUBSTITUTE(E747, """", """")"),"#REF!")</f>
        <v>#REF!</v>
      </c>
      <c r="B747" s="146"/>
      <c r="C747" s="146"/>
      <c r="D747" s="146"/>
      <c r="E747" s="44"/>
      <c r="F747" s="147"/>
      <c r="G747" s="146"/>
      <c r="H747" s="148"/>
      <c r="I747" s="148"/>
      <c r="J747" s="170"/>
      <c r="K747" s="170"/>
      <c r="L747" s="170"/>
      <c r="M747" s="170"/>
      <c r="N747" s="170"/>
      <c r="O747" s="170"/>
      <c r="P747" s="170"/>
      <c r="Q747" s="170"/>
      <c r="R747" s="170"/>
      <c r="S747" s="153"/>
      <c r="T747" s="171"/>
      <c r="U747" s="156" t="str">
        <f t="shared" si="8"/>
        <v>#DIV/0!</v>
      </c>
      <c r="V747" s="172">
        <v>300.0</v>
      </c>
      <c r="W747" s="173"/>
    </row>
    <row r="748" ht="22.5" customHeight="1">
      <c r="A74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SUBSTITUTE(E748, """", """")"),"#REF!")</f>
        <v>#REF!</v>
      </c>
      <c r="B748" s="146"/>
      <c r="C748" s="146"/>
      <c r="D748" s="146"/>
      <c r="E748" s="44"/>
      <c r="F748" s="147"/>
      <c r="G748" s="146"/>
      <c r="H748" s="148"/>
      <c r="I748" s="148"/>
      <c r="J748" s="170"/>
      <c r="K748" s="170"/>
      <c r="L748" s="170"/>
      <c r="M748" s="170"/>
      <c r="N748" s="170"/>
      <c r="O748" s="170"/>
      <c r="P748" s="170"/>
      <c r="Q748" s="170"/>
      <c r="R748" s="170"/>
      <c r="S748" s="153"/>
      <c r="T748" s="171"/>
      <c r="U748" s="156" t="str">
        <f t="shared" si="8"/>
        <v>#DIV/0!</v>
      </c>
      <c r="V748" s="172">
        <v>300.0</v>
      </c>
      <c r="W748" s="173"/>
    </row>
    <row r="749" ht="22.5" customHeight="1">
      <c r="A74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SUBSTITUTE(E749, """", """")"),"#REF!")</f>
        <v>#REF!</v>
      </c>
      <c r="B749" s="146"/>
      <c r="C749" s="146"/>
      <c r="D749" s="146"/>
      <c r="E749" s="44"/>
      <c r="F749" s="147"/>
      <c r="G749" s="146"/>
      <c r="H749" s="148"/>
      <c r="I749" s="148"/>
      <c r="J749" s="170"/>
      <c r="K749" s="170"/>
      <c r="L749" s="170"/>
      <c r="M749" s="170"/>
      <c r="N749" s="170"/>
      <c r="O749" s="170"/>
      <c r="P749" s="170"/>
      <c r="Q749" s="170"/>
      <c r="R749" s="170"/>
      <c r="S749" s="153"/>
      <c r="T749" s="171"/>
      <c r="U749" s="156" t="str">
        <f t="shared" si="8"/>
        <v>#DIV/0!</v>
      </c>
      <c r="V749" s="172">
        <v>300.0</v>
      </c>
      <c r="W749" s="173"/>
    </row>
    <row r="750" ht="22.5" customHeight="1">
      <c r="A75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SUBSTITUTE(E750, """", """")"),"#REF!")</f>
        <v>#REF!</v>
      </c>
      <c r="B750" s="146"/>
      <c r="C750" s="146"/>
      <c r="D750" s="146"/>
      <c r="E750" s="44"/>
      <c r="F750" s="147"/>
      <c r="G750" s="146"/>
      <c r="H750" s="148"/>
      <c r="I750" s="148"/>
      <c r="J750" s="170"/>
      <c r="K750" s="170"/>
      <c r="L750" s="170"/>
      <c r="M750" s="170"/>
      <c r="N750" s="170"/>
      <c r="O750" s="170"/>
      <c r="P750" s="170"/>
      <c r="Q750" s="170"/>
      <c r="R750" s="170"/>
      <c r="S750" s="153"/>
      <c r="T750" s="171"/>
      <c r="U750" s="156" t="str">
        <f t="shared" si="8"/>
        <v>#DIV/0!</v>
      </c>
      <c r="V750" s="172">
        <v>300.0</v>
      </c>
      <c r="W750" s="173"/>
    </row>
    <row r="751" ht="22.5" customHeight="1">
      <c r="A75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SUBSTITUTE(E751, """", """")"),"#REF!")</f>
        <v>#REF!</v>
      </c>
      <c r="B751" s="146"/>
      <c r="C751" s="146"/>
      <c r="D751" s="146"/>
      <c r="E751" s="44"/>
      <c r="F751" s="147"/>
      <c r="G751" s="146"/>
      <c r="H751" s="148"/>
      <c r="I751" s="148"/>
      <c r="J751" s="170"/>
      <c r="K751" s="170"/>
      <c r="L751" s="170"/>
      <c r="M751" s="170"/>
      <c r="N751" s="170"/>
      <c r="O751" s="170"/>
      <c r="P751" s="170"/>
      <c r="Q751" s="170"/>
      <c r="R751" s="170"/>
      <c r="S751" s="153"/>
      <c r="T751" s="171"/>
      <c r="U751" s="156" t="str">
        <f t="shared" si="8"/>
        <v>#DIV/0!</v>
      </c>
      <c r="V751" s="172">
        <v>300.0</v>
      </c>
      <c r="W751" s="173"/>
    </row>
    <row r="752" ht="22.5" customHeight="1">
      <c r="A75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SUBSTITUTE(E752, """", """")"),"#REF!")</f>
        <v>#REF!</v>
      </c>
      <c r="B752" s="146"/>
      <c r="C752" s="146"/>
      <c r="D752" s="146"/>
      <c r="E752" s="44"/>
      <c r="F752" s="147"/>
      <c r="G752" s="146"/>
      <c r="H752" s="148"/>
      <c r="I752" s="148"/>
      <c r="J752" s="170"/>
      <c r="K752" s="170"/>
      <c r="L752" s="170"/>
      <c r="M752" s="170"/>
      <c r="N752" s="170"/>
      <c r="O752" s="170"/>
      <c r="P752" s="170"/>
      <c r="Q752" s="170"/>
      <c r="R752" s="170"/>
      <c r="S752" s="153"/>
      <c r="T752" s="171"/>
      <c r="U752" s="156" t="str">
        <f t="shared" si="8"/>
        <v>#DIV/0!</v>
      </c>
      <c r="V752" s="172">
        <v>300.0</v>
      </c>
      <c r="W752" s="173"/>
    </row>
    <row r="753" ht="22.5" customHeight="1">
      <c r="A75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SUBSTITUTE(E753, """", """")"),"#REF!")</f>
        <v>#REF!</v>
      </c>
      <c r="B753" s="146"/>
      <c r="C753" s="146"/>
      <c r="D753" s="146"/>
      <c r="E753" s="44"/>
      <c r="F753" s="147"/>
      <c r="G753" s="146"/>
      <c r="H753" s="148"/>
      <c r="I753" s="148"/>
      <c r="J753" s="170"/>
      <c r="K753" s="170"/>
      <c r="L753" s="170"/>
      <c r="M753" s="170"/>
      <c r="N753" s="170"/>
      <c r="O753" s="170"/>
      <c r="P753" s="170"/>
      <c r="Q753" s="170"/>
      <c r="R753" s="170"/>
      <c r="S753" s="153"/>
      <c r="T753" s="171"/>
      <c r="U753" s="156" t="str">
        <f t="shared" si="8"/>
        <v>#DIV/0!</v>
      </c>
      <c r="V753" s="172">
        <v>300.0</v>
      </c>
      <c r="W753" s="173"/>
    </row>
    <row r="754" ht="22.5" customHeight="1">
      <c r="A75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SUBSTITUTE(E754, """", """")"),"#REF!")</f>
        <v>#REF!</v>
      </c>
      <c r="B754" s="146"/>
      <c r="C754" s="146"/>
      <c r="D754" s="146"/>
      <c r="E754" s="44"/>
      <c r="F754" s="147"/>
      <c r="G754" s="146"/>
      <c r="H754" s="148"/>
      <c r="I754" s="148"/>
      <c r="J754" s="170"/>
      <c r="K754" s="170"/>
      <c r="L754" s="170"/>
      <c r="M754" s="170"/>
      <c r="N754" s="170"/>
      <c r="O754" s="170"/>
      <c r="P754" s="170"/>
      <c r="Q754" s="170"/>
      <c r="R754" s="170"/>
      <c r="S754" s="153"/>
      <c r="T754" s="171"/>
      <c r="U754" s="156" t="str">
        <f t="shared" si="8"/>
        <v>#DIV/0!</v>
      </c>
      <c r="V754" s="172">
        <v>300.0</v>
      </c>
      <c r="W754" s="173"/>
    </row>
    <row r="755" ht="22.5" customHeight="1">
      <c r="A75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SUBSTITUTE(E755, """", """")"),"#REF!")</f>
        <v>#REF!</v>
      </c>
      <c r="B755" s="146"/>
      <c r="C755" s="146"/>
      <c r="D755" s="146"/>
      <c r="E755" s="44"/>
      <c r="F755" s="147"/>
      <c r="G755" s="146"/>
      <c r="H755" s="148"/>
      <c r="I755" s="148"/>
      <c r="J755" s="170"/>
      <c r="K755" s="170"/>
      <c r="L755" s="170"/>
      <c r="M755" s="170"/>
      <c r="N755" s="170"/>
      <c r="O755" s="170"/>
      <c r="P755" s="170"/>
      <c r="Q755" s="170"/>
      <c r="R755" s="170"/>
      <c r="S755" s="153"/>
      <c r="T755" s="171"/>
      <c r="U755" s="156" t="str">
        <f t="shared" si="8"/>
        <v>#DIV/0!</v>
      </c>
      <c r="V755" s="172">
        <v>300.0</v>
      </c>
      <c r="W755" s="173"/>
    </row>
    <row r="756" ht="22.5" customHeight="1">
      <c r="A75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SUBSTITUTE(E756, """", """")"),"#REF!")</f>
        <v>#REF!</v>
      </c>
      <c r="B756" s="146"/>
      <c r="C756" s="146"/>
      <c r="D756" s="146"/>
      <c r="E756" s="44"/>
      <c r="F756" s="147"/>
      <c r="G756" s="146"/>
      <c r="H756" s="148"/>
      <c r="I756" s="148"/>
      <c r="J756" s="170"/>
      <c r="K756" s="170"/>
      <c r="L756" s="170"/>
      <c r="M756" s="170"/>
      <c r="N756" s="170"/>
      <c r="O756" s="170"/>
      <c r="P756" s="170"/>
      <c r="Q756" s="170"/>
      <c r="R756" s="170"/>
      <c r="S756" s="153"/>
      <c r="T756" s="171"/>
      <c r="U756" s="156" t="str">
        <f t="shared" si="8"/>
        <v>#DIV/0!</v>
      </c>
      <c r="V756" s="172">
        <v>300.0</v>
      </c>
      <c r="W756" s="173"/>
    </row>
    <row r="757" ht="22.5" customHeight="1">
      <c r="A75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SUBSTITUTE(E757, """", """")"),"#REF!")</f>
        <v>#REF!</v>
      </c>
      <c r="B757" s="146"/>
      <c r="C757" s="146"/>
      <c r="D757" s="146"/>
      <c r="E757" s="44"/>
      <c r="F757" s="147"/>
      <c r="G757" s="146"/>
      <c r="H757" s="148"/>
      <c r="I757" s="148"/>
      <c r="J757" s="170"/>
      <c r="K757" s="170"/>
      <c r="L757" s="170"/>
      <c r="M757" s="170"/>
      <c r="N757" s="170"/>
      <c r="O757" s="170"/>
      <c r="P757" s="170"/>
      <c r="Q757" s="170"/>
      <c r="R757" s="170"/>
      <c r="S757" s="153"/>
      <c r="T757" s="171"/>
      <c r="U757" s="156" t="str">
        <f t="shared" si="8"/>
        <v>#DIV/0!</v>
      </c>
      <c r="V757" s="172">
        <v>300.0</v>
      </c>
      <c r="W757" s="173"/>
    </row>
    <row r="758" ht="22.5" customHeight="1">
      <c r="A75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SUBSTITUTE(E758, """", """")"),"#REF!")</f>
        <v>#REF!</v>
      </c>
      <c r="B758" s="146"/>
      <c r="C758" s="146"/>
      <c r="D758" s="146"/>
      <c r="E758" s="44"/>
      <c r="F758" s="147"/>
      <c r="G758" s="146"/>
      <c r="H758" s="148"/>
      <c r="I758" s="148"/>
      <c r="J758" s="170"/>
      <c r="K758" s="170"/>
      <c r="L758" s="170"/>
      <c r="M758" s="170"/>
      <c r="N758" s="170"/>
      <c r="O758" s="170"/>
      <c r="P758" s="170"/>
      <c r="Q758" s="170"/>
      <c r="R758" s="170"/>
      <c r="S758" s="153"/>
      <c r="T758" s="171"/>
      <c r="U758" s="156" t="str">
        <f t="shared" si="8"/>
        <v>#DIV/0!</v>
      </c>
      <c r="V758" s="172">
        <v>300.0</v>
      </c>
      <c r="W758" s="173"/>
    </row>
    <row r="759" ht="22.5" customHeight="1">
      <c r="A75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SUBSTITUTE(E759, """", """")"),"#REF!")</f>
        <v>#REF!</v>
      </c>
      <c r="B759" s="146"/>
      <c r="C759" s="146"/>
      <c r="D759" s="146"/>
      <c r="E759" s="44"/>
      <c r="F759" s="147"/>
      <c r="G759" s="146"/>
      <c r="H759" s="148"/>
      <c r="I759" s="148"/>
      <c r="J759" s="170"/>
      <c r="K759" s="170"/>
      <c r="L759" s="170"/>
      <c r="M759" s="170"/>
      <c r="N759" s="170"/>
      <c r="O759" s="170"/>
      <c r="P759" s="170"/>
      <c r="Q759" s="170"/>
      <c r="R759" s="170"/>
      <c r="S759" s="153"/>
      <c r="T759" s="171"/>
      <c r="U759" s="156" t="str">
        <f t="shared" si="8"/>
        <v>#DIV/0!</v>
      </c>
      <c r="V759" s="172">
        <v>300.0</v>
      </c>
      <c r="W759" s="173"/>
    </row>
    <row r="760" ht="22.5" customHeight="1">
      <c r="A76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SUBSTITUTE(E760, """", """")"),"#REF!")</f>
        <v>#REF!</v>
      </c>
      <c r="B760" s="146"/>
      <c r="C760" s="146"/>
      <c r="D760" s="146"/>
      <c r="E760" s="44"/>
      <c r="F760" s="147"/>
      <c r="G760" s="146"/>
      <c r="H760" s="148"/>
      <c r="I760" s="148"/>
      <c r="J760" s="170"/>
      <c r="K760" s="170"/>
      <c r="L760" s="170"/>
      <c r="M760" s="170"/>
      <c r="N760" s="170"/>
      <c r="O760" s="170"/>
      <c r="P760" s="170"/>
      <c r="Q760" s="170"/>
      <c r="R760" s="170"/>
      <c r="S760" s="153"/>
      <c r="T760" s="171"/>
      <c r="U760" s="156" t="str">
        <f t="shared" si="8"/>
        <v>#DIV/0!</v>
      </c>
      <c r="V760" s="172">
        <v>300.0</v>
      </c>
      <c r="W760" s="173"/>
    </row>
    <row r="761" ht="22.5" customHeight="1">
      <c r="A76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SUBSTITUTE(E761, """", """")"),"#REF!")</f>
        <v>#REF!</v>
      </c>
      <c r="B761" s="146"/>
      <c r="C761" s="146"/>
      <c r="D761" s="146"/>
      <c r="E761" s="44"/>
      <c r="F761" s="147"/>
      <c r="G761" s="146"/>
      <c r="H761" s="148"/>
      <c r="I761" s="148"/>
      <c r="J761" s="170"/>
      <c r="K761" s="170"/>
      <c r="L761" s="170"/>
      <c r="M761" s="170"/>
      <c r="N761" s="170"/>
      <c r="O761" s="170"/>
      <c r="P761" s="170"/>
      <c r="Q761" s="170"/>
      <c r="R761" s="170"/>
      <c r="S761" s="153"/>
      <c r="T761" s="171"/>
      <c r="U761" s="156" t="str">
        <f t="shared" si="8"/>
        <v>#DIV/0!</v>
      </c>
      <c r="V761" s="172">
        <v>300.0</v>
      </c>
      <c r="W761" s="173"/>
    </row>
    <row r="762" ht="22.5" customHeight="1">
      <c r="A76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SUBSTITUTE(E762, """", """")"),"#REF!")</f>
        <v>#REF!</v>
      </c>
      <c r="B762" s="146"/>
      <c r="C762" s="146"/>
      <c r="D762" s="146"/>
      <c r="E762" s="44"/>
      <c r="F762" s="147"/>
      <c r="G762" s="146"/>
      <c r="H762" s="148"/>
      <c r="I762" s="148"/>
      <c r="J762" s="170"/>
      <c r="K762" s="170"/>
      <c r="L762" s="170"/>
      <c r="M762" s="170"/>
      <c r="N762" s="170"/>
      <c r="O762" s="170"/>
      <c r="P762" s="170"/>
      <c r="Q762" s="170"/>
      <c r="R762" s="170"/>
      <c r="S762" s="153"/>
      <c r="T762" s="171"/>
      <c r="U762" s="156" t="str">
        <f t="shared" si="8"/>
        <v>#DIV/0!</v>
      </c>
      <c r="V762" s="172">
        <v>300.0</v>
      </c>
      <c r="W762" s="173"/>
    </row>
    <row r="763" ht="22.5" customHeight="1">
      <c r="A76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SUBSTITUTE(E763, """", """")"),"#REF!")</f>
        <v>#REF!</v>
      </c>
      <c r="B763" s="146"/>
      <c r="C763" s="146"/>
      <c r="D763" s="146"/>
      <c r="E763" s="44"/>
      <c r="F763" s="147"/>
      <c r="G763" s="146"/>
      <c r="H763" s="148"/>
      <c r="I763" s="148"/>
      <c r="J763" s="170"/>
      <c r="K763" s="170"/>
      <c r="L763" s="170"/>
      <c r="M763" s="170"/>
      <c r="N763" s="170"/>
      <c r="O763" s="170"/>
      <c r="P763" s="170"/>
      <c r="Q763" s="170"/>
      <c r="R763" s="170"/>
      <c r="S763" s="153"/>
      <c r="T763" s="171"/>
      <c r="U763" s="156" t="str">
        <f t="shared" si="8"/>
        <v>#DIV/0!</v>
      </c>
      <c r="V763" s="172">
        <v>300.0</v>
      </c>
      <c r="W763" s="173"/>
    </row>
    <row r="764" ht="22.5" customHeight="1">
      <c r="A76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SUBSTITUTE(E764, """", """")"),"#REF!")</f>
        <v>#REF!</v>
      </c>
      <c r="B764" s="146"/>
      <c r="C764" s="146"/>
      <c r="D764" s="146"/>
      <c r="E764" s="44"/>
      <c r="F764" s="147"/>
      <c r="G764" s="146"/>
      <c r="H764" s="148"/>
      <c r="I764" s="148"/>
      <c r="J764" s="170"/>
      <c r="K764" s="170"/>
      <c r="L764" s="170"/>
      <c r="M764" s="170"/>
      <c r="N764" s="170"/>
      <c r="O764" s="170"/>
      <c r="P764" s="170"/>
      <c r="Q764" s="170"/>
      <c r="R764" s="170"/>
      <c r="S764" s="153"/>
      <c r="T764" s="171"/>
      <c r="U764" s="156" t="str">
        <f t="shared" si="8"/>
        <v>#DIV/0!</v>
      </c>
      <c r="V764" s="172">
        <v>300.0</v>
      </c>
      <c r="W764" s="173"/>
    </row>
    <row r="765" ht="22.5" customHeight="1">
      <c r="A76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SUBSTITUTE(E765, """", """")"),"#REF!")</f>
        <v>#REF!</v>
      </c>
      <c r="B765" s="146"/>
      <c r="C765" s="146"/>
      <c r="D765" s="146"/>
      <c r="E765" s="44"/>
      <c r="F765" s="147"/>
      <c r="G765" s="146"/>
      <c r="H765" s="148"/>
      <c r="I765" s="148"/>
      <c r="J765" s="170"/>
      <c r="K765" s="170"/>
      <c r="L765" s="170"/>
      <c r="M765" s="170"/>
      <c r="N765" s="170"/>
      <c r="O765" s="170"/>
      <c r="P765" s="170"/>
      <c r="Q765" s="170"/>
      <c r="R765" s="170"/>
      <c r="S765" s="153"/>
      <c r="T765" s="171"/>
      <c r="U765" s="156" t="str">
        <f t="shared" si="8"/>
        <v>#DIV/0!</v>
      </c>
      <c r="V765" s="172">
        <v>300.0</v>
      </c>
      <c r="W765" s="173"/>
    </row>
    <row r="766" ht="22.5" customHeight="1">
      <c r="A7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SUBSTITUTE(E766, """", """")"),"#REF!")</f>
        <v>#REF!</v>
      </c>
      <c r="B766" s="146"/>
      <c r="C766" s="146"/>
      <c r="D766" s="146"/>
      <c r="E766" s="44"/>
      <c r="F766" s="147"/>
      <c r="G766" s="146"/>
      <c r="H766" s="148"/>
      <c r="I766" s="148"/>
      <c r="J766" s="170"/>
      <c r="K766" s="170"/>
      <c r="L766" s="170"/>
      <c r="M766" s="170"/>
      <c r="N766" s="170"/>
      <c r="O766" s="170"/>
      <c r="P766" s="170"/>
      <c r="Q766" s="170"/>
      <c r="R766" s="170"/>
      <c r="S766" s="153"/>
      <c r="T766" s="171"/>
      <c r="U766" s="156" t="str">
        <f t="shared" si="8"/>
        <v>#DIV/0!</v>
      </c>
      <c r="V766" s="172">
        <v>300.0</v>
      </c>
      <c r="W766" s="173"/>
    </row>
    <row r="767" ht="22.5" customHeight="1">
      <c r="A7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SUBSTITUTE(E767, """", """")"),"#REF!")</f>
        <v>#REF!</v>
      </c>
      <c r="B767" s="146"/>
      <c r="C767" s="146"/>
      <c r="D767" s="146"/>
      <c r="E767" s="44"/>
      <c r="F767" s="147"/>
      <c r="G767" s="146"/>
      <c r="H767" s="148"/>
      <c r="I767" s="148"/>
      <c r="J767" s="170"/>
      <c r="K767" s="170"/>
      <c r="L767" s="170"/>
      <c r="M767" s="170"/>
      <c r="N767" s="170"/>
      <c r="O767" s="170"/>
      <c r="P767" s="170"/>
      <c r="Q767" s="170"/>
      <c r="R767" s="170"/>
      <c r="S767" s="153"/>
      <c r="T767" s="171"/>
      <c r="U767" s="156" t="str">
        <f t="shared" si="8"/>
        <v>#DIV/0!</v>
      </c>
      <c r="V767" s="172">
        <v>300.0</v>
      </c>
      <c r="W767" s="173"/>
    </row>
    <row r="768" ht="22.5" customHeight="1">
      <c r="A76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SUBSTITUTE(E768, """", """")"),"#REF!")</f>
        <v>#REF!</v>
      </c>
      <c r="B768" s="146"/>
      <c r="C768" s="146"/>
      <c r="D768" s="146"/>
      <c r="E768" s="44"/>
      <c r="F768" s="147"/>
      <c r="G768" s="146"/>
      <c r="H768" s="148"/>
      <c r="I768" s="148"/>
      <c r="J768" s="170"/>
      <c r="K768" s="170"/>
      <c r="L768" s="170"/>
      <c r="M768" s="170"/>
      <c r="N768" s="170"/>
      <c r="O768" s="170"/>
      <c r="P768" s="170"/>
      <c r="Q768" s="170"/>
      <c r="R768" s="170"/>
      <c r="S768" s="153"/>
      <c r="T768" s="171"/>
      <c r="U768" s="156" t="str">
        <f t="shared" si="8"/>
        <v>#DIV/0!</v>
      </c>
      <c r="V768" s="172">
        <v>300.0</v>
      </c>
      <c r="W768" s="173"/>
    </row>
    <row r="769" ht="22.5" customHeight="1">
      <c r="A76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SUBSTITUTE(E769, """", """")"),"#REF!")</f>
        <v>#REF!</v>
      </c>
      <c r="B769" s="146"/>
      <c r="C769" s="146"/>
      <c r="D769" s="146"/>
      <c r="E769" s="44"/>
      <c r="F769" s="147"/>
      <c r="G769" s="146"/>
      <c r="H769" s="148"/>
      <c r="I769" s="148"/>
      <c r="J769" s="170"/>
      <c r="K769" s="170"/>
      <c r="L769" s="170"/>
      <c r="M769" s="170"/>
      <c r="N769" s="170"/>
      <c r="O769" s="170"/>
      <c r="P769" s="170"/>
      <c r="Q769" s="170"/>
      <c r="R769" s="170"/>
      <c r="S769" s="153"/>
      <c r="T769" s="171"/>
      <c r="U769" s="156" t="str">
        <f t="shared" si="8"/>
        <v>#DIV/0!</v>
      </c>
      <c r="V769" s="172">
        <v>300.0</v>
      </c>
      <c r="W769" s="173"/>
    </row>
    <row r="770" ht="22.5" customHeight="1">
      <c r="A77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SUBSTITUTE(E770, """", """")"),"#REF!")</f>
        <v>#REF!</v>
      </c>
      <c r="B770" s="146"/>
      <c r="C770" s="146"/>
      <c r="D770" s="146"/>
      <c r="E770" s="44"/>
      <c r="F770" s="147"/>
      <c r="G770" s="146"/>
      <c r="H770" s="148"/>
      <c r="I770" s="148"/>
      <c r="J770" s="170"/>
      <c r="K770" s="170"/>
      <c r="L770" s="170"/>
      <c r="M770" s="170"/>
      <c r="N770" s="170"/>
      <c r="O770" s="170"/>
      <c r="P770" s="170"/>
      <c r="Q770" s="170"/>
      <c r="R770" s="170"/>
      <c r="S770" s="153"/>
      <c r="T770" s="171"/>
      <c r="U770" s="156" t="str">
        <f t="shared" si="8"/>
        <v>#DIV/0!</v>
      </c>
      <c r="V770" s="172">
        <v>300.0</v>
      </c>
      <c r="W770" s="173"/>
    </row>
    <row r="771" ht="22.5" customHeight="1">
      <c r="A77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SUBSTITUTE(E771, """", """")"),"#REF!")</f>
        <v>#REF!</v>
      </c>
      <c r="B771" s="146"/>
      <c r="C771" s="146"/>
      <c r="D771" s="146"/>
      <c r="E771" s="44"/>
      <c r="F771" s="147"/>
      <c r="G771" s="146"/>
      <c r="H771" s="148"/>
      <c r="I771" s="148"/>
      <c r="J771" s="170"/>
      <c r="K771" s="170"/>
      <c r="L771" s="170"/>
      <c r="M771" s="170"/>
      <c r="N771" s="170"/>
      <c r="O771" s="170"/>
      <c r="P771" s="170"/>
      <c r="Q771" s="170"/>
      <c r="R771" s="170"/>
      <c r="S771" s="153"/>
      <c r="T771" s="171"/>
      <c r="U771" s="156" t="str">
        <f t="shared" si="8"/>
        <v>#DIV/0!</v>
      </c>
      <c r="V771" s="172">
        <v>300.0</v>
      </c>
      <c r="W771" s="173"/>
    </row>
    <row r="772" ht="22.5" customHeight="1">
      <c r="A77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SUBSTITUTE(E772, """", """")"),"#REF!")</f>
        <v>#REF!</v>
      </c>
      <c r="B772" s="146"/>
      <c r="C772" s="146"/>
      <c r="D772" s="146"/>
      <c r="E772" s="44"/>
      <c r="F772" s="147"/>
      <c r="G772" s="146"/>
      <c r="H772" s="148"/>
      <c r="I772" s="148"/>
      <c r="J772" s="170"/>
      <c r="K772" s="170"/>
      <c r="L772" s="170"/>
      <c r="M772" s="170"/>
      <c r="N772" s="170"/>
      <c r="O772" s="170"/>
      <c r="P772" s="170"/>
      <c r="Q772" s="170"/>
      <c r="R772" s="170"/>
      <c r="S772" s="153"/>
      <c r="T772" s="171"/>
      <c r="U772" s="156" t="str">
        <f t="shared" si="8"/>
        <v>#DIV/0!</v>
      </c>
      <c r="V772" s="172">
        <v>300.0</v>
      </c>
      <c r="W772" s="173"/>
    </row>
    <row r="773" ht="22.5" customHeight="1">
      <c r="A77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SUBSTITUTE(E773, """", """")"),"#REF!")</f>
        <v>#REF!</v>
      </c>
      <c r="B773" s="146"/>
      <c r="C773" s="146"/>
      <c r="D773" s="146"/>
      <c r="E773" s="44"/>
      <c r="F773" s="147"/>
      <c r="G773" s="146"/>
      <c r="H773" s="148"/>
      <c r="I773" s="148"/>
      <c r="J773" s="170"/>
      <c r="K773" s="170"/>
      <c r="L773" s="170"/>
      <c r="M773" s="170"/>
      <c r="N773" s="170"/>
      <c r="O773" s="170"/>
      <c r="P773" s="170"/>
      <c r="Q773" s="170"/>
      <c r="R773" s="170"/>
      <c r="S773" s="153"/>
      <c r="T773" s="171"/>
      <c r="U773" s="156" t="str">
        <f t="shared" si="8"/>
        <v>#DIV/0!</v>
      </c>
      <c r="V773" s="172">
        <v>300.0</v>
      </c>
      <c r="W773" s="173"/>
    </row>
    <row r="774" ht="22.5" customHeight="1">
      <c r="A77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SUBSTITUTE(E774, """", """")"),"#REF!")</f>
        <v>#REF!</v>
      </c>
      <c r="B774" s="146"/>
      <c r="C774" s="146"/>
      <c r="D774" s="146"/>
      <c r="E774" s="44"/>
      <c r="F774" s="147"/>
      <c r="G774" s="146"/>
      <c r="H774" s="148"/>
      <c r="I774" s="148"/>
      <c r="J774" s="170"/>
      <c r="K774" s="170"/>
      <c r="L774" s="170"/>
      <c r="M774" s="170"/>
      <c r="N774" s="170"/>
      <c r="O774" s="170"/>
      <c r="P774" s="170"/>
      <c r="Q774" s="170"/>
      <c r="R774" s="170"/>
      <c r="S774" s="153"/>
      <c r="T774" s="171"/>
      <c r="U774" s="156" t="str">
        <f t="shared" si="8"/>
        <v>#DIV/0!</v>
      </c>
      <c r="V774" s="172">
        <v>300.0</v>
      </c>
      <c r="W774" s="173"/>
    </row>
    <row r="775" ht="22.5" customHeight="1">
      <c r="A77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SUBSTITUTE(E775, """", """")"),"#REF!")</f>
        <v>#REF!</v>
      </c>
      <c r="B775" s="146"/>
      <c r="C775" s="146"/>
      <c r="D775" s="146"/>
      <c r="E775" s="44"/>
      <c r="F775" s="147"/>
      <c r="G775" s="146"/>
      <c r="H775" s="148"/>
      <c r="I775" s="148"/>
      <c r="J775" s="170"/>
      <c r="K775" s="170"/>
      <c r="L775" s="170"/>
      <c r="M775" s="170"/>
      <c r="N775" s="170"/>
      <c r="O775" s="170"/>
      <c r="P775" s="170"/>
      <c r="Q775" s="170"/>
      <c r="R775" s="170"/>
      <c r="S775" s="153"/>
      <c r="T775" s="171"/>
      <c r="U775" s="156" t="str">
        <f t="shared" si="8"/>
        <v>#DIV/0!</v>
      </c>
      <c r="V775" s="172">
        <v>300.0</v>
      </c>
      <c r="W775" s="173"/>
    </row>
    <row r="776" ht="22.5" customHeight="1">
      <c r="A77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SUBSTITUTE(E776, """", """")"),"#REF!")</f>
        <v>#REF!</v>
      </c>
      <c r="B776" s="146"/>
      <c r="C776" s="146"/>
      <c r="D776" s="146"/>
      <c r="E776" s="44"/>
      <c r="F776" s="147"/>
      <c r="G776" s="146"/>
      <c r="H776" s="148"/>
      <c r="I776" s="148"/>
      <c r="J776" s="170"/>
      <c r="K776" s="170"/>
      <c r="L776" s="170"/>
      <c r="M776" s="170"/>
      <c r="N776" s="170"/>
      <c r="O776" s="170"/>
      <c r="P776" s="170"/>
      <c r="Q776" s="170"/>
      <c r="R776" s="170"/>
      <c r="S776" s="153"/>
      <c r="T776" s="171"/>
      <c r="U776" s="156" t="str">
        <f t="shared" si="8"/>
        <v>#DIV/0!</v>
      </c>
      <c r="V776" s="172">
        <v>300.0</v>
      </c>
      <c r="W776" s="173"/>
    </row>
    <row r="777" ht="22.5" customHeight="1">
      <c r="A77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SUBSTITUTE(E777, """", """")"),"#REF!")</f>
        <v>#REF!</v>
      </c>
      <c r="B777" s="146"/>
      <c r="C777" s="146"/>
      <c r="D777" s="146"/>
      <c r="E777" s="44"/>
      <c r="F777" s="147"/>
      <c r="G777" s="146"/>
      <c r="H777" s="148"/>
      <c r="I777" s="148"/>
      <c r="J777" s="170"/>
      <c r="K777" s="170"/>
      <c r="L777" s="170"/>
      <c r="M777" s="170"/>
      <c r="N777" s="170"/>
      <c r="O777" s="170"/>
      <c r="P777" s="170"/>
      <c r="Q777" s="170"/>
      <c r="R777" s="170"/>
      <c r="S777" s="153"/>
      <c r="T777" s="171"/>
      <c r="U777" s="156" t="str">
        <f t="shared" si="8"/>
        <v>#DIV/0!</v>
      </c>
      <c r="V777" s="172">
        <v>300.0</v>
      </c>
      <c r="W777" s="173"/>
    </row>
    <row r="778" ht="22.5" customHeight="1">
      <c r="A77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SUBSTITUTE(E778, """", """")"),"#REF!")</f>
        <v>#REF!</v>
      </c>
      <c r="B778" s="146"/>
      <c r="C778" s="146"/>
      <c r="D778" s="146"/>
      <c r="E778" s="44"/>
      <c r="F778" s="147"/>
      <c r="G778" s="146"/>
      <c r="H778" s="148"/>
      <c r="I778" s="148"/>
      <c r="J778" s="170"/>
      <c r="K778" s="170"/>
      <c r="L778" s="170"/>
      <c r="M778" s="170"/>
      <c r="N778" s="170"/>
      <c r="O778" s="170"/>
      <c r="P778" s="170"/>
      <c r="Q778" s="170"/>
      <c r="R778" s="170"/>
      <c r="S778" s="153"/>
      <c r="T778" s="171"/>
      <c r="U778" s="156" t="str">
        <f t="shared" si="8"/>
        <v>#DIV/0!</v>
      </c>
      <c r="V778" s="172">
        <v>300.0</v>
      </c>
      <c r="W778" s="173"/>
    </row>
    <row r="779" ht="22.5" customHeight="1">
      <c r="A7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SUBSTITUTE(E779, """", """")"),"#REF!")</f>
        <v>#REF!</v>
      </c>
      <c r="B779" s="146"/>
      <c r="C779" s="146"/>
      <c r="D779" s="146"/>
      <c r="E779" s="44"/>
      <c r="F779" s="147"/>
      <c r="G779" s="146"/>
      <c r="H779" s="148"/>
      <c r="I779" s="148"/>
      <c r="J779" s="170"/>
      <c r="K779" s="170"/>
      <c r="L779" s="170"/>
      <c r="M779" s="170"/>
      <c r="N779" s="170"/>
      <c r="O779" s="170"/>
      <c r="P779" s="170"/>
      <c r="Q779" s="170"/>
      <c r="R779" s="170"/>
      <c r="S779" s="153"/>
      <c r="T779" s="171"/>
      <c r="U779" s="156" t="str">
        <f t="shared" si="8"/>
        <v>#DIV/0!</v>
      </c>
      <c r="V779" s="172">
        <v>300.0</v>
      </c>
      <c r="W779" s="173"/>
    </row>
    <row r="780" ht="22.5" customHeight="1">
      <c r="A7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SUBSTITUTE(E780, """", """")"),"#REF!")</f>
        <v>#REF!</v>
      </c>
      <c r="B780" s="146"/>
      <c r="C780" s="146"/>
      <c r="D780" s="146"/>
      <c r="E780" s="44"/>
      <c r="F780" s="147"/>
      <c r="G780" s="146"/>
      <c r="H780" s="148"/>
      <c r="I780" s="148"/>
      <c r="J780" s="170"/>
      <c r="K780" s="170"/>
      <c r="L780" s="170"/>
      <c r="M780" s="170"/>
      <c r="N780" s="170"/>
      <c r="O780" s="170"/>
      <c r="P780" s="170"/>
      <c r="Q780" s="170"/>
      <c r="R780" s="170"/>
      <c r="S780" s="153"/>
      <c r="T780" s="171"/>
      <c r="U780" s="156" t="str">
        <f t="shared" si="8"/>
        <v>#DIV/0!</v>
      </c>
      <c r="V780" s="172">
        <v>300.0</v>
      </c>
      <c r="W780" s="173"/>
    </row>
    <row r="781" ht="22.5" customHeight="1">
      <c r="A7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SUBSTITUTE(E781, """", """")"),"#REF!")</f>
        <v>#REF!</v>
      </c>
      <c r="B781" s="146"/>
      <c r="C781" s="146"/>
      <c r="D781" s="146"/>
      <c r="E781" s="44"/>
      <c r="F781" s="147"/>
      <c r="G781" s="146"/>
      <c r="H781" s="148"/>
      <c r="I781" s="148"/>
      <c r="J781" s="170"/>
      <c r="K781" s="170"/>
      <c r="L781" s="170"/>
      <c r="M781" s="170"/>
      <c r="N781" s="170"/>
      <c r="O781" s="170"/>
      <c r="P781" s="170"/>
      <c r="Q781" s="170"/>
      <c r="R781" s="170"/>
      <c r="S781" s="153"/>
      <c r="T781" s="171"/>
      <c r="U781" s="156" t="str">
        <f t="shared" si="8"/>
        <v>#DIV/0!</v>
      </c>
      <c r="V781" s="172">
        <v>300.0</v>
      </c>
      <c r="W781" s="173"/>
    </row>
    <row r="782" ht="22.5" customHeight="1">
      <c r="A7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SUBSTITUTE(E782, """", """")"),"#REF!")</f>
        <v>#REF!</v>
      </c>
      <c r="B782" s="146"/>
      <c r="C782" s="146"/>
      <c r="D782" s="146"/>
      <c r="E782" s="44"/>
      <c r="F782" s="147"/>
      <c r="G782" s="146"/>
      <c r="H782" s="148"/>
      <c r="I782" s="148"/>
      <c r="J782" s="170"/>
      <c r="K782" s="170"/>
      <c r="L782" s="170"/>
      <c r="M782" s="170"/>
      <c r="N782" s="170"/>
      <c r="O782" s="170"/>
      <c r="P782" s="170"/>
      <c r="Q782" s="170"/>
      <c r="R782" s="170"/>
      <c r="S782" s="153"/>
      <c r="T782" s="171"/>
      <c r="U782" s="156" t="str">
        <f t="shared" si="8"/>
        <v>#DIV/0!</v>
      </c>
      <c r="V782" s="172">
        <v>300.0</v>
      </c>
      <c r="W782" s="173"/>
    </row>
    <row r="783" ht="22.5" customHeight="1">
      <c r="A78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SUBSTITUTE(E783, """", """")"),"#REF!")</f>
        <v>#REF!</v>
      </c>
      <c r="B783" s="146"/>
      <c r="C783" s="146"/>
      <c r="D783" s="146"/>
      <c r="E783" s="44"/>
      <c r="F783" s="147"/>
      <c r="G783" s="146"/>
      <c r="H783" s="148"/>
      <c r="I783" s="148"/>
      <c r="J783" s="170"/>
      <c r="K783" s="170"/>
      <c r="L783" s="170"/>
      <c r="M783" s="170"/>
      <c r="N783" s="170"/>
      <c r="O783" s="170"/>
      <c r="P783" s="170"/>
      <c r="Q783" s="170"/>
      <c r="R783" s="170"/>
      <c r="S783" s="153"/>
      <c r="T783" s="171"/>
      <c r="U783" s="156" t="str">
        <f t="shared" si="8"/>
        <v>#DIV/0!</v>
      </c>
      <c r="V783" s="172">
        <v>300.0</v>
      </c>
      <c r="W783" s="173"/>
    </row>
    <row r="784" ht="22.5" customHeight="1">
      <c r="A78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SUBSTITUTE(E784, """", """")"),"#REF!")</f>
        <v>#REF!</v>
      </c>
      <c r="B784" s="146"/>
      <c r="C784" s="146"/>
      <c r="D784" s="146"/>
      <c r="E784" s="44"/>
      <c r="F784" s="147"/>
      <c r="G784" s="146"/>
      <c r="H784" s="148"/>
      <c r="I784" s="148"/>
      <c r="J784" s="170"/>
      <c r="K784" s="170"/>
      <c r="L784" s="170"/>
      <c r="M784" s="170"/>
      <c r="N784" s="170"/>
      <c r="O784" s="170"/>
      <c r="P784" s="170"/>
      <c r="Q784" s="170"/>
      <c r="R784" s="170"/>
      <c r="S784" s="153"/>
      <c r="T784" s="171"/>
      <c r="U784" s="156" t="str">
        <f t="shared" si="8"/>
        <v>#DIV/0!</v>
      </c>
      <c r="V784" s="172">
        <v>300.0</v>
      </c>
      <c r="W784" s="173"/>
    </row>
    <row r="785" ht="22.5" customHeight="1">
      <c r="A7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SUBSTITUTE(E785, """", """")"),"#REF!")</f>
        <v>#REF!</v>
      </c>
      <c r="B785" s="146"/>
      <c r="C785" s="146"/>
      <c r="D785" s="146"/>
      <c r="E785" s="44"/>
      <c r="F785" s="147"/>
      <c r="G785" s="146"/>
      <c r="H785" s="148"/>
      <c r="I785" s="148"/>
      <c r="J785" s="170"/>
      <c r="K785" s="170"/>
      <c r="L785" s="170"/>
      <c r="M785" s="170"/>
      <c r="N785" s="170"/>
      <c r="O785" s="170"/>
      <c r="P785" s="170"/>
      <c r="Q785" s="170"/>
      <c r="R785" s="170"/>
      <c r="S785" s="153"/>
      <c r="T785" s="171"/>
      <c r="U785" s="156" t="str">
        <f t="shared" si="8"/>
        <v>#DIV/0!</v>
      </c>
      <c r="V785" s="172">
        <v>300.0</v>
      </c>
      <c r="W785" s="173"/>
    </row>
    <row r="786" ht="22.5" customHeight="1">
      <c r="A7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SUBSTITUTE(E786, """", """")"),"#REF!")</f>
        <v>#REF!</v>
      </c>
      <c r="B786" s="146"/>
      <c r="C786" s="146"/>
      <c r="D786" s="146"/>
      <c r="E786" s="44"/>
      <c r="F786" s="147"/>
      <c r="G786" s="146"/>
      <c r="H786" s="148"/>
      <c r="I786" s="148"/>
      <c r="J786" s="170"/>
      <c r="K786" s="170"/>
      <c r="L786" s="170"/>
      <c r="M786" s="170"/>
      <c r="N786" s="170"/>
      <c r="O786" s="170"/>
      <c r="P786" s="170"/>
      <c r="Q786" s="170"/>
      <c r="R786" s="170"/>
      <c r="S786" s="153"/>
      <c r="T786" s="171"/>
      <c r="U786" s="156" t="str">
        <f t="shared" si="8"/>
        <v>#DIV/0!</v>
      </c>
      <c r="V786" s="172">
        <v>300.0</v>
      </c>
      <c r="W786" s="173"/>
    </row>
    <row r="787" ht="22.5" customHeight="1">
      <c r="A7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SUBSTITUTE(E787, """", """")"),"#REF!")</f>
        <v>#REF!</v>
      </c>
      <c r="B787" s="146"/>
      <c r="C787" s="146"/>
      <c r="D787" s="146"/>
      <c r="E787" s="44"/>
      <c r="F787" s="147"/>
      <c r="G787" s="146"/>
      <c r="H787" s="148"/>
      <c r="I787" s="148"/>
      <c r="J787" s="170"/>
      <c r="K787" s="170"/>
      <c r="L787" s="170"/>
      <c r="M787" s="170"/>
      <c r="N787" s="170"/>
      <c r="O787" s="170"/>
      <c r="P787" s="170"/>
      <c r="Q787" s="170"/>
      <c r="R787" s="170"/>
      <c r="S787" s="153"/>
      <c r="T787" s="171"/>
      <c r="U787" s="156" t="str">
        <f t="shared" si="8"/>
        <v>#DIV/0!</v>
      </c>
      <c r="V787" s="172">
        <v>300.0</v>
      </c>
      <c r="W787" s="173"/>
    </row>
    <row r="788" ht="22.5" customHeight="1">
      <c r="A7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SUBSTITUTE(E788, """", """")"),"#REF!")</f>
        <v>#REF!</v>
      </c>
      <c r="B788" s="146"/>
      <c r="C788" s="146"/>
      <c r="D788" s="146"/>
      <c r="E788" s="44"/>
      <c r="F788" s="147"/>
      <c r="G788" s="146"/>
      <c r="H788" s="148"/>
      <c r="I788" s="148"/>
      <c r="J788" s="170"/>
      <c r="K788" s="170"/>
      <c r="L788" s="170"/>
      <c r="M788" s="170"/>
      <c r="N788" s="170"/>
      <c r="O788" s="170"/>
      <c r="P788" s="170"/>
      <c r="Q788" s="170"/>
      <c r="R788" s="170"/>
      <c r="S788" s="153"/>
      <c r="T788" s="171"/>
      <c r="U788" s="156" t="str">
        <f t="shared" si="8"/>
        <v>#DIV/0!</v>
      </c>
      <c r="V788" s="172">
        <v>300.0</v>
      </c>
      <c r="W788" s="173"/>
    </row>
    <row r="789" ht="22.5" customHeight="1">
      <c r="A7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SUBSTITUTE(E789, """", """")"),"#REF!")</f>
        <v>#REF!</v>
      </c>
      <c r="B789" s="146"/>
      <c r="C789" s="146"/>
      <c r="D789" s="146"/>
      <c r="E789" s="44"/>
      <c r="F789" s="147"/>
      <c r="G789" s="146"/>
      <c r="H789" s="148"/>
      <c r="I789" s="148"/>
      <c r="J789" s="170"/>
      <c r="K789" s="170"/>
      <c r="L789" s="170"/>
      <c r="M789" s="170"/>
      <c r="N789" s="170"/>
      <c r="O789" s="170"/>
      <c r="P789" s="170"/>
      <c r="Q789" s="170"/>
      <c r="R789" s="170"/>
      <c r="S789" s="153"/>
      <c r="T789" s="171"/>
      <c r="U789" s="156" t="str">
        <f t="shared" si="8"/>
        <v>#DIV/0!</v>
      </c>
      <c r="V789" s="172">
        <v>300.0</v>
      </c>
      <c r="W789" s="173"/>
    </row>
    <row r="790" ht="22.5" customHeight="1">
      <c r="A7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SUBSTITUTE(E790, """", """")"),"#REF!")</f>
        <v>#REF!</v>
      </c>
      <c r="B790" s="146"/>
      <c r="C790" s="146"/>
      <c r="D790" s="146"/>
      <c r="E790" s="44"/>
      <c r="F790" s="147"/>
      <c r="G790" s="146"/>
      <c r="H790" s="148"/>
      <c r="I790" s="148"/>
      <c r="J790" s="170"/>
      <c r="K790" s="170"/>
      <c r="L790" s="170"/>
      <c r="M790" s="170"/>
      <c r="N790" s="170"/>
      <c r="O790" s="170"/>
      <c r="P790" s="170"/>
      <c r="Q790" s="170"/>
      <c r="R790" s="170"/>
      <c r="S790" s="153"/>
      <c r="T790" s="171"/>
      <c r="U790" s="156" t="str">
        <f t="shared" si="8"/>
        <v>#DIV/0!</v>
      </c>
      <c r="V790" s="172">
        <v>300.0</v>
      </c>
      <c r="W790" s="173"/>
    </row>
    <row r="791" ht="22.5" customHeight="1">
      <c r="A7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SUBSTITUTE(E791, """", """")"),"#REF!")</f>
        <v>#REF!</v>
      </c>
      <c r="B791" s="146"/>
      <c r="C791" s="146"/>
      <c r="D791" s="146"/>
      <c r="E791" s="44"/>
      <c r="F791" s="147"/>
      <c r="G791" s="146"/>
      <c r="H791" s="148"/>
      <c r="I791" s="148"/>
      <c r="J791" s="170"/>
      <c r="K791" s="170"/>
      <c r="L791" s="170"/>
      <c r="M791" s="170"/>
      <c r="N791" s="170"/>
      <c r="O791" s="170"/>
      <c r="P791" s="170"/>
      <c r="Q791" s="170"/>
      <c r="R791" s="170"/>
      <c r="S791" s="153"/>
      <c r="T791" s="171"/>
      <c r="U791" s="156" t="str">
        <f t="shared" si="8"/>
        <v>#DIV/0!</v>
      </c>
      <c r="V791" s="172">
        <v>300.0</v>
      </c>
      <c r="W791" s="173"/>
    </row>
    <row r="792" ht="22.5" customHeight="1">
      <c r="A7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SUBSTITUTE(E792, """", """")"),"#REF!")</f>
        <v>#REF!</v>
      </c>
      <c r="B792" s="146"/>
      <c r="C792" s="146"/>
      <c r="D792" s="146"/>
      <c r="E792" s="44"/>
      <c r="F792" s="147"/>
      <c r="G792" s="146"/>
      <c r="H792" s="148"/>
      <c r="I792" s="148"/>
      <c r="J792" s="170"/>
      <c r="K792" s="170"/>
      <c r="L792" s="170"/>
      <c r="M792" s="170"/>
      <c r="N792" s="170"/>
      <c r="O792" s="170"/>
      <c r="P792" s="170"/>
      <c r="Q792" s="170"/>
      <c r="R792" s="170"/>
      <c r="S792" s="153"/>
      <c r="T792" s="171"/>
      <c r="U792" s="156" t="str">
        <f t="shared" si="8"/>
        <v>#DIV/0!</v>
      </c>
      <c r="V792" s="172">
        <v>300.0</v>
      </c>
      <c r="W792" s="173"/>
    </row>
    <row r="793" ht="22.5" customHeight="1">
      <c r="A7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SUBSTITUTE(E793, """", """")"),"#REF!")</f>
        <v>#REF!</v>
      </c>
      <c r="B793" s="146"/>
      <c r="C793" s="146"/>
      <c r="D793" s="146"/>
      <c r="E793" s="44"/>
      <c r="F793" s="147"/>
      <c r="G793" s="146"/>
      <c r="H793" s="148"/>
      <c r="I793" s="148"/>
      <c r="J793" s="170"/>
      <c r="K793" s="170"/>
      <c r="L793" s="170"/>
      <c r="M793" s="170"/>
      <c r="N793" s="170"/>
      <c r="O793" s="170"/>
      <c r="P793" s="170"/>
      <c r="Q793" s="170"/>
      <c r="R793" s="170"/>
      <c r="S793" s="153"/>
      <c r="T793" s="171"/>
      <c r="U793" s="156" t="str">
        <f t="shared" si="8"/>
        <v>#DIV/0!</v>
      </c>
      <c r="V793" s="172">
        <v>300.0</v>
      </c>
      <c r="W793" s="173"/>
    </row>
    <row r="794" ht="22.5" customHeight="1">
      <c r="A7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SUBSTITUTE(E794, """", """")"),"#REF!")</f>
        <v>#REF!</v>
      </c>
      <c r="B794" s="146"/>
      <c r="C794" s="146"/>
      <c r="D794" s="146"/>
      <c r="E794" s="44"/>
      <c r="F794" s="147"/>
      <c r="G794" s="146"/>
      <c r="H794" s="148"/>
      <c r="I794" s="148"/>
      <c r="J794" s="170"/>
      <c r="K794" s="170"/>
      <c r="L794" s="170"/>
      <c r="M794" s="170"/>
      <c r="N794" s="170"/>
      <c r="O794" s="170"/>
      <c r="P794" s="170"/>
      <c r="Q794" s="170"/>
      <c r="R794" s="170"/>
      <c r="S794" s="153"/>
      <c r="T794" s="171"/>
      <c r="U794" s="156" t="str">
        <f t="shared" si="8"/>
        <v>#DIV/0!</v>
      </c>
      <c r="V794" s="172">
        <v>300.0</v>
      </c>
      <c r="W794" s="173"/>
    </row>
    <row r="795" ht="22.5" customHeight="1">
      <c r="A7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SUBSTITUTE(E795, """", """")"),"#REF!")</f>
        <v>#REF!</v>
      </c>
      <c r="B795" s="146"/>
      <c r="C795" s="146"/>
      <c r="D795" s="146"/>
      <c r="E795" s="44"/>
      <c r="F795" s="147"/>
      <c r="G795" s="146"/>
      <c r="H795" s="148"/>
      <c r="I795" s="148"/>
      <c r="J795" s="170"/>
      <c r="K795" s="170"/>
      <c r="L795" s="170"/>
      <c r="M795" s="170"/>
      <c r="N795" s="170"/>
      <c r="O795" s="170"/>
      <c r="P795" s="170"/>
      <c r="Q795" s="170"/>
      <c r="R795" s="170"/>
      <c r="S795" s="153"/>
      <c r="T795" s="171"/>
      <c r="U795" s="156" t="str">
        <f t="shared" si="8"/>
        <v>#DIV/0!</v>
      </c>
      <c r="V795" s="172">
        <v>300.0</v>
      </c>
      <c r="W795" s="173"/>
    </row>
    <row r="796" ht="22.5" customHeight="1">
      <c r="A7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SUBSTITUTE(E796, """", """")"),"#REF!")</f>
        <v>#REF!</v>
      </c>
      <c r="B796" s="146"/>
      <c r="C796" s="146"/>
      <c r="D796" s="146"/>
      <c r="E796" s="44"/>
      <c r="F796" s="147"/>
      <c r="G796" s="146"/>
      <c r="H796" s="148"/>
      <c r="I796" s="148"/>
      <c r="J796" s="170"/>
      <c r="K796" s="170"/>
      <c r="L796" s="170"/>
      <c r="M796" s="170"/>
      <c r="N796" s="170"/>
      <c r="O796" s="170"/>
      <c r="P796" s="170"/>
      <c r="Q796" s="170"/>
      <c r="R796" s="170"/>
      <c r="S796" s="153"/>
      <c r="T796" s="171"/>
      <c r="U796" s="156" t="str">
        <f t="shared" si="8"/>
        <v>#DIV/0!</v>
      </c>
      <c r="V796" s="172">
        <v>300.0</v>
      </c>
      <c r="W796" s="173"/>
    </row>
    <row r="797" ht="22.5" customHeight="1">
      <c r="A7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SUBSTITUTE(E797, """", """")"),"#REF!")</f>
        <v>#REF!</v>
      </c>
      <c r="B797" s="146"/>
      <c r="C797" s="146"/>
      <c r="D797" s="146"/>
      <c r="E797" s="44"/>
      <c r="F797" s="147"/>
      <c r="G797" s="146"/>
      <c r="H797" s="148"/>
      <c r="I797" s="148"/>
      <c r="J797" s="170"/>
      <c r="K797" s="170"/>
      <c r="L797" s="170"/>
      <c r="M797" s="170"/>
      <c r="N797" s="170"/>
      <c r="O797" s="170"/>
      <c r="P797" s="170"/>
      <c r="Q797" s="170"/>
      <c r="R797" s="170"/>
      <c r="S797" s="153"/>
      <c r="T797" s="171"/>
      <c r="U797" s="156" t="str">
        <f t="shared" si="8"/>
        <v>#DIV/0!</v>
      </c>
      <c r="V797" s="172">
        <v>300.0</v>
      </c>
      <c r="W797" s="173"/>
    </row>
    <row r="798" ht="22.5" customHeight="1">
      <c r="A7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SUBSTITUTE(E798, """", """")"),"#REF!")</f>
        <v>#REF!</v>
      </c>
      <c r="B798" s="146"/>
      <c r="C798" s="146"/>
      <c r="D798" s="146"/>
      <c r="E798" s="44"/>
      <c r="F798" s="147"/>
      <c r="G798" s="146"/>
      <c r="H798" s="148"/>
      <c r="I798" s="148"/>
      <c r="J798" s="170"/>
      <c r="K798" s="170"/>
      <c r="L798" s="170"/>
      <c r="M798" s="170"/>
      <c r="N798" s="170"/>
      <c r="O798" s="170"/>
      <c r="P798" s="170"/>
      <c r="Q798" s="170"/>
      <c r="R798" s="170"/>
      <c r="S798" s="153"/>
      <c r="T798" s="171"/>
      <c r="U798" s="156" t="str">
        <f t="shared" si="8"/>
        <v>#DIV/0!</v>
      </c>
      <c r="V798" s="172">
        <v>300.0</v>
      </c>
      <c r="W798" s="173"/>
    </row>
    <row r="799" ht="22.5" customHeight="1">
      <c r="A7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SUBSTITUTE(E799, """", """")"),"#REF!")</f>
        <v>#REF!</v>
      </c>
      <c r="B799" s="146"/>
      <c r="C799" s="146"/>
      <c r="D799" s="146"/>
      <c r="E799" s="44"/>
      <c r="F799" s="147"/>
      <c r="G799" s="146"/>
      <c r="H799" s="148"/>
      <c r="I799" s="148"/>
      <c r="J799" s="170"/>
      <c r="K799" s="170"/>
      <c r="L799" s="170"/>
      <c r="M799" s="170"/>
      <c r="N799" s="170"/>
      <c r="O799" s="170"/>
      <c r="P799" s="170"/>
      <c r="Q799" s="170"/>
      <c r="R799" s="170"/>
      <c r="S799" s="153"/>
      <c r="T799" s="171"/>
      <c r="U799" s="156" t="str">
        <f t="shared" si="8"/>
        <v>#DIV/0!</v>
      </c>
      <c r="V799" s="172">
        <v>300.0</v>
      </c>
      <c r="W799" s="173"/>
    </row>
    <row r="800" ht="22.5" customHeight="1">
      <c r="A8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SUBSTITUTE(E800, """", """")"),"#REF!")</f>
        <v>#REF!</v>
      </c>
      <c r="B800" s="146"/>
      <c r="C800" s="146"/>
      <c r="D800" s="146"/>
      <c r="E800" s="44"/>
      <c r="F800" s="147"/>
      <c r="G800" s="146"/>
      <c r="H800" s="148"/>
      <c r="I800" s="148"/>
      <c r="J800" s="170"/>
      <c r="K800" s="170"/>
      <c r="L800" s="170"/>
      <c r="M800" s="170"/>
      <c r="N800" s="170"/>
      <c r="O800" s="170"/>
      <c r="P800" s="170"/>
      <c r="Q800" s="170"/>
      <c r="R800" s="170"/>
      <c r="S800" s="153"/>
      <c r="T800" s="171"/>
      <c r="U800" s="156" t="str">
        <f t="shared" si="8"/>
        <v>#DIV/0!</v>
      </c>
      <c r="V800" s="172">
        <v>300.0</v>
      </c>
      <c r="W800" s="173"/>
    </row>
    <row r="801" ht="22.5" customHeight="1">
      <c r="A8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SUBSTITUTE(E801, """", """")"),"#REF!")</f>
        <v>#REF!</v>
      </c>
      <c r="B801" s="146"/>
      <c r="C801" s="146"/>
      <c r="D801" s="146"/>
      <c r="E801" s="44"/>
      <c r="F801" s="147"/>
      <c r="G801" s="146"/>
      <c r="H801" s="148"/>
      <c r="I801" s="148"/>
      <c r="J801" s="170"/>
      <c r="K801" s="170"/>
      <c r="L801" s="170"/>
      <c r="M801" s="170"/>
      <c r="N801" s="170"/>
      <c r="O801" s="170"/>
      <c r="P801" s="170"/>
      <c r="Q801" s="170"/>
      <c r="R801" s="170"/>
      <c r="S801" s="153"/>
      <c r="T801" s="171"/>
      <c r="U801" s="156" t="str">
        <f t="shared" si="8"/>
        <v>#DIV/0!</v>
      </c>
      <c r="V801" s="172">
        <v>300.0</v>
      </c>
      <c r="W801" s="173"/>
    </row>
    <row r="802" ht="22.5" customHeight="1">
      <c r="A8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SUBSTITUTE(E802, """", """")"),"#REF!")</f>
        <v>#REF!</v>
      </c>
      <c r="B802" s="146"/>
      <c r="C802" s="146"/>
      <c r="D802" s="146"/>
      <c r="E802" s="44"/>
      <c r="F802" s="147"/>
      <c r="G802" s="146"/>
      <c r="H802" s="148"/>
      <c r="I802" s="148"/>
      <c r="J802" s="170"/>
      <c r="K802" s="170"/>
      <c r="L802" s="170"/>
      <c r="M802" s="170"/>
      <c r="N802" s="170"/>
      <c r="O802" s="170"/>
      <c r="P802" s="170"/>
      <c r="Q802" s="170"/>
      <c r="R802" s="170"/>
      <c r="S802" s="153"/>
      <c r="T802" s="171"/>
      <c r="U802" s="156" t="str">
        <f t="shared" si="8"/>
        <v>#DIV/0!</v>
      </c>
      <c r="V802" s="172">
        <v>300.0</v>
      </c>
      <c r="W802" s="173"/>
    </row>
    <row r="803" ht="22.5" customHeight="1">
      <c r="A8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SUBSTITUTE(E803, """", """")"),"#REF!")</f>
        <v>#REF!</v>
      </c>
      <c r="B803" s="146"/>
      <c r="C803" s="146"/>
      <c r="D803" s="146"/>
      <c r="E803" s="44"/>
      <c r="F803" s="147"/>
      <c r="G803" s="146"/>
      <c r="H803" s="148"/>
      <c r="I803" s="148"/>
      <c r="J803" s="170"/>
      <c r="K803" s="170"/>
      <c r="L803" s="170"/>
      <c r="M803" s="170"/>
      <c r="N803" s="170"/>
      <c r="O803" s="170"/>
      <c r="P803" s="170"/>
      <c r="Q803" s="170"/>
      <c r="R803" s="170"/>
      <c r="S803" s="153"/>
      <c r="T803" s="171"/>
      <c r="U803" s="156" t="str">
        <f t="shared" si="8"/>
        <v>#DIV/0!</v>
      </c>
      <c r="V803" s="172">
        <v>300.0</v>
      </c>
      <c r="W803" s="173"/>
    </row>
    <row r="804" ht="22.5" customHeight="1">
      <c r="A8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SUBSTITUTE(E804, """", """")"),"#REF!")</f>
        <v>#REF!</v>
      </c>
      <c r="B804" s="146"/>
      <c r="C804" s="146"/>
      <c r="D804" s="146"/>
      <c r="E804" s="44"/>
      <c r="F804" s="147"/>
      <c r="G804" s="146"/>
      <c r="H804" s="148"/>
      <c r="I804" s="148"/>
      <c r="J804" s="170"/>
      <c r="K804" s="170"/>
      <c r="L804" s="170"/>
      <c r="M804" s="170"/>
      <c r="N804" s="170"/>
      <c r="O804" s="170"/>
      <c r="P804" s="170"/>
      <c r="Q804" s="170"/>
      <c r="R804" s="170"/>
      <c r="S804" s="153"/>
      <c r="T804" s="171"/>
      <c r="U804" s="156" t="str">
        <f t="shared" si="8"/>
        <v>#DIV/0!</v>
      </c>
      <c r="V804" s="172">
        <v>300.0</v>
      </c>
      <c r="W804" s="173"/>
    </row>
    <row r="805" ht="22.5" customHeight="1">
      <c r="A8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SUBSTITUTE(E805, """", """")"),"#REF!")</f>
        <v>#REF!</v>
      </c>
      <c r="B805" s="146"/>
      <c r="C805" s="146"/>
      <c r="D805" s="146"/>
      <c r="E805" s="44"/>
      <c r="F805" s="147"/>
      <c r="G805" s="146"/>
      <c r="H805" s="148"/>
      <c r="I805" s="148"/>
      <c r="J805" s="170"/>
      <c r="K805" s="170"/>
      <c r="L805" s="170"/>
      <c r="M805" s="170"/>
      <c r="N805" s="170"/>
      <c r="O805" s="170"/>
      <c r="P805" s="170"/>
      <c r="Q805" s="170"/>
      <c r="R805" s="170"/>
      <c r="S805" s="153"/>
      <c r="T805" s="171"/>
      <c r="U805" s="156" t="str">
        <f t="shared" si="8"/>
        <v>#DIV/0!</v>
      </c>
      <c r="V805" s="172">
        <v>300.0</v>
      </c>
      <c r="W805" s="173"/>
    </row>
    <row r="806" ht="22.5" customHeight="1">
      <c r="A8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SUBSTITUTE(E806, """", """")"),"#REF!")</f>
        <v>#REF!</v>
      </c>
      <c r="B806" s="146"/>
      <c r="C806" s="146"/>
      <c r="D806" s="146"/>
      <c r="E806" s="44"/>
      <c r="F806" s="147"/>
      <c r="G806" s="146"/>
      <c r="H806" s="148"/>
      <c r="I806" s="148"/>
      <c r="J806" s="170"/>
      <c r="K806" s="170"/>
      <c r="L806" s="170"/>
      <c r="M806" s="170"/>
      <c r="N806" s="170"/>
      <c r="O806" s="170"/>
      <c r="P806" s="170"/>
      <c r="Q806" s="170"/>
      <c r="R806" s="170"/>
      <c r="S806" s="153"/>
      <c r="T806" s="171"/>
      <c r="U806" s="156" t="str">
        <f t="shared" si="8"/>
        <v>#DIV/0!</v>
      </c>
      <c r="V806" s="172">
        <v>300.0</v>
      </c>
      <c r="W806" s="173"/>
    </row>
    <row r="807" ht="22.5" customHeight="1">
      <c r="A8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SUBSTITUTE(E807, """", """")"),"#REF!")</f>
        <v>#REF!</v>
      </c>
      <c r="B807" s="146"/>
      <c r="C807" s="146"/>
      <c r="D807" s="146"/>
      <c r="E807" s="44"/>
      <c r="F807" s="147"/>
      <c r="G807" s="146"/>
      <c r="H807" s="148"/>
      <c r="I807" s="148"/>
      <c r="J807" s="170"/>
      <c r="K807" s="170"/>
      <c r="L807" s="170"/>
      <c r="M807" s="170"/>
      <c r="N807" s="170"/>
      <c r="O807" s="170"/>
      <c r="P807" s="170"/>
      <c r="Q807" s="170"/>
      <c r="R807" s="170"/>
      <c r="S807" s="153"/>
      <c r="T807" s="171"/>
      <c r="U807" s="156" t="str">
        <f t="shared" si="8"/>
        <v>#DIV/0!</v>
      </c>
      <c r="V807" s="172">
        <v>300.0</v>
      </c>
      <c r="W807" s="173"/>
    </row>
    <row r="808" ht="22.5" customHeight="1">
      <c r="A8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SUBSTITUTE(E808, """", """")"),"#REF!")</f>
        <v>#REF!</v>
      </c>
      <c r="B808" s="146"/>
      <c r="C808" s="146"/>
      <c r="D808" s="146"/>
      <c r="E808" s="44"/>
      <c r="F808" s="147"/>
      <c r="G808" s="146"/>
      <c r="H808" s="148"/>
      <c r="I808" s="148"/>
      <c r="J808" s="170"/>
      <c r="K808" s="170"/>
      <c r="L808" s="170"/>
      <c r="M808" s="170"/>
      <c r="N808" s="170"/>
      <c r="O808" s="170"/>
      <c r="P808" s="170"/>
      <c r="Q808" s="170"/>
      <c r="R808" s="170"/>
      <c r="S808" s="153"/>
      <c r="T808" s="171"/>
      <c r="U808" s="156" t="str">
        <f t="shared" si="8"/>
        <v>#DIV/0!</v>
      </c>
      <c r="V808" s="172">
        <v>300.0</v>
      </c>
      <c r="W808" s="173"/>
    </row>
    <row r="809" ht="22.5" customHeight="1">
      <c r="A8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SUBSTITUTE(E809, """", """")"),"#REF!")</f>
        <v>#REF!</v>
      </c>
      <c r="B809" s="146"/>
      <c r="C809" s="146"/>
      <c r="D809" s="146"/>
      <c r="E809" s="44"/>
      <c r="F809" s="147"/>
      <c r="G809" s="146"/>
      <c r="H809" s="148"/>
      <c r="I809" s="148"/>
      <c r="J809" s="170"/>
      <c r="K809" s="170"/>
      <c r="L809" s="170"/>
      <c r="M809" s="170"/>
      <c r="N809" s="170"/>
      <c r="O809" s="170"/>
      <c r="P809" s="170"/>
      <c r="Q809" s="170"/>
      <c r="R809" s="170"/>
      <c r="S809" s="153"/>
      <c r="T809" s="171"/>
      <c r="U809" s="156" t="str">
        <f t="shared" si="8"/>
        <v>#DIV/0!</v>
      </c>
      <c r="V809" s="172">
        <v>300.0</v>
      </c>
      <c r="W809" s="173"/>
    </row>
    <row r="810" ht="22.5" customHeight="1">
      <c r="A8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SUBSTITUTE(E810, """", """")"),"#REF!")</f>
        <v>#REF!</v>
      </c>
      <c r="B810" s="146"/>
      <c r="C810" s="146"/>
      <c r="D810" s="146"/>
      <c r="E810" s="44"/>
      <c r="F810" s="147"/>
      <c r="G810" s="146"/>
      <c r="H810" s="148"/>
      <c r="I810" s="148"/>
      <c r="J810" s="170"/>
      <c r="K810" s="170"/>
      <c r="L810" s="170"/>
      <c r="M810" s="170"/>
      <c r="N810" s="170"/>
      <c r="O810" s="170"/>
      <c r="P810" s="170"/>
      <c r="Q810" s="170"/>
      <c r="R810" s="170"/>
      <c r="S810" s="153"/>
      <c r="T810" s="171"/>
      <c r="U810" s="156" t="str">
        <f t="shared" si="8"/>
        <v>#DIV/0!</v>
      </c>
      <c r="V810" s="172">
        <v>300.0</v>
      </c>
      <c r="W810" s="173"/>
    </row>
    <row r="811" ht="22.5" customHeight="1">
      <c r="A8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SUBSTITUTE(E811, """", """")"),"#REF!")</f>
        <v>#REF!</v>
      </c>
      <c r="B811" s="146"/>
      <c r="C811" s="146"/>
      <c r="D811" s="146"/>
      <c r="E811" s="44"/>
      <c r="F811" s="147"/>
      <c r="G811" s="146"/>
      <c r="H811" s="148"/>
      <c r="I811" s="148"/>
      <c r="J811" s="170"/>
      <c r="K811" s="170"/>
      <c r="L811" s="170"/>
      <c r="M811" s="170"/>
      <c r="N811" s="170"/>
      <c r="O811" s="170"/>
      <c r="P811" s="170"/>
      <c r="Q811" s="170"/>
      <c r="R811" s="170"/>
      <c r="S811" s="153"/>
      <c r="T811" s="171"/>
      <c r="U811" s="156" t="str">
        <f t="shared" si="8"/>
        <v>#DIV/0!</v>
      </c>
      <c r="V811" s="172">
        <v>300.0</v>
      </c>
      <c r="W811" s="173"/>
    </row>
    <row r="812" ht="22.5" customHeight="1">
      <c r="A8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SUBSTITUTE(E812, """", """")"),"#REF!")</f>
        <v>#REF!</v>
      </c>
      <c r="B812" s="146"/>
      <c r="C812" s="146"/>
      <c r="D812" s="146"/>
      <c r="E812" s="44"/>
      <c r="F812" s="147"/>
      <c r="G812" s="146"/>
      <c r="H812" s="148"/>
      <c r="I812" s="148"/>
      <c r="J812" s="170"/>
      <c r="K812" s="170"/>
      <c r="L812" s="170"/>
      <c r="M812" s="170"/>
      <c r="N812" s="170"/>
      <c r="O812" s="170"/>
      <c r="P812" s="170"/>
      <c r="Q812" s="170"/>
      <c r="R812" s="170"/>
      <c r="S812" s="153"/>
      <c r="T812" s="171"/>
      <c r="U812" s="156" t="str">
        <f t="shared" si="8"/>
        <v>#DIV/0!</v>
      </c>
      <c r="V812" s="172">
        <v>300.0</v>
      </c>
      <c r="W812" s="173"/>
    </row>
    <row r="813" ht="22.5" customHeight="1">
      <c r="A8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SUBSTITUTE(E813, """", """")"),"#REF!")</f>
        <v>#REF!</v>
      </c>
      <c r="B813" s="146"/>
      <c r="C813" s="146"/>
      <c r="D813" s="146"/>
      <c r="E813" s="44"/>
      <c r="F813" s="147"/>
      <c r="G813" s="146"/>
      <c r="H813" s="148"/>
      <c r="I813" s="148"/>
      <c r="J813" s="170"/>
      <c r="K813" s="170"/>
      <c r="L813" s="170"/>
      <c r="M813" s="170"/>
      <c r="N813" s="170"/>
      <c r="O813" s="170"/>
      <c r="P813" s="170"/>
      <c r="Q813" s="170"/>
      <c r="R813" s="170"/>
      <c r="S813" s="153"/>
      <c r="T813" s="171"/>
      <c r="U813" s="156" t="str">
        <f t="shared" si="8"/>
        <v>#DIV/0!</v>
      </c>
      <c r="V813" s="172">
        <v>300.0</v>
      </c>
      <c r="W813" s="173"/>
    </row>
    <row r="814" ht="22.5" customHeight="1">
      <c r="A8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SUBSTITUTE(E814, """", """")"),"#REF!")</f>
        <v>#REF!</v>
      </c>
      <c r="B814" s="146"/>
      <c r="C814" s="146"/>
      <c r="D814" s="146"/>
      <c r="E814" s="44"/>
      <c r="F814" s="147"/>
      <c r="G814" s="146"/>
      <c r="H814" s="148"/>
      <c r="I814" s="148"/>
      <c r="J814" s="170"/>
      <c r="K814" s="170"/>
      <c r="L814" s="170"/>
      <c r="M814" s="170"/>
      <c r="N814" s="170"/>
      <c r="O814" s="170"/>
      <c r="P814" s="170"/>
      <c r="Q814" s="170"/>
      <c r="R814" s="170"/>
      <c r="S814" s="153"/>
      <c r="T814" s="171"/>
      <c r="U814" s="156" t="str">
        <f t="shared" si="8"/>
        <v>#DIV/0!</v>
      </c>
      <c r="V814" s="172">
        <v>300.0</v>
      </c>
      <c r="W814" s="173"/>
    </row>
    <row r="815" ht="22.5" customHeight="1">
      <c r="A8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SUBSTITUTE(E815, """", """")"),"#REF!")</f>
        <v>#REF!</v>
      </c>
      <c r="B815" s="146"/>
      <c r="C815" s="146"/>
      <c r="D815" s="146"/>
      <c r="E815" s="44"/>
      <c r="F815" s="147"/>
      <c r="G815" s="146"/>
      <c r="H815" s="148"/>
      <c r="I815" s="148"/>
      <c r="J815" s="170"/>
      <c r="K815" s="170"/>
      <c r="L815" s="170"/>
      <c r="M815" s="170"/>
      <c r="N815" s="170"/>
      <c r="O815" s="170"/>
      <c r="P815" s="170"/>
      <c r="Q815" s="170"/>
      <c r="R815" s="170"/>
      <c r="S815" s="153"/>
      <c r="T815" s="171"/>
      <c r="U815" s="156" t="str">
        <f t="shared" si="8"/>
        <v>#DIV/0!</v>
      </c>
      <c r="V815" s="172">
        <v>300.0</v>
      </c>
      <c r="W815" s="173"/>
    </row>
    <row r="816" ht="22.5" customHeight="1">
      <c r="A8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SUBSTITUTE(E816, """", """")"),"#REF!")</f>
        <v>#REF!</v>
      </c>
      <c r="B816" s="146"/>
      <c r="C816" s="146"/>
      <c r="D816" s="146"/>
      <c r="E816" s="44"/>
      <c r="F816" s="147"/>
      <c r="G816" s="146"/>
      <c r="H816" s="148"/>
      <c r="I816" s="148"/>
      <c r="J816" s="170"/>
      <c r="K816" s="170"/>
      <c r="L816" s="170"/>
      <c r="M816" s="170"/>
      <c r="N816" s="170"/>
      <c r="O816" s="170"/>
      <c r="P816" s="170"/>
      <c r="Q816" s="170"/>
      <c r="R816" s="170"/>
      <c r="S816" s="153"/>
      <c r="T816" s="171"/>
      <c r="U816" s="156" t="str">
        <f t="shared" si="8"/>
        <v>#DIV/0!</v>
      </c>
      <c r="V816" s="172">
        <v>300.0</v>
      </c>
      <c r="W816" s="173"/>
    </row>
    <row r="817" ht="22.5" customHeight="1">
      <c r="A8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SUBSTITUTE(E817, """", """")"),"#REF!")</f>
        <v>#REF!</v>
      </c>
      <c r="B817" s="146"/>
      <c r="C817" s="146"/>
      <c r="D817" s="146"/>
      <c r="E817" s="44"/>
      <c r="F817" s="147"/>
      <c r="G817" s="146"/>
      <c r="H817" s="148"/>
      <c r="I817" s="148"/>
      <c r="J817" s="170"/>
      <c r="K817" s="170"/>
      <c r="L817" s="170"/>
      <c r="M817" s="170"/>
      <c r="N817" s="170"/>
      <c r="O817" s="170"/>
      <c r="P817" s="170"/>
      <c r="Q817" s="170"/>
      <c r="R817" s="170"/>
      <c r="S817" s="153"/>
      <c r="T817" s="171"/>
      <c r="U817" s="156" t="str">
        <f t="shared" si="8"/>
        <v>#DIV/0!</v>
      </c>
      <c r="V817" s="172">
        <v>300.0</v>
      </c>
      <c r="W817" s="173"/>
    </row>
    <row r="818" ht="22.5" customHeight="1">
      <c r="A8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SUBSTITUTE(E818, """", """")"),"#REF!")</f>
        <v>#REF!</v>
      </c>
      <c r="B818" s="146"/>
      <c r="C818" s="146"/>
      <c r="D818" s="146"/>
      <c r="E818" s="44"/>
      <c r="F818" s="147"/>
      <c r="G818" s="146"/>
      <c r="H818" s="148"/>
      <c r="I818" s="148"/>
      <c r="J818" s="170"/>
      <c r="K818" s="170"/>
      <c r="L818" s="170"/>
      <c r="M818" s="170"/>
      <c r="N818" s="170"/>
      <c r="O818" s="170"/>
      <c r="P818" s="170"/>
      <c r="Q818" s="170"/>
      <c r="R818" s="170"/>
      <c r="S818" s="153"/>
      <c r="T818" s="171"/>
      <c r="U818" s="156" t="str">
        <f t="shared" si="8"/>
        <v>#DIV/0!</v>
      </c>
      <c r="V818" s="172">
        <v>300.0</v>
      </c>
      <c r="W818" s="173"/>
    </row>
    <row r="819" ht="22.5" customHeight="1">
      <c r="A8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SUBSTITUTE(E819, """", """")"),"#REF!")</f>
        <v>#REF!</v>
      </c>
      <c r="B819" s="146"/>
      <c r="C819" s="146"/>
      <c r="D819" s="146"/>
      <c r="E819" s="44"/>
      <c r="F819" s="147"/>
      <c r="G819" s="146"/>
      <c r="H819" s="148"/>
      <c r="I819" s="148"/>
      <c r="J819" s="170"/>
      <c r="K819" s="170"/>
      <c r="L819" s="170"/>
      <c r="M819" s="170"/>
      <c r="N819" s="170"/>
      <c r="O819" s="170"/>
      <c r="P819" s="170"/>
      <c r="Q819" s="170"/>
      <c r="R819" s="170"/>
      <c r="S819" s="153"/>
      <c r="T819" s="171"/>
      <c r="U819" s="156" t="str">
        <f t="shared" si="8"/>
        <v>#DIV/0!</v>
      </c>
      <c r="V819" s="172">
        <v>300.0</v>
      </c>
      <c r="W819" s="173"/>
    </row>
    <row r="820" ht="22.5" customHeight="1">
      <c r="A8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SUBSTITUTE(E820, """", """")"),"#REF!")</f>
        <v>#REF!</v>
      </c>
      <c r="B820" s="146"/>
      <c r="C820" s="146"/>
      <c r="D820" s="146"/>
      <c r="E820" s="44"/>
      <c r="F820" s="147"/>
      <c r="G820" s="146"/>
      <c r="H820" s="148"/>
      <c r="I820" s="148"/>
      <c r="J820" s="170"/>
      <c r="K820" s="170"/>
      <c r="L820" s="170"/>
      <c r="M820" s="170"/>
      <c r="N820" s="170"/>
      <c r="O820" s="170"/>
      <c r="P820" s="170"/>
      <c r="Q820" s="170"/>
      <c r="R820" s="170"/>
      <c r="S820" s="153"/>
      <c r="T820" s="171"/>
      <c r="U820" s="156" t="str">
        <f t="shared" si="8"/>
        <v>#DIV/0!</v>
      </c>
      <c r="V820" s="172">
        <v>300.0</v>
      </c>
      <c r="W820" s="173"/>
    </row>
    <row r="821" ht="22.5" customHeight="1">
      <c r="A8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SUBSTITUTE(E821, """", """")"),"#REF!")</f>
        <v>#REF!</v>
      </c>
      <c r="B821" s="146"/>
      <c r="C821" s="146"/>
      <c r="D821" s="146"/>
      <c r="E821" s="44"/>
      <c r="F821" s="147"/>
      <c r="G821" s="146"/>
      <c r="H821" s="148"/>
      <c r="I821" s="148"/>
      <c r="J821" s="170"/>
      <c r="K821" s="170"/>
      <c r="L821" s="170"/>
      <c r="M821" s="170"/>
      <c r="N821" s="170"/>
      <c r="O821" s="170"/>
      <c r="P821" s="170"/>
      <c r="Q821" s="170"/>
      <c r="R821" s="170"/>
      <c r="S821" s="153"/>
      <c r="T821" s="171"/>
      <c r="U821" s="156" t="str">
        <f t="shared" si="8"/>
        <v>#DIV/0!</v>
      </c>
      <c r="V821" s="172">
        <v>300.0</v>
      </c>
      <c r="W821" s="173"/>
    </row>
    <row r="822" ht="22.5" customHeight="1">
      <c r="A8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SUBSTITUTE(E822, """", """")"),"#REF!")</f>
        <v>#REF!</v>
      </c>
      <c r="B822" s="146"/>
      <c r="C822" s="146"/>
      <c r="D822" s="146"/>
      <c r="E822" s="44"/>
      <c r="F822" s="147"/>
      <c r="G822" s="146"/>
      <c r="H822" s="148"/>
      <c r="I822" s="148"/>
      <c r="J822" s="170"/>
      <c r="K822" s="170"/>
      <c r="L822" s="170"/>
      <c r="M822" s="170"/>
      <c r="N822" s="170"/>
      <c r="O822" s="170"/>
      <c r="P822" s="170"/>
      <c r="Q822" s="170"/>
      <c r="R822" s="170"/>
      <c r="S822" s="153"/>
      <c r="T822" s="171"/>
      <c r="U822" s="156" t="str">
        <f t="shared" si="8"/>
        <v>#DIV/0!</v>
      </c>
      <c r="V822" s="172">
        <v>300.0</v>
      </c>
      <c r="W822" s="173"/>
    </row>
    <row r="823" ht="22.5" customHeight="1">
      <c r="A8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SUBSTITUTE(E823, """", """")"),"#REF!")</f>
        <v>#REF!</v>
      </c>
      <c r="B823" s="146"/>
      <c r="C823" s="146"/>
      <c r="D823" s="146"/>
      <c r="E823" s="44"/>
      <c r="F823" s="147"/>
      <c r="G823" s="146"/>
      <c r="H823" s="148"/>
      <c r="I823" s="148"/>
      <c r="J823" s="170"/>
      <c r="K823" s="170"/>
      <c r="L823" s="170"/>
      <c r="M823" s="170"/>
      <c r="N823" s="170"/>
      <c r="O823" s="170"/>
      <c r="P823" s="170"/>
      <c r="Q823" s="170"/>
      <c r="R823" s="170"/>
      <c r="S823" s="153"/>
      <c r="T823" s="171"/>
      <c r="U823" s="156" t="str">
        <f t="shared" si="8"/>
        <v>#DIV/0!</v>
      </c>
      <c r="V823" s="172">
        <v>300.0</v>
      </c>
      <c r="W823" s="173"/>
    </row>
    <row r="824" ht="22.5" customHeight="1">
      <c r="A8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SUBSTITUTE(E824, """", """")"),"#REF!")</f>
        <v>#REF!</v>
      </c>
      <c r="B824" s="146"/>
      <c r="C824" s="146"/>
      <c r="D824" s="146"/>
      <c r="E824" s="44"/>
      <c r="F824" s="147"/>
      <c r="G824" s="146"/>
      <c r="H824" s="148"/>
      <c r="I824" s="148"/>
      <c r="J824" s="170"/>
      <c r="K824" s="170"/>
      <c r="L824" s="170"/>
      <c r="M824" s="170"/>
      <c r="N824" s="170"/>
      <c r="O824" s="170"/>
      <c r="P824" s="170"/>
      <c r="Q824" s="170"/>
      <c r="R824" s="170"/>
      <c r="S824" s="153"/>
      <c r="T824" s="171"/>
      <c r="U824" s="156" t="str">
        <f t="shared" si="8"/>
        <v>#DIV/0!</v>
      </c>
      <c r="V824" s="172">
        <v>300.0</v>
      </c>
      <c r="W824" s="173"/>
    </row>
    <row r="825" ht="22.5" customHeight="1">
      <c r="A8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SUBSTITUTE(E825, """", """")"),"#REF!")</f>
        <v>#REF!</v>
      </c>
      <c r="B825" s="146"/>
      <c r="C825" s="146"/>
      <c r="D825" s="146"/>
      <c r="E825" s="44"/>
      <c r="F825" s="147"/>
      <c r="G825" s="146"/>
      <c r="H825" s="148"/>
      <c r="I825" s="148"/>
      <c r="J825" s="170"/>
      <c r="K825" s="170"/>
      <c r="L825" s="170"/>
      <c r="M825" s="170"/>
      <c r="N825" s="170"/>
      <c r="O825" s="170"/>
      <c r="P825" s="170"/>
      <c r="Q825" s="170"/>
      <c r="R825" s="170"/>
      <c r="S825" s="153"/>
      <c r="T825" s="171"/>
      <c r="U825" s="156" t="str">
        <f t="shared" si="8"/>
        <v>#DIV/0!</v>
      </c>
      <c r="V825" s="172">
        <v>300.0</v>
      </c>
      <c r="W825" s="173"/>
    </row>
    <row r="826" ht="22.5" customHeight="1">
      <c r="A8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SUBSTITUTE(E826, """", """")"),"#REF!")</f>
        <v>#REF!</v>
      </c>
      <c r="B826" s="146"/>
      <c r="C826" s="146"/>
      <c r="D826" s="146"/>
      <c r="E826" s="44"/>
      <c r="F826" s="147"/>
      <c r="G826" s="146"/>
      <c r="H826" s="148"/>
      <c r="I826" s="148"/>
      <c r="J826" s="170"/>
      <c r="K826" s="170"/>
      <c r="L826" s="170"/>
      <c r="M826" s="170"/>
      <c r="N826" s="170"/>
      <c r="O826" s="170"/>
      <c r="P826" s="170"/>
      <c r="Q826" s="170"/>
      <c r="R826" s="170"/>
      <c r="S826" s="153"/>
      <c r="T826" s="171"/>
      <c r="U826" s="156" t="str">
        <f t="shared" si="8"/>
        <v>#DIV/0!</v>
      </c>
      <c r="V826" s="172">
        <v>300.0</v>
      </c>
      <c r="W826" s="173"/>
    </row>
    <row r="827" ht="22.5" customHeight="1">
      <c r="A8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SUBSTITUTE(E827, """", """")"),"#REF!")</f>
        <v>#REF!</v>
      </c>
      <c r="B827" s="146"/>
      <c r="C827" s="146"/>
      <c r="D827" s="146"/>
      <c r="E827" s="44"/>
      <c r="F827" s="147"/>
      <c r="G827" s="146"/>
      <c r="H827" s="148"/>
      <c r="I827" s="148"/>
      <c r="J827" s="170"/>
      <c r="K827" s="170"/>
      <c r="L827" s="170"/>
      <c r="M827" s="170"/>
      <c r="N827" s="170"/>
      <c r="O827" s="170"/>
      <c r="P827" s="170"/>
      <c r="Q827" s="170"/>
      <c r="R827" s="170"/>
      <c r="S827" s="153"/>
      <c r="T827" s="171"/>
      <c r="U827" s="156" t="str">
        <f t="shared" si="8"/>
        <v>#DIV/0!</v>
      </c>
      <c r="V827" s="172">
        <v>300.0</v>
      </c>
      <c r="W827" s="173"/>
    </row>
    <row r="828" ht="22.5" customHeight="1">
      <c r="A8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SUBSTITUTE(E828, """", """")"),"#REF!")</f>
        <v>#REF!</v>
      </c>
      <c r="B828" s="146"/>
      <c r="C828" s="146"/>
      <c r="D828" s="146"/>
      <c r="E828" s="44"/>
      <c r="F828" s="147"/>
      <c r="G828" s="146"/>
      <c r="H828" s="148"/>
      <c r="I828" s="148"/>
      <c r="J828" s="170"/>
      <c r="K828" s="170"/>
      <c r="L828" s="170"/>
      <c r="M828" s="170"/>
      <c r="N828" s="170"/>
      <c r="O828" s="170"/>
      <c r="P828" s="170"/>
      <c r="Q828" s="170"/>
      <c r="R828" s="170"/>
      <c r="S828" s="153"/>
      <c r="T828" s="171"/>
      <c r="U828" s="156" t="str">
        <f t="shared" si="8"/>
        <v>#DIV/0!</v>
      </c>
      <c r="V828" s="172">
        <v>300.0</v>
      </c>
      <c r="W828" s="173"/>
    </row>
    <row r="829" ht="22.5" customHeight="1">
      <c r="A8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SUBSTITUTE(E829, """", """")"),"#REF!")</f>
        <v>#REF!</v>
      </c>
      <c r="B829" s="146"/>
      <c r="C829" s="146"/>
      <c r="D829" s="146"/>
      <c r="E829" s="44"/>
      <c r="F829" s="147"/>
      <c r="G829" s="146"/>
      <c r="H829" s="148"/>
      <c r="I829" s="148"/>
      <c r="J829" s="170"/>
      <c r="K829" s="170"/>
      <c r="L829" s="170"/>
      <c r="M829" s="170"/>
      <c r="N829" s="170"/>
      <c r="O829" s="170"/>
      <c r="P829" s="170"/>
      <c r="Q829" s="170"/>
      <c r="R829" s="170"/>
      <c r="S829" s="153"/>
      <c r="T829" s="171"/>
      <c r="U829" s="156" t="str">
        <f t="shared" si="8"/>
        <v>#DIV/0!</v>
      </c>
      <c r="V829" s="172">
        <v>300.0</v>
      </c>
      <c r="W829" s="173"/>
    </row>
    <row r="830" ht="22.5" customHeight="1">
      <c r="A8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SUBSTITUTE(E830, """", """")"),"#REF!")</f>
        <v>#REF!</v>
      </c>
      <c r="B830" s="146"/>
      <c r="C830" s="146"/>
      <c r="D830" s="146"/>
      <c r="E830" s="44"/>
      <c r="F830" s="147"/>
      <c r="G830" s="146"/>
      <c r="H830" s="148"/>
      <c r="I830" s="148"/>
      <c r="J830" s="170"/>
      <c r="K830" s="170"/>
      <c r="L830" s="170"/>
      <c r="M830" s="170"/>
      <c r="N830" s="170"/>
      <c r="O830" s="170"/>
      <c r="P830" s="170"/>
      <c r="Q830" s="170"/>
      <c r="R830" s="170"/>
      <c r="S830" s="153"/>
      <c r="T830" s="171"/>
      <c r="U830" s="156" t="str">
        <f t="shared" si="8"/>
        <v>#DIV/0!</v>
      </c>
      <c r="V830" s="172">
        <v>300.0</v>
      </c>
      <c r="W830" s="173"/>
    </row>
    <row r="831" ht="22.5" customHeight="1">
      <c r="A8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SUBSTITUTE(E831, """", """")"),"#REF!")</f>
        <v>#REF!</v>
      </c>
      <c r="B831" s="146"/>
      <c r="C831" s="146"/>
      <c r="D831" s="146"/>
      <c r="E831" s="44"/>
      <c r="F831" s="147"/>
      <c r="G831" s="146"/>
      <c r="H831" s="148"/>
      <c r="I831" s="148"/>
      <c r="J831" s="170"/>
      <c r="K831" s="170"/>
      <c r="L831" s="170"/>
      <c r="M831" s="170"/>
      <c r="N831" s="170"/>
      <c r="O831" s="170"/>
      <c r="P831" s="170"/>
      <c r="Q831" s="170"/>
      <c r="R831" s="170"/>
      <c r="S831" s="153"/>
      <c r="T831" s="171"/>
      <c r="U831" s="156" t="str">
        <f t="shared" si="8"/>
        <v>#DIV/0!</v>
      </c>
      <c r="V831" s="172">
        <v>300.0</v>
      </c>
      <c r="W831" s="173"/>
    </row>
    <row r="832" ht="22.5" customHeight="1">
      <c r="A83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SUBSTITUTE(E832, """", """")"),"#REF!")</f>
        <v>#REF!</v>
      </c>
      <c r="B832" s="146"/>
      <c r="C832" s="146"/>
      <c r="D832" s="146"/>
      <c r="E832" s="44"/>
      <c r="F832" s="147"/>
      <c r="G832" s="146"/>
      <c r="H832" s="148"/>
      <c r="I832" s="148"/>
      <c r="J832" s="170"/>
      <c r="K832" s="170"/>
      <c r="L832" s="170"/>
      <c r="M832" s="170"/>
      <c r="N832" s="170"/>
      <c r="O832" s="170"/>
      <c r="P832" s="170"/>
      <c r="Q832" s="170"/>
      <c r="R832" s="170"/>
      <c r="S832" s="153"/>
      <c r="T832" s="171"/>
      <c r="U832" s="156" t="str">
        <f t="shared" si="8"/>
        <v>#DIV/0!</v>
      </c>
      <c r="V832" s="172">
        <v>300.0</v>
      </c>
      <c r="W832" s="173"/>
    </row>
    <row r="833" ht="22.5" customHeight="1">
      <c r="A83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SUBSTITUTE(E833, """", """")"),"#REF!")</f>
        <v>#REF!</v>
      </c>
      <c r="B833" s="146"/>
      <c r="C833" s="146"/>
      <c r="D833" s="146"/>
      <c r="E833" s="44"/>
      <c r="F833" s="147"/>
      <c r="G833" s="146"/>
      <c r="H833" s="148"/>
      <c r="I833" s="148"/>
      <c r="J833" s="170"/>
      <c r="K833" s="170"/>
      <c r="L833" s="170"/>
      <c r="M833" s="170"/>
      <c r="N833" s="170"/>
      <c r="O833" s="170"/>
      <c r="P833" s="170"/>
      <c r="Q833" s="170"/>
      <c r="R833" s="170"/>
      <c r="S833" s="153"/>
      <c r="T833" s="171"/>
      <c r="U833" s="156" t="str">
        <f t="shared" si="8"/>
        <v>#DIV/0!</v>
      </c>
      <c r="V833" s="172">
        <v>300.0</v>
      </c>
      <c r="W833" s="173"/>
    </row>
    <row r="834" ht="22.5" customHeight="1">
      <c r="A83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SUBSTITUTE(E834, """", """")"),"#REF!")</f>
        <v>#REF!</v>
      </c>
      <c r="B834" s="146"/>
      <c r="C834" s="146"/>
      <c r="D834" s="146"/>
      <c r="E834" s="44"/>
      <c r="F834" s="147"/>
      <c r="G834" s="146"/>
      <c r="H834" s="148"/>
      <c r="I834" s="148"/>
      <c r="J834" s="170"/>
      <c r="K834" s="170"/>
      <c r="L834" s="170"/>
      <c r="M834" s="170"/>
      <c r="N834" s="170"/>
      <c r="O834" s="170"/>
      <c r="P834" s="170"/>
      <c r="Q834" s="170"/>
      <c r="R834" s="170"/>
      <c r="S834" s="153"/>
      <c r="T834" s="171"/>
      <c r="U834" s="156" t="str">
        <f t="shared" si="8"/>
        <v>#DIV/0!</v>
      </c>
      <c r="V834" s="172">
        <v>300.0</v>
      </c>
      <c r="W834" s="173"/>
    </row>
    <row r="835" ht="22.5" customHeight="1">
      <c r="A83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SUBSTITUTE(E835, """", """")"),"#REF!")</f>
        <v>#REF!</v>
      </c>
      <c r="B835" s="146"/>
      <c r="C835" s="146"/>
      <c r="D835" s="146"/>
      <c r="E835" s="44"/>
      <c r="F835" s="147"/>
      <c r="G835" s="146"/>
      <c r="H835" s="148"/>
      <c r="I835" s="148"/>
      <c r="J835" s="170"/>
      <c r="K835" s="170"/>
      <c r="L835" s="170"/>
      <c r="M835" s="170"/>
      <c r="N835" s="170"/>
      <c r="O835" s="170"/>
      <c r="P835" s="170"/>
      <c r="Q835" s="170"/>
      <c r="R835" s="170"/>
      <c r="S835" s="153"/>
      <c r="T835" s="171"/>
      <c r="U835" s="156" t="str">
        <f t="shared" si="8"/>
        <v>#DIV/0!</v>
      </c>
      <c r="V835" s="172">
        <v>300.0</v>
      </c>
      <c r="W835" s="173"/>
    </row>
    <row r="836" ht="22.5" customHeight="1">
      <c r="A83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SUBSTITUTE(E836, """", """")"),"#REF!")</f>
        <v>#REF!</v>
      </c>
      <c r="B836" s="146"/>
      <c r="C836" s="146"/>
      <c r="D836" s="146"/>
      <c r="E836" s="44"/>
      <c r="F836" s="147"/>
      <c r="G836" s="146"/>
      <c r="H836" s="148"/>
      <c r="I836" s="148"/>
      <c r="J836" s="170"/>
      <c r="K836" s="170"/>
      <c r="L836" s="170"/>
      <c r="M836" s="170"/>
      <c r="N836" s="170"/>
      <c r="O836" s="170"/>
      <c r="P836" s="170"/>
      <c r="Q836" s="170"/>
      <c r="R836" s="170"/>
      <c r="S836" s="153"/>
      <c r="T836" s="171"/>
      <c r="U836" s="156" t="str">
        <f t="shared" si="8"/>
        <v>#DIV/0!</v>
      </c>
      <c r="V836" s="172">
        <v>300.0</v>
      </c>
      <c r="W836" s="173"/>
    </row>
    <row r="837" ht="22.5" customHeight="1">
      <c r="A83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SUBSTITUTE(E837, """", """")"),"#REF!")</f>
        <v>#REF!</v>
      </c>
      <c r="B837" s="146"/>
      <c r="C837" s="146"/>
      <c r="D837" s="146"/>
      <c r="E837" s="44"/>
      <c r="F837" s="147"/>
      <c r="G837" s="146"/>
      <c r="H837" s="148"/>
      <c r="I837" s="148"/>
      <c r="J837" s="170"/>
      <c r="K837" s="170"/>
      <c r="L837" s="170"/>
      <c r="M837" s="170"/>
      <c r="N837" s="170"/>
      <c r="O837" s="170"/>
      <c r="P837" s="170"/>
      <c r="Q837" s="170"/>
      <c r="R837" s="170"/>
      <c r="S837" s="153"/>
      <c r="T837" s="171"/>
      <c r="U837" s="156" t="str">
        <f t="shared" si="8"/>
        <v>#DIV/0!</v>
      </c>
      <c r="V837" s="172">
        <v>300.0</v>
      </c>
      <c r="W837" s="173"/>
    </row>
    <row r="838" ht="22.5" customHeight="1">
      <c r="A83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SUBSTITUTE(E838, """", """")"),"#REF!")</f>
        <v>#REF!</v>
      </c>
      <c r="B838" s="146"/>
      <c r="C838" s="146"/>
      <c r="D838" s="146"/>
      <c r="E838" s="44"/>
      <c r="F838" s="147"/>
      <c r="G838" s="146"/>
      <c r="H838" s="148"/>
      <c r="I838" s="148"/>
      <c r="J838" s="170"/>
      <c r="K838" s="170"/>
      <c r="L838" s="170"/>
      <c r="M838" s="170"/>
      <c r="N838" s="170"/>
      <c r="O838" s="170"/>
      <c r="P838" s="170"/>
      <c r="Q838" s="170"/>
      <c r="R838" s="170"/>
      <c r="S838" s="153"/>
      <c r="T838" s="171"/>
      <c r="U838" s="156" t="str">
        <f t="shared" si="8"/>
        <v>#DIV/0!</v>
      </c>
      <c r="V838" s="172">
        <v>300.0</v>
      </c>
      <c r="W838" s="173"/>
    </row>
    <row r="839" ht="22.5" customHeight="1">
      <c r="A83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SUBSTITUTE(E839, """", """")"),"#REF!")</f>
        <v>#REF!</v>
      </c>
      <c r="B839" s="146"/>
      <c r="C839" s="146"/>
      <c r="D839" s="146"/>
      <c r="E839" s="44"/>
      <c r="F839" s="147"/>
      <c r="G839" s="146"/>
      <c r="H839" s="148"/>
      <c r="I839" s="148"/>
      <c r="J839" s="170"/>
      <c r="K839" s="170"/>
      <c r="L839" s="170"/>
      <c r="M839" s="170"/>
      <c r="N839" s="170"/>
      <c r="O839" s="170"/>
      <c r="P839" s="170"/>
      <c r="Q839" s="170"/>
      <c r="R839" s="170"/>
      <c r="S839" s="153"/>
      <c r="T839" s="171"/>
      <c r="U839" s="156" t="str">
        <f t="shared" si="8"/>
        <v>#DIV/0!</v>
      </c>
      <c r="V839" s="172">
        <v>300.0</v>
      </c>
      <c r="W839" s="173"/>
    </row>
    <row r="840" ht="22.5" customHeight="1">
      <c r="A84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SUBSTITUTE(E840, """", """")"),"#REF!")</f>
        <v>#REF!</v>
      </c>
      <c r="B840" s="146"/>
      <c r="C840" s="146"/>
      <c r="D840" s="146"/>
      <c r="E840" s="44"/>
      <c r="F840" s="147"/>
      <c r="G840" s="146"/>
      <c r="H840" s="148"/>
      <c r="I840" s="148"/>
      <c r="J840" s="170"/>
      <c r="K840" s="170"/>
      <c r="L840" s="170"/>
      <c r="M840" s="170"/>
      <c r="N840" s="170"/>
      <c r="O840" s="170"/>
      <c r="P840" s="170"/>
      <c r="Q840" s="170"/>
      <c r="R840" s="170"/>
      <c r="S840" s="153"/>
      <c r="T840" s="171"/>
      <c r="U840" s="156" t="str">
        <f t="shared" si="8"/>
        <v>#DIV/0!</v>
      </c>
      <c r="V840" s="172">
        <v>300.0</v>
      </c>
      <c r="W840" s="173"/>
    </row>
    <row r="841" ht="22.5" customHeight="1">
      <c r="A84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SUBSTITUTE(E841, """", """")"),"#REF!")</f>
        <v>#REF!</v>
      </c>
      <c r="B841" s="146"/>
      <c r="C841" s="146"/>
      <c r="D841" s="146"/>
      <c r="E841" s="44"/>
      <c r="F841" s="147"/>
      <c r="G841" s="146"/>
      <c r="H841" s="148"/>
      <c r="I841" s="148"/>
      <c r="J841" s="170"/>
      <c r="K841" s="170"/>
      <c r="L841" s="170"/>
      <c r="M841" s="170"/>
      <c r="N841" s="170"/>
      <c r="O841" s="170"/>
      <c r="P841" s="170"/>
      <c r="Q841" s="170"/>
      <c r="R841" s="170"/>
      <c r="S841" s="153"/>
      <c r="T841" s="171"/>
      <c r="U841" s="156" t="str">
        <f t="shared" si="8"/>
        <v>#DIV/0!</v>
      </c>
      <c r="V841" s="172">
        <v>300.0</v>
      </c>
      <c r="W841" s="173"/>
    </row>
    <row r="842" ht="22.5" customHeight="1">
      <c r="A84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SUBSTITUTE(E842, """", """")"),"#REF!")</f>
        <v>#REF!</v>
      </c>
      <c r="B842" s="146"/>
      <c r="C842" s="146"/>
      <c r="D842" s="146"/>
      <c r="E842" s="44"/>
      <c r="F842" s="147"/>
      <c r="G842" s="146"/>
      <c r="H842" s="148"/>
      <c r="I842" s="148"/>
      <c r="J842" s="170"/>
      <c r="K842" s="170"/>
      <c r="L842" s="170"/>
      <c r="M842" s="170"/>
      <c r="N842" s="170"/>
      <c r="O842" s="170"/>
      <c r="P842" s="170"/>
      <c r="Q842" s="170"/>
      <c r="R842" s="170"/>
      <c r="S842" s="153"/>
      <c r="T842" s="171"/>
      <c r="U842" s="156" t="str">
        <f t="shared" si="8"/>
        <v>#DIV/0!</v>
      </c>
      <c r="V842" s="172">
        <v>300.0</v>
      </c>
      <c r="W842" s="173"/>
    </row>
    <row r="843" ht="22.5" customHeight="1">
      <c r="A84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SUBSTITUTE(E843, """", """")"),"#REF!")</f>
        <v>#REF!</v>
      </c>
      <c r="B843" s="146"/>
      <c r="C843" s="146"/>
      <c r="D843" s="146"/>
      <c r="E843" s="44"/>
      <c r="F843" s="147"/>
      <c r="G843" s="146"/>
      <c r="H843" s="148"/>
      <c r="I843" s="148"/>
      <c r="J843" s="170"/>
      <c r="K843" s="170"/>
      <c r="L843" s="170"/>
      <c r="M843" s="170"/>
      <c r="N843" s="170"/>
      <c r="O843" s="170"/>
      <c r="P843" s="170"/>
      <c r="Q843" s="170"/>
      <c r="R843" s="170"/>
      <c r="S843" s="153"/>
      <c r="T843" s="171"/>
      <c r="U843" s="156" t="str">
        <f t="shared" si="8"/>
        <v>#DIV/0!</v>
      </c>
      <c r="V843" s="172">
        <v>300.0</v>
      </c>
      <c r="W843" s="173"/>
    </row>
    <row r="844" ht="22.5" customHeight="1">
      <c r="A84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SUBSTITUTE(E844, """", """")"),"#REF!")</f>
        <v>#REF!</v>
      </c>
      <c r="B844" s="146"/>
      <c r="C844" s="146"/>
      <c r="D844" s="146"/>
      <c r="E844" s="44"/>
      <c r="F844" s="147"/>
      <c r="G844" s="146"/>
      <c r="H844" s="148"/>
      <c r="I844" s="148"/>
      <c r="J844" s="170"/>
      <c r="K844" s="170"/>
      <c r="L844" s="170"/>
      <c r="M844" s="170"/>
      <c r="N844" s="170"/>
      <c r="O844" s="170"/>
      <c r="P844" s="170"/>
      <c r="Q844" s="170"/>
      <c r="R844" s="170"/>
      <c r="S844" s="153"/>
      <c r="T844" s="171"/>
      <c r="U844" s="156" t="str">
        <f t="shared" si="8"/>
        <v>#DIV/0!</v>
      </c>
      <c r="V844" s="172">
        <v>300.0</v>
      </c>
      <c r="W844" s="173"/>
    </row>
    <row r="845" ht="22.5" customHeight="1">
      <c r="A84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SUBSTITUTE(E845, """", """")"),"#REF!")</f>
        <v>#REF!</v>
      </c>
      <c r="B845" s="146"/>
      <c r="C845" s="146"/>
      <c r="D845" s="146"/>
      <c r="E845" s="44"/>
      <c r="F845" s="147"/>
      <c r="G845" s="146"/>
      <c r="H845" s="148"/>
      <c r="I845" s="148"/>
      <c r="J845" s="170"/>
      <c r="K845" s="170"/>
      <c r="L845" s="170"/>
      <c r="M845" s="170"/>
      <c r="N845" s="170"/>
      <c r="O845" s="170"/>
      <c r="P845" s="170"/>
      <c r="Q845" s="170"/>
      <c r="R845" s="170"/>
      <c r="S845" s="153"/>
      <c r="T845" s="171"/>
      <c r="U845" s="156" t="str">
        <f t="shared" si="8"/>
        <v>#DIV/0!</v>
      </c>
      <c r="V845" s="172">
        <v>300.0</v>
      </c>
      <c r="W845" s="173"/>
    </row>
    <row r="846" ht="22.5" customHeight="1">
      <c r="A84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SUBSTITUTE(E846, """", """")"),"#REF!")</f>
        <v>#REF!</v>
      </c>
      <c r="B846" s="146"/>
      <c r="C846" s="146"/>
      <c r="D846" s="146"/>
      <c r="E846" s="44"/>
      <c r="F846" s="147"/>
      <c r="G846" s="146"/>
      <c r="H846" s="148"/>
      <c r="I846" s="148"/>
      <c r="J846" s="170"/>
      <c r="K846" s="170"/>
      <c r="L846" s="170"/>
      <c r="M846" s="170"/>
      <c r="N846" s="170"/>
      <c r="O846" s="170"/>
      <c r="P846" s="170"/>
      <c r="Q846" s="170"/>
      <c r="R846" s="170"/>
      <c r="S846" s="153"/>
      <c r="T846" s="171"/>
      <c r="U846" s="156" t="str">
        <f t="shared" si="8"/>
        <v>#DIV/0!</v>
      </c>
      <c r="V846" s="172">
        <v>300.0</v>
      </c>
      <c r="W846" s="173"/>
    </row>
    <row r="847" ht="22.5" customHeight="1">
      <c r="A84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SUBSTITUTE(E847, """", """")"),"#REF!")</f>
        <v>#REF!</v>
      </c>
      <c r="B847" s="146"/>
      <c r="C847" s="146"/>
      <c r="D847" s="146"/>
      <c r="E847" s="44"/>
      <c r="F847" s="147"/>
      <c r="G847" s="146"/>
      <c r="H847" s="148"/>
      <c r="I847" s="148"/>
      <c r="J847" s="170"/>
      <c r="K847" s="170"/>
      <c r="L847" s="170"/>
      <c r="M847" s="170"/>
      <c r="N847" s="170"/>
      <c r="O847" s="170"/>
      <c r="P847" s="170"/>
      <c r="Q847" s="170"/>
      <c r="R847" s="170"/>
      <c r="S847" s="153"/>
      <c r="T847" s="171"/>
      <c r="U847" s="156" t="str">
        <f t="shared" si="8"/>
        <v>#DIV/0!</v>
      </c>
      <c r="V847" s="172">
        <v>300.0</v>
      </c>
      <c r="W847" s="173"/>
    </row>
    <row r="848" ht="22.5" customHeight="1">
      <c r="A84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SUBSTITUTE(E848, """", """")"),"#REF!")</f>
        <v>#REF!</v>
      </c>
      <c r="B848" s="146"/>
      <c r="C848" s="146"/>
      <c r="D848" s="146"/>
      <c r="E848" s="44"/>
      <c r="F848" s="147"/>
      <c r="G848" s="146"/>
      <c r="H848" s="148"/>
      <c r="I848" s="148"/>
      <c r="J848" s="170"/>
      <c r="K848" s="170"/>
      <c r="L848" s="170"/>
      <c r="M848" s="170"/>
      <c r="N848" s="170"/>
      <c r="O848" s="170"/>
      <c r="P848" s="170"/>
      <c r="Q848" s="170"/>
      <c r="R848" s="170"/>
      <c r="S848" s="153"/>
      <c r="T848" s="171"/>
      <c r="U848" s="156" t="str">
        <f t="shared" si="8"/>
        <v>#DIV/0!</v>
      </c>
      <c r="V848" s="172">
        <v>300.0</v>
      </c>
      <c r="W848" s="173"/>
    </row>
    <row r="849" ht="22.5" customHeight="1">
      <c r="A84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SUBSTITUTE(E849, """", """")"),"#REF!")</f>
        <v>#REF!</v>
      </c>
      <c r="B849" s="146"/>
      <c r="C849" s="146"/>
      <c r="D849" s="146"/>
      <c r="E849" s="44"/>
      <c r="F849" s="147"/>
      <c r="G849" s="146"/>
      <c r="H849" s="148"/>
      <c r="I849" s="148"/>
      <c r="J849" s="170"/>
      <c r="K849" s="170"/>
      <c r="L849" s="170"/>
      <c r="M849" s="170"/>
      <c r="N849" s="170"/>
      <c r="O849" s="170"/>
      <c r="P849" s="170"/>
      <c r="Q849" s="170"/>
      <c r="R849" s="170"/>
      <c r="S849" s="153"/>
      <c r="T849" s="171"/>
      <c r="U849" s="156" t="str">
        <f t="shared" si="8"/>
        <v>#DIV/0!</v>
      </c>
      <c r="V849" s="172">
        <v>300.0</v>
      </c>
      <c r="W849" s="173"/>
    </row>
    <row r="850" ht="22.5" customHeight="1">
      <c r="A85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SUBSTITUTE(E850, """", """")"),"#REF!")</f>
        <v>#REF!</v>
      </c>
      <c r="B850" s="146"/>
      <c r="C850" s="146"/>
      <c r="D850" s="146"/>
      <c r="E850" s="44"/>
      <c r="F850" s="147"/>
      <c r="G850" s="146"/>
      <c r="H850" s="148"/>
      <c r="I850" s="148"/>
      <c r="J850" s="170"/>
      <c r="K850" s="170"/>
      <c r="L850" s="170"/>
      <c r="M850" s="170"/>
      <c r="N850" s="170"/>
      <c r="O850" s="170"/>
      <c r="P850" s="170"/>
      <c r="Q850" s="170"/>
      <c r="R850" s="170"/>
      <c r="S850" s="153"/>
      <c r="T850" s="171"/>
      <c r="U850" s="156" t="str">
        <f t="shared" si="8"/>
        <v>#DIV/0!</v>
      </c>
      <c r="V850" s="172">
        <v>300.0</v>
      </c>
      <c r="W850" s="173"/>
    </row>
    <row r="851" ht="22.5" customHeight="1">
      <c r="A85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SUBSTITUTE(E851, """", """")"),"#REF!")</f>
        <v>#REF!</v>
      </c>
      <c r="B851" s="146"/>
      <c r="C851" s="146"/>
      <c r="D851" s="146"/>
      <c r="E851" s="44"/>
      <c r="F851" s="147"/>
      <c r="G851" s="146"/>
      <c r="H851" s="148"/>
      <c r="I851" s="148"/>
      <c r="J851" s="170"/>
      <c r="K851" s="170"/>
      <c r="L851" s="170"/>
      <c r="M851" s="170"/>
      <c r="N851" s="170"/>
      <c r="O851" s="170"/>
      <c r="P851" s="170"/>
      <c r="Q851" s="170"/>
      <c r="R851" s="170"/>
      <c r="S851" s="153"/>
      <c r="T851" s="171"/>
      <c r="U851" s="156" t="str">
        <f t="shared" si="8"/>
        <v>#DIV/0!</v>
      </c>
      <c r="V851" s="172">
        <v>300.0</v>
      </c>
      <c r="W851" s="173"/>
    </row>
    <row r="852" ht="22.5" customHeight="1">
      <c r="A85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SUBSTITUTE(E852, """", """")"),"#REF!")</f>
        <v>#REF!</v>
      </c>
      <c r="B852" s="146"/>
      <c r="C852" s="146"/>
      <c r="D852" s="146"/>
      <c r="E852" s="44"/>
      <c r="F852" s="147"/>
      <c r="G852" s="146"/>
      <c r="H852" s="148"/>
      <c r="I852" s="148"/>
      <c r="J852" s="170"/>
      <c r="K852" s="170"/>
      <c r="L852" s="170"/>
      <c r="M852" s="170"/>
      <c r="N852" s="170"/>
      <c r="O852" s="170"/>
      <c r="P852" s="170"/>
      <c r="Q852" s="170"/>
      <c r="R852" s="170"/>
      <c r="S852" s="153"/>
      <c r="T852" s="171"/>
      <c r="U852" s="156" t="str">
        <f t="shared" si="8"/>
        <v>#DIV/0!</v>
      </c>
      <c r="V852" s="172">
        <v>300.0</v>
      </c>
      <c r="W852" s="173"/>
    </row>
    <row r="853" ht="22.5" customHeight="1">
      <c r="A85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SUBSTITUTE(E853, """", """")"),"#REF!")</f>
        <v>#REF!</v>
      </c>
      <c r="B853" s="146"/>
      <c r="C853" s="146"/>
      <c r="D853" s="146"/>
      <c r="E853" s="44"/>
      <c r="F853" s="147"/>
      <c r="G853" s="146"/>
      <c r="H853" s="148"/>
      <c r="I853" s="148"/>
      <c r="J853" s="170"/>
      <c r="K853" s="170"/>
      <c r="L853" s="170"/>
      <c r="M853" s="170"/>
      <c r="N853" s="170"/>
      <c r="O853" s="170"/>
      <c r="P853" s="170"/>
      <c r="Q853" s="170"/>
      <c r="R853" s="170"/>
      <c r="S853" s="153"/>
      <c r="T853" s="171"/>
      <c r="U853" s="156" t="str">
        <f t="shared" si="8"/>
        <v>#DIV/0!</v>
      </c>
      <c r="V853" s="172">
        <v>300.0</v>
      </c>
      <c r="W853" s="173"/>
    </row>
    <row r="854" ht="22.5" customHeight="1">
      <c r="A85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SUBSTITUTE(E854, """", """")"),"#REF!")</f>
        <v>#REF!</v>
      </c>
      <c r="B854" s="146"/>
      <c r="C854" s="146"/>
      <c r="D854" s="146"/>
      <c r="E854" s="44"/>
      <c r="F854" s="147"/>
      <c r="G854" s="146"/>
      <c r="H854" s="148"/>
      <c r="I854" s="148"/>
      <c r="J854" s="170"/>
      <c r="K854" s="170"/>
      <c r="L854" s="170"/>
      <c r="M854" s="170"/>
      <c r="N854" s="170"/>
      <c r="O854" s="170"/>
      <c r="P854" s="170"/>
      <c r="Q854" s="170"/>
      <c r="R854" s="170"/>
      <c r="S854" s="153"/>
      <c r="T854" s="171"/>
      <c r="U854" s="156" t="str">
        <f t="shared" si="8"/>
        <v>#DIV/0!</v>
      </c>
      <c r="V854" s="172">
        <v>300.0</v>
      </c>
      <c r="W854" s="173"/>
    </row>
    <row r="855" ht="22.5" customHeight="1">
      <c r="A85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SUBSTITUTE(E855, """", """")"),"#REF!")</f>
        <v>#REF!</v>
      </c>
      <c r="B855" s="146"/>
      <c r="C855" s="146"/>
      <c r="D855" s="146"/>
      <c r="E855" s="44"/>
      <c r="F855" s="147"/>
      <c r="G855" s="146"/>
      <c r="H855" s="148"/>
      <c r="I855" s="148"/>
      <c r="J855" s="170"/>
      <c r="K855" s="170"/>
      <c r="L855" s="170"/>
      <c r="M855" s="170"/>
      <c r="N855" s="170"/>
      <c r="O855" s="170"/>
      <c r="P855" s="170"/>
      <c r="Q855" s="170"/>
      <c r="R855" s="170"/>
      <c r="S855" s="153"/>
      <c r="T855" s="171"/>
      <c r="U855" s="156" t="str">
        <f t="shared" si="8"/>
        <v>#DIV/0!</v>
      </c>
      <c r="V855" s="172">
        <v>300.0</v>
      </c>
      <c r="W855" s="173"/>
    </row>
    <row r="856" ht="22.5" customHeight="1">
      <c r="A85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SUBSTITUTE(E856, """", """")"),"#REF!")</f>
        <v>#REF!</v>
      </c>
      <c r="B856" s="146"/>
      <c r="C856" s="146"/>
      <c r="D856" s="146"/>
      <c r="E856" s="44"/>
      <c r="F856" s="147"/>
      <c r="G856" s="146"/>
      <c r="H856" s="148"/>
      <c r="I856" s="148"/>
      <c r="J856" s="170"/>
      <c r="K856" s="170"/>
      <c r="L856" s="170"/>
      <c r="M856" s="170"/>
      <c r="N856" s="170"/>
      <c r="O856" s="170"/>
      <c r="P856" s="170"/>
      <c r="Q856" s="170"/>
      <c r="R856" s="170"/>
      <c r="S856" s="153"/>
      <c r="T856" s="171"/>
      <c r="U856" s="156" t="str">
        <f t="shared" si="8"/>
        <v>#DIV/0!</v>
      </c>
      <c r="V856" s="172">
        <v>300.0</v>
      </c>
      <c r="W856" s="173"/>
    </row>
    <row r="857" ht="22.5" customHeight="1">
      <c r="A85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SUBSTITUTE(E857, """", """")"),"#REF!")</f>
        <v>#REF!</v>
      </c>
      <c r="B857" s="146"/>
      <c r="C857" s="146"/>
      <c r="D857" s="146"/>
      <c r="E857" s="44"/>
      <c r="F857" s="147"/>
      <c r="G857" s="146"/>
      <c r="H857" s="148"/>
      <c r="I857" s="148"/>
      <c r="J857" s="170"/>
      <c r="K857" s="170"/>
      <c r="L857" s="170"/>
      <c r="M857" s="170"/>
      <c r="N857" s="170"/>
      <c r="O857" s="170"/>
      <c r="P857" s="170"/>
      <c r="Q857" s="170"/>
      <c r="R857" s="170"/>
      <c r="S857" s="153"/>
      <c r="T857" s="171"/>
      <c r="U857" s="156" t="str">
        <f t="shared" si="8"/>
        <v>#DIV/0!</v>
      </c>
      <c r="V857" s="172">
        <v>300.0</v>
      </c>
      <c r="W857" s="173"/>
    </row>
    <row r="858" ht="22.5" customHeight="1">
      <c r="A85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SUBSTITUTE(E858, """", """")"),"#REF!")</f>
        <v>#REF!</v>
      </c>
      <c r="B858" s="146"/>
      <c r="C858" s="146"/>
      <c r="D858" s="146"/>
      <c r="E858" s="44"/>
      <c r="F858" s="147"/>
      <c r="G858" s="146"/>
      <c r="H858" s="148"/>
      <c r="I858" s="148"/>
      <c r="J858" s="170"/>
      <c r="K858" s="170"/>
      <c r="L858" s="170"/>
      <c r="M858" s="170"/>
      <c r="N858" s="170"/>
      <c r="O858" s="170"/>
      <c r="P858" s="170"/>
      <c r="Q858" s="170"/>
      <c r="R858" s="170"/>
      <c r="S858" s="153"/>
      <c r="T858" s="171"/>
      <c r="U858" s="156" t="str">
        <f t="shared" si="8"/>
        <v>#DIV/0!</v>
      </c>
      <c r="V858" s="172">
        <v>300.0</v>
      </c>
      <c r="W858" s="173"/>
    </row>
    <row r="859" ht="22.5" customHeight="1">
      <c r="A85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SUBSTITUTE(E859, """", """")"),"#REF!")</f>
        <v>#REF!</v>
      </c>
      <c r="B859" s="146"/>
      <c r="C859" s="146"/>
      <c r="D859" s="146"/>
      <c r="E859" s="44"/>
      <c r="F859" s="147"/>
      <c r="G859" s="146"/>
      <c r="H859" s="148"/>
      <c r="I859" s="148"/>
      <c r="J859" s="170"/>
      <c r="K859" s="170"/>
      <c r="L859" s="170"/>
      <c r="M859" s="170"/>
      <c r="N859" s="170"/>
      <c r="O859" s="170"/>
      <c r="P859" s="170"/>
      <c r="Q859" s="170"/>
      <c r="R859" s="170"/>
      <c r="S859" s="153"/>
      <c r="T859" s="171"/>
      <c r="U859" s="156" t="str">
        <f t="shared" si="8"/>
        <v>#DIV/0!</v>
      </c>
      <c r="V859" s="172">
        <v>300.0</v>
      </c>
      <c r="W859" s="173"/>
    </row>
    <row r="860" ht="22.5" customHeight="1">
      <c r="A86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SUBSTITUTE(E860, """", """")"),"#REF!")</f>
        <v>#REF!</v>
      </c>
      <c r="B860" s="146"/>
      <c r="C860" s="146"/>
      <c r="D860" s="146"/>
      <c r="E860" s="44"/>
      <c r="F860" s="147"/>
      <c r="G860" s="146"/>
      <c r="H860" s="148"/>
      <c r="I860" s="148"/>
      <c r="J860" s="170"/>
      <c r="K860" s="170"/>
      <c r="L860" s="170"/>
      <c r="M860" s="170"/>
      <c r="N860" s="170"/>
      <c r="O860" s="170"/>
      <c r="P860" s="170"/>
      <c r="Q860" s="170"/>
      <c r="R860" s="170"/>
      <c r="S860" s="153"/>
      <c r="T860" s="171"/>
      <c r="U860" s="156" t="str">
        <f t="shared" si="8"/>
        <v>#DIV/0!</v>
      </c>
      <c r="V860" s="172">
        <v>300.0</v>
      </c>
      <c r="W860" s="173"/>
    </row>
    <row r="861" ht="22.5" customHeight="1">
      <c r="A86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SUBSTITUTE(E861, """", """")"),"#REF!")</f>
        <v>#REF!</v>
      </c>
      <c r="B861" s="146"/>
      <c r="C861" s="146"/>
      <c r="D861" s="146"/>
      <c r="E861" s="44"/>
      <c r="F861" s="147"/>
      <c r="G861" s="146"/>
      <c r="H861" s="148"/>
      <c r="I861" s="148"/>
      <c r="J861" s="170"/>
      <c r="K861" s="170"/>
      <c r="L861" s="170"/>
      <c r="M861" s="170"/>
      <c r="N861" s="170"/>
      <c r="O861" s="170"/>
      <c r="P861" s="170"/>
      <c r="Q861" s="170"/>
      <c r="R861" s="170"/>
      <c r="S861" s="153"/>
      <c r="T861" s="171"/>
      <c r="U861" s="156" t="str">
        <f t="shared" si="8"/>
        <v>#DIV/0!</v>
      </c>
      <c r="V861" s="172">
        <v>300.0</v>
      </c>
      <c r="W861" s="173"/>
    </row>
    <row r="862" ht="22.5" customHeight="1">
      <c r="A86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SUBSTITUTE(E862, """", """")"),"#REF!")</f>
        <v>#REF!</v>
      </c>
      <c r="B862" s="146"/>
      <c r="C862" s="146"/>
      <c r="D862" s="146"/>
      <c r="E862" s="44"/>
      <c r="F862" s="147"/>
      <c r="G862" s="146"/>
      <c r="H862" s="148"/>
      <c r="I862" s="148"/>
      <c r="J862" s="170"/>
      <c r="K862" s="170"/>
      <c r="L862" s="170"/>
      <c r="M862" s="170"/>
      <c r="N862" s="170"/>
      <c r="O862" s="170"/>
      <c r="P862" s="170"/>
      <c r="Q862" s="170"/>
      <c r="R862" s="170"/>
      <c r="S862" s="153"/>
      <c r="T862" s="171"/>
      <c r="U862" s="156" t="str">
        <f t="shared" si="8"/>
        <v>#DIV/0!</v>
      </c>
      <c r="V862" s="172">
        <v>300.0</v>
      </c>
      <c r="W862" s="173"/>
    </row>
    <row r="863" ht="22.5" customHeight="1">
      <c r="A86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SUBSTITUTE(E863, """", """")"),"#REF!")</f>
        <v>#REF!</v>
      </c>
      <c r="B863" s="146"/>
      <c r="C863" s="146"/>
      <c r="D863" s="146"/>
      <c r="E863" s="44"/>
      <c r="F863" s="147"/>
      <c r="G863" s="146"/>
      <c r="H863" s="148"/>
      <c r="I863" s="148"/>
      <c r="J863" s="170"/>
      <c r="K863" s="170"/>
      <c r="L863" s="170"/>
      <c r="M863" s="170"/>
      <c r="N863" s="170"/>
      <c r="O863" s="170"/>
      <c r="P863" s="170"/>
      <c r="Q863" s="170"/>
      <c r="R863" s="170"/>
      <c r="S863" s="153"/>
      <c r="T863" s="171"/>
      <c r="U863" s="156" t="str">
        <f t="shared" si="8"/>
        <v>#DIV/0!</v>
      </c>
      <c r="V863" s="172">
        <v>300.0</v>
      </c>
      <c r="W863" s="173"/>
    </row>
    <row r="864" ht="22.5" customHeight="1">
      <c r="A86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SUBSTITUTE(E864, """", """")"),"#REF!")</f>
        <v>#REF!</v>
      </c>
      <c r="B864" s="146"/>
      <c r="C864" s="146"/>
      <c r="D864" s="146"/>
      <c r="E864" s="44"/>
      <c r="F864" s="147"/>
      <c r="G864" s="146"/>
      <c r="H864" s="148"/>
      <c r="I864" s="148"/>
      <c r="J864" s="170"/>
      <c r="K864" s="170"/>
      <c r="L864" s="170"/>
      <c r="M864" s="170"/>
      <c r="N864" s="170"/>
      <c r="O864" s="170"/>
      <c r="P864" s="170"/>
      <c r="Q864" s="170"/>
      <c r="R864" s="170"/>
      <c r="S864" s="153"/>
      <c r="T864" s="171"/>
      <c r="U864" s="156" t="str">
        <f t="shared" si="8"/>
        <v>#DIV/0!</v>
      </c>
      <c r="V864" s="172">
        <v>300.0</v>
      </c>
      <c r="W864" s="173"/>
    </row>
    <row r="865" ht="22.5" customHeight="1">
      <c r="A86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SUBSTITUTE(E865, """", """")"),"#REF!")</f>
        <v>#REF!</v>
      </c>
      <c r="B865" s="146"/>
      <c r="C865" s="146"/>
      <c r="D865" s="146"/>
      <c r="E865" s="44"/>
      <c r="F865" s="147"/>
      <c r="G865" s="146"/>
      <c r="H865" s="148"/>
      <c r="I865" s="148"/>
      <c r="J865" s="170"/>
      <c r="K865" s="170"/>
      <c r="L865" s="170"/>
      <c r="M865" s="170"/>
      <c r="N865" s="170"/>
      <c r="O865" s="170"/>
      <c r="P865" s="170"/>
      <c r="Q865" s="170"/>
      <c r="R865" s="170"/>
      <c r="S865" s="153"/>
      <c r="T865" s="171"/>
      <c r="U865" s="156" t="str">
        <f t="shared" si="8"/>
        <v>#DIV/0!</v>
      </c>
      <c r="V865" s="172">
        <v>300.0</v>
      </c>
      <c r="W865" s="173"/>
    </row>
    <row r="866" ht="22.5" customHeight="1">
      <c r="A86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SUBSTITUTE(E866, """", """")"),"#REF!")</f>
        <v>#REF!</v>
      </c>
      <c r="B866" s="146"/>
      <c r="C866" s="146"/>
      <c r="D866" s="146"/>
      <c r="E866" s="44"/>
      <c r="F866" s="147"/>
      <c r="G866" s="146"/>
      <c r="H866" s="148"/>
      <c r="I866" s="148"/>
      <c r="J866" s="170"/>
      <c r="K866" s="170"/>
      <c r="L866" s="170"/>
      <c r="M866" s="170"/>
      <c r="N866" s="170"/>
      <c r="O866" s="170"/>
      <c r="P866" s="170"/>
      <c r="Q866" s="170"/>
      <c r="R866" s="170"/>
      <c r="S866" s="153"/>
      <c r="T866" s="171"/>
      <c r="U866" s="156" t="str">
        <f t="shared" si="8"/>
        <v>#DIV/0!</v>
      </c>
      <c r="V866" s="172">
        <v>300.0</v>
      </c>
      <c r="W866" s="173"/>
    </row>
    <row r="867" ht="22.5" customHeight="1">
      <c r="A86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SUBSTITUTE(E867, """", """")"),"#REF!")</f>
        <v>#REF!</v>
      </c>
      <c r="B867" s="146"/>
      <c r="C867" s="146"/>
      <c r="D867" s="146"/>
      <c r="E867" s="44"/>
      <c r="F867" s="147"/>
      <c r="G867" s="146"/>
      <c r="H867" s="148"/>
      <c r="I867" s="148"/>
      <c r="J867" s="170"/>
      <c r="K867" s="170"/>
      <c r="L867" s="170"/>
      <c r="M867" s="170"/>
      <c r="N867" s="170"/>
      <c r="O867" s="170"/>
      <c r="P867" s="170"/>
      <c r="Q867" s="170"/>
      <c r="R867" s="170"/>
      <c r="S867" s="153"/>
      <c r="T867" s="171"/>
      <c r="U867" s="156" t="str">
        <f t="shared" si="8"/>
        <v>#DIV/0!</v>
      </c>
      <c r="V867" s="172">
        <v>300.0</v>
      </c>
      <c r="W867" s="173"/>
    </row>
    <row r="868" ht="22.5" customHeight="1">
      <c r="A86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SUBSTITUTE(E868, """", """")"),"#REF!")</f>
        <v>#REF!</v>
      </c>
      <c r="B868" s="146"/>
      <c r="C868" s="146"/>
      <c r="D868" s="146"/>
      <c r="E868" s="44"/>
      <c r="F868" s="147"/>
      <c r="G868" s="146"/>
      <c r="H868" s="148"/>
      <c r="I868" s="148"/>
      <c r="J868" s="170"/>
      <c r="K868" s="170"/>
      <c r="L868" s="170"/>
      <c r="M868" s="170"/>
      <c r="N868" s="170"/>
      <c r="O868" s="170"/>
      <c r="P868" s="170"/>
      <c r="Q868" s="170"/>
      <c r="R868" s="170"/>
      <c r="S868" s="153"/>
      <c r="T868" s="171"/>
      <c r="U868" s="156" t="str">
        <f t="shared" si="8"/>
        <v>#DIV/0!</v>
      </c>
      <c r="V868" s="172">
        <v>300.0</v>
      </c>
      <c r="W868" s="173"/>
    </row>
    <row r="869" ht="22.5" customHeight="1">
      <c r="A86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SUBSTITUTE(E869, """", """")"),"#REF!")</f>
        <v>#REF!</v>
      </c>
      <c r="B869" s="146"/>
      <c r="C869" s="146"/>
      <c r="D869" s="146"/>
      <c r="E869" s="44"/>
      <c r="F869" s="147"/>
      <c r="G869" s="146"/>
      <c r="H869" s="148"/>
      <c r="I869" s="148"/>
      <c r="J869" s="170"/>
      <c r="K869" s="170"/>
      <c r="L869" s="170"/>
      <c r="M869" s="170"/>
      <c r="N869" s="170"/>
      <c r="O869" s="170"/>
      <c r="P869" s="170"/>
      <c r="Q869" s="170"/>
      <c r="R869" s="170"/>
      <c r="S869" s="153"/>
      <c r="T869" s="171"/>
      <c r="U869" s="156" t="str">
        <f t="shared" si="8"/>
        <v>#DIV/0!</v>
      </c>
      <c r="V869" s="172">
        <v>300.0</v>
      </c>
      <c r="W869" s="173"/>
    </row>
    <row r="870" ht="22.5" customHeight="1">
      <c r="A87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SUBSTITUTE(E870, """", """")"),"#REF!")</f>
        <v>#REF!</v>
      </c>
      <c r="B870" s="146"/>
      <c r="C870" s="146"/>
      <c r="D870" s="146"/>
      <c r="E870" s="44"/>
      <c r="F870" s="147"/>
      <c r="G870" s="146"/>
      <c r="H870" s="148"/>
      <c r="I870" s="148"/>
      <c r="J870" s="170"/>
      <c r="K870" s="170"/>
      <c r="L870" s="170"/>
      <c r="M870" s="170"/>
      <c r="N870" s="170"/>
      <c r="O870" s="170"/>
      <c r="P870" s="170"/>
      <c r="Q870" s="170"/>
      <c r="R870" s="170"/>
      <c r="S870" s="153"/>
      <c r="T870" s="171"/>
      <c r="U870" s="156" t="str">
        <f t="shared" si="8"/>
        <v>#DIV/0!</v>
      </c>
      <c r="V870" s="172">
        <v>300.0</v>
      </c>
      <c r="W870" s="173"/>
    </row>
    <row r="871" ht="22.5" customHeight="1">
      <c r="A87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SUBSTITUTE(E871, """", """")"),"#REF!")</f>
        <v>#REF!</v>
      </c>
      <c r="B871" s="146"/>
      <c r="C871" s="146"/>
      <c r="D871" s="146"/>
      <c r="E871" s="44"/>
      <c r="F871" s="147"/>
      <c r="G871" s="146"/>
      <c r="H871" s="148"/>
      <c r="I871" s="148"/>
      <c r="J871" s="170"/>
      <c r="K871" s="170"/>
      <c r="L871" s="170"/>
      <c r="M871" s="170"/>
      <c r="N871" s="170"/>
      <c r="O871" s="170"/>
      <c r="P871" s="170"/>
      <c r="Q871" s="170"/>
      <c r="R871" s="170"/>
      <c r="S871" s="153"/>
      <c r="T871" s="171"/>
      <c r="U871" s="156" t="str">
        <f t="shared" si="8"/>
        <v>#DIV/0!</v>
      </c>
      <c r="V871" s="172">
        <v>300.0</v>
      </c>
      <c r="W871" s="173"/>
    </row>
    <row r="872" ht="22.5" customHeight="1">
      <c r="A87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SUBSTITUTE(E872, """", """")"),"#REF!")</f>
        <v>#REF!</v>
      </c>
      <c r="B872" s="146"/>
      <c r="C872" s="146"/>
      <c r="D872" s="146"/>
      <c r="E872" s="44"/>
      <c r="F872" s="147"/>
      <c r="G872" s="146"/>
      <c r="H872" s="148"/>
      <c r="I872" s="148"/>
      <c r="J872" s="170"/>
      <c r="K872" s="170"/>
      <c r="L872" s="170"/>
      <c r="M872" s="170"/>
      <c r="N872" s="170"/>
      <c r="O872" s="170"/>
      <c r="P872" s="170"/>
      <c r="Q872" s="170"/>
      <c r="R872" s="170"/>
      <c r="S872" s="153"/>
      <c r="T872" s="171"/>
      <c r="U872" s="156" t="str">
        <f t="shared" si="8"/>
        <v>#DIV/0!</v>
      </c>
      <c r="V872" s="172">
        <v>300.0</v>
      </c>
      <c r="W872" s="173"/>
    </row>
    <row r="873" ht="22.5" customHeight="1">
      <c r="A87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SUBSTITUTE(E873, """", """")"),"#REF!")</f>
        <v>#REF!</v>
      </c>
      <c r="B873" s="146"/>
      <c r="C873" s="146"/>
      <c r="D873" s="146"/>
      <c r="E873" s="44"/>
      <c r="F873" s="147"/>
      <c r="G873" s="146"/>
      <c r="H873" s="148"/>
      <c r="I873" s="148"/>
      <c r="J873" s="170"/>
      <c r="K873" s="170"/>
      <c r="L873" s="170"/>
      <c r="M873" s="170"/>
      <c r="N873" s="170"/>
      <c r="O873" s="170"/>
      <c r="P873" s="170"/>
      <c r="Q873" s="170"/>
      <c r="R873" s="170"/>
      <c r="S873" s="153"/>
      <c r="T873" s="171"/>
      <c r="U873" s="156" t="str">
        <f t="shared" si="8"/>
        <v>#DIV/0!</v>
      </c>
      <c r="V873" s="172">
        <v>300.0</v>
      </c>
      <c r="W873" s="173"/>
    </row>
    <row r="874" ht="22.5" customHeight="1">
      <c r="A87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SUBSTITUTE(E874, """", """")"),"#REF!")</f>
        <v>#REF!</v>
      </c>
      <c r="B874" s="146"/>
      <c r="C874" s="146"/>
      <c r="D874" s="146"/>
      <c r="E874" s="44"/>
      <c r="F874" s="147"/>
      <c r="G874" s="146"/>
      <c r="H874" s="148"/>
      <c r="I874" s="148"/>
      <c r="J874" s="170"/>
      <c r="K874" s="170"/>
      <c r="L874" s="170"/>
      <c r="M874" s="170"/>
      <c r="N874" s="170"/>
      <c r="O874" s="170"/>
      <c r="P874" s="170"/>
      <c r="Q874" s="170"/>
      <c r="R874" s="170"/>
      <c r="S874" s="153"/>
      <c r="T874" s="171"/>
      <c r="U874" s="156" t="str">
        <f t="shared" si="8"/>
        <v>#DIV/0!</v>
      </c>
      <c r="V874" s="172">
        <v>300.0</v>
      </c>
      <c r="W874" s="173"/>
    </row>
    <row r="875" ht="22.5" customHeight="1">
      <c r="A87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SUBSTITUTE(E875, """", """")"),"#REF!")</f>
        <v>#REF!</v>
      </c>
      <c r="B875" s="146"/>
      <c r="C875" s="146"/>
      <c r="D875" s="146"/>
      <c r="E875" s="44"/>
      <c r="F875" s="147"/>
      <c r="G875" s="146"/>
      <c r="H875" s="148"/>
      <c r="I875" s="148"/>
      <c r="J875" s="170"/>
      <c r="K875" s="170"/>
      <c r="L875" s="170"/>
      <c r="M875" s="170"/>
      <c r="N875" s="170"/>
      <c r="O875" s="170"/>
      <c r="P875" s="170"/>
      <c r="Q875" s="170"/>
      <c r="R875" s="170"/>
      <c r="S875" s="153"/>
      <c r="T875" s="171"/>
      <c r="U875" s="156" t="str">
        <f t="shared" si="8"/>
        <v>#DIV/0!</v>
      </c>
      <c r="V875" s="172">
        <v>300.0</v>
      </c>
      <c r="W875" s="173"/>
    </row>
    <row r="876" ht="22.5" customHeight="1">
      <c r="A87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SUBSTITUTE(E876, """", """")"),"#REF!")</f>
        <v>#REF!</v>
      </c>
      <c r="B876" s="146"/>
      <c r="C876" s="146"/>
      <c r="D876" s="146"/>
      <c r="E876" s="44"/>
      <c r="F876" s="147"/>
      <c r="G876" s="146"/>
      <c r="H876" s="148"/>
      <c r="I876" s="148"/>
      <c r="J876" s="170"/>
      <c r="K876" s="170"/>
      <c r="L876" s="170"/>
      <c r="M876" s="170"/>
      <c r="N876" s="170"/>
      <c r="O876" s="170"/>
      <c r="P876" s="170"/>
      <c r="Q876" s="170"/>
      <c r="R876" s="170"/>
      <c r="S876" s="153"/>
      <c r="T876" s="171"/>
      <c r="U876" s="156" t="str">
        <f t="shared" si="8"/>
        <v>#DIV/0!</v>
      </c>
      <c r="V876" s="172">
        <v>300.0</v>
      </c>
      <c r="W876" s="173"/>
    </row>
    <row r="877" ht="22.5" customHeight="1">
      <c r="A87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SUBSTITUTE(E877, """", """")"),"#REF!")</f>
        <v>#REF!</v>
      </c>
      <c r="B877" s="146"/>
      <c r="C877" s="146"/>
      <c r="D877" s="146"/>
      <c r="E877" s="44"/>
      <c r="F877" s="147"/>
      <c r="G877" s="146"/>
      <c r="H877" s="148"/>
      <c r="I877" s="148"/>
      <c r="J877" s="170"/>
      <c r="K877" s="170"/>
      <c r="L877" s="170"/>
      <c r="M877" s="170"/>
      <c r="N877" s="170"/>
      <c r="O877" s="170"/>
      <c r="P877" s="170"/>
      <c r="Q877" s="170"/>
      <c r="R877" s="170"/>
      <c r="S877" s="153"/>
      <c r="T877" s="171"/>
      <c r="U877" s="156" t="str">
        <f t="shared" si="8"/>
        <v>#DIV/0!</v>
      </c>
      <c r="V877" s="172">
        <v>300.0</v>
      </c>
      <c r="W877" s="173"/>
    </row>
    <row r="878" ht="22.5" customHeight="1">
      <c r="A87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SUBSTITUTE(E878, """", """")"),"#REF!")</f>
        <v>#REF!</v>
      </c>
      <c r="B878" s="146"/>
      <c r="C878" s="146"/>
      <c r="D878" s="146"/>
      <c r="E878" s="44"/>
      <c r="F878" s="147"/>
      <c r="G878" s="146"/>
      <c r="H878" s="148"/>
      <c r="I878" s="148"/>
      <c r="J878" s="170"/>
      <c r="K878" s="170"/>
      <c r="L878" s="170"/>
      <c r="M878" s="170"/>
      <c r="N878" s="170"/>
      <c r="O878" s="170"/>
      <c r="P878" s="170"/>
      <c r="Q878" s="170"/>
      <c r="R878" s="170"/>
      <c r="S878" s="153"/>
      <c r="T878" s="171"/>
      <c r="U878" s="156" t="str">
        <f t="shared" si="8"/>
        <v>#DIV/0!</v>
      </c>
      <c r="V878" s="172">
        <v>300.0</v>
      </c>
      <c r="W878" s="173"/>
    </row>
    <row r="879" ht="22.5" customHeight="1">
      <c r="A87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SUBSTITUTE(E879, """", """")"),"#REF!")</f>
        <v>#REF!</v>
      </c>
      <c r="B879" s="146"/>
      <c r="C879" s="146"/>
      <c r="D879" s="146"/>
      <c r="E879" s="44"/>
      <c r="F879" s="147"/>
      <c r="G879" s="146"/>
      <c r="H879" s="148"/>
      <c r="I879" s="148"/>
      <c r="J879" s="170"/>
      <c r="K879" s="170"/>
      <c r="L879" s="170"/>
      <c r="M879" s="170"/>
      <c r="N879" s="170"/>
      <c r="O879" s="170"/>
      <c r="P879" s="170"/>
      <c r="Q879" s="170"/>
      <c r="R879" s="170"/>
      <c r="S879" s="153"/>
      <c r="T879" s="171"/>
      <c r="U879" s="156" t="str">
        <f t="shared" si="8"/>
        <v>#DIV/0!</v>
      </c>
      <c r="V879" s="172">
        <v>300.0</v>
      </c>
      <c r="W879" s="173"/>
    </row>
    <row r="880" ht="22.5" customHeight="1">
      <c r="A88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SUBSTITUTE(E880, """", """")"),"#REF!")</f>
        <v>#REF!</v>
      </c>
      <c r="B880" s="146"/>
      <c r="C880" s="146"/>
      <c r="D880" s="146"/>
      <c r="E880" s="44"/>
      <c r="F880" s="147"/>
      <c r="G880" s="146"/>
      <c r="H880" s="148"/>
      <c r="I880" s="148"/>
      <c r="J880" s="170"/>
      <c r="K880" s="170"/>
      <c r="L880" s="170"/>
      <c r="M880" s="170"/>
      <c r="N880" s="170"/>
      <c r="O880" s="170"/>
      <c r="P880" s="170"/>
      <c r="Q880" s="170"/>
      <c r="R880" s="170"/>
      <c r="S880" s="153"/>
      <c r="T880" s="171"/>
      <c r="U880" s="156" t="str">
        <f t="shared" si="8"/>
        <v>#DIV/0!</v>
      </c>
      <c r="V880" s="172">
        <v>300.0</v>
      </c>
      <c r="W880" s="173"/>
    </row>
    <row r="881" ht="22.5" customHeight="1">
      <c r="A88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SUBSTITUTE(E881, """", """")"),"#REF!")</f>
        <v>#REF!</v>
      </c>
      <c r="B881" s="146"/>
      <c r="C881" s="146"/>
      <c r="D881" s="146"/>
      <c r="E881" s="44"/>
      <c r="F881" s="147"/>
      <c r="G881" s="146"/>
      <c r="H881" s="148"/>
      <c r="I881" s="148"/>
      <c r="J881" s="170"/>
      <c r="K881" s="170"/>
      <c r="L881" s="170"/>
      <c r="M881" s="170"/>
      <c r="N881" s="170"/>
      <c r="O881" s="170"/>
      <c r="P881" s="170"/>
      <c r="Q881" s="170"/>
      <c r="R881" s="170"/>
      <c r="S881" s="153"/>
      <c r="T881" s="171"/>
      <c r="U881" s="156" t="str">
        <f t="shared" si="8"/>
        <v>#DIV/0!</v>
      </c>
      <c r="V881" s="172">
        <v>300.0</v>
      </c>
      <c r="W881" s="173"/>
    </row>
    <row r="882" ht="22.5" customHeight="1">
      <c r="A88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SUBSTITUTE(E882, """", """")"),"#REF!")</f>
        <v>#REF!</v>
      </c>
      <c r="B882" s="146"/>
      <c r="C882" s="146"/>
      <c r="D882" s="146"/>
      <c r="E882" s="44"/>
      <c r="F882" s="147"/>
      <c r="G882" s="146"/>
      <c r="H882" s="148"/>
      <c r="I882" s="148"/>
      <c r="J882" s="170"/>
      <c r="K882" s="170"/>
      <c r="L882" s="170"/>
      <c r="M882" s="170"/>
      <c r="N882" s="170"/>
      <c r="O882" s="170"/>
      <c r="P882" s="170"/>
      <c r="Q882" s="170"/>
      <c r="R882" s="170"/>
      <c r="S882" s="153"/>
      <c r="T882" s="171"/>
      <c r="U882" s="156" t="str">
        <f t="shared" si="8"/>
        <v>#DIV/0!</v>
      </c>
      <c r="V882" s="172">
        <v>300.0</v>
      </c>
      <c r="W882" s="173"/>
    </row>
    <row r="883" ht="22.5" customHeight="1">
      <c r="A88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SUBSTITUTE(E883, """", """")"),"#REF!")</f>
        <v>#REF!</v>
      </c>
      <c r="B883" s="146"/>
      <c r="C883" s="146"/>
      <c r="D883" s="146"/>
      <c r="E883" s="44"/>
      <c r="F883" s="147"/>
      <c r="G883" s="146"/>
      <c r="H883" s="148"/>
      <c r="I883" s="148"/>
      <c r="J883" s="170"/>
      <c r="K883" s="170"/>
      <c r="L883" s="170"/>
      <c r="M883" s="170"/>
      <c r="N883" s="170"/>
      <c r="O883" s="170"/>
      <c r="P883" s="170"/>
      <c r="Q883" s="170"/>
      <c r="R883" s="170"/>
      <c r="S883" s="153"/>
      <c r="T883" s="171"/>
      <c r="U883" s="156" t="str">
        <f t="shared" si="8"/>
        <v>#DIV/0!</v>
      </c>
      <c r="V883" s="172">
        <v>300.0</v>
      </c>
      <c r="W883" s="173"/>
    </row>
    <row r="884" ht="22.5" customHeight="1">
      <c r="A88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SUBSTITUTE(E884, """", """")"),"#REF!")</f>
        <v>#REF!</v>
      </c>
      <c r="B884" s="146"/>
      <c r="C884" s="146"/>
      <c r="D884" s="146"/>
      <c r="E884" s="44"/>
      <c r="F884" s="147"/>
      <c r="G884" s="146"/>
      <c r="H884" s="148"/>
      <c r="I884" s="148"/>
      <c r="J884" s="170"/>
      <c r="K884" s="170"/>
      <c r="L884" s="170"/>
      <c r="M884" s="170"/>
      <c r="N884" s="170"/>
      <c r="O884" s="170"/>
      <c r="P884" s="170"/>
      <c r="Q884" s="170"/>
      <c r="R884" s="170"/>
      <c r="S884" s="153"/>
      <c r="T884" s="171"/>
      <c r="U884" s="156" t="str">
        <f t="shared" si="8"/>
        <v>#DIV/0!</v>
      </c>
      <c r="V884" s="172">
        <v>300.0</v>
      </c>
      <c r="W884" s="173"/>
    </row>
    <row r="885" ht="22.5" customHeight="1">
      <c r="A88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SUBSTITUTE(E885, """", """")"),"#REF!")</f>
        <v>#REF!</v>
      </c>
      <c r="B885" s="146"/>
      <c r="C885" s="146"/>
      <c r="D885" s="146"/>
      <c r="E885" s="44"/>
      <c r="F885" s="147"/>
      <c r="G885" s="146"/>
      <c r="H885" s="148"/>
      <c r="I885" s="148"/>
      <c r="J885" s="170"/>
      <c r="K885" s="170"/>
      <c r="L885" s="170"/>
      <c r="M885" s="170"/>
      <c r="N885" s="170"/>
      <c r="O885" s="170"/>
      <c r="P885" s="170"/>
      <c r="Q885" s="170"/>
      <c r="R885" s="170"/>
      <c r="S885" s="153"/>
      <c r="T885" s="171"/>
      <c r="U885" s="156" t="str">
        <f t="shared" si="8"/>
        <v>#DIV/0!</v>
      </c>
      <c r="V885" s="172">
        <v>300.0</v>
      </c>
      <c r="W885" s="173"/>
    </row>
    <row r="886" ht="22.5" customHeight="1">
      <c r="A88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SUBSTITUTE(E886, """", """")"),"#REF!")</f>
        <v>#REF!</v>
      </c>
      <c r="B886" s="146"/>
      <c r="C886" s="146"/>
      <c r="D886" s="146"/>
      <c r="E886" s="44"/>
      <c r="F886" s="147"/>
      <c r="G886" s="146"/>
      <c r="H886" s="148"/>
      <c r="I886" s="148"/>
      <c r="J886" s="170"/>
      <c r="K886" s="170"/>
      <c r="L886" s="170"/>
      <c r="M886" s="170"/>
      <c r="N886" s="170"/>
      <c r="O886" s="170"/>
      <c r="P886" s="170"/>
      <c r="Q886" s="170"/>
      <c r="R886" s="170"/>
      <c r="S886" s="153"/>
      <c r="T886" s="171"/>
      <c r="U886" s="156" t="str">
        <f t="shared" si="8"/>
        <v>#DIV/0!</v>
      </c>
      <c r="V886" s="172">
        <v>300.0</v>
      </c>
      <c r="W886" s="173"/>
    </row>
    <row r="887" ht="22.5" customHeight="1">
      <c r="A88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SUBSTITUTE(E887, """", """")"),"#REF!")</f>
        <v>#REF!</v>
      </c>
      <c r="B887" s="146"/>
      <c r="C887" s="146"/>
      <c r="D887" s="146"/>
      <c r="E887" s="44"/>
      <c r="F887" s="147"/>
      <c r="G887" s="146"/>
      <c r="H887" s="148"/>
      <c r="I887" s="148"/>
      <c r="J887" s="170"/>
      <c r="K887" s="170"/>
      <c r="L887" s="170"/>
      <c r="M887" s="170"/>
      <c r="N887" s="170"/>
      <c r="O887" s="170"/>
      <c r="P887" s="170"/>
      <c r="Q887" s="170"/>
      <c r="R887" s="170"/>
      <c r="S887" s="153"/>
      <c r="T887" s="171"/>
      <c r="U887" s="156" t="str">
        <f t="shared" si="8"/>
        <v>#DIV/0!</v>
      </c>
      <c r="V887" s="172">
        <v>300.0</v>
      </c>
      <c r="W887" s="173"/>
    </row>
    <row r="888" ht="22.5" customHeight="1">
      <c r="A88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SUBSTITUTE(E888, """", """")"),"#REF!")</f>
        <v>#REF!</v>
      </c>
      <c r="B888" s="146"/>
      <c r="C888" s="146"/>
      <c r="D888" s="146"/>
      <c r="E888" s="44"/>
      <c r="F888" s="147"/>
      <c r="G888" s="146"/>
      <c r="H888" s="148"/>
      <c r="I888" s="148"/>
      <c r="J888" s="170"/>
      <c r="K888" s="170"/>
      <c r="L888" s="170"/>
      <c r="M888" s="170"/>
      <c r="N888" s="170"/>
      <c r="O888" s="170"/>
      <c r="P888" s="170"/>
      <c r="Q888" s="170"/>
      <c r="R888" s="170"/>
      <c r="S888" s="153"/>
      <c r="T888" s="171"/>
      <c r="U888" s="156" t="str">
        <f t="shared" si="8"/>
        <v>#DIV/0!</v>
      </c>
      <c r="V888" s="172">
        <v>300.0</v>
      </c>
      <c r="W888" s="173"/>
    </row>
    <row r="889" ht="22.5" customHeight="1">
      <c r="A88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SUBSTITUTE(E889, """", """")"),"#REF!")</f>
        <v>#REF!</v>
      </c>
      <c r="B889" s="146"/>
      <c r="C889" s="146"/>
      <c r="D889" s="146"/>
      <c r="E889" s="44"/>
      <c r="F889" s="147"/>
      <c r="G889" s="146"/>
      <c r="H889" s="148"/>
      <c r="I889" s="148"/>
      <c r="J889" s="170"/>
      <c r="K889" s="170"/>
      <c r="L889" s="170"/>
      <c r="M889" s="170"/>
      <c r="N889" s="170"/>
      <c r="O889" s="170"/>
      <c r="P889" s="170"/>
      <c r="Q889" s="170"/>
      <c r="R889" s="170"/>
      <c r="S889" s="153"/>
      <c r="T889" s="171"/>
      <c r="U889" s="156" t="str">
        <f t="shared" si="8"/>
        <v>#DIV/0!</v>
      </c>
      <c r="V889" s="172">
        <v>300.0</v>
      </c>
      <c r="W889" s="173"/>
    </row>
    <row r="890" ht="22.5" customHeight="1">
      <c r="A89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SUBSTITUTE(E890, """", """")"),"#REF!")</f>
        <v>#REF!</v>
      </c>
      <c r="B890" s="146"/>
      <c r="C890" s="146"/>
      <c r="D890" s="146"/>
      <c r="E890" s="44"/>
      <c r="F890" s="147"/>
      <c r="G890" s="146"/>
      <c r="H890" s="148"/>
      <c r="I890" s="148"/>
      <c r="J890" s="170"/>
      <c r="K890" s="170"/>
      <c r="L890" s="170"/>
      <c r="M890" s="170"/>
      <c r="N890" s="170"/>
      <c r="O890" s="170"/>
      <c r="P890" s="170"/>
      <c r="Q890" s="170"/>
      <c r="R890" s="170"/>
      <c r="S890" s="153"/>
      <c r="T890" s="171"/>
      <c r="U890" s="156" t="str">
        <f t="shared" si="8"/>
        <v>#DIV/0!</v>
      </c>
      <c r="V890" s="172">
        <v>300.0</v>
      </c>
      <c r="W890" s="173"/>
    </row>
    <row r="891" ht="22.5" customHeight="1">
      <c r="A89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SUBSTITUTE(E891, """", """")"),"#REF!")</f>
        <v>#REF!</v>
      </c>
      <c r="B891" s="146"/>
      <c r="C891" s="146"/>
      <c r="D891" s="146"/>
      <c r="E891" s="44"/>
      <c r="F891" s="147"/>
      <c r="G891" s="146"/>
      <c r="H891" s="148"/>
      <c r="I891" s="148"/>
      <c r="J891" s="170"/>
      <c r="K891" s="170"/>
      <c r="L891" s="170"/>
      <c r="M891" s="170"/>
      <c r="N891" s="170"/>
      <c r="O891" s="170"/>
      <c r="P891" s="170"/>
      <c r="Q891" s="170"/>
      <c r="R891" s="170"/>
      <c r="S891" s="153"/>
      <c r="T891" s="171"/>
      <c r="U891" s="156" t="str">
        <f t="shared" si="8"/>
        <v>#DIV/0!</v>
      </c>
      <c r="V891" s="172">
        <v>300.0</v>
      </c>
      <c r="W891" s="173"/>
    </row>
    <row r="892" ht="22.5" customHeight="1">
      <c r="A89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SUBSTITUTE(E892, """", """")"),"#REF!")</f>
        <v>#REF!</v>
      </c>
      <c r="B892" s="146"/>
      <c r="C892" s="146"/>
      <c r="D892" s="146"/>
      <c r="E892" s="44"/>
      <c r="F892" s="147"/>
      <c r="G892" s="146"/>
      <c r="H892" s="148"/>
      <c r="I892" s="148"/>
      <c r="J892" s="170"/>
      <c r="K892" s="170"/>
      <c r="L892" s="170"/>
      <c r="M892" s="170"/>
      <c r="N892" s="170"/>
      <c r="O892" s="170"/>
      <c r="P892" s="170"/>
      <c r="Q892" s="170"/>
      <c r="R892" s="170"/>
      <c r="S892" s="153"/>
      <c r="T892" s="171"/>
      <c r="U892" s="156" t="str">
        <f t="shared" si="8"/>
        <v>#DIV/0!</v>
      </c>
      <c r="V892" s="172">
        <v>300.0</v>
      </c>
      <c r="W892" s="173"/>
    </row>
    <row r="893" ht="22.5" customHeight="1">
      <c r="A89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SUBSTITUTE(E893, """", """")"),"#REF!")</f>
        <v>#REF!</v>
      </c>
      <c r="B893" s="146"/>
      <c r="C893" s="146"/>
      <c r="D893" s="146"/>
      <c r="E893" s="44"/>
      <c r="F893" s="147"/>
      <c r="G893" s="146"/>
      <c r="H893" s="148"/>
      <c r="I893" s="148"/>
      <c r="J893" s="170"/>
      <c r="K893" s="170"/>
      <c r="L893" s="170"/>
      <c r="M893" s="170"/>
      <c r="N893" s="170"/>
      <c r="O893" s="170"/>
      <c r="P893" s="170"/>
      <c r="Q893" s="170"/>
      <c r="R893" s="170"/>
      <c r="S893" s="153"/>
      <c r="T893" s="171"/>
      <c r="U893" s="156" t="str">
        <f t="shared" si="8"/>
        <v>#DIV/0!</v>
      </c>
      <c r="V893" s="172">
        <v>300.0</v>
      </c>
      <c r="W893" s="173"/>
    </row>
    <row r="894" ht="22.5" customHeight="1">
      <c r="A89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SUBSTITUTE(E894, """", """")"),"#REF!")</f>
        <v>#REF!</v>
      </c>
      <c r="B894" s="146"/>
      <c r="C894" s="146"/>
      <c r="D894" s="146"/>
      <c r="E894" s="44"/>
      <c r="F894" s="147"/>
      <c r="G894" s="146"/>
      <c r="H894" s="148"/>
      <c r="I894" s="148"/>
      <c r="J894" s="170"/>
      <c r="K894" s="170"/>
      <c r="L894" s="170"/>
      <c r="M894" s="170"/>
      <c r="N894" s="170"/>
      <c r="O894" s="170"/>
      <c r="P894" s="170"/>
      <c r="Q894" s="170"/>
      <c r="R894" s="170"/>
      <c r="S894" s="153"/>
      <c r="T894" s="171"/>
      <c r="U894" s="156" t="str">
        <f t="shared" si="8"/>
        <v>#DIV/0!</v>
      </c>
      <c r="V894" s="172">
        <v>300.0</v>
      </c>
      <c r="W894" s="173"/>
    </row>
    <row r="895" ht="22.5" customHeight="1">
      <c r="A89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SUBSTITUTE(E895, """", """")"),"#REF!")</f>
        <v>#REF!</v>
      </c>
      <c r="B895" s="146"/>
      <c r="C895" s="146"/>
      <c r="D895" s="146"/>
      <c r="E895" s="44"/>
      <c r="F895" s="147"/>
      <c r="G895" s="146"/>
      <c r="H895" s="148"/>
      <c r="I895" s="148"/>
      <c r="J895" s="170"/>
      <c r="K895" s="170"/>
      <c r="L895" s="170"/>
      <c r="M895" s="170"/>
      <c r="N895" s="170"/>
      <c r="O895" s="170"/>
      <c r="P895" s="170"/>
      <c r="Q895" s="170"/>
      <c r="R895" s="170"/>
      <c r="S895" s="153"/>
      <c r="T895" s="171"/>
      <c r="U895" s="156" t="str">
        <f t="shared" si="8"/>
        <v>#DIV/0!</v>
      </c>
      <c r="V895" s="172">
        <v>300.0</v>
      </c>
      <c r="W895" s="173"/>
    </row>
    <row r="896" ht="22.5" customHeight="1">
      <c r="A89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SUBSTITUTE(E896, """", """")"),"#REF!")</f>
        <v>#REF!</v>
      </c>
      <c r="B896" s="146"/>
      <c r="C896" s="146"/>
      <c r="D896" s="146"/>
      <c r="E896" s="44"/>
      <c r="F896" s="147"/>
      <c r="G896" s="146"/>
      <c r="H896" s="148"/>
      <c r="I896" s="148"/>
      <c r="J896" s="170"/>
      <c r="K896" s="170"/>
      <c r="L896" s="170"/>
      <c r="M896" s="170"/>
      <c r="N896" s="170"/>
      <c r="O896" s="170"/>
      <c r="P896" s="170"/>
      <c r="Q896" s="170"/>
      <c r="R896" s="170"/>
      <c r="S896" s="153"/>
      <c r="T896" s="171"/>
      <c r="U896" s="156" t="str">
        <f t="shared" si="8"/>
        <v>#DIV/0!</v>
      </c>
      <c r="V896" s="172">
        <v>300.0</v>
      </c>
      <c r="W896" s="173"/>
    </row>
    <row r="897" ht="22.5" customHeight="1">
      <c r="A89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SUBSTITUTE(E897, """", """")"),"#REF!")</f>
        <v>#REF!</v>
      </c>
      <c r="B897" s="146"/>
      <c r="C897" s="146"/>
      <c r="D897" s="146"/>
      <c r="E897" s="44"/>
      <c r="F897" s="147"/>
      <c r="G897" s="146"/>
      <c r="H897" s="148"/>
      <c r="I897" s="148"/>
      <c r="J897" s="170"/>
      <c r="K897" s="170"/>
      <c r="L897" s="170"/>
      <c r="M897" s="170"/>
      <c r="N897" s="170"/>
      <c r="O897" s="170"/>
      <c r="P897" s="170"/>
      <c r="Q897" s="170"/>
      <c r="R897" s="170"/>
      <c r="S897" s="153"/>
      <c r="T897" s="171"/>
      <c r="U897" s="156" t="str">
        <f t="shared" si="8"/>
        <v>#DIV/0!</v>
      </c>
      <c r="V897" s="172">
        <v>300.0</v>
      </c>
      <c r="W897" s="173"/>
    </row>
    <row r="898" ht="22.5" customHeight="1">
      <c r="A89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SUBSTITUTE(E898, """", """")"),"#REF!")</f>
        <v>#REF!</v>
      </c>
      <c r="B898" s="146"/>
      <c r="C898" s="146"/>
      <c r="D898" s="146"/>
      <c r="E898" s="44"/>
      <c r="F898" s="147"/>
      <c r="G898" s="146"/>
      <c r="H898" s="148"/>
      <c r="I898" s="148"/>
      <c r="J898" s="170"/>
      <c r="K898" s="170"/>
      <c r="L898" s="170"/>
      <c r="M898" s="170"/>
      <c r="N898" s="170"/>
      <c r="O898" s="170"/>
      <c r="P898" s="170"/>
      <c r="Q898" s="170"/>
      <c r="R898" s="170"/>
      <c r="S898" s="153"/>
      <c r="T898" s="171"/>
      <c r="U898" s="156" t="str">
        <f t="shared" si="8"/>
        <v>#DIV/0!</v>
      </c>
      <c r="V898" s="172">
        <v>300.0</v>
      </c>
      <c r="W898" s="173"/>
    </row>
    <row r="899" ht="22.5" customHeight="1">
      <c r="A89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SUBSTITUTE(E899, """", """")"),"#REF!")</f>
        <v>#REF!</v>
      </c>
      <c r="B899" s="146"/>
      <c r="C899" s="146"/>
      <c r="D899" s="146"/>
      <c r="E899" s="44"/>
      <c r="F899" s="147"/>
      <c r="G899" s="146"/>
      <c r="H899" s="148"/>
      <c r="I899" s="148"/>
      <c r="J899" s="170"/>
      <c r="K899" s="170"/>
      <c r="L899" s="170"/>
      <c r="M899" s="170"/>
      <c r="N899" s="170"/>
      <c r="O899" s="170"/>
      <c r="P899" s="170"/>
      <c r="Q899" s="170"/>
      <c r="R899" s="170"/>
      <c r="S899" s="153"/>
      <c r="T899" s="171"/>
      <c r="U899" s="156" t="str">
        <f t="shared" si="8"/>
        <v>#DIV/0!</v>
      </c>
      <c r="V899" s="172">
        <v>300.0</v>
      </c>
      <c r="W899" s="173"/>
    </row>
    <row r="900" ht="22.5" customHeight="1">
      <c r="A90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SUBSTITUTE(E900, """", """")"),"#REF!")</f>
        <v>#REF!</v>
      </c>
      <c r="B900" s="146"/>
      <c r="C900" s="146"/>
      <c r="D900" s="146"/>
      <c r="E900" s="44"/>
      <c r="F900" s="147"/>
      <c r="G900" s="146"/>
      <c r="H900" s="148"/>
      <c r="I900" s="148"/>
      <c r="J900" s="170"/>
      <c r="K900" s="170"/>
      <c r="L900" s="170"/>
      <c r="M900" s="170"/>
      <c r="N900" s="170"/>
      <c r="O900" s="170"/>
      <c r="P900" s="170"/>
      <c r="Q900" s="170"/>
      <c r="R900" s="170"/>
      <c r="S900" s="153"/>
      <c r="T900" s="171"/>
      <c r="U900" s="156" t="str">
        <f t="shared" si="8"/>
        <v>#DIV/0!</v>
      </c>
      <c r="V900" s="172">
        <v>300.0</v>
      </c>
      <c r="W900" s="173"/>
    </row>
    <row r="901" ht="22.5" customHeight="1">
      <c r="A90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SUBSTITUTE(E901, """", """")"),"#REF!")</f>
        <v>#REF!</v>
      </c>
      <c r="B901" s="146"/>
      <c r="C901" s="146"/>
      <c r="D901" s="146"/>
      <c r="E901" s="44"/>
      <c r="F901" s="147"/>
      <c r="G901" s="146"/>
      <c r="H901" s="148"/>
      <c r="I901" s="148"/>
      <c r="J901" s="170"/>
      <c r="K901" s="170"/>
      <c r="L901" s="170"/>
      <c r="M901" s="170"/>
      <c r="N901" s="170"/>
      <c r="O901" s="170"/>
      <c r="P901" s="170"/>
      <c r="Q901" s="170"/>
      <c r="R901" s="170"/>
      <c r="S901" s="153"/>
      <c r="T901" s="171"/>
      <c r="U901" s="156" t="str">
        <f t="shared" si="8"/>
        <v>#DIV/0!</v>
      </c>
      <c r="V901" s="172">
        <v>300.0</v>
      </c>
      <c r="W901" s="173"/>
    </row>
    <row r="902" ht="22.5" customHeight="1">
      <c r="A90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SUBSTITUTE(E902, """", """")"),"#REF!")</f>
        <v>#REF!</v>
      </c>
      <c r="B902" s="146"/>
      <c r="C902" s="146"/>
      <c r="D902" s="146"/>
      <c r="E902" s="44"/>
      <c r="F902" s="147"/>
      <c r="G902" s="146"/>
      <c r="H902" s="148"/>
      <c r="I902" s="148"/>
      <c r="J902" s="170"/>
      <c r="K902" s="170"/>
      <c r="L902" s="170"/>
      <c r="M902" s="170"/>
      <c r="N902" s="170"/>
      <c r="O902" s="170"/>
      <c r="P902" s="170"/>
      <c r="Q902" s="170"/>
      <c r="R902" s="170"/>
      <c r="S902" s="153"/>
      <c r="T902" s="171"/>
      <c r="U902" s="156" t="str">
        <f t="shared" si="8"/>
        <v>#DIV/0!</v>
      </c>
      <c r="V902" s="172">
        <v>300.0</v>
      </c>
      <c r="W902" s="173"/>
    </row>
    <row r="903" ht="22.5" customHeight="1">
      <c r="A90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SUBSTITUTE(E903, """", """")"),"#REF!")</f>
        <v>#REF!</v>
      </c>
      <c r="B903" s="146"/>
      <c r="C903" s="146"/>
      <c r="D903" s="146"/>
      <c r="E903" s="44"/>
      <c r="F903" s="147"/>
      <c r="G903" s="146"/>
      <c r="H903" s="148"/>
      <c r="I903" s="148"/>
      <c r="J903" s="170"/>
      <c r="K903" s="170"/>
      <c r="L903" s="170"/>
      <c r="M903" s="170"/>
      <c r="N903" s="170"/>
      <c r="O903" s="170"/>
      <c r="P903" s="170"/>
      <c r="Q903" s="170"/>
      <c r="R903" s="170"/>
      <c r="S903" s="153"/>
      <c r="T903" s="171"/>
      <c r="U903" s="156" t="str">
        <f t="shared" si="8"/>
        <v>#DIV/0!</v>
      </c>
      <c r="V903" s="172">
        <v>300.0</v>
      </c>
      <c r="W903" s="173"/>
    </row>
    <row r="904" ht="22.5" customHeight="1">
      <c r="A90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SUBSTITUTE(E904, """", """")"),"#REF!")</f>
        <v>#REF!</v>
      </c>
      <c r="B904" s="146"/>
      <c r="C904" s="146"/>
      <c r="D904" s="146"/>
      <c r="E904" s="44"/>
      <c r="F904" s="147"/>
      <c r="G904" s="146"/>
      <c r="H904" s="148"/>
      <c r="I904" s="148"/>
      <c r="J904" s="170"/>
      <c r="K904" s="170"/>
      <c r="L904" s="170"/>
      <c r="M904" s="170"/>
      <c r="N904" s="170"/>
      <c r="O904" s="170"/>
      <c r="P904" s="170"/>
      <c r="Q904" s="170"/>
      <c r="R904" s="170"/>
      <c r="S904" s="153"/>
      <c r="T904" s="171"/>
      <c r="U904" s="156" t="str">
        <f t="shared" si="8"/>
        <v>#DIV/0!</v>
      </c>
      <c r="V904" s="172">
        <v>300.0</v>
      </c>
      <c r="W904" s="173"/>
    </row>
    <row r="905" ht="22.5" customHeight="1">
      <c r="A90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SUBSTITUTE(E905, """", """")"),"#REF!")</f>
        <v>#REF!</v>
      </c>
      <c r="B905" s="146"/>
      <c r="C905" s="146"/>
      <c r="D905" s="146"/>
      <c r="E905" s="44"/>
      <c r="F905" s="147"/>
      <c r="G905" s="146"/>
      <c r="H905" s="148"/>
      <c r="I905" s="148"/>
      <c r="J905" s="170"/>
      <c r="K905" s="170"/>
      <c r="L905" s="170"/>
      <c r="M905" s="170"/>
      <c r="N905" s="170"/>
      <c r="O905" s="170"/>
      <c r="P905" s="170"/>
      <c r="Q905" s="170"/>
      <c r="R905" s="170"/>
      <c r="S905" s="153"/>
      <c r="T905" s="171"/>
      <c r="U905" s="156" t="str">
        <f t="shared" si="8"/>
        <v>#DIV/0!</v>
      </c>
      <c r="V905" s="172">
        <v>300.0</v>
      </c>
      <c r="W905" s="173"/>
    </row>
    <row r="906" ht="22.5" customHeight="1">
      <c r="A90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SUBSTITUTE(E906, """", """")"),"#REF!")</f>
        <v>#REF!</v>
      </c>
      <c r="B906" s="146"/>
      <c r="C906" s="146"/>
      <c r="D906" s="146"/>
      <c r="E906" s="44"/>
      <c r="F906" s="147"/>
      <c r="G906" s="146"/>
      <c r="H906" s="148"/>
      <c r="I906" s="148"/>
      <c r="J906" s="170"/>
      <c r="K906" s="170"/>
      <c r="L906" s="170"/>
      <c r="M906" s="170"/>
      <c r="N906" s="170"/>
      <c r="O906" s="170"/>
      <c r="P906" s="170"/>
      <c r="Q906" s="170"/>
      <c r="R906" s="170"/>
      <c r="S906" s="153"/>
      <c r="T906" s="171"/>
      <c r="U906" s="156" t="str">
        <f t="shared" si="8"/>
        <v>#DIV/0!</v>
      </c>
      <c r="V906" s="172">
        <v>300.0</v>
      </c>
      <c r="W906" s="173"/>
    </row>
    <row r="907" ht="22.5" customHeight="1">
      <c r="A90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SUBSTITUTE(E907, """", """")"),"#REF!")</f>
        <v>#REF!</v>
      </c>
      <c r="B907" s="146"/>
      <c r="C907" s="146"/>
      <c r="D907" s="146"/>
      <c r="E907" s="44"/>
      <c r="F907" s="147"/>
      <c r="G907" s="146"/>
      <c r="H907" s="148"/>
      <c r="I907" s="148"/>
      <c r="J907" s="170"/>
      <c r="K907" s="170"/>
      <c r="L907" s="170"/>
      <c r="M907" s="170"/>
      <c r="N907" s="170"/>
      <c r="O907" s="170"/>
      <c r="P907" s="170"/>
      <c r="Q907" s="170"/>
      <c r="R907" s="170"/>
      <c r="S907" s="153"/>
      <c r="T907" s="171"/>
      <c r="U907" s="156" t="str">
        <f t="shared" si="8"/>
        <v>#DIV/0!</v>
      </c>
      <c r="V907" s="172">
        <v>300.0</v>
      </c>
      <c r="W907" s="173"/>
    </row>
    <row r="908" ht="22.5" customHeight="1">
      <c r="A90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SUBSTITUTE(E908, """", """")"),"#REF!")</f>
        <v>#REF!</v>
      </c>
      <c r="B908" s="146"/>
      <c r="C908" s="146"/>
      <c r="D908" s="146"/>
      <c r="E908" s="44"/>
      <c r="F908" s="147"/>
      <c r="G908" s="146"/>
      <c r="H908" s="148"/>
      <c r="I908" s="148"/>
      <c r="J908" s="170"/>
      <c r="K908" s="170"/>
      <c r="L908" s="170"/>
      <c r="M908" s="170"/>
      <c r="N908" s="170"/>
      <c r="O908" s="170"/>
      <c r="P908" s="170"/>
      <c r="Q908" s="170"/>
      <c r="R908" s="170"/>
      <c r="S908" s="153"/>
      <c r="T908" s="171"/>
      <c r="U908" s="156" t="str">
        <f t="shared" si="8"/>
        <v>#DIV/0!</v>
      </c>
      <c r="V908" s="172">
        <v>300.0</v>
      </c>
      <c r="W908" s="173"/>
    </row>
    <row r="909" ht="22.5" customHeight="1">
      <c r="A90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SUBSTITUTE(E909, """", """")"),"#REF!")</f>
        <v>#REF!</v>
      </c>
      <c r="B909" s="146"/>
      <c r="C909" s="146"/>
      <c r="D909" s="146"/>
      <c r="E909" s="44"/>
      <c r="F909" s="147"/>
      <c r="G909" s="146"/>
      <c r="H909" s="148"/>
      <c r="I909" s="148"/>
      <c r="J909" s="170"/>
      <c r="K909" s="170"/>
      <c r="L909" s="170"/>
      <c r="M909" s="170"/>
      <c r="N909" s="170"/>
      <c r="O909" s="170"/>
      <c r="P909" s="170"/>
      <c r="Q909" s="170"/>
      <c r="R909" s="170"/>
      <c r="S909" s="153"/>
      <c r="T909" s="171"/>
      <c r="U909" s="156" t="str">
        <f t="shared" si="8"/>
        <v>#DIV/0!</v>
      </c>
      <c r="V909" s="172">
        <v>300.0</v>
      </c>
      <c r="W909" s="173"/>
    </row>
    <row r="910" ht="22.5" customHeight="1">
      <c r="A91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SUBSTITUTE(E910, """", """")"),"#REF!")</f>
        <v>#REF!</v>
      </c>
      <c r="B910" s="146"/>
      <c r="C910" s="146"/>
      <c r="D910" s="146"/>
      <c r="E910" s="44"/>
      <c r="F910" s="147"/>
      <c r="G910" s="146"/>
      <c r="H910" s="148"/>
      <c r="I910" s="148"/>
      <c r="J910" s="170"/>
      <c r="K910" s="170"/>
      <c r="L910" s="170"/>
      <c r="M910" s="170"/>
      <c r="N910" s="170"/>
      <c r="O910" s="170"/>
      <c r="P910" s="170"/>
      <c r="Q910" s="170"/>
      <c r="R910" s="170"/>
      <c r="S910" s="153"/>
      <c r="T910" s="171"/>
      <c r="U910" s="156" t="str">
        <f t="shared" si="8"/>
        <v>#DIV/0!</v>
      </c>
      <c r="V910" s="172">
        <v>300.0</v>
      </c>
      <c r="W910" s="173"/>
    </row>
    <row r="911" ht="22.5" customHeight="1">
      <c r="A91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SUBSTITUTE(E911, """", """")"),"#REF!")</f>
        <v>#REF!</v>
      </c>
      <c r="B911" s="146"/>
      <c r="C911" s="146"/>
      <c r="D911" s="146"/>
      <c r="E911" s="44"/>
      <c r="F911" s="147"/>
      <c r="G911" s="146"/>
      <c r="H911" s="148"/>
      <c r="I911" s="148"/>
      <c r="J911" s="170"/>
      <c r="K911" s="170"/>
      <c r="L911" s="170"/>
      <c r="M911" s="170"/>
      <c r="N911" s="170"/>
      <c r="O911" s="170"/>
      <c r="P911" s="170"/>
      <c r="Q911" s="170"/>
      <c r="R911" s="170"/>
      <c r="S911" s="153"/>
      <c r="T911" s="171"/>
      <c r="U911" s="156" t="str">
        <f t="shared" si="8"/>
        <v>#DIV/0!</v>
      </c>
      <c r="V911" s="172">
        <v>300.0</v>
      </c>
      <c r="W911" s="173"/>
    </row>
    <row r="912" ht="22.5" customHeight="1">
      <c r="A91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SUBSTITUTE(E912, """", """")"),"#REF!")</f>
        <v>#REF!</v>
      </c>
      <c r="B912" s="146"/>
      <c r="C912" s="146"/>
      <c r="D912" s="146"/>
      <c r="E912" s="44"/>
      <c r="F912" s="147"/>
      <c r="G912" s="146"/>
      <c r="H912" s="148"/>
      <c r="I912" s="148"/>
      <c r="J912" s="170"/>
      <c r="K912" s="170"/>
      <c r="L912" s="170"/>
      <c r="M912" s="170"/>
      <c r="N912" s="170"/>
      <c r="O912" s="170"/>
      <c r="P912" s="170"/>
      <c r="Q912" s="170"/>
      <c r="R912" s="170"/>
      <c r="S912" s="153"/>
      <c r="T912" s="171"/>
      <c r="U912" s="156" t="str">
        <f t="shared" si="8"/>
        <v>#DIV/0!</v>
      </c>
      <c r="V912" s="172">
        <v>300.0</v>
      </c>
      <c r="W912" s="173"/>
    </row>
    <row r="913" ht="22.5" customHeight="1">
      <c r="A91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SUBSTITUTE(E913, """", """")"),"#REF!")</f>
        <v>#REF!</v>
      </c>
      <c r="B913" s="146"/>
      <c r="C913" s="146"/>
      <c r="D913" s="146"/>
      <c r="E913" s="44"/>
      <c r="F913" s="147"/>
      <c r="G913" s="146"/>
      <c r="H913" s="148"/>
      <c r="I913" s="148"/>
      <c r="J913" s="170"/>
      <c r="K913" s="170"/>
      <c r="L913" s="170"/>
      <c r="M913" s="170"/>
      <c r="N913" s="170"/>
      <c r="O913" s="170"/>
      <c r="P913" s="170"/>
      <c r="Q913" s="170"/>
      <c r="R913" s="170"/>
      <c r="S913" s="153"/>
      <c r="T913" s="171"/>
      <c r="U913" s="156" t="str">
        <f t="shared" si="8"/>
        <v>#DIV/0!</v>
      </c>
      <c r="V913" s="172">
        <v>300.0</v>
      </c>
      <c r="W913" s="173"/>
    </row>
    <row r="914" ht="22.5" customHeight="1">
      <c r="A91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SUBSTITUTE(E914, """", """")"),"#REF!")</f>
        <v>#REF!</v>
      </c>
      <c r="B914" s="146"/>
      <c r="C914" s="146"/>
      <c r="D914" s="146"/>
      <c r="E914" s="44"/>
      <c r="F914" s="147"/>
      <c r="G914" s="146"/>
      <c r="H914" s="148"/>
      <c r="I914" s="148"/>
      <c r="J914" s="170"/>
      <c r="K914" s="170"/>
      <c r="L914" s="170"/>
      <c r="M914" s="170"/>
      <c r="N914" s="170"/>
      <c r="O914" s="170"/>
      <c r="P914" s="170"/>
      <c r="Q914" s="170"/>
      <c r="R914" s="170"/>
      <c r="S914" s="153"/>
      <c r="T914" s="171"/>
      <c r="U914" s="156" t="str">
        <f t="shared" si="8"/>
        <v>#DIV/0!</v>
      </c>
      <c r="V914" s="172">
        <v>300.0</v>
      </c>
      <c r="W914" s="173"/>
    </row>
    <row r="915" ht="22.5" customHeight="1">
      <c r="A91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SUBSTITUTE(E915, """", """")"),"#REF!")</f>
        <v>#REF!</v>
      </c>
      <c r="B915" s="146"/>
      <c r="C915" s="146"/>
      <c r="D915" s="146"/>
      <c r="E915" s="44"/>
      <c r="F915" s="147"/>
      <c r="G915" s="146"/>
      <c r="H915" s="148"/>
      <c r="I915" s="148"/>
      <c r="J915" s="170"/>
      <c r="K915" s="170"/>
      <c r="L915" s="170"/>
      <c r="M915" s="170"/>
      <c r="N915" s="170"/>
      <c r="O915" s="170"/>
      <c r="P915" s="170"/>
      <c r="Q915" s="170"/>
      <c r="R915" s="170"/>
      <c r="S915" s="153"/>
      <c r="T915" s="171"/>
      <c r="U915" s="156" t="str">
        <f t="shared" si="8"/>
        <v>#DIV/0!</v>
      </c>
      <c r="V915" s="172">
        <v>300.0</v>
      </c>
      <c r="W915" s="173"/>
    </row>
    <row r="916" ht="22.5" customHeight="1">
      <c r="A91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SUBSTITUTE(E916, """", """")"),"#REF!")</f>
        <v>#REF!</v>
      </c>
      <c r="B916" s="146"/>
      <c r="C916" s="146"/>
      <c r="D916" s="146"/>
      <c r="E916" s="44"/>
      <c r="F916" s="147"/>
      <c r="G916" s="146"/>
      <c r="H916" s="148"/>
      <c r="I916" s="148"/>
      <c r="J916" s="170"/>
      <c r="K916" s="170"/>
      <c r="L916" s="170"/>
      <c r="M916" s="170"/>
      <c r="N916" s="170"/>
      <c r="O916" s="170"/>
      <c r="P916" s="170"/>
      <c r="Q916" s="170"/>
      <c r="R916" s="170"/>
      <c r="S916" s="153"/>
      <c r="T916" s="171"/>
      <c r="U916" s="156" t="str">
        <f t="shared" si="8"/>
        <v>#DIV/0!</v>
      </c>
      <c r="V916" s="172">
        <v>300.0</v>
      </c>
      <c r="W916" s="173"/>
    </row>
    <row r="917" ht="22.5" customHeight="1">
      <c r="A91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SUBSTITUTE(E917, """", """")"),"#REF!")</f>
        <v>#REF!</v>
      </c>
      <c r="B917" s="146"/>
      <c r="C917" s="146"/>
      <c r="D917" s="146"/>
      <c r="E917" s="44"/>
      <c r="F917" s="147"/>
      <c r="G917" s="146"/>
      <c r="H917" s="148"/>
      <c r="I917" s="148"/>
      <c r="J917" s="170"/>
      <c r="K917" s="170"/>
      <c r="L917" s="170"/>
      <c r="M917" s="170"/>
      <c r="N917" s="170"/>
      <c r="O917" s="170"/>
      <c r="P917" s="170"/>
      <c r="Q917" s="170"/>
      <c r="R917" s="170"/>
      <c r="S917" s="153"/>
      <c r="T917" s="171"/>
      <c r="U917" s="156" t="str">
        <f t="shared" si="8"/>
        <v>#DIV/0!</v>
      </c>
      <c r="V917" s="172">
        <v>300.0</v>
      </c>
      <c r="W917" s="173"/>
    </row>
    <row r="918" ht="22.5" customHeight="1">
      <c r="A91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SUBSTITUTE(E918, """", """")"),"#REF!")</f>
        <v>#REF!</v>
      </c>
      <c r="B918" s="146"/>
      <c r="C918" s="146"/>
      <c r="D918" s="146"/>
      <c r="E918" s="44"/>
      <c r="F918" s="147"/>
      <c r="G918" s="146"/>
      <c r="H918" s="148"/>
      <c r="I918" s="148"/>
      <c r="J918" s="170"/>
      <c r="K918" s="170"/>
      <c r="L918" s="170"/>
      <c r="M918" s="170"/>
      <c r="N918" s="170"/>
      <c r="O918" s="170"/>
      <c r="P918" s="170"/>
      <c r="Q918" s="170"/>
      <c r="R918" s="170"/>
      <c r="S918" s="153"/>
      <c r="T918" s="171"/>
      <c r="U918" s="156" t="str">
        <f t="shared" si="8"/>
        <v>#DIV/0!</v>
      </c>
      <c r="V918" s="172">
        <v>300.0</v>
      </c>
      <c r="W918" s="173"/>
    </row>
    <row r="919" ht="22.5" customHeight="1">
      <c r="A91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SUBSTITUTE(E919, """", """")"),"#REF!")</f>
        <v>#REF!</v>
      </c>
      <c r="B919" s="146"/>
      <c r="C919" s="146"/>
      <c r="D919" s="146"/>
      <c r="E919" s="44"/>
      <c r="F919" s="147"/>
      <c r="G919" s="146"/>
      <c r="H919" s="148"/>
      <c r="I919" s="148"/>
      <c r="J919" s="170"/>
      <c r="K919" s="170"/>
      <c r="L919" s="170"/>
      <c r="M919" s="170"/>
      <c r="N919" s="170"/>
      <c r="O919" s="170"/>
      <c r="P919" s="170"/>
      <c r="Q919" s="170"/>
      <c r="R919" s="170"/>
      <c r="S919" s="153"/>
      <c r="T919" s="171"/>
      <c r="U919" s="156" t="str">
        <f t="shared" si="8"/>
        <v>#DIV/0!</v>
      </c>
      <c r="V919" s="172">
        <v>300.0</v>
      </c>
      <c r="W919" s="173"/>
    </row>
    <row r="920" ht="22.5" customHeight="1">
      <c r="A92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SUBSTITUTE(E920, """", """")"),"#REF!")</f>
        <v>#REF!</v>
      </c>
      <c r="B920" s="146"/>
      <c r="C920" s="146"/>
      <c r="D920" s="146"/>
      <c r="E920" s="44"/>
      <c r="F920" s="147"/>
      <c r="G920" s="146"/>
      <c r="H920" s="148"/>
      <c r="I920" s="148"/>
      <c r="J920" s="170"/>
      <c r="K920" s="170"/>
      <c r="L920" s="170"/>
      <c r="M920" s="170"/>
      <c r="N920" s="170"/>
      <c r="O920" s="170"/>
      <c r="P920" s="170"/>
      <c r="Q920" s="170"/>
      <c r="R920" s="170"/>
      <c r="S920" s="153"/>
      <c r="T920" s="171"/>
      <c r="U920" s="156" t="str">
        <f t="shared" si="8"/>
        <v>#DIV/0!</v>
      </c>
      <c r="V920" s="172">
        <v>300.0</v>
      </c>
      <c r="W920" s="173"/>
    </row>
    <row r="921" ht="22.5" customHeight="1">
      <c r="A92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SUBSTITUTE(E921, """", """")"),"#REF!")</f>
        <v>#REF!</v>
      </c>
      <c r="B921" s="146"/>
      <c r="C921" s="146"/>
      <c r="D921" s="146"/>
      <c r="E921" s="44"/>
      <c r="F921" s="147"/>
      <c r="G921" s="146"/>
      <c r="H921" s="148"/>
      <c r="I921" s="148"/>
      <c r="J921" s="170"/>
      <c r="K921" s="170"/>
      <c r="L921" s="170"/>
      <c r="M921" s="170"/>
      <c r="N921" s="170"/>
      <c r="O921" s="170"/>
      <c r="P921" s="170"/>
      <c r="Q921" s="170"/>
      <c r="R921" s="170"/>
      <c r="S921" s="153"/>
      <c r="T921" s="171"/>
      <c r="U921" s="156" t="str">
        <f t="shared" si="8"/>
        <v>#DIV/0!</v>
      </c>
      <c r="V921" s="172">
        <v>300.0</v>
      </c>
      <c r="W921" s="173"/>
    </row>
    <row r="922" ht="22.5" customHeight="1">
      <c r="A922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SUBSTITUTE(E922, """", """")"),"#REF!")</f>
        <v>#REF!</v>
      </c>
      <c r="B922" s="146"/>
      <c r="C922" s="146"/>
      <c r="D922" s="146"/>
      <c r="E922" s="44"/>
      <c r="F922" s="147"/>
      <c r="G922" s="146"/>
      <c r="H922" s="148"/>
      <c r="I922" s="148"/>
      <c r="J922" s="170"/>
      <c r="K922" s="170"/>
      <c r="L922" s="170"/>
      <c r="M922" s="170"/>
      <c r="N922" s="170"/>
      <c r="O922" s="170"/>
      <c r="P922" s="170"/>
      <c r="Q922" s="170"/>
      <c r="R922" s="170"/>
      <c r="S922" s="153"/>
      <c r="T922" s="171"/>
      <c r="U922" s="156" t="str">
        <f t="shared" si="8"/>
        <v>#DIV/0!</v>
      </c>
      <c r="V922" s="172">
        <v>300.0</v>
      </c>
      <c r="W922" s="173"/>
    </row>
    <row r="923" ht="22.5" customHeight="1">
      <c r="A923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SUBSTITUTE(E923, """", """")"),"#REF!")</f>
        <v>#REF!</v>
      </c>
      <c r="B923" s="146"/>
      <c r="C923" s="146"/>
      <c r="D923" s="146"/>
      <c r="E923" s="44"/>
      <c r="F923" s="147"/>
      <c r="G923" s="146"/>
      <c r="H923" s="148"/>
      <c r="I923" s="148"/>
      <c r="J923" s="170"/>
      <c r="K923" s="170"/>
      <c r="L923" s="170"/>
      <c r="M923" s="170"/>
      <c r="N923" s="170"/>
      <c r="O923" s="170"/>
      <c r="P923" s="170"/>
      <c r="Q923" s="170"/>
      <c r="R923" s="170"/>
      <c r="S923" s="153"/>
      <c r="T923" s="171"/>
      <c r="U923" s="156" t="str">
        <f t="shared" si="8"/>
        <v>#DIV/0!</v>
      </c>
      <c r="V923" s="172">
        <v>300.0</v>
      </c>
      <c r="W923" s="173"/>
    </row>
    <row r="924" ht="22.5" customHeight="1">
      <c r="A924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SUBSTITUTE(E924, """", """")"),"#REF!")</f>
        <v>#REF!</v>
      </c>
      <c r="B924" s="146"/>
      <c r="C924" s="146"/>
      <c r="D924" s="146"/>
      <c r="E924" s="44"/>
      <c r="F924" s="147"/>
      <c r="G924" s="146"/>
      <c r="H924" s="148"/>
      <c r="I924" s="148"/>
      <c r="J924" s="170"/>
      <c r="K924" s="170"/>
      <c r="L924" s="170"/>
      <c r="M924" s="170"/>
      <c r="N924" s="170"/>
      <c r="O924" s="170"/>
      <c r="P924" s="170"/>
      <c r="Q924" s="170"/>
      <c r="R924" s="170"/>
      <c r="S924" s="153"/>
      <c r="T924" s="171"/>
      <c r="U924" s="156" t="str">
        <f t="shared" si="8"/>
        <v>#DIV/0!</v>
      </c>
      <c r="V924" s="172">
        <v>300.0</v>
      </c>
      <c r="W924" s="173"/>
    </row>
    <row r="925" ht="22.5" customHeight="1">
      <c r="A925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SUBSTITUTE(E925, """", """")"),"#REF!")</f>
        <v>#REF!</v>
      </c>
      <c r="B925" s="146"/>
      <c r="C925" s="146"/>
      <c r="D925" s="146"/>
      <c r="E925" s="44"/>
      <c r="F925" s="147"/>
      <c r="G925" s="146"/>
      <c r="H925" s="148"/>
      <c r="I925" s="148"/>
      <c r="J925" s="170"/>
      <c r="K925" s="170"/>
      <c r="L925" s="170"/>
      <c r="M925" s="170"/>
      <c r="N925" s="170"/>
      <c r="O925" s="170"/>
      <c r="P925" s="170"/>
      <c r="Q925" s="170"/>
      <c r="R925" s="170"/>
      <c r="S925" s="153"/>
      <c r="T925" s="171"/>
      <c r="U925" s="156" t="str">
        <f t="shared" si="8"/>
        <v>#DIV/0!</v>
      </c>
      <c r="V925" s="172">
        <v>300.0</v>
      </c>
      <c r="W925" s="173"/>
    </row>
    <row r="926" ht="22.5" customHeight="1">
      <c r="A926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SUBSTITUTE(E926, """", """")"),"#REF!")</f>
        <v>#REF!</v>
      </c>
      <c r="B926" s="146"/>
      <c r="C926" s="146"/>
      <c r="D926" s="146"/>
      <c r="E926" s="44"/>
      <c r="F926" s="147"/>
      <c r="G926" s="146"/>
      <c r="H926" s="148"/>
      <c r="I926" s="148"/>
      <c r="J926" s="170"/>
      <c r="K926" s="170"/>
      <c r="L926" s="170"/>
      <c r="M926" s="170"/>
      <c r="N926" s="170"/>
      <c r="O926" s="170"/>
      <c r="P926" s="170"/>
      <c r="Q926" s="170"/>
      <c r="R926" s="170"/>
      <c r="S926" s="153"/>
      <c r="T926" s="171"/>
      <c r="U926" s="156" t="str">
        <f t="shared" si="8"/>
        <v>#DIV/0!</v>
      </c>
      <c r="V926" s="172">
        <v>300.0</v>
      </c>
      <c r="W926" s="173"/>
    </row>
    <row r="927" ht="22.5" customHeight="1">
      <c r="A927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SUBSTITUTE(E927, """", """")"),"#REF!")</f>
        <v>#REF!</v>
      </c>
      <c r="B927" s="146"/>
      <c r="C927" s="146"/>
      <c r="D927" s="146"/>
      <c r="E927" s="44"/>
      <c r="F927" s="147"/>
      <c r="G927" s="146"/>
      <c r="H927" s="148"/>
      <c r="I927" s="148"/>
      <c r="J927" s="170"/>
      <c r="K927" s="170"/>
      <c r="L927" s="170"/>
      <c r="M927" s="170"/>
      <c r="N927" s="170"/>
      <c r="O927" s="170"/>
      <c r="P927" s="170"/>
      <c r="Q927" s="170"/>
      <c r="R927" s="170"/>
      <c r="S927" s="153"/>
      <c r="T927" s="171"/>
      <c r="U927" s="156" t="str">
        <f t="shared" si="8"/>
        <v>#DIV/0!</v>
      </c>
      <c r="V927" s="172">
        <v>300.0</v>
      </c>
      <c r="W927" s="173"/>
    </row>
    <row r="928" ht="22.5" customHeight="1">
      <c r="A928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SUBSTITUTE(E928, """", """")"),"#REF!")</f>
        <v>#REF!</v>
      </c>
      <c r="B928" s="146"/>
      <c r="C928" s="146"/>
      <c r="D928" s="146"/>
      <c r="E928" s="44"/>
      <c r="F928" s="147"/>
      <c r="G928" s="146"/>
      <c r="H928" s="148"/>
      <c r="I928" s="148"/>
      <c r="J928" s="170"/>
      <c r="K928" s="170"/>
      <c r="L928" s="170"/>
      <c r="M928" s="170"/>
      <c r="N928" s="170"/>
      <c r="O928" s="170"/>
      <c r="P928" s="170"/>
      <c r="Q928" s="170"/>
      <c r="R928" s="170"/>
      <c r="S928" s="153"/>
      <c r="T928" s="171"/>
      <c r="U928" s="156" t="str">
        <f t="shared" si="8"/>
        <v>#DIV/0!</v>
      </c>
      <c r="V928" s="172">
        <v>300.0</v>
      </c>
      <c r="W928" s="173"/>
    </row>
    <row r="929" ht="22.5" customHeight="1">
      <c r="A929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SUBSTITUTE(E929, """", """")"),"#REF!")</f>
        <v>#REF!</v>
      </c>
      <c r="B929" s="146"/>
      <c r="C929" s="146"/>
      <c r="D929" s="146"/>
      <c r="E929" s="44"/>
      <c r="F929" s="147"/>
      <c r="G929" s="146"/>
      <c r="H929" s="148"/>
      <c r="I929" s="148"/>
      <c r="J929" s="170"/>
      <c r="K929" s="170"/>
      <c r="L929" s="170"/>
      <c r="M929" s="170"/>
      <c r="N929" s="170"/>
      <c r="O929" s="170"/>
      <c r="P929" s="170"/>
      <c r="Q929" s="170"/>
      <c r="R929" s="170"/>
      <c r="S929" s="153"/>
      <c r="T929" s="171"/>
      <c r="U929" s="156" t="str">
        <f t="shared" si="8"/>
        <v>#DIV/0!</v>
      </c>
      <c r="V929" s="172">
        <v>300.0</v>
      </c>
      <c r="W929" s="173"/>
    </row>
    <row r="930" ht="22.5" customHeight="1">
      <c r="A930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SUBSTITUTE(E930, """", """")"),"#REF!")</f>
        <v>#REF!</v>
      </c>
      <c r="B930" s="146"/>
      <c r="C930" s="146"/>
      <c r="D930" s="146"/>
      <c r="E930" s="44"/>
      <c r="F930" s="147"/>
      <c r="G930" s="146"/>
      <c r="H930" s="148"/>
      <c r="I930" s="148"/>
      <c r="J930" s="170"/>
      <c r="K930" s="170"/>
      <c r="L930" s="170"/>
      <c r="M930" s="170"/>
      <c r="N930" s="170"/>
      <c r="O930" s="170"/>
      <c r="P930" s="170"/>
      <c r="Q930" s="170"/>
      <c r="R930" s="170"/>
      <c r="S930" s="153"/>
      <c r="T930" s="171"/>
      <c r="U930" s="156" t="str">
        <f t="shared" si="8"/>
        <v>#DIV/0!</v>
      </c>
      <c r="V930" s="172">
        <v>300.0</v>
      </c>
      <c r="W930" s="173"/>
    </row>
    <row r="931" ht="22.5" customHeight="1">
      <c r="A931" s="44" t="str">
        <f>IFERROR(__xludf.DUMMYFUNCTION("""R-TP-"" &amp; IFS(REGEXMATCH(#REF!, ""Satchel Envelope""), ""ESB"", REGEXMATCH(#REF!, ""Satchel Window""), ""WSB"", REGEXMATCH(#REF!, ""Satchel Aluminium""), ""ASB"", REGEXMATCH(#REF!, ""Satchel Bag""), ""SB"", REGEXMATCH(#REF!, ""Satchel""), ""FSB"", REGEX"&amp;"MATCH(#REF!, ""SOS Bag""), ""PB"", REGEXMATCH(#REF!, ""Paper Bag Handle""), ""PBT"", TRUE, """") &amp; ""-"" &amp; IFS(REGEXMATCH(#REF!, ""Greaseproof""), ""W"", REGEXMATCH(#REF!, ""Brown Kraft""), ""B"", REGEXMATCH(#REF!, ""Brown Kraft + Coating""), ""B"", REGEX"&amp;"MATCH(#REF!, ""HVS + coating""), ""W"", REGEXMATCH(#REF!, ""White Kraft""), ""W"", REGEXMATCH(#REF!, ""Alumin""), ""W"", TRUE, """") &amp; ""-"" &amp; SUBSTITUTE(E931, """", """")"),"#REF!")</f>
        <v>#REF!</v>
      </c>
      <c r="B931" s="146"/>
      <c r="C931" s="146"/>
      <c r="D931" s="146"/>
      <c r="E931" s="44"/>
      <c r="F931" s="147"/>
      <c r="G931" s="146"/>
      <c r="H931" s="148"/>
      <c r="I931" s="148"/>
      <c r="J931" s="170"/>
      <c r="K931" s="170"/>
      <c r="L931" s="170"/>
      <c r="M931" s="170"/>
      <c r="N931" s="170"/>
      <c r="O931" s="170"/>
      <c r="P931" s="170"/>
      <c r="Q931" s="170"/>
      <c r="R931" s="170"/>
      <c r="S931" s="153"/>
      <c r="T931" s="171"/>
      <c r="U931" s="156" t="str">
        <f t="shared" si="8"/>
        <v>#DIV/0!</v>
      </c>
      <c r="V931" s="172">
        <v>300.0</v>
      </c>
      <c r="W931" s="173"/>
    </row>
    <row r="932" ht="22.5" customHeight="1">
      <c r="F932" s="65"/>
    </row>
    <row r="933" ht="22.5" customHeight="1">
      <c r="F933" s="65"/>
    </row>
    <row r="934" ht="22.5" customHeight="1">
      <c r="F934" s="65"/>
    </row>
    <row r="935" ht="22.5" customHeight="1">
      <c r="F935" s="65"/>
    </row>
    <row r="936" ht="22.5" customHeight="1">
      <c r="F936" s="65"/>
    </row>
  </sheetData>
  <mergeCells count="9">
    <mergeCell ref="S3:U4"/>
    <mergeCell ref="V3:W4"/>
    <mergeCell ref="B1:C4"/>
    <mergeCell ref="D1:I4"/>
    <mergeCell ref="J1:R2"/>
    <mergeCell ref="S1:W2"/>
    <mergeCell ref="J3:L4"/>
    <mergeCell ref="M3:O4"/>
    <mergeCell ref="P3:R4"/>
  </mergeCells>
  <dataValidations>
    <dataValidation type="list" allowBlank="1" showErrorMessage="1" sqref="H6:H11 H29:H187 H223:H295 H302:H488 H489:I931">
      <formula1>"RTU,Sablon,Custom"</formula1>
    </dataValidation>
    <dataValidation type="list" allowBlank="1" sqref="F6:F936">
      <formula1>"0/0,1/0,2/0,3/0,4/0"</formula1>
    </dataValidation>
    <dataValidation type="list" allowBlank="1" showErrorMessage="1" sqref="H12:H28 H188:H222 H296:H301">
      <formula1>"RTU,Sablon,Custom"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min="1" max="1" width="20.38"/>
    <col customWidth="1" min="2" max="2" width="12.13"/>
    <col customWidth="1" min="3" max="3" width="14.13"/>
    <col customWidth="1" min="4" max="4" width="17.5"/>
    <col customWidth="1" min="5" max="5" width="12.75"/>
    <col customWidth="1" min="6" max="6" width="14.75"/>
    <col customWidth="1" min="7" max="7" width="12.25"/>
    <col customWidth="1" min="8" max="8" width="19.63"/>
    <col customWidth="1" min="9" max="9" width="16.75"/>
    <col customWidth="1" min="10" max="10" width="9.5"/>
    <col customWidth="1" min="11" max="11" width="14.5"/>
    <col customWidth="1" min="12" max="12" width="11.5"/>
    <col customWidth="1" min="13" max="13" width="9.5"/>
    <col customWidth="1" min="14" max="14" width="17.75"/>
    <col customWidth="1" min="15" max="15" width="12.5"/>
    <col customWidth="1" min="16" max="16" width="9.5"/>
    <col customWidth="1" min="17" max="17" width="14.5"/>
    <col customWidth="1" hidden="1" min="18" max="18" width="9.63"/>
    <col customWidth="1" min="19" max="19" width="12.63"/>
    <col customWidth="1" min="20" max="20" width="12.25"/>
  </cols>
  <sheetData>
    <row r="1" ht="29.25" customHeight="1">
      <c r="A1" s="1"/>
      <c r="C1" s="2" t="s">
        <v>6</v>
      </c>
      <c r="I1" s="3" t="s">
        <v>2</v>
      </c>
      <c r="R1" s="4" t="s">
        <v>4</v>
      </c>
    </row>
    <row r="2" ht="24.0" customHeight="1"/>
    <row r="3">
      <c r="I3" s="6" t="s">
        <v>7</v>
      </c>
      <c r="J3" s="7"/>
      <c r="K3" s="8"/>
      <c r="L3" s="9" t="s">
        <v>8</v>
      </c>
      <c r="M3" s="7"/>
      <c r="N3" s="8"/>
      <c r="O3" s="6" t="s">
        <v>9</v>
      </c>
      <c r="P3" s="7"/>
      <c r="Q3" s="8"/>
      <c r="R3" s="10" t="s">
        <v>10</v>
      </c>
      <c r="S3" s="7"/>
      <c r="T3" s="8"/>
    </row>
    <row r="4">
      <c r="I4" s="11"/>
      <c r="J4" s="11"/>
      <c r="K4" s="12"/>
      <c r="L4" s="11"/>
      <c r="M4" s="11"/>
      <c r="N4" s="12"/>
      <c r="O4" s="11"/>
      <c r="P4" s="11"/>
      <c r="Q4" s="12"/>
      <c r="R4" s="11"/>
      <c r="S4" s="11"/>
      <c r="T4" s="12"/>
    </row>
    <row r="5" ht="22.5" customHeight="1">
      <c r="A5" s="14" t="s">
        <v>11</v>
      </c>
      <c r="B5" s="16" t="s">
        <v>13</v>
      </c>
      <c r="C5" s="17" t="s">
        <v>14</v>
      </c>
      <c r="D5" s="17" t="s">
        <v>15</v>
      </c>
      <c r="E5" s="17" t="s">
        <v>16</v>
      </c>
      <c r="F5" s="16" t="s">
        <v>18</v>
      </c>
      <c r="G5" s="17" t="s">
        <v>19</v>
      </c>
      <c r="H5" s="17" t="s">
        <v>20</v>
      </c>
      <c r="I5" s="22" t="s">
        <v>21</v>
      </c>
      <c r="J5" s="22" t="s">
        <v>22</v>
      </c>
      <c r="K5" s="22" t="s">
        <v>23</v>
      </c>
      <c r="L5" s="23" t="s">
        <v>24</v>
      </c>
      <c r="M5" s="23" t="s">
        <v>25</v>
      </c>
      <c r="N5" s="23" t="s">
        <v>26</v>
      </c>
      <c r="O5" s="22" t="s">
        <v>27</v>
      </c>
      <c r="P5" s="22" t="s">
        <v>28</v>
      </c>
      <c r="Q5" s="22" t="s">
        <v>29</v>
      </c>
      <c r="R5" s="25" t="s">
        <v>30</v>
      </c>
      <c r="S5" s="26" t="s">
        <v>10</v>
      </c>
      <c r="T5" s="25" t="s">
        <v>31</v>
      </c>
    </row>
    <row r="6" ht="22.5" customHeight="1">
      <c r="A6" s="34" t="s">
        <v>48</v>
      </c>
      <c r="B6" s="34" t="s">
        <v>50</v>
      </c>
      <c r="C6" s="37" t="s">
        <v>42</v>
      </c>
      <c r="D6" s="38" t="s">
        <v>53</v>
      </c>
      <c r="E6" s="40" t="s">
        <v>55</v>
      </c>
      <c r="F6" s="34" t="s">
        <v>57</v>
      </c>
      <c r="G6" s="43" t="s">
        <v>41</v>
      </c>
      <c r="H6" s="51" t="s">
        <v>49</v>
      </c>
      <c r="I6" s="39">
        <v>2000.0</v>
      </c>
      <c r="J6" s="39">
        <v>2000.0</v>
      </c>
      <c r="K6" s="41"/>
      <c r="L6" s="42">
        <v>2000.0</v>
      </c>
      <c r="M6" s="42">
        <v>2000.0</v>
      </c>
      <c r="N6" s="55"/>
      <c r="O6" s="39">
        <v>2000.0</v>
      </c>
      <c r="P6" s="39">
        <v>2000.0</v>
      </c>
      <c r="Q6" s="39">
        <v>530.0</v>
      </c>
      <c r="R6" s="46">
        <v>0.67</v>
      </c>
      <c r="S6" s="50">
        <f>IFERROR(__xludf.DUMMYFUNCTION("((IFERROR(MIN(FILTER({K6, N6, Q6}, ISNUMBER({K6, N6, Q6}), {K6, N6, Q6} &gt; 0)), """"))*R6)+IFERROR(MIN(FILTER({K6, N6, Q6}, ISNUMBER({K6, N6, Q6}), {K6, N6, Q6} &gt; 0)), """")"),885.1)</f>
        <v>885.1</v>
      </c>
      <c r="T6" s="53">
        <f>IFERROR(__xludf.DUMMYFUNCTION("(S6-(IFERROR(MIN(FILTER({K6, N6, Q6}, ISNUMBER({K6, N6, Q6}), {K6, N6, Q6} &gt; 0)), """")))/S6"),0.40119760479041916)</f>
        <v>0.4011976048</v>
      </c>
    </row>
    <row r="7" ht="22.5" customHeight="1">
      <c r="A7" s="34" t="s">
        <v>68</v>
      </c>
      <c r="B7" s="34" t="s">
        <v>50</v>
      </c>
      <c r="C7" s="37" t="s">
        <v>42</v>
      </c>
      <c r="D7" s="38" t="s">
        <v>69</v>
      </c>
      <c r="E7" s="40" t="s">
        <v>55</v>
      </c>
      <c r="F7" s="34" t="s">
        <v>58</v>
      </c>
      <c r="G7" s="43" t="s">
        <v>41</v>
      </c>
      <c r="H7" s="51" t="s">
        <v>49</v>
      </c>
      <c r="I7" s="39">
        <v>2000.0</v>
      </c>
      <c r="J7" s="39">
        <v>2000.0</v>
      </c>
      <c r="K7" s="41"/>
      <c r="L7" s="42">
        <v>2000.0</v>
      </c>
      <c r="M7" s="42">
        <v>2000.0</v>
      </c>
      <c r="N7" s="55"/>
      <c r="O7" s="39">
        <v>2000.0</v>
      </c>
      <c r="P7" s="39">
        <v>2000.0</v>
      </c>
      <c r="Q7" s="39">
        <v>540.0</v>
      </c>
      <c r="R7" s="46">
        <v>0.67</v>
      </c>
      <c r="S7" s="50">
        <f>IFERROR(__xludf.DUMMYFUNCTION("((IFERROR(MIN(FILTER({K7, N7, Q7}, ISNUMBER({K7, N7, Q7}), {K7, N7, Q7} &gt; 0)), """"))*R7)+IFERROR(MIN(FILTER({K7, N7, Q7}, ISNUMBER({K7, N7, Q7}), {K7, N7, Q7} &gt; 0)), """")"),901.8)</f>
        <v>901.8</v>
      </c>
      <c r="T7" s="53">
        <f>IFERROR(__xludf.DUMMYFUNCTION("(S7-(IFERROR(MIN(FILTER({K7, N7, Q7}, ISNUMBER({K7, N7, Q7}), {K7, N7, Q7} &gt; 0)), """")))/S7"),0.4011976047904191)</f>
        <v>0.4011976048</v>
      </c>
    </row>
    <row r="8" ht="22.5" customHeight="1">
      <c r="A8" s="34" t="s">
        <v>68</v>
      </c>
      <c r="B8" s="34" t="s">
        <v>50</v>
      </c>
      <c r="C8" s="37" t="s">
        <v>42</v>
      </c>
      <c r="D8" s="38" t="s">
        <v>75</v>
      </c>
      <c r="E8" s="40" t="s">
        <v>55</v>
      </c>
      <c r="F8" s="34" t="s">
        <v>58</v>
      </c>
      <c r="G8" s="43" t="s">
        <v>41</v>
      </c>
      <c r="H8" s="51" t="s">
        <v>49</v>
      </c>
      <c r="I8" s="39">
        <v>2000.0</v>
      </c>
      <c r="J8" s="39">
        <v>2000.0</v>
      </c>
      <c r="K8" s="41"/>
      <c r="L8" s="42">
        <v>2000.0</v>
      </c>
      <c r="M8" s="42">
        <v>2000.0</v>
      </c>
      <c r="N8" s="55"/>
      <c r="O8" s="39">
        <v>2000.0</v>
      </c>
      <c r="P8" s="39">
        <v>2000.0</v>
      </c>
      <c r="Q8" s="39">
        <v>440.0</v>
      </c>
      <c r="R8" s="46">
        <v>0.67</v>
      </c>
      <c r="S8" s="50">
        <f>IFERROR(__xludf.DUMMYFUNCTION("((IFERROR(MIN(FILTER({K8, N8, Q8}, ISNUMBER({K8, N8, Q8}), {K8, N8, Q8} &gt; 0)), """"))*R8)+IFERROR(MIN(FILTER({K8, N8, Q8}, ISNUMBER({K8, N8, Q8}), {K8, N8, Q8} &gt; 0)), """")"),734.8)</f>
        <v>734.8</v>
      </c>
      <c r="T8" s="53">
        <f>IFERROR(__xludf.DUMMYFUNCTION("(S8-(IFERROR(MIN(FILTER({K8, N8, Q8}, ISNUMBER({K8, N8, Q8}), {K8, N8, Q8} &gt; 0)), """")))/S8"),0.4011976047904191)</f>
        <v>0.4011976048</v>
      </c>
    </row>
    <row r="9" ht="22.5" customHeight="1">
      <c r="A9" s="34" t="s">
        <v>68</v>
      </c>
      <c r="B9" s="34" t="s">
        <v>50</v>
      </c>
      <c r="C9" s="37" t="s">
        <v>85</v>
      </c>
      <c r="D9" s="38" t="s">
        <v>86</v>
      </c>
      <c r="E9" s="40" t="s">
        <v>55</v>
      </c>
      <c r="F9" s="34" t="s">
        <v>58</v>
      </c>
      <c r="G9" s="43" t="s">
        <v>41</v>
      </c>
      <c r="H9" s="51" t="s">
        <v>49</v>
      </c>
      <c r="I9" s="39">
        <v>2000.0</v>
      </c>
      <c r="J9" s="39">
        <v>2000.0</v>
      </c>
      <c r="K9" s="41"/>
      <c r="L9" s="42">
        <v>2000.0</v>
      </c>
      <c r="M9" s="42">
        <v>2000.0</v>
      </c>
      <c r="N9" s="55"/>
      <c r="O9" s="39">
        <v>2000.0</v>
      </c>
      <c r="P9" s="39">
        <v>2000.0</v>
      </c>
      <c r="Q9" s="39">
        <v>720.0</v>
      </c>
      <c r="R9" s="46">
        <v>0.67</v>
      </c>
      <c r="S9" s="50">
        <f>IFERROR(__xludf.DUMMYFUNCTION("((IFERROR(MIN(FILTER({K9, N9, Q9}, ISNUMBER({K9, N9, Q9}), {K9, N9, Q9} &gt; 0)), """"))*R9)+IFERROR(MIN(FILTER({K9, N9, Q9}, ISNUMBER({K9, N9, Q9}), {K9, N9, Q9} &gt; 0)), """")"),1202.4)</f>
        <v>1202.4</v>
      </c>
      <c r="T9" s="53">
        <f>IFERROR(__xludf.DUMMYFUNCTION("(S9-(IFERROR(MIN(FILTER({K9, N9, Q9}, ISNUMBER({K9, N9, Q9}), {K9, N9, Q9} &gt; 0)), """")))/S9"),0.4011976047904192)</f>
        <v>0.4011976048</v>
      </c>
    </row>
    <row r="10" ht="22.5" customHeight="1">
      <c r="A10" s="34" t="s">
        <v>68</v>
      </c>
      <c r="B10" s="34" t="s">
        <v>50</v>
      </c>
      <c r="C10" s="37" t="s">
        <v>85</v>
      </c>
      <c r="D10" s="38" t="s">
        <v>75</v>
      </c>
      <c r="E10" s="40" t="s">
        <v>55</v>
      </c>
      <c r="F10" s="34" t="s">
        <v>58</v>
      </c>
      <c r="G10" s="43" t="s">
        <v>41</v>
      </c>
      <c r="H10" s="51" t="s">
        <v>49</v>
      </c>
      <c r="I10" s="39">
        <v>2000.0</v>
      </c>
      <c r="J10" s="39">
        <v>2000.0</v>
      </c>
      <c r="K10" s="41"/>
      <c r="L10" s="42">
        <v>2000.0</v>
      </c>
      <c r="M10" s="42">
        <v>2000.0</v>
      </c>
      <c r="N10" s="55"/>
      <c r="O10" s="39">
        <v>2000.0</v>
      </c>
      <c r="P10" s="39">
        <v>2000.0</v>
      </c>
      <c r="Q10" s="39">
        <v>550.0</v>
      </c>
      <c r="R10" s="46">
        <v>0.67</v>
      </c>
      <c r="S10" s="50">
        <f>IFERROR(__xludf.DUMMYFUNCTION("((IFERROR(MIN(FILTER({K10, N10, Q10}, ISNUMBER({K10, N10, Q10}), {K10, N10, Q10} &gt; 0)), """"))*R10)+IFERROR(MIN(FILTER({K10, N10, Q10}, ISNUMBER({K10, N10, Q10}), {K10, N10, Q10} &gt; 0)), """")"),918.5)</f>
        <v>918.5</v>
      </c>
      <c r="T10" s="53">
        <f>IFERROR(__xludf.DUMMYFUNCTION("(S10-(IFERROR(MIN(FILTER({K10, N10, Q10}, ISNUMBER({K10, N10, Q10}), {K10, N10, Q10} &gt; 0)), """")))/S10"),0.40119760479041916)</f>
        <v>0.4011976048</v>
      </c>
    </row>
    <row r="11" ht="22.5" customHeight="1">
      <c r="A11" s="34" t="s">
        <v>92</v>
      </c>
      <c r="B11" s="34" t="s">
        <v>50</v>
      </c>
      <c r="C11" s="37" t="s">
        <v>85</v>
      </c>
      <c r="D11" s="38" t="s">
        <v>93</v>
      </c>
      <c r="E11" s="40" t="s">
        <v>63</v>
      </c>
      <c r="F11" s="34" t="s">
        <v>67</v>
      </c>
      <c r="G11" s="43" t="s">
        <v>41</v>
      </c>
      <c r="H11" s="51" t="s">
        <v>49</v>
      </c>
      <c r="I11" s="39">
        <v>2000.0</v>
      </c>
      <c r="J11" s="39">
        <v>2000.0</v>
      </c>
      <c r="K11" s="41"/>
      <c r="L11" s="42">
        <v>2000.0</v>
      </c>
      <c r="M11" s="42">
        <v>2000.0</v>
      </c>
      <c r="N11" s="55"/>
      <c r="O11" s="39">
        <v>2000.0</v>
      </c>
      <c r="P11" s="39">
        <v>2000.0</v>
      </c>
      <c r="Q11" s="39">
        <v>1120.0</v>
      </c>
      <c r="R11" s="46">
        <v>0.67</v>
      </c>
      <c r="S11" s="50">
        <f>IFERROR(__xludf.DUMMYFUNCTION("((IFERROR(MIN(FILTER({K11, N11, Q11}, ISNUMBER({K11, N11, Q11}), {K11, N11, Q11} &gt; 0)), """"))*R11)+IFERROR(MIN(FILTER({K11, N11, Q11}, ISNUMBER({K11, N11, Q11}), {K11, N11, Q11} &gt; 0)), """")"),1870.4)</f>
        <v>1870.4</v>
      </c>
      <c r="T11" s="53">
        <f>IFERROR(__xludf.DUMMYFUNCTION("(S11-(IFERROR(MIN(FILTER({K11, N11, Q11}, ISNUMBER({K11, N11, Q11}), {K11, N11, Q11} &gt; 0)), """")))/S11"),0.4011976047904192)</f>
        <v>0.4011976048</v>
      </c>
    </row>
    <row r="12" ht="22.5" customHeight="1">
      <c r="A12" s="34" t="s">
        <v>92</v>
      </c>
      <c r="B12" s="34" t="s">
        <v>50</v>
      </c>
      <c r="C12" s="37" t="s">
        <v>85</v>
      </c>
      <c r="D12" s="38" t="s">
        <v>93</v>
      </c>
      <c r="E12" s="40" t="s">
        <v>63</v>
      </c>
      <c r="F12" s="34" t="s">
        <v>67</v>
      </c>
      <c r="G12" s="43" t="s">
        <v>41</v>
      </c>
      <c r="H12" s="51" t="s">
        <v>49</v>
      </c>
      <c r="I12" s="39">
        <v>5000.0</v>
      </c>
      <c r="J12" s="39">
        <v>5000.0</v>
      </c>
      <c r="K12" s="41"/>
      <c r="L12" s="42">
        <v>5000.0</v>
      </c>
      <c r="M12" s="42">
        <v>5000.0</v>
      </c>
      <c r="N12" s="55"/>
      <c r="O12" s="39">
        <v>5000.0</v>
      </c>
      <c r="P12" s="39">
        <v>5000.0</v>
      </c>
      <c r="Q12" s="39">
        <v>720.0</v>
      </c>
      <c r="R12" s="46">
        <v>0.67</v>
      </c>
      <c r="S12" s="50">
        <f>IFERROR(__xludf.DUMMYFUNCTION("((IFERROR(MIN(FILTER({K12, N12, Q12}, ISNUMBER({K12, N12, Q12}), {K12, N12, Q12} &gt; 0)), """"))*R12)+IFERROR(MIN(FILTER({K12, N12, Q12}, ISNUMBER({K12, N12, Q12}), {K12, N12, Q12} &gt; 0)), """")"),1202.4)</f>
        <v>1202.4</v>
      </c>
      <c r="T12" s="53">
        <f>IFERROR(__xludf.DUMMYFUNCTION("(S12-(IFERROR(MIN(FILTER({K12, N12, Q12}, ISNUMBER({K12, N12, Q12}), {K12, N12, Q12} &gt; 0)), """")))/S12"),0.4011976047904192)</f>
        <v>0.4011976048</v>
      </c>
    </row>
    <row r="13" ht="22.5" customHeight="1">
      <c r="A13" s="34" t="s">
        <v>99</v>
      </c>
      <c r="B13" s="34" t="s">
        <v>50</v>
      </c>
      <c r="C13" s="37" t="s">
        <v>42</v>
      </c>
      <c r="D13" s="38" t="s">
        <v>62</v>
      </c>
      <c r="E13" s="40" t="s">
        <v>55</v>
      </c>
      <c r="F13" s="34" t="s">
        <v>100</v>
      </c>
      <c r="G13" s="43" t="s">
        <v>41</v>
      </c>
      <c r="H13" s="51" t="s">
        <v>49</v>
      </c>
      <c r="I13" s="39">
        <v>3000.0</v>
      </c>
      <c r="J13" s="39">
        <v>3000.0</v>
      </c>
      <c r="K13" s="41"/>
      <c r="L13" s="42">
        <v>3000.0</v>
      </c>
      <c r="M13" s="42">
        <v>3000.0</v>
      </c>
      <c r="N13" s="55"/>
      <c r="O13" s="39">
        <v>3000.0</v>
      </c>
      <c r="P13" s="39">
        <v>3000.0</v>
      </c>
      <c r="Q13" s="39">
        <v>575.0</v>
      </c>
      <c r="R13" s="46">
        <v>0.67</v>
      </c>
      <c r="S13" s="50">
        <f>IFERROR(__xludf.DUMMYFUNCTION("((IFERROR(MIN(FILTER({K13, N13, Q13}, ISNUMBER({K13, N13, Q13}), {K13, N13, Q13} &gt; 0)), """"))*R13)+IFERROR(MIN(FILTER({K13, N13, Q13}, ISNUMBER({K13, N13, Q13}), {K13, N13, Q13} &gt; 0)), """")"),960.25)</f>
        <v>960.25</v>
      </c>
      <c r="T13" s="53">
        <f>IFERROR(__xludf.DUMMYFUNCTION("(S13-(IFERROR(MIN(FILTER({K13, N13, Q13}, ISNUMBER({K13, N13, Q13}), {K13, N13, Q13} &gt; 0)), """")))/S13"),0.40119760479041916)</f>
        <v>0.4011976048</v>
      </c>
    </row>
    <row r="14" ht="22.5" customHeight="1">
      <c r="A14" s="34" t="s">
        <v>110</v>
      </c>
      <c r="B14" s="34" t="s">
        <v>50</v>
      </c>
      <c r="C14" s="37" t="s">
        <v>42</v>
      </c>
      <c r="D14" s="38" t="s">
        <v>111</v>
      </c>
      <c r="E14" s="40" t="s">
        <v>36</v>
      </c>
      <c r="F14" s="34" t="s">
        <v>112</v>
      </c>
      <c r="G14" s="43" t="s">
        <v>41</v>
      </c>
      <c r="H14" s="51" t="s">
        <v>49</v>
      </c>
      <c r="I14" s="39">
        <v>2000.0</v>
      </c>
      <c r="J14" s="39">
        <v>2000.0</v>
      </c>
      <c r="K14" s="41"/>
      <c r="L14" s="42">
        <v>2000.0</v>
      </c>
      <c r="M14" s="42">
        <v>2000.0</v>
      </c>
      <c r="N14" s="55"/>
      <c r="O14" s="39">
        <v>2000.0</v>
      </c>
      <c r="P14" s="39">
        <v>2000.0</v>
      </c>
      <c r="Q14" s="39">
        <v>720.0</v>
      </c>
      <c r="R14" s="46">
        <v>0.67</v>
      </c>
      <c r="S14" s="50">
        <f>IFERROR(__xludf.DUMMYFUNCTION("((IFERROR(MIN(FILTER({K14, N14, Q14}, ISNUMBER({K14, N14, Q14}), {K14, N14, Q14} &gt; 0)), """"))*R14)+IFERROR(MIN(FILTER({K14, N14, Q14}, ISNUMBER({K14, N14, Q14}), {K14, N14, Q14} &gt; 0)), """")"),1202.4)</f>
        <v>1202.4</v>
      </c>
      <c r="T14" s="53">
        <f>IFERROR(__xludf.DUMMYFUNCTION("(S14-(IFERROR(MIN(FILTER({K14, N14, Q14}, ISNUMBER({K14, N14, Q14}), {K14, N14, Q14} &gt; 0)), """")))/S14"),0.4011976047904192)</f>
        <v>0.4011976048</v>
      </c>
    </row>
    <row r="15" ht="22.5" customHeight="1">
      <c r="A15" s="34" t="s">
        <v>110</v>
      </c>
      <c r="B15" s="34" t="s">
        <v>50</v>
      </c>
      <c r="C15" s="37" t="s">
        <v>42</v>
      </c>
      <c r="D15" s="38" t="s">
        <v>114</v>
      </c>
      <c r="E15" s="40" t="s">
        <v>36</v>
      </c>
      <c r="F15" s="34" t="s">
        <v>116</v>
      </c>
      <c r="G15" s="43" t="s">
        <v>41</v>
      </c>
      <c r="H15" s="51" t="s">
        <v>49</v>
      </c>
      <c r="I15" s="39">
        <v>2000.0</v>
      </c>
      <c r="J15" s="39">
        <v>2000.0</v>
      </c>
      <c r="K15" s="41"/>
      <c r="L15" s="42">
        <v>2000.0</v>
      </c>
      <c r="M15" s="42">
        <v>2000.0</v>
      </c>
      <c r="N15" s="55"/>
      <c r="O15" s="39">
        <v>2000.0</v>
      </c>
      <c r="P15" s="39">
        <v>2000.0</v>
      </c>
      <c r="Q15" s="39">
        <v>840.0</v>
      </c>
      <c r="R15" s="46">
        <v>0.67</v>
      </c>
      <c r="S15" s="50">
        <f>IFERROR(__xludf.DUMMYFUNCTION("((IFERROR(MIN(FILTER({K15, N15, Q15}, ISNUMBER({K15, N15, Q15}), {K15, N15, Q15} &gt; 0)), """"))*R15)+IFERROR(MIN(FILTER({K15, N15, Q15}, ISNUMBER({K15, N15, Q15}), {K15, N15, Q15} &gt; 0)), """")"),1402.8000000000002)</f>
        <v>1402.8</v>
      </c>
      <c r="T15" s="53">
        <f>IFERROR(__xludf.DUMMYFUNCTION("(S15-(IFERROR(MIN(FILTER({K15, N15, Q15}, ISNUMBER({K15, N15, Q15}), {K15, N15, Q15} &gt; 0)), """")))/S15"),0.4011976047904192)</f>
        <v>0.4011976048</v>
      </c>
    </row>
    <row r="16" ht="22.5" customHeight="1">
      <c r="A16" s="34" t="s">
        <v>119</v>
      </c>
      <c r="B16" s="34" t="s">
        <v>50</v>
      </c>
      <c r="C16" s="37" t="s">
        <v>42</v>
      </c>
      <c r="D16" s="38" t="s">
        <v>120</v>
      </c>
      <c r="E16" s="40" t="s">
        <v>55</v>
      </c>
      <c r="F16" s="34" t="s">
        <v>121</v>
      </c>
      <c r="G16" s="43" t="s">
        <v>41</v>
      </c>
      <c r="H16" s="51" t="s">
        <v>49</v>
      </c>
      <c r="I16" s="39">
        <v>2000.0</v>
      </c>
      <c r="J16" s="39">
        <v>2000.0</v>
      </c>
      <c r="K16" s="41"/>
      <c r="L16" s="42">
        <v>2000.0</v>
      </c>
      <c r="M16" s="42">
        <v>2000.0</v>
      </c>
      <c r="N16" s="55"/>
      <c r="O16" s="39">
        <v>2000.0</v>
      </c>
      <c r="P16" s="39">
        <v>2000.0</v>
      </c>
      <c r="Q16" s="39">
        <v>550.0</v>
      </c>
      <c r="R16" s="46">
        <v>0.67</v>
      </c>
      <c r="S16" s="50">
        <f>IFERROR(__xludf.DUMMYFUNCTION("((IFERROR(MIN(FILTER({K16, N16, Q16}, ISNUMBER({K16, N16, Q16}), {K16, N16, Q16} &gt; 0)), """"))*R16)+IFERROR(MIN(FILTER({K16, N16, Q16}, ISNUMBER({K16, N16, Q16}), {K16, N16, Q16} &gt; 0)), """")"),918.5)</f>
        <v>918.5</v>
      </c>
      <c r="T16" s="53">
        <f>IFERROR(__xludf.DUMMYFUNCTION("(S16-(IFERROR(MIN(FILTER({K16, N16, Q16}, ISNUMBER({K16, N16, Q16}), {K16, N16, Q16} &gt; 0)), """")))/S16"),0.40119760479041916)</f>
        <v>0.4011976048</v>
      </c>
    </row>
    <row r="17" ht="22.5" customHeight="1">
      <c r="A17" s="34" t="s">
        <v>123</v>
      </c>
      <c r="B17" s="34" t="s">
        <v>50</v>
      </c>
      <c r="C17" s="37" t="s">
        <v>85</v>
      </c>
      <c r="D17" s="38" t="s">
        <v>93</v>
      </c>
      <c r="E17" s="40" t="s">
        <v>55</v>
      </c>
      <c r="F17" s="34" t="s">
        <v>121</v>
      </c>
      <c r="G17" s="43" t="s">
        <v>41</v>
      </c>
      <c r="H17" s="51" t="s">
        <v>49</v>
      </c>
      <c r="I17" s="39">
        <v>2000.0</v>
      </c>
      <c r="J17" s="39">
        <v>2000.0</v>
      </c>
      <c r="K17" s="41"/>
      <c r="L17" s="42">
        <v>2000.0</v>
      </c>
      <c r="M17" s="42">
        <v>2000.0</v>
      </c>
      <c r="N17" s="55"/>
      <c r="O17" s="39">
        <v>2000.0</v>
      </c>
      <c r="P17" s="39">
        <v>2000.0</v>
      </c>
      <c r="Q17" s="39">
        <v>640.0</v>
      </c>
      <c r="R17" s="46">
        <v>0.67</v>
      </c>
      <c r="S17" s="50">
        <f>IFERROR(__xludf.DUMMYFUNCTION("((IFERROR(MIN(FILTER({K17, N17, Q17}, ISNUMBER({K17, N17, Q17}), {K17, N17, Q17} &gt; 0)), """"))*R17)+IFERROR(MIN(FILTER({K17, N17, Q17}, ISNUMBER({K17, N17, Q17}), {K17, N17, Q17} &gt; 0)), """")"),1068.8)</f>
        <v>1068.8</v>
      </c>
      <c r="T17" s="53">
        <f>IFERROR(__xludf.DUMMYFUNCTION("(S17-(IFERROR(MIN(FILTER({K17, N17, Q17}, ISNUMBER({K17, N17, Q17}), {K17, N17, Q17} &gt; 0)), """")))/S17"),0.40119760479041916)</f>
        <v>0.4011976048</v>
      </c>
    </row>
    <row r="18" ht="22.5" customHeight="1">
      <c r="A18" s="34" t="s">
        <v>132</v>
      </c>
      <c r="B18" s="34" t="s">
        <v>50</v>
      </c>
      <c r="C18" s="37" t="s">
        <v>85</v>
      </c>
      <c r="D18" s="38" t="s">
        <v>62</v>
      </c>
      <c r="E18" s="40" t="s">
        <v>46</v>
      </c>
      <c r="F18" s="34" t="s">
        <v>133</v>
      </c>
      <c r="G18" s="43" t="s">
        <v>41</v>
      </c>
      <c r="H18" s="51" t="s">
        <v>49</v>
      </c>
      <c r="I18" s="39">
        <v>2000.0</v>
      </c>
      <c r="J18" s="39">
        <v>2000.0</v>
      </c>
      <c r="K18" s="41"/>
      <c r="L18" s="42">
        <v>2000.0</v>
      </c>
      <c r="M18" s="42">
        <v>2000.0</v>
      </c>
      <c r="N18" s="55"/>
      <c r="O18" s="39">
        <v>2000.0</v>
      </c>
      <c r="P18" s="39">
        <v>2000.0</v>
      </c>
      <c r="Q18" s="39">
        <v>1180.0</v>
      </c>
      <c r="R18" s="46">
        <v>0.67</v>
      </c>
      <c r="S18" s="50">
        <f>IFERROR(__xludf.DUMMYFUNCTION("((IFERROR(MIN(FILTER({K18, N18, Q18}, ISNUMBER({K18, N18, Q18}), {K18, N18, Q18} &gt; 0)), """"))*R18)+IFERROR(MIN(FILTER({K18, N18, Q18}, ISNUMBER({K18, N18, Q18}), {K18, N18, Q18} &gt; 0)), """")"),1970.6)</f>
        <v>1970.6</v>
      </c>
      <c r="T18" s="53">
        <f>IFERROR(__xludf.DUMMYFUNCTION("(S18-(IFERROR(MIN(FILTER({K18, N18, Q18}, ISNUMBER({K18, N18, Q18}), {K18, N18, Q18} &gt; 0)), """")))/S18"),0.40119760479041916)</f>
        <v>0.4011976048</v>
      </c>
    </row>
    <row r="19" ht="22.5" customHeight="1">
      <c r="A19" s="34" t="s">
        <v>134</v>
      </c>
      <c r="B19" s="34" t="s">
        <v>50</v>
      </c>
      <c r="C19" s="37" t="s">
        <v>42</v>
      </c>
      <c r="D19" s="38" t="s">
        <v>135</v>
      </c>
      <c r="E19" s="40" t="s">
        <v>55</v>
      </c>
      <c r="F19" s="34" t="s">
        <v>74</v>
      </c>
      <c r="G19" s="43" t="s">
        <v>41</v>
      </c>
      <c r="H19" s="51" t="s">
        <v>49</v>
      </c>
      <c r="I19" s="39">
        <v>2000.0</v>
      </c>
      <c r="J19" s="39">
        <v>2000.0</v>
      </c>
      <c r="K19" s="41"/>
      <c r="L19" s="42">
        <v>2000.0</v>
      </c>
      <c r="M19" s="42">
        <v>2000.0</v>
      </c>
      <c r="N19" s="55"/>
      <c r="O19" s="39">
        <v>2000.0</v>
      </c>
      <c r="P19" s="39">
        <v>2000.0</v>
      </c>
      <c r="Q19" s="39">
        <v>440.0</v>
      </c>
      <c r="R19" s="46">
        <v>0.67</v>
      </c>
      <c r="S19" s="50">
        <f>IFERROR(__xludf.DUMMYFUNCTION("((IFERROR(MIN(FILTER({K19, N19, Q19}, ISNUMBER({K19, N19, Q19}), {K19, N19, Q19} &gt; 0)), """"))*R19)+IFERROR(MIN(FILTER({K19, N19, Q19}, ISNUMBER({K19, N19, Q19}), {K19, N19, Q19} &gt; 0)), """")"),734.8)</f>
        <v>734.8</v>
      </c>
      <c r="T19" s="53">
        <f>IFERROR(__xludf.DUMMYFUNCTION("(S19-(IFERROR(MIN(FILTER({K19, N19, Q19}, ISNUMBER({K19, N19, Q19}), {K19, N19, Q19} &gt; 0)), """")))/S19"),0.4011976047904191)</f>
        <v>0.4011976048</v>
      </c>
    </row>
    <row r="20" ht="22.5" customHeight="1">
      <c r="A20" s="34" t="s">
        <v>143</v>
      </c>
      <c r="B20" s="34" t="s">
        <v>50</v>
      </c>
      <c r="C20" s="37" t="s">
        <v>42</v>
      </c>
      <c r="D20" s="38" t="s">
        <v>144</v>
      </c>
      <c r="E20" s="40" t="s">
        <v>55</v>
      </c>
      <c r="F20" s="34" t="s">
        <v>74</v>
      </c>
      <c r="G20" s="43" t="s">
        <v>41</v>
      </c>
      <c r="H20" s="51" t="s">
        <v>49</v>
      </c>
      <c r="I20" s="39">
        <v>2000.0</v>
      </c>
      <c r="J20" s="39">
        <v>2000.0</v>
      </c>
      <c r="K20" s="41"/>
      <c r="L20" s="42">
        <v>2000.0</v>
      </c>
      <c r="M20" s="42">
        <v>2000.0</v>
      </c>
      <c r="N20" s="55"/>
      <c r="O20" s="39">
        <v>2000.0</v>
      </c>
      <c r="P20" s="39">
        <v>2000.0</v>
      </c>
      <c r="Q20" s="39">
        <v>490.0</v>
      </c>
      <c r="R20" s="46">
        <v>0.67</v>
      </c>
      <c r="S20" s="50">
        <f>IFERROR(__xludf.DUMMYFUNCTION("((IFERROR(MIN(FILTER({K20, N20, Q20}, ISNUMBER({K20, N20, Q20}), {K20, N20, Q20} &gt; 0)), """"))*R20)+IFERROR(MIN(FILTER({K20, N20, Q20}, ISNUMBER({K20, N20, Q20}), {K20, N20, Q20} &gt; 0)), """")"),818.3)</f>
        <v>818.3</v>
      </c>
      <c r="T20" s="53">
        <f>IFERROR(__xludf.DUMMYFUNCTION("(S20-(IFERROR(MIN(FILTER({K20, N20, Q20}, ISNUMBER({K20, N20, Q20}), {K20, N20, Q20} &gt; 0)), """")))/S20"),0.4011976047904191)</f>
        <v>0.4011976048</v>
      </c>
    </row>
    <row r="21" ht="22.5" customHeight="1">
      <c r="A21" s="34" t="s">
        <v>143</v>
      </c>
      <c r="B21" s="34" t="s">
        <v>50</v>
      </c>
      <c r="C21" s="37" t="s">
        <v>42</v>
      </c>
      <c r="D21" s="38" t="s">
        <v>144</v>
      </c>
      <c r="E21" s="40" t="s">
        <v>55</v>
      </c>
      <c r="F21" s="34" t="s">
        <v>74</v>
      </c>
      <c r="G21" s="43" t="s">
        <v>41</v>
      </c>
      <c r="H21" s="51" t="s">
        <v>49</v>
      </c>
      <c r="I21" s="39">
        <v>5000.0</v>
      </c>
      <c r="J21" s="39">
        <v>5000.0</v>
      </c>
      <c r="K21" s="41"/>
      <c r="L21" s="42">
        <v>5000.0</v>
      </c>
      <c r="M21" s="42">
        <v>5000.0</v>
      </c>
      <c r="N21" s="55"/>
      <c r="O21" s="39">
        <v>5000.0</v>
      </c>
      <c r="P21" s="39">
        <v>5000.0</v>
      </c>
      <c r="Q21" s="39">
        <v>350.0</v>
      </c>
      <c r="R21" s="46">
        <v>0.67</v>
      </c>
      <c r="S21" s="50">
        <f>IFERROR(__xludf.DUMMYFUNCTION("((IFERROR(MIN(FILTER({K21, N21, Q21}, ISNUMBER({K21, N21, Q21}), {K21, N21, Q21} &gt; 0)), """"))*R21)+IFERROR(MIN(FILTER({K21, N21, Q21}, ISNUMBER({K21, N21, Q21}), {K21, N21, Q21} &gt; 0)), """")"),584.5)</f>
        <v>584.5</v>
      </c>
      <c r="T21" s="53">
        <f>IFERROR(__xludf.DUMMYFUNCTION("(S21-(IFERROR(MIN(FILTER({K21, N21, Q21}, ISNUMBER({K21, N21, Q21}), {K21, N21, Q21} &gt; 0)), """")))/S21"),0.40119760479041916)</f>
        <v>0.4011976048</v>
      </c>
    </row>
    <row r="22" ht="22.5" customHeight="1">
      <c r="A22" s="34" t="s">
        <v>143</v>
      </c>
      <c r="B22" s="34" t="s">
        <v>50</v>
      </c>
      <c r="C22" s="37" t="s">
        <v>42</v>
      </c>
      <c r="D22" s="38" t="s">
        <v>144</v>
      </c>
      <c r="E22" s="40" t="s">
        <v>55</v>
      </c>
      <c r="F22" s="34" t="s">
        <v>74</v>
      </c>
      <c r="G22" s="43" t="s">
        <v>41</v>
      </c>
      <c r="H22" s="51" t="s">
        <v>49</v>
      </c>
      <c r="I22" s="39">
        <v>10000.0</v>
      </c>
      <c r="J22" s="39">
        <v>10000.0</v>
      </c>
      <c r="K22" s="41"/>
      <c r="L22" s="42">
        <v>10000.0</v>
      </c>
      <c r="M22" s="42">
        <v>10000.0</v>
      </c>
      <c r="N22" s="55"/>
      <c r="O22" s="39">
        <v>10000.0</v>
      </c>
      <c r="P22" s="39">
        <v>10000.0</v>
      </c>
      <c r="Q22" s="39">
        <v>220.0</v>
      </c>
      <c r="R22" s="46">
        <v>0.67</v>
      </c>
      <c r="S22" s="50">
        <f>IFERROR(__xludf.DUMMYFUNCTION("((IFERROR(MIN(FILTER({K22, N22, Q22}, ISNUMBER({K22, N22, Q22}), {K22, N22, Q22} &gt; 0)), """"))*R22)+IFERROR(MIN(FILTER({K22, N22, Q22}, ISNUMBER({K22, N22, Q22}), {K22, N22, Q22} &gt; 0)), """")"),367.4)</f>
        <v>367.4</v>
      </c>
      <c r="T22" s="53">
        <f>IFERROR(__xludf.DUMMYFUNCTION("(S22-(IFERROR(MIN(FILTER({K22, N22, Q22}, ISNUMBER({K22, N22, Q22}), {K22, N22, Q22} &gt; 0)), """")))/S22"),0.4011976047904191)</f>
        <v>0.4011976048</v>
      </c>
    </row>
    <row r="23" ht="22.5" customHeight="1">
      <c r="A23" s="34" t="s">
        <v>143</v>
      </c>
      <c r="B23" s="34" t="s">
        <v>50</v>
      </c>
      <c r="C23" s="37" t="s">
        <v>42</v>
      </c>
      <c r="D23" s="38" t="s">
        <v>144</v>
      </c>
      <c r="E23" s="40" t="s">
        <v>55</v>
      </c>
      <c r="F23" s="34" t="s">
        <v>74</v>
      </c>
      <c r="G23" s="43" t="s">
        <v>41</v>
      </c>
      <c r="H23" s="51" t="s">
        <v>49</v>
      </c>
      <c r="I23" s="39">
        <v>20000.0</v>
      </c>
      <c r="J23" s="39">
        <v>20000.0</v>
      </c>
      <c r="K23" s="41"/>
      <c r="L23" s="42">
        <v>20000.0</v>
      </c>
      <c r="M23" s="42">
        <v>20000.0</v>
      </c>
      <c r="N23" s="55"/>
      <c r="O23" s="39">
        <v>20000.0</v>
      </c>
      <c r="P23" s="39">
        <v>20000.0</v>
      </c>
      <c r="Q23" s="39">
        <v>200.0</v>
      </c>
      <c r="R23" s="46">
        <v>0.67</v>
      </c>
      <c r="S23" s="50">
        <f>IFERROR(__xludf.DUMMYFUNCTION("((IFERROR(MIN(FILTER({K23, N23, Q23}, ISNUMBER({K23, N23, Q23}), {K23, N23, Q23} &gt; 0)), """"))*R23)+IFERROR(MIN(FILTER({K23, N23, Q23}, ISNUMBER({K23, N23, Q23}), {K23, N23, Q23} &gt; 0)), """")"),334.0)</f>
        <v>334</v>
      </c>
      <c r="T23" s="53">
        <f>IFERROR(__xludf.DUMMYFUNCTION("(S23-(IFERROR(MIN(FILTER({K23, N23, Q23}, ISNUMBER({K23, N23, Q23}), {K23, N23, Q23} &gt; 0)), """")))/S23"),0.40119760479041916)</f>
        <v>0.4011976048</v>
      </c>
    </row>
    <row r="24" ht="22.5" customHeight="1">
      <c r="A24" s="34" t="s">
        <v>163</v>
      </c>
      <c r="B24" s="34" t="s">
        <v>50</v>
      </c>
      <c r="C24" s="37" t="s">
        <v>42</v>
      </c>
      <c r="D24" s="38" t="s">
        <v>114</v>
      </c>
      <c r="E24" s="40" t="s">
        <v>55</v>
      </c>
      <c r="F24" s="34" t="s">
        <v>164</v>
      </c>
      <c r="G24" s="43" t="s">
        <v>41</v>
      </c>
      <c r="H24" s="51" t="s">
        <v>49</v>
      </c>
      <c r="I24" s="39">
        <v>2000.0</v>
      </c>
      <c r="J24" s="39">
        <v>2000.0</v>
      </c>
      <c r="K24" s="41"/>
      <c r="L24" s="42">
        <v>2000.0</v>
      </c>
      <c r="M24" s="42">
        <v>2000.0</v>
      </c>
      <c r="N24" s="55"/>
      <c r="O24" s="39">
        <v>2000.0</v>
      </c>
      <c r="P24" s="39">
        <v>2000.0</v>
      </c>
      <c r="Q24" s="39">
        <v>440.0</v>
      </c>
      <c r="R24" s="46">
        <v>0.67</v>
      </c>
      <c r="S24" s="50">
        <f>IFERROR(__xludf.DUMMYFUNCTION("((IFERROR(MIN(FILTER({K24, N24, Q24}, ISNUMBER({K24, N24, Q24}), {K24, N24, Q24} &gt; 0)), """"))*R24)+IFERROR(MIN(FILTER({K24, N24, Q24}, ISNUMBER({K24, N24, Q24}), {K24, N24, Q24} &gt; 0)), """")"),734.8)</f>
        <v>734.8</v>
      </c>
      <c r="T24" s="53">
        <f>IFERROR(__xludf.DUMMYFUNCTION("(S24-(IFERROR(MIN(FILTER({K24, N24, Q24}, ISNUMBER({K24, N24, Q24}), {K24, N24, Q24} &gt; 0)), """")))/S24"),0.4011976047904191)</f>
        <v>0.4011976048</v>
      </c>
    </row>
    <row r="25" ht="22.5" customHeight="1">
      <c r="A25" s="34" t="s">
        <v>163</v>
      </c>
      <c r="B25" s="34" t="s">
        <v>50</v>
      </c>
      <c r="C25" s="37" t="s">
        <v>72</v>
      </c>
      <c r="D25" s="38" t="s">
        <v>114</v>
      </c>
      <c r="E25" s="40" t="s">
        <v>55</v>
      </c>
      <c r="F25" s="34" t="s">
        <v>164</v>
      </c>
      <c r="G25" s="43" t="s">
        <v>41</v>
      </c>
      <c r="H25" s="51" t="s">
        <v>49</v>
      </c>
      <c r="I25" s="39">
        <v>2000.0</v>
      </c>
      <c r="J25" s="39">
        <v>2000.0</v>
      </c>
      <c r="K25" s="41"/>
      <c r="L25" s="42">
        <v>2000.0</v>
      </c>
      <c r="M25" s="42">
        <v>2000.0</v>
      </c>
      <c r="N25" s="55"/>
      <c r="O25" s="39">
        <v>2000.0</v>
      </c>
      <c r="P25" s="39">
        <v>2000.0</v>
      </c>
      <c r="Q25" s="39">
        <v>550.0</v>
      </c>
      <c r="R25" s="46">
        <v>0.67</v>
      </c>
      <c r="S25" s="50">
        <f>IFERROR(__xludf.DUMMYFUNCTION("((IFERROR(MIN(FILTER({K25, N25, Q25}, ISNUMBER({K25, N25, Q25}), {K25, N25, Q25} &gt; 0)), """"))*R25)+IFERROR(MIN(FILTER({K25, N25, Q25}, ISNUMBER({K25, N25, Q25}), {K25, N25, Q25} &gt; 0)), """")"),918.5)</f>
        <v>918.5</v>
      </c>
      <c r="T25" s="53">
        <f>IFERROR(__xludf.DUMMYFUNCTION("(S25-(IFERROR(MIN(FILTER({K25, N25, Q25}, ISNUMBER({K25, N25, Q25}), {K25, N25, Q25} &gt; 0)), """")))/S25"),0.40119760479041916)</f>
        <v>0.4011976048</v>
      </c>
    </row>
    <row r="26" ht="22.5" customHeight="1">
      <c r="A26" s="34" t="s">
        <v>163</v>
      </c>
      <c r="B26" s="34" t="s">
        <v>50</v>
      </c>
      <c r="C26" s="37" t="s">
        <v>85</v>
      </c>
      <c r="D26" s="38" t="s">
        <v>114</v>
      </c>
      <c r="E26" s="40" t="s">
        <v>55</v>
      </c>
      <c r="F26" s="34" t="s">
        <v>164</v>
      </c>
      <c r="G26" s="43" t="s">
        <v>41</v>
      </c>
      <c r="H26" s="51" t="s">
        <v>49</v>
      </c>
      <c r="I26" s="39">
        <v>2000.0</v>
      </c>
      <c r="J26" s="39">
        <v>2000.0</v>
      </c>
      <c r="K26" s="41"/>
      <c r="L26" s="42">
        <v>2000.0</v>
      </c>
      <c r="M26" s="42">
        <v>2000.0</v>
      </c>
      <c r="N26" s="55"/>
      <c r="O26" s="39">
        <v>2000.0</v>
      </c>
      <c r="P26" s="39">
        <v>2000.0</v>
      </c>
      <c r="Q26" s="39">
        <v>550.0</v>
      </c>
      <c r="R26" s="46">
        <v>0.67</v>
      </c>
      <c r="S26" s="50">
        <f>IFERROR(__xludf.DUMMYFUNCTION("((IFERROR(MIN(FILTER({K26, N26, Q26}, ISNUMBER({K26, N26, Q26}), {K26, N26, Q26} &gt; 0)), """"))*R26)+IFERROR(MIN(FILTER({K26, N26, Q26}, ISNUMBER({K26, N26, Q26}), {K26, N26, Q26} &gt; 0)), """")"),918.5)</f>
        <v>918.5</v>
      </c>
      <c r="T26" s="53">
        <f>IFERROR(__xludf.DUMMYFUNCTION("(S26-(IFERROR(MIN(FILTER({K26, N26, Q26}, ISNUMBER({K26, N26, Q26}), {K26, N26, Q26} &gt; 0)), """")))/S26"),0.40119760479041916)</f>
        <v>0.4011976048</v>
      </c>
    </row>
    <row r="27" ht="22.5" customHeight="1">
      <c r="A27" s="34" t="s">
        <v>163</v>
      </c>
      <c r="B27" s="34" t="s">
        <v>50</v>
      </c>
      <c r="C27" s="37" t="s">
        <v>42</v>
      </c>
      <c r="D27" s="38" t="s">
        <v>62</v>
      </c>
      <c r="E27" s="40" t="s">
        <v>55</v>
      </c>
      <c r="F27" s="34" t="s">
        <v>164</v>
      </c>
      <c r="G27" s="43" t="s">
        <v>41</v>
      </c>
      <c r="H27" s="51" t="s">
        <v>49</v>
      </c>
      <c r="I27" s="39">
        <v>2000.0</v>
      </c>
      <c r="J27" s="39">
        <v>2000.0</v>
      </c>
      <c r="K27" s="41"/>
      <c r="L27" s="42">
        <v>2000.0</v>
      </c>
      <c r="M27" s="42">
        <v>2000.0</v>
      </c>
      <c r="N27" s="55"/>
      <c r="O27" s="39">
        <v>2000.0</v>
      </c>
      <c r="P27" s="39">
        <v>2000.0</v>
      </c>
      <c r="Q27" s="39">
        <v>550.0</v>
      </c>
      <c r="R27" s="46">
        <v>0.67</v>
      </c>
      <c r="S27" s="50">
        <f>IFERROR(__xludf.DUMMYFUNCTION("((IFERROR(MIN(FILTER({K27, N27, Q27}, ISNUMBER({K27, N27, Q27}), {K27, N27, Q27} &gt; 0)), """"))*R27)+IFERROR(MIN(FILTER({K27, N27, Q27}, ISNUMBER({K27, N27, Q27}), {K27, N27, Q27} &gt; 0)), """")"),918.5)</f>
        <v>918.5</v>
      </c>
      <c r="T27" s="53">
        <f>IFERROR(__xludf.DUMMYFUNCTION("(S27-(IFERROR(MIN(FILTER({K27, N27, Q27}, ISNUMBER({K27, N27, Q27}), {K27, N27, Q27} &gt; 0)), """")))/S27"),0.40119760479041916)</f>
        <v>0.4011976048</v>
      </c>
    </row>
    <row r="28" ht="22.5" customHeight="1">
      <c r="A28" s="34" t="s">
        <v>163</v>
      </c>
      <c r="B28" s="34" t="s">
        <v>50</v>
      </c>
      <c r="C28" s="37" t="s">
        <v>72</v>
      </c>
      <c r="D28" s="38" t="s">
        <v>62</v>
      </c>
      <c r="E28" s="40" t="s">
        <v>55</v>
      </c>
      <c r="F28" s="34" t="s">
        <v>164</v>
      </c>
      <c r="G28" s="43" t="s">
        <v>41</v>
      </c>
      <c r="H28" s="51" t="s">
        <v>49</v>
      </c>
      <c r="I28" s="39">
        <v>2000.0</v>
      </c>
      <c r="J28" s="39">
        <v>2000.0</v>
      </c>
      <c r="K28" s="41"/>
      <c r="L28" s="42">
        <v>2000.0</v>
      </c>
      <c r="M28" s="42">
        <v>2000.0</v>
      </c>
      <c r="N28" s="55"/>
      <c r="O28" s="39">
        <v>2000.0</v>
      </c>
      <c r="P28" s="39">
        <v>2000.0</v>
      </c>
      <c r="Q28" s="39">
        <v>640.0</v>
      </c>
      <c r="R28" s="46">
        <v>0.67</v>
      </c>
      <c r="S28" s="50">
        <f>IFERROR(__xludf.DUMMYFUNCTION("((IFERROR(MIN(FILTER({K28, N28, Q28}, ISNUMBER({K28, N28, Q28}), {K28, N28, Q28} &gt; 0)), """"))*R28)+IFERROR(MIN(FILTER({K28, N28, Q28}, ISNUMBER({K28, N28, Q28}), {K28, N28, Q28} &gt; 0)), """")"),1068.8)</f>
        <v>1068.8</v>
      </c>
      <c r="T28" s="53">
        <f>IFERROR(__xludf.DUMMYFUNCTION("(S28-(IFERROR(MIN(FILTER({K28, N28, Q28}, ISNUMBER({K28, N28, Q28}), {K28, N28, Q28} &gt; 0)), """")))/S28"),0.40119760479041916)</f>
        <v>0.4011976048</v>
      </c>
    </row>
    <row r="29" ht="22.5" customHeight="1">
      <c r="A29" s="34" t="s">
        <v>163</v>
      </c>
      <c r="B29" s="34" t="s">
        <v>50</v>
      </c>
      <c r="C29" s="37" t="s">
        <v>85</v>
      </c>
      <c r="D29" s="38" t="s">
        <v>62</v>
      </c>
      <c r="E29" s="40" t="s">
        <v>55</v>
      </c>
      <c r="F29" s="34" t="s">
        <v>164</v>
      </c>
      <c r="G29" s="43" t="s">
        <v>41</v>
      </c>
      <c r="H29" s="51" t="s">
        <v>49</v>
      </c>
      <c r="I29" s="39">
        <v>2000.0</v>
      </c>
      <c r="J29" s="39">
        <v>2000.0</v>
      </c>
      <c r="K29" s="41"/>
      <c r="L29" s="42">
        <v>2000.0</v>
      </c>
      <c r="M29" s="42">
        <v>2000.0</v>
      </c>
      <c r="N29" s="55"/>
      <c r="O29" s="39">
        <v>2000.0</v>
      </c>
      <c r="P29" s="39">
        <v>2000.0</v>
      </c>
      <c r="Q29" s="39">
        <v>640.0</v>
      </c>
      <c r="R29" s="46">
        <v>0.67</v>
      </c>
      <c r="S29" s="50">
        <f>IFERROR(__xludf.DUMMYFUNCTION("((IFERROR(MIN(FILTER({K29, N29, Q29}, ISNUMBER({K29, N29, Q29}), {K29, N29, Q29} &gt; 0)), """"))*R29)+IFERROR(MIN(FILTER({K29, N29, Q29}, ISNUMBER({K29, N29, Q29}), {K29, N29, Q29} &gt; 0)), """")"),1068.8)</f>
        <v>1068.8</v>
      </c>
      <c r="T29" s="53">
        <f>IFERROR(__xludf.DUMMYFUNCTION("(S29-(IFERROR(MIN(FILTER({K29, N29, Q29}, ISNUMBER({K29, N29, Q29}), {K29, N29, Q29} &gt; 0)), """")))/S29"),0.40119760479041916)</f>
        <v>0.4011976048</v>
      </c>
    </row>
    <row r="30" ht="22.5" customHeight="1">
      <c r="A30" s="34" t="s">
        <v>180</v>
      </c>
      <c r="B30" s="34" t="s">
        <v>50</v>
      </c>
      <c r="C30" s="37" t="s">
        <v>85</v>
      </c>
      <c r="D30" s="38" t="s">
        <v>62</v>
      </c>
      <c r="E30" s="40" t="s">
        <v>55</v>
      </c>
      <c r="F30" s="34" t="s">
        <v>181</v>
      </c>
      <c r="G30" s="43" t="s">
        <v>41</v>
      </c>
      <c r="H30" s="51" t="s">
        <v>49</v>
      </c>
      <c r="I30" s="39">
        <v>2000.0</v>
      </c>
      <c r="J30" s="39">
        <v>2000.0</v>
      </c>
      <c r="K30" s="41"/>
      <c r="L30" s="42">
        <v>2000.0</v>
      </c>
      <c r="M30" s="42">
        <v>2000.0</v>
      </c>
      <c r="N30" s="55"/>
      <c r="O30" s="39">
        <v>2000.0</v>
      </c>
      <c r="P30" s="39">
        <v>2000.0</v>
      </c>
      <c r="Q30" s="39">
        <v>640.0</v>
      </c>
      <c r="R30" s="46">
        <v>0.67</v>
      </c>
      <c r="S30" s="50">
        <f>IFERROR(__xludf.DUMMYFUNCTION("((IFERROR(MIN(FILTER({K30, N30, Q30}, ISNUMBER({K30, N30, Q30}), {K30, N30, Q30} &gt; 0)), """"))*R30)+IFERROR(MIN(FILTER({K30, N30, Q30}, ISNUMBER({K30, N30, Q30}), {K30, N30, Q30} &gt; 0)), """")"),1068.8)</f>
        <v>1068.8</v>
      </c>
      <c r="T30" s="53">
        <f>IFERROR(__xludf.DUMMYFUNCTION("(S30-(IFERROR(MIN(FILTER({K30, N30, Q30}, ISNUMBER({K30, N30, Q30}), {K30, N30, Q30} &gt; 0)), """")))/S30"),0.40119760479041916)</f>
        <v>0.4011976048</v>
      </c>
    </row>
    <row r="31" ht="22.5" customHeight="1">
      <c r="A31" s="34" t="s">
        <v>70</v>
      </c>
      <c r="B31" s="34" t="s">
        <v>50</v>
      </c>
      <c r="C31" s="37" t="s">
        <v>72</v>
      </c>
      <c r="D31" s="38" t="s">
        <v>186</v>
      </c>
      <c r="E31" s="40" t="s">
        <v>55</v>
      </c>
      <c r="F31" s="34" t="s">
        <v>74</v>
      </c>
      <c r="G31" s="43" t="s">
        <v>41</v>
      </c>
      <c r="H31" s="51" t="s">
        <v>49</v>
      </c>
      <c r="I31" s="39">
        <v>2000.0</v>
      </c>
      <c r="J31" s="39">
        <v>2000.0</v>
      </c>
      <c r="K31" s="41"/>
      <c r="L31" s="42">
        <v>2000.0</v>
      </c>
      <c r="M31" s="42">
        <v>2000.0</v>
      </c>
      <c r="N31" s="55"/>
      <c r="O31" s="39">
        <v>2000.0</v>
      </c>
      <c r="P31" s="39">
        <v>2000.0</v>
      </c>
      <c r="Q31" s="39">
        <v>1080.0</v>
      </c>
      <c r="R31" s="46">
        <v>0.67</v>
      </c>
      <c r="S31" s="50">
        <f>IFERROR(__xludf.DUMMYFUNCTION("((IFERROR(MIN(FILTER({K31, N31, Q31}, ISNUMBER({K31, N31, Q31}), {K31, N31, Q31} &gt; 0)), """"))*R31)+IFERROR(MIN(FILTER({K31, N31, Q31}, ISNUMBER({K31, N31, Q31}), {K31, N31, Q31} &gt; 0)), """")"),1803.6)</f>
        <v>1803.6</v>
      </c>
      <c r="T31" s="53">
        <f>IFERROR(__xludf.DUMMYFUNCTION("(S31-(IFERROR(MIN(FILTER({K31, N31, Q31}, ISNUMBER({K31, N31, Q31}), {K31, N31, Q31} &gt; 0)), """")))/S31"),0.4011976047904191)</f>
        <v>0.4011976048</v>
      </c>
    </row>
    <row r="32" ht="22.5" customHeight="1">
      <c r="A32" s="34" t="s">
        <v>192</v>
      </c>
      <c r="B32" s="34" t="s">
        <v>50</v>
      </c>
      <c r="C32" s="37" t="s">
        <v>72</v>
      </c>
      <c r="D32" s="38" t="s">
        <v>193</v>
      </c>
      <c r="E32" s="40" t="s">
        <v>63</v>
      </c>
      <c r="F32" s="34" t="s">
        <v>67</v>
      </c>
      <c r="G32" s="43" t="s">
        <v>41</v>
      </c>
      <c r="H32" s="51" t="s">
        <v>49</v>
      </c>
      <c r="I32" s="39">
        <v>2000.0</v>
      </c>
      <c r="J32" s="39">
        <v>2000.0</v>
      </c>
      <c r="K32" s="41"/>
      <c r="L32" s="42">
        <v>2000.0</v>
      </c>
      <c r="M32" s="42">
        <v>2000.0</v>
      </c>
      <c r="N32" s="55"/>
      <c r="O32" s="39">
        <v>2000.0</v>
      </c>
      <c r="P32" s="39">
        <v>2000.0</v>
      </c>
      <c r="Q32" s="39">
        <v>1260.0</v>
      </c>
      <c r="R32" s="46">
        <v>0.67</v>
      </c>
      <c r="S32" s="50">
        <f>IFERROR(__xludf.DUMMYFUNCTION("((IFERROR(MIN(FILTER({K32, N32, Q32}, ISNUMBER({K32, N32, Q32}), {K32, N32, Q32} &gt; 0)), """"))*R32)+IFERROR(MIN(FILTER({K32, N32, Q32}, ISNUMBER({K32, N32, Q32}), {K32, N32, Q32} &gt; 0)), """")"),2104.2)</f>
        <v>2104.2</v>
      </c>
      <c r="T32" s="53">
        <f>IFERROR(__xludf.DUMMYFUNCTION("(S32-(IFERROR(MIN(FILTER({K32, N32, Q32}, ISNUMBER({K32, N32, Q32}), {K32, N32, Q32} &gt; 0)), """")))/S32"),0.4011976047904191)</f>
        <v>0.4011976048</v>
      </c>
    </row>
    <row r="33" ht="22.5" customHeight="1">
      <c r="A33" s="34" t="s">
        <v>192</v>
      </c>
      <c r="B33" s="34" t="s">
        <v>50</v>
      </c>
      <c r="C33" s="37" t="s">
        <v>72</v>
      </c>
      <c r="D33" s="38" t="s">
        <v>193</v>
      </c>
      <c r="E33" s="40" t="s">
        <v>63</v>
      </c>
      <c r="F33" s="34" t="s">
        <v>67</v>
      </c>
      <c r="G33" s="43" t="s">
        <v>41</v>
      </c>
      <c r="H33" s="51" t="s">
        <v>49</v>
      </c>
      <c r="I33" s="39">
        <v>5000.0</v>
      </c>
      <c r="J33" s="39">
        <v>5000.0</v>
      </c>
      <c r="K33" s="41"/>
      <c r="L33" s="42">
        <v>5000.0</v>
      </c>
      <c r="M33" s="42">
        <v>5000.0</v>
      </c>
      <c r="N33" s="55"/>
      <c r="O33" s="39">
        <v>5000.0</v>
      </c>
      <c r="P33" s="39">
        <v>5000.0</v>
      </c>
      <c r="Q33" s="39">
        <v>1140.0</v>
      </c>
      <c r="R33" s="46">
        <v>0.67</v>
      </c>
      <c r="S33" s="50">
        <f>IFERROR(__xludf.DUMMYFUNCTION("((IFERROR(MIN(FILTER({K33, N33, Q33}, ISNUMBER({K33, N33, Q33}), {K33, N33, Q33} &gt; 0)), """"))*R33)+IFERROR(MIN(FILTER({K33, N33, Q33}, ISNUMBER({K33, N33, Q33}), {K33, N33, Q33} &gt; 0)), """")"),1903.8000000000002)</f>
        <v>1903.8</v>
      </c>
      <c r="T33" s="53">
        <f>IFERROR(__xludf.DUMMYFUNCTION("(S33-(IFERROR(MIN(FILTER({K33, N33, Q33}, ISNUMBER({K33, N33, Q33}), {K33, N33, Q33} &gt; 0)), """")))/S33"),0.4011976047904192)</f>
        <v>0.4011976048</v>
      </c>
    </row>
    <row r="34" ht="22.5" customHeight="1">
      <c r="A34" s="34" t="s">
        <v>200</v>
      </c>
      <c r="B34" s="34" t="s">
        <v>50</v>
      </c>
      <c r="C34" s="37" t="s">
        <v>42</v>
      </c>
      <c r="D34" s="38" t="s">
        <v>114</v>
      </c>
      <c r="E34" s="40" t="s">
        <v>55</v>
      </c>
      <c r="F34" s="34" t="s">
        <v>201</v>
      </c>
      <c r="G34" s="43" t="s">
        <v>41</v>
      </c>
      <c r="H34" s="51" t="s">
        <v>49</v>
      </c>
      <c r="I34" s="39">
        <v>2000.0</v>
      </c>
      <c r="J34" s="39">
        <v>2000.0</v>
      </c>
      <c r="K34" s="41"/>
      <c r="L34" s="42">
        <v>2000.0</v>
      </c>
      <c r="M34" s="42">
        <v>2000.0</v>
      </c>
      <c r="N34" s="55"/>
      <c r="O34" s="39">
        <v>2000.0</v>
      </c>
      <c r="P34" s="39">
        <v>2000.0</v>
      </c>
      <c r="Q34" s="39">
        <v>440.0</v>
      </c>
      <c r="R34" s="46">
        <v>0.67</v>
      </c>
      <c r="S34" s="50">
        <f>IFERROR(__xludf.DUMMYFUNCTION("((IFERROR(MIN(FILTER({K34, N34, Q34}, ISNUMBER({K34, N34, Q34}), {K34, N34, Q34} &gt; 0)), """"))*R34)+IFERROR(MIN(FILTER({K34, N34, Q34}, ISNUMBER({K34, N34, Q34}), {K34, N34, Q34} &gt; 0)), """")"),734.8)</f>
        <v>734.8</v>
      </c>
      <c r="T34" s="53">
        <f>IFERROR(__xludf.DUMMYFUNCTION("(S34-(IFERROR(MIN(FILTER({K34, N34, Q34}, ISNUMBER({K34, N34, Q34}), {K34, N34, Q34} &gt; 0)), """")))/S34"),0.4011976047904191)</f>
        <v>0.4011976048</v>
      </c>
    </row>
    <row r="35" ht="22.5" customHeight="1">
      <c r="A35" s="34" t="s">
        <v>32</v>
      </c>
      <c r="B35" s="34" t="s">
        <v>50</v>
      </c>
      <c r="C35" s="37" t="s">
        <v>72</v>
      </c>
      <c r="D35" s="38" t="s">
        <v>62</v>
      </c>
      <c r="E35" s="40" t="s">
        <v>55</v>
      </c>
      <c r="F35" s="34" t="s">
        <v>209</v>
      </c>
      <c r="G35" s="43" t="s">
        <v>41</v>
      </c>
      <c r="H35" s="51" t="s">
        <v>49</v>
      </c>
      <c r="I35" s="39">
        <v>2000.0</v>
      </c>
      <c r="J35" s="39">
        <v>2000.0</v>
      </c>
      <c r="K35" s="41"/>
      <c r="L35" s="42">
        <v>2000.0</v>
      </c>
      <c r="M35" s="42">
        <v>2000.0</v>
      </c>
      <c r="N35" s="55"/>
      <c r="O35" s="39">
        <v>2000.0</v>
      </c>
      <c r="P35" s="39">
        <v>2000.0</v>
      </c>
      <c r="Q35" s="39">
        <v>720.0</v>
      </c>
      <c r="R35" s="46">
        <v>0.67</v>
      </c>
      <c r="S35" s="50">
        <f>IFERROR(__xludf.DUMMYFUNCTION("((IFERROR(MIN(FILTER({K35, N35, Q35}, ISNUMBER({K35, N35, Q35}), {K35, N35, Q35} &gt; 0)), """"))*R35)+IFERROR(MIN(FILTER({K35, N35, Q35}, ISNUMBER({K35, N35, Q35}), {K35, N35, Q35} &gt; 0)), """")"),1202.4)</f>
        <v>1202.4</v>
      </c>
      <c r="T35" s="53">
        <f>IFERROR(__xludf.DUMMYFUNCTION("(S35-(IFERROR(MIN(FILTER({K35, N35, Q35}, ISNUMBER({K35, N35, Q35}), {K35, N35, Q35} &gt; 0)), """")))/S35"),0.4011976047904192)</f>
        <v>0.4011976048</v>
      </c>
    </row>
    <row r="36" ht="22.5" customHeight="1">
      <c r="A36" s="34" t="s">
        <v>32</v>
      </c>
      <c r="B36" s="34" t="s">
        <v>50</v>
      </c>
      <c r="C36" s="37" t="s">
        <v>72</v>
      </c>
      <c r="D36" s="38" t="s">
        <v>62</v>
      </c>
      <c r="E36" s="40" t="s">
        <v>55</v>
      </c>
      <c r="F36" s="34" t="s">
        <v>209</v>
      </c>
      <c r="G36" s="43" t="s">
        <v>41</v>
      </c>
      <c r="H36" s="51" t="s">
        <v>49</v>
      </c>
      <c r="I36" s="39">
        <v>5000.0</v>
      </c>
      <c r="J36" s="39">
        <v>5000.0</v>
      </c>
      <c r="K36" s="41"/>
      <c r="L36" s="42">
        <v>5000.0</v>
      </c>
      <c r="M36" s="42">
        <v>5000.0</v>
      </c>
      <c r="N36" s="55"/>
      <c r="O36" s="39">
        <v>5000.0</v>
      </c>
      <c r="P36" s="39">
        <v>5000.0</v>
      </c>
      <c r="Q36" s="39">
        <v>640.0</v>
      </c>
      <c r="R36" s="46">
        <v>0.67</v>
      </c>
      <c r="S36" s="50">
        <f>IFERROR(__xludf.DUMMYFUNCTION("((IFERROR(MIN(FILTER({K36, N36, Q36}, ISNUMBER({K36, N36, Q36}), {K36, N36, Q36} &gt; 0)), """"))*R36)+IFERROR(MIN(FILTER({K36, N36, Q36}, ISNUMBER({K36, N36, Q36}), {K36, N36, Q36} &gt; 0)), """")"),1068.8)</f>
        <v>1068.8</v>
      </c>
      <c r="T36" s="53">
        <f>IFERROR(__xludf.DUMMYFUNCTION("(S36-(IFERROR(MIN(FILTER({K36, N36, Q36}, ISNUMBER({K36, N36, Q36}), {K36, N36, Q36} &gt; 0)), """")))/S36"),0.40119760479041916)</f>
        <v>0.4011976048</v>
      </c>
    </row>
    <row r="37" ht="22.5" customHeight="1">
      <c r="A37" s="34" t="s">
        <v>32</v>
      </c>
      <c r="B37" s="34" t="s">
        <v>50</v>
      </c>
      <c r="C37" s="37" t="s">
        <v>72</v>
      </c>
      <c r="D37" s="38" t="s">
        <v>62</v>
      </c>
      <c r="E37" s="40" t="s">
        <v>55</v>
      </c>
      <c r="F37" s="34" t="s">
        <v>209</v>
      </c>
      <c r="G37" s="43" t="s">
        <v>41</v>
      </c>
      <c r="H37" s="51" t="s">
        <v>49</v>
      </c>
      <c r="I37" s="39">
        <v>10000.0</v>
      </c>
      <c r="J37" s="39">
        <v>10000.0</v>
      </c>
      <c r="K37" s="41"/>
      <c r="L37" s="42">
        <v>10000.0</v>
      </c>
      <c r="M37" s="42">
        <v>10000.0</v>
      </c>
      <c r="N37" s="55"/>
      <c r="O37" s="39">
        <v>10000.0</v>
      </c>
      <c r="P37" s="39">
        <v>10000.0</v>
      </c>
      <c r="Q37" s="39">
        <v>550.0</v>
      </c>
      <c r="R37" s="46">
        <v>0.67</v>
      </c>
      <c r="S37" s="50">
        <f>IFERROR(__xludf.DUMMYFUNCTION("((IFERROR(MIN(FILTER({K37, N37, Q37}, ISNUMBER({K37, N37, Q37}), {K37, N37, Q37} &gt; 0)), """"))*R37)+IFERROR(MIN(FILTER({K37, N37, Q37}, ISNUMBER({K37, N37, Q37}), {K37, N37, Q37} &gt; 0)), """")"),918.5)</f>
        <v>918.5</v>
      </c>
      <c r="T37" s="53">
        <f>IFERROR(__xludf.DUMMYFUNCTION("(S37-(IFERROR(MIN(FILTER({K37, N37, Q37}, ISNUMBER({K37, N37, Q37}), {K37, N37, Q37} &gt; 0)), """")))/S37"),0.40119760479041916)</f>
        <v>0.4011976048</v>
      </c>
    </row>
    <row r="38" ht="22.5" customHeight="1">
      <c r="A38" s="34" t="s">
        <v>32</v>
      </c>
      <c r="B38" s="34" t="s">
        <v>50</v>
      </c>
      <c r="C38" s="37" t="s">
        <v>72</v>
      </c>
      <c r="D38" s="38" t="s">
        <v>62</v>
      </c>
      <c r="E38" s="40" t="s">
        <v>55</v>
      </c>
      <c r="F38" s="34" t="s">
        <v>209</v>
      </c>
      <c r="G38" s="43" t="s">
        <v>41</v>
      </c>
      <c r="H38" s="51" t="s">
        <v>49</v>
      </c>
      <c r="I38" s="39">
        <v>25000.0</v>
      </c>
      <c r="J38" s="39">
        <v>25000.0</v>
      </c>
      <c r="K38" s="41"/>
      <c r="L38" s="42">
        <v>25000.0</v>
      </c>
      <c r="M38" s="42">
        <v>25000.0</v>
      </c>
      <c r="N38" s="55"/>
      <c r="O38" s="39">
        <v>25000.0</v>
      </c>
      <c r="P38" s="39">
        <v>25000.0</v>
      </c>
      <c r="Q38" s="39">
        <v>440.0</v>
      </c>
      <c r="R38" s="46">
        <v>0.67</v>
      </c>
      <c r="S38" s="50">
        <f>IFERROR(__xludf.DUMMYFUNCTION("((IFERROR(MIN(FILTER({K38, N38, Q38}, ISNUMBER({K38, N38, Q38}), {K38, N38, Q38} &gt; 0)), """"))*R38)+IFERROR(MIN(FILTER({K38, N38, Q38}, ISNUMBER({K38, N38, Q38}), {K38, N38, Q38} &gt; 0)), """")"),734.8)</f>
        <v>734.8</v>
      </c>
      <c r="T38" s="53">
        <f>IFERROR(__xludf.DUMMYFUNCTION("(S38-(IFERROR(MIN(FILTER({K38, N38, Q38}, ISNUMBER({K38, N38, Q38}), {K38, N38, Q38} &gt; 0)), """")))/S38"),0.4011976047904191)</f>
        <v>0.4011976048</v>
      </c>
    </row>
    <row r="39" ht="22.5" customHeight="1">
      <c r="A39" s="34" t="s">
        <v>32</v>
      </c>
      <c r="B39" s="34" t="s">
        <v>50</v>
      </c>
      <c r="C39" s="37" t="s">
        <v>85</v>
      </c>
      <c r="D39" s="38" t="s">
        <v>62</v>
      </c>
      <c r="E39" s="40" t="s">
        <v>55</v>
      </c>
      <c r="F39" s="34" t="s">
        <v>209</v>
      </c>
      <c r="G39" s="43" t="s">
        <v>41</v>
      </c>
      <c r="H39" s="51" t="s">
        <v>49</v>
      </c>
      <c r="I39" s="39">
        <v>2000.0</v>
      </c>
      <c r="J39" s="39">
        <v>2000.0</v>
      </c>
      <c r="K39" s="41"/>
      <c r="L39" s="42">
        <v>2000.0</v>
      </c>
      <c r="M39" s="42">
        <v>2000.0</v>
      </c>
      <c r="N39" s="55"/>
      <c r="O39" s="39">
        <v>2000.0</v>
      </c>
      <c r="P39" s="39">
        <v>2000.0</v>
      </c>
      <c r="Q39" s="39">
        <v>840.0</v>
      </c>
      <c r="R39" s="46">
        <v>0.67</v>
      </c>
      <c r="S39" s="50">
        <f>IFERROR(__xludf.DUMMYFUNCTION("((IFERROR(MIN(FILTER({K39, N39, Q39}, ISNUMBER({K39, N39, Q39}), {K39, N39, Q39} &gt; 0)), """"))*R39)+IFERROR(MIN(FILTER({K39, N39, Q39}, ISNUMBER({K39, N39, Q39}), {K39, N39, Q39} &gt; 0)), """")"),1402.8000000000002)</f>
        <v>1402.8</v>
      </c>
      <c r="T39" s="53">
        <f>IFERROR(__xludf.DUMMYFUNCTION("(S39-(IFERROR(MIN(FILTER({K39, N39, Q39}, ISNUMBER({K39, N39, Q39}), {K39, N39, Q39} &gt; 0)), """")))/S39"),0.4011976047904192)</f>
        <v>0.4011976048</v>
      </c>
    </row>
    <row r="40" ht="22.5" customHeight="1">
      <c r="A40" s="34" t="s">
        <v>32</v>
      </c>
      <c r="B40" s="34" t="s">
        <v>50</v>
      </c>
      <c r="C40" s="37" t="s">
        <v>85</v>
      </c>
      <c r="D40" s="38" t="s">
        <v>62</v>
      </c>
      <c r="E40" s="40" t="s">
        <v>55</v>
      </c>
      <c r="F40" s="34" t="s">
        <v>209</v>
      </c>
      <c r="G40" s="43" t="s">
        <v>41</v>
      </c>
      <c r="H40" s="51" t="s">
        <v>49</v>
      </c>
      <c r="I40" s="39">
        <v>5000.0</v>
      </c>
      <c r="J40" s="39">
        <v>5000.0</v>
      </c>
      <c r="K40" s="41"/>
      <c r="L40" s="42">
        <v>5000.0</v>
      </c>
      <c r="M40" s="42">
        <v>5000.0</v>
      </c>
      <c r="N40" s="55"/>
      <c r="O40" s="39">
        <v>5000.0</v>
      </c>
      <c r="P40" s="39">
        <v>5000.0</v>
      </c>
      <c r="Q40" s="39">
        <v>720.0</v>
      </c>
      <c r="R40" s="46">
        <v>0.67</v>
      </c>
      <c r="S40" s="50">
        <f>IFERROR(__xludf.DUMMYFUNCTION("((IFERROR(MIN(FILTER({K40, N40, Q40}, ISNUMBER({K40, N40, Q40}), {K40, N40, Q40} &gt; 0)), """"))*R40)+IFERROR(MIN(FILTER({K40, N40, Q40}, ISNUMBER({K40, N40, Q40}), {K40, N40, Q40} &gt; 0)), """")"),1202.4)</f>
        <v>1202.4</v>
      </c>
      <c r="T40" s="53">
        <f>IFERROR(__xludf.DUMMYFUNCTION("(S40-(IFERROR(MIN(FILTER({K40, N40, Q40}, ISNUMBER({K40, N40, Q40}), {K40, N40, Q40} &gt; 0)), """")))/S40"),0.4011976047904192)</f>
        <v>0.4011976048</v>
      </c>
    </row>
    <row r="41" ht="22.5" customHeight="1">
      <c r="A41" s="34" t="s">
        <v>32</v>
      </c>
      <c r="B41" s="34" t="s">
        <v>50</v>
      </c>
      <c r="C41" s="37" t="s">
        <v>85</v>
      </c>
      <c r="D41" s="38" t="s">
        <v>62</v>
      </c>
      <c r="E41" s="40" t="s">
        <v>55</v>
      </c>
      <c r="F41" s="34" t="s">
        <v>209</v>
      </c>
      <c r="G41" s="43" t="s">
        <v>41</v>
      </c>
      <c r="H41" s="51" t="s">
        <v>49</v>
      </c>
      <c r="I41" s="39">
        <v>10000.0</v>
      </c>
      <c r="J41" s="39">
        <v>10000.0</v>
      </c>
      <c r="K41" s="41"/>
      <c r="L41" s="42">
        <v>10000.0</v>
      </c>
      <c r="M41" s="42">
        <v>10000.0</v>
      </c>
      <c r="N41" s="55"/>
      <c r="O41" s="39">
        <v>10000.0</v>
      </c>
      <c r="P41" s="39">
        <v>10000.0</v>
      </c>
      <c r="Q41" s="39">
        <v>640.0</v>
      </c>
      <c r="R41" s="46">
        <v>0.67</v>
      </c>
      <c r="S41" s="50">
        <f>IFERROR(__xludf.DUMMYFUNCTION("((IFERROR(MIN(FILTER({K41, N41, Q41}, ISNUMBER({K41, N41, Q41}), {K41, N41, Q41} &gt; 0)), """"))*R41)+IFERROR(MIN(FILTER({K41, N41, Q41}, ISNUMBER({K41, N41, Q41}), {K41, N41, Q41} &gt; 0)), """")"),1068.8)</f>
        <v>1068.8</v>
      </c>
      <c r="T41" s="53">
        <f>IFERROR(__xludf.DUMMYFUNCTION("(S41-(IFERROR(MIN(FILTER({K41, N41, Q41}, ISNUMBER({K41, N41, Q41}), {K41, N41, Q41} &gt; 0)), """")))/S41"),0.40119760479041916)</f>
        <v>0.4011976048</v>
      </c>
    </row>
    <row r="42" ht="22.5" customHeight="1">
      <c r="A42" s="34" t="s">
        <v>32</v>
      </c>
      <c r="B42" s="34" t="s">
        <v>50</v>
      </c>
      <c r="C42" s="37" t="s">
        <v>85</v>
      </c>
      <c r="D42" s="38" t="s">
        <v>62</v>
      </c>
      <c r="E42" s="40" t="s">
        <v>55</v>
      </c>
      <c r="F42" s="34" t="s">
        <v>209</v>
      </c>
      <c r="G42" s="43" t="s">
        <v>41</v>
      </c>
      <c r="H42" s="51" t="s">
        <v>49</v>
      </c>
      <c r="I42" s="39">
        <v>25000.0</v>
      </c>
      <c r="J42" s="39">
        <v>25000.0</v>
      </c>
      <c r="K42" s="41"/>
      <c r="L42" s="42">
        <v>25000.0</v>
      </c>
      <c r="M42" s="42">
        <v>25000.0</v>
      </c>
      <c r="N42" s="55"/>
      <c r="O42" s="39">
        <v>25000.0</v>
      </c>
      <c r="P42" s="39">
        <v>25000.0</v>
      </c>
      <c r="Q42" s="39">
        <v>550.0</v>
      </c>
      <c r="R42" s="46">
        <v>0.67</v>
      </c>
      <c r="S42" s="50">
        <f>IFERROR(__xludf.DUMMYFUNCTION("((IFERROR(MIN(FILTER({K42, N42, Q42}, ISNUMBER({K42, N42, Q42}), {K42, N42, Q42} &gt; 0)), """"))*R42)+IFERROR(MIN(FILTER({K42, N42, Q42}, ISNUMBER({K42, N42, Q42}), {K42, N42, Q42} &gt; 0)), """")"),918.5)</f>
        <v>918.5</v>
      </c>
      <c r="T42" s="53">
        <f>IFERROR(__xludf.DUMMYFUNCTION("(S42-(IFERROR(MIN(FILTER({K42, N42, Q42}, ISNUMBER({K42, N42, Q42}), {K42, N42, Q42} &gt; 0)), """")))/S42"),0.40119760479041916)</f>
        <v>0.4011976048</v>
      </c>
    </row>
    <row r="43" ht="22.5" customHeight="1">
      <c r="A43" s="34" t="s">
        <v>227</v>
      </c>
      <c r="B43" s="34" t="s">
        <v>50</v>
      </c>
      <c r="C43" s="37" t="s">
        <v>42</v>
      </c>
      <c r="D43" s="38" t="s">
        <v>229</v>
      </c>
      <c r="E43" s="40" t="s">
        <v>63</v>
      </c>
      <c r="F43" s="34" t="s">
        <v>67</v>
      </c>
      <c r="G43" s="43" t="s">
        <v>41</v>
      </c>
      <c r="H43" s="51" t="s">
        <v>49</v>
      </c>
      <c r="I43" s="39">
        <v>2000.0</v>
      </c>
      <c r="J43" s="39">
        <v>2000.0</v>
      </c>
      <c r="K43" s="41"/>
      <c r="L43" s="42">
        <v>2000.0</v>
      </c>
      <c r="M43" s="42">
        <v>2000.0</v>
      </c>
      <c r="N43" s="55"/>
      <c r="O43" s="39">
        <v>2000.0</v>
      </c>
      <c r="P43" s="39">
        <v>2000.0</v>
      </c>
      <c r="Q43" s="39">
        <v>960.0</v>
      </c>
      <c r="R43" s="46">
        <v>0.67</v>
      </c>
      <c r="S43" s="50">
        <f>IFERROR(__xludf.DUMMYFUNCTION("((IFERROR(MIN(FILTER({K43, N43, Q43}, ISNUMBER({K43, N43, Q43}), {K43, N43, Q43} &gt; 0)), """"))*R43)+IFERROR(MIN(FILTER({K43, N43, Q43}, ISNUMBER({K43, N43, Q43}), {K43, N43, Q43} &gt; 0)), """")"),1603.2)</f>
        <v>1603.2</v>
      </c>
      <c r="T43" s="53">
        <f>IFERROR(__xludf.DUMMYFUNCTION("(S43-(IFERROR(MIN(FILTER({K43, N43, Q43}, ISNUMBER({K43, N43, Q43}), {K43, N43, Q43} &gt; 0)), """")))/S43"),0.40119760479041916)</f>
        <v>0.4011976048</v>
      </c>
    </row>
    <row r="44" ht="22.5" customHeight="1">
      <c r="A44" s="34" t="s">
        <v>227</v>
      </c>
      <c r="B44" s="34" t="s">
        <v>50</v>
      </c>
      <c r="C44" s="37" t="s">
        <v>42</v>
      </c>
      <c r="D44" s="38" t="s">
        <v>229</v>
      </c>
      <c r="E44" s="40" t="s">
        <v>63</v>
      </c>
      <c r="F44" s="34" t="s">
        <v>67</v>
      </c>
      <c r="G44" s="43" t="s">
        <v>41</v>
      </c>
      <c r="H44" s="51" t="s">
        <v>49</v>
      </c>
      <c r="I44" s="39">
        <v>5000.0</v>
      </c>
      <c r="J44" s="39">
        <v>5000.0</v>
      </c>
      <c r="K44" s="41"/>
      <c r="L44" s="42">
        <v>5000.0</v>
      </c>
      <c r="M44" s="42">
        <v>5000.0</v>
      </c>
      <c r="N44" s="55"/>
      <c r="O44" s="39">
        <v>5000.0</v>
      </c>
      <c r="P44" s="39">
        <v>5000.0</v>
      </c>
      <c r="Q44" s="39">
        <v>840.0</v>
      </c>
      <c r="R44" s="46">
        <v>0.67</v>
      </c>
      <c r="S44" s="50">
        <f>IFERROR(__xludf.DUMMYFUNCTION("((IFERROR(MIN(FILTER({K44, N44, Q44}, ISNUMBER({K44, N44, Q44}), {K44, N44, Q44} &gt; 0)), """"))*R44)+IFERROR(MIN(FILTER({K44, N44, Q44}, ISNUMBER({K44, N44, Q44}), {K44, N44, Q44} &gt; 0)), """")"),1402.8000000000002)</f>
        <v>1402.8</v>
      </c>
      <c r="T44" s="53">
        <f>IFERROR(__xludf.DUMMYFUNCTION("(S44-(IFERROR(MIN(FILTER({K44, N44, Q44}, ISNUMBER({K44, N44, Q44}), {K44, N44, Q44} &gt; 0)), """")))/S44"),0.4011976047904192)</f>
        <v>0.4011976048</v>
      </c>
    </row>
    <row r="45" ht="22.5" customHeight="1">
      <c r="A45" s="34" t="s">
        <v>227</v>
      </c>
      <c r="B45" s="34" t="s">
        <v>50</v>
      </c>
      <c r="C45" s="37" t="s">
        <v>85</v>
      </c>
      <c r="D45" s="38" t="s">
        <v>229</v>
      </c>
      <c r="E45" s="40" t="s">
        <v>55</v>
      </c>
      <c r="F45" s="34" t="s">
        <v>239</v>
      </c>
      <c r="G45" s="43" t="s">
        <v>41</v>
      </c>
      <c r="H45" s="51" t="s">
        <v>49</v>
      </c>
      <c r="I45" s="39">
        <v>2000.0</v>
      </c>
      <c r="J45" s="39">
        <v>2000.0</v>
      </c>
      <c r="K45" s="41"/>
      <c r="L45" s="42">
        <v>2000.0</v>
      </c>
      <c r="M45" s="42">
        <v>2000.0</v>
      </c>
      <c r="N45" s="55"/>
      <c r="O45" s="39">
        <v>2000.0</v>
      </c>
      <c r="P45" s="39">
        <v>2000.0</v>
      </c>
      <c r="Q45" s="39">
        <v>720.0</v>
      </c>
      <c r="R45" s="46">
        <v>0.67</v>
      </c>
      <c r="S45" s="50">
        <f>IFERROR(__xludf.DUMMYFUNCTION("((IFERROR(MIN(FILTER({K45, N45, Q45}, ISNUMBER({K45, N45, Q45}), {K45, N45, Q45} &gt; 0)), """"))*R45)+IFERROR(MIN(FILTER({K45, N45, Q45}, ISNUMBER({K45, N45, Q45}), {K45, N45, Q45} &gt; 0)), """")"),1202.4)</f>
        <v>1202.4</v>
      </c>
      <c r="T45" s="53">
        <f>IFERROR(__xludf.DUMMYFUNCTION("(S45-(IFERROR(MIN(FILTER({K45, N45, Q45}, ISNUMBER({K45, N45, Q45}), {K45, N45, Q45} &gt; 0)), """")))/S45"),0.4011976047904192)</f>
        <v>0.4011976048</v>
      </c>
    </row>
    <row r="46" ht="22.5" customHeight="1">
      <c r="A46" s="34" t="s">
        <v>227</v>
      </c>
      <c r="B46" s="34" t="s">
        <v>50</v>
      </c>
      <c r="C46" s="37" t="s">
        <v>85</v>
      </c>
      <c r="D46" s="38" t="s">
        <v>229</v>
      </c>
      <c r="E46" s="40" t="s">
        <v>55</v>
      </c>
      <c r="F46" s="34" t="s">
        <v>239</v>
      </c>
      <c r="G46" s="43" t="s">
        <v>41</v>
      </c>
      <c r="H46" s="51" t="s">
        <v>49</v>
      </c>
      <c r="I46" s="39">
        <v>5000.0</v>
      </c>
      <c r="J46" s="39">
        <v>5000.0</v>
      </c>
      <c r="K46" s="41"/>
      <c r="L46" s="42">
        <v>5000.0</v>
      </c>
      <c r="M46" s="42">
        <v>5000.0</v>
      </c>
      <c r="N46" s="55"/>
      <c r="O46" s="39">
        <v>5000.0</v>
      </c>
      <c r="P46" s="39">
        <v>5000.0</v>
      </c>
      <c r="Q46" s="39">
        <v>640.0</v>
      </c>
      <c r="R46" s="46">
        <v>0.67</v>
      </c>
      <c r="S46" s="50">
        <f>IFERROR(__xludf.DUMMYFUNCTION("((IFERROR(MIN(FILTER({K46, N46, Q46}, ISNUMBER({K46, N46, Q46}), {K46, N46, Q46} &gt; 0)), """"))*R46)+IFERROR(MIN(FILTER({K46, N46, Q46}, ISNUMBER({K46, N46, Q46}), {K46, N46, Q46} &gt; 0)), """")"),1068.8)</f>
        <v>1068.8</v>
      </c>
      <c r="T46" s="53">
        <f>IFERROR(__xludf.DUMMYFUNCTION("(S46-(IFERROR(MIN(FILTER({K46, N46, Q46}, ISNUMBER({K46, N46, Q46}), {K46, N46, Q46} &gt; 0)), """")))/S46"),0.40119760479041916)</f>
        <v>0.4011976048</v>
      </c>
    </row>
    <row r="47" ht="22.5" customHeight="1">
      <c r="A47" s="34" t="s">
        <v>227</v>
      </c>
      <c r="B47" s="34" t="s">
        <v>50</v>
      </c>
      <c r="C47" s="37" t="s">
        <v>42</v>
      </c>
      <c r="D47" s="38" t="s">
        <v>244</v>
      </c>
      <c r="E47" s="40" t="s">
        <v>63</v>
      </c>
      <c r="F47" s="34" t="s">
        <v>67</v>
      </c>
      <c r="G47" s="43" t="s">
        <v>41</v>
      </c>
      <c r="H47" s="51" t="s">
        <v>49</v>
      </c>
      <c r="I47" s="39">
        <v>2000.0</v>
      </c>
      <c r="J47" s="39">
        <v>2000.0</v>
      </c>
      <c r="K47" s="41"/>
      <c r="L47" s="42">
        <v>2000.0</v>
      </c>
      <c r="M47" s="42">
        <v>2000.0</v>
      </c>
      <c r="N47" s="55"/>
      <c r="O47" s="39">
        <v>2000.0</v>
      </c>
      <c r="P47" s="39">
        <v>2000.0</v>
      </c>
      <c r="Q47" s="39">
        <v>720.0</v>
      </c>
      <c r="R47" s="46">
        <v>0.67</v>
      </c>
      <c r="S47" s="50">
        <f>IFERROR(__xludf.DUMMYFUNCTION("((IFERROR(MIN(FILTER({K47, N47, Q47}, ISNUMBER({K47, N47, Q47}), {K47, N47, Q47} &gt; 0)), """"))*R47)+IFERROR(MIN(FILTER({K47, N47, Q47}, ISNUMBER({K47, N47, Q47}), {K47, N47, Q47} &gt; 0)), """")"),1202.4)</f>
        <v>1202.4</v>
      </c>
      <c r="T47" s="53">
        <f>IFERROR(__xludf.DUMMYFUNCTION("(S47-(IFERROR(MIN(FILTER({K47, N47, Q47}, ISNUMBER({K47, N47, Q47}), {K47, N47, Q47} &gt; 0)), """")))/S47"),0.4011976047904192)</f>
        <v>0.4011976048</v>
      </c>
    </row>
    <row r="48" ht="22.5" customHeight="1">
      <c r="A48" s="34" t="s">
        <v>227</v>
      </c>
      <c r="B48" s="34" t="s">
        <v>50</v>
      </c>
      <c r="C48" s="37" t="s">
        <v>42</v>
      </c>
      <c r="D48" s="38" t="s">
        <v>244</v>
      </c>
      <c r="E48" s="40" t="s">
        <v>63</v>
      </c>
      <c r="F48" s="34" t="s">
        <v>67</v>
      </c>
      <c r="G48" s="43" t="s">
        <v>41</v>
      </c>
      <c r="H48" s="51" t="s">
        <v>49</v>
      </c>
      <c r="I48" s="39">
        <v>5000.0</v>
      </c>
      <c r="J48" s="39">
        <v>5000.0</v>
      </c>
      <c r="K48" s="39"/>
      <c r="L48" s="42">
        <v>5000.0</v>
      </c>
      <c r="M48" s="42">
        <v>5000.0</v>
      </c>
      <c r="N48" s="55"/>
      <c r="O48" s="39">
        <v>5000.0</v>
      </c>
      <c r="P48" s="39">
        <v>5000.0</v>
      </c>
      <c r="Q48" s="39">
        <v>640.0</v>
      </c>
      <c r="R48" s="46">
        <v>0.67</v>
      </c>
      <c r="S48" s="50">
        <f>IFERROR(__xludf.DUMMYFUNCTION("((IFERROR(MIN(FILTER({K48, N48, Q48}, ISNUMBER({K48, N48, Q48}), {K48, N48, Q48} &gt; 0)), """"))*R48)+IFERROR(MIN(FILTER({K48, N48, Q48}, ISNUMBER({K48, N48, Q48}), {K48, N48, Q48} &gt; 0)), """")"),1068.8)</f>
        <v>1068.8</v>
      </c>
      <c r="T48" s="53">
        <f>IFERROR(__xludf.DUMMYFUNCTION("(S48-(IFERROR(MIN(FILTER({K48, N48, Q48}, ISNUMBER({K48, N48, Q48}), {K48, N48, Q48} &gt; 0)), """")))/S48"),0.40119760479041916)</f>
        <v>0.4011976048</v>
      </c>
    </row>
    <row r="49" ht="22.5" customHeight="1">
      <c r="A49" s="34" t="s">
        <v>227</v>
      </c>
      <c r="B49" s="34" t="s">
        <v>50</v>
      </c>
      <c r="C49" s="37" t="s">
        <v>85</v>
      </c>
      <c r="D49" s="38" t="s">
        <v>244</v>
      </c>
      <c r="E49" s="40" t="s">
        <v>55</v>
      </c>
      <c r="F49" s="34" t="s">
        <v>239</v>
      </c>
      <c r="G49" s="43" t="s">
        <v>41</v>
      </c>
      <c r="H49" s="51" t="s">
        <v>49</v>
      </c>
      <c r="I49" s="39">
        <v>2000.0</v>
      </c>
      <c r="J49" s="39">
        <v>2000.0</v>
      </c>
      <c r="K49" s="39"/>
      <c r="L49" s="42">
        <v>2000.0</v>
      </c>
      <c r="M49" s="42">
        <v>2000.0</v>
      </c>
      <c r="N49" s="55"/>
      <c r="O49" s="39">
        <v>2000.0</v>
      </c>
      <c r="P49" s="39">
        <v>2000.0</v>
      </c>
      <c r="Q49" s="39">
        <v>550.0</v>
      </c>
      <c r="R49" s="46">
        <v>0.67</v>
      </c>
      <c r="S49" s="50">
        <f>IFERROR(__xludf.DUMMYFUNCTION("((IFERROR(MIN(FILTER({K49, N49, Q49}, ISNUMBER({K49, N49, Q49}), {K49, N49, Q49} &gt; 0)), """"))*R49)+IFERROR(MIN(FILTER({K49, N49, Q49}, ISNUMBER({K49, N49, Q49}), {K49, N49, Q49} &gt; 0)), """")"),918.5)</f>
        <v>918.5</v>
      </c>
      <c r="T49" s="53">
        <f>IFERROR(__xludf.DUMMYFUNCTION("(S49-(IFERROR(MIN(FILTER({K49, N49, Q49}, ISNUMBER({K49, N49, Q49}), {K49, N49, Q49} &gt; 0)), """")))/S49"),0.40119760479041916)</f>
        <v>0.4011976048</v>
      </c>
    </row>
    <row r="50" ht="22.5" customHeight="1">
      <c r="A50" s="34" t="s">
        <v>227</v>
      </c>
      <c r="B50" s="34" t="s">
        <v>50</v>
      </c>
      <c r="C50" s="37" t="s">
        <v>85</v>
      </c>
      <c r="D50" s="38" t="s">
        <v>244</v>
      </c>
      <c r="E50" s="40" t="s">
        <v>55</v>
      </c>
      <c r="F50" s="34" t="s">
        <v>239</v>
      </c>
      <c r="G50" s="43" t="s">
        <v>41</v>
      </c>
      <c r="H50" s="51" t="s">
        <v>49</v>
      </c>
      <c r="I50" s="39">
        <v>5000.0</v>
      </c>
      <c r="J50" s="39">
        <v>5000.0</v>
      </c>
      <c r="K50" s="39"/>
      <c r="L50" s="42">
        <v>5000.0</v>
      </c>
      <c r="M50" s="42">
        <v>5000.0</v>
      </c>
      <c r="N50" s="55"/>
      <c r="O50" s="39">
        <v>5000.0</v>
      </c>
      <c r="P50" s="39">
        <v>5000.0</v>
      </c>
      <c r="Q50" s="39">
        <v>440.0</v>
      </c>
      <c r="R50" s="46">
        <v>0.67</v>
      </c>
      <c r="S50" s="50">
        <f>IFERROR(__xludf.DUMMYFUNCTION("((IFERROR(MIN(FILTER({K50, N50, Q50}, ISNUMBER({K50, N50, Q50}), {K50, N50, Q50} &gt; 0)), """"))*R50)+IFERROR(MIN(FILTER({K50, N50, Q50}, ISNUMBER({K50, N50, Q50}), {K50, N50, Q50} &gt; 0)), """")"),734.8)</f>
        <v>734.8</v>
      </c>
      <c r="T50" s="53">
        <f>IFERROR(__xludf.DUMMYFUNCTION("(S50-(IFERROR(MIN(FILTER({K50, N50, Q50}, ISNUMBER({K50, N50, Q50}), {K50, N50, Q50} &gt; 0)), """")))/S50"),0.4011976047904191)</f>
        <v>0.4011976048</v>
      </c>
    </row>
    <row r="51" ht="22.5" customHeight="1">
      <c r="A51" s="34" t="s">
        <v>256</v>
      </c>
      <c r="B51" s="34" t="s">
        <v>50</v>
      </c>
      <c r="C51" s="37" t="s">
        <v>72</v>
      </c>
      <c r="D51" s="38" t="s">
        <v>257</v>
      </c>
      <c r="E51" s="40" t="s">
        <v>36</v>
      </c>
      <c r="F51" s="34"/>
      <c r="G51" s="43" t="s">
        <v>41</v>
      </c>
      <c r="H51" s="51" t="s">
        <v>49</v>
      </c>
      <c r="I51" s="39">
        <v>10000.0</v>
      </c>
      <c r="J51" s="39">
        <v>10000.0</v>
      </c>
      <c r="K51" s="41"/>
      <c r="L51" s="42">
        <v>10000.0</v>
      </c>
      <c r="M51" s="42">
        <v>10000.0</v>
      </c>
      <c r="N51" s="55"/>
      <c r="O51" s="39">
        <v>10000.0</v>
      </c>
      <c r="P51" s="39">
        <v>10000.0</v>
      </c>
      <c r="Q51" s="39">
        <v>670.0</v>
      </c>
      <c r="R51" s="46">
        <v>0.67</v>
      </c>
      <c r="S51" s="50">
        <f>IFERROR(__xludf.DUMMYFUNCTION("((IFERROR(MIN(FILTER({K51, N51, Q51}, ISNUMBER({K51, N51, Q51}), {K51, N51, Q51} &gt; 0)), """"))*R51)+IFERROR(MIN(FILTER({K51, N51, Q51}, ISNUMBER({K51, N51, Q51}), {K51, N51, Q51} &gt; 0)), """")"),1118.9)</f>
        <v>1118.9</v>
      </c>
      <c r="T51" s="53">
        <f>IFERROR(__xludf.DUMMYFUNCTION("(S51-(IFERROR(MIN(FILTER({K51, N51, Q51}, ISNUMBER({K51, N51, Q51}), {K51, N51, Q51} &gt; 0)), """")))/S51"),0.4011976047904192)</f>
        <v>0.4011976048</v>
      </c>
    </row>
    <row r="52" ht="22.5" customHeight="1">
      <c r="A52" s="34" t="s">
        <v>256</v>
      </c>
      <c r="B52" s="34" t="s">
        <v>50</v>
      </c>
      <c r="C52" s="37" t="s">
        <v>72</v>
      </c>
      <c r="D52" s="38" t="s">
        <v>257</v>
      </c>
      <c r="E52" s="40" t="s">
        <v>36</v>
      </c>
      <c r="F52" s="67"/>
      <c r="G52" s="43" t="s">
        <v>41</v>
      </c>
      <c r="H52" s="51" t="s">
        <v>49</v>
      </c>
      <c r="I52" s="39">
        <v>20000.0</v>
      </c>
      <c r="J52" s="39">
        <v>20000.0</v>
      </c>
      <c r="K52" s="41"/>
      <c r="L52" s="42">
        <v>20000.0</v>
      </c>
      <c r="M52" s="42">
        <v>20000.0</v>
      </c>
      <c r="N52" s="55"/>
      <c r="O52" s="39">
        <v>20000.0</v>
      </c>
      <c r="P52" s="39">
        <v>20000.0</v>
      </c>
      <c r="Q52" s="39">
        <v>570.0</v>
      </c>
      <c r="R52" s="46">
        <v>0.67</v>
      </c>
      <c r="S52" s="50">
        <f>IFERROR(__xludf.DUMMYFUNCTION("((IFERROR(MIN(FILTER({K52, N52, Q52}, ISNUMBER({K52, N52, Q52}), {K52, N52, Q52} &gt; 0)), """"))*R52)+IFERROR(MIN(FILTER({K52, N52, Q52}, ISNUMBER({K52, N52, Q52}), {K52, N52, Q52} &gt; 0)), """")"),951.9000000000001)</f>
        <v>951.9</v>
      </c>
      <c r="T52" s="53">
        <f>IFERROR(__xludf.DUMMYFUNCTION("(S52-(IFERROR(MIN(FILTER({K52, N52, Q52}, ISNUMBER({K52, N52, Q52}), {K52, N52, Q52} &gt; 0)), """")))/S52"),0.4011976047904192)</f>
        <v>0.4011976048</v>
      </c>
    </row>
    <row r="53" ht="22.5" customHeight="1">
      <c r="A53" s="34" t="s">
        <v>262</v>
      </c>
      <c r="B53" s="34" t="s">
        <v>50</v>
      </c>
      <c r="C53" s="37" t="s">
        <v>85</v>
      </c>
      <c r="D53" s="38" t="s">
        <v>263</v>
      </c>
      <c r="E53" s="40" t="s">
        <v>36</v>
      </c>
      <c r="F53" s="67"/>
      <c r="G53" s="43" t="s">
        <v>41</v>
      </c>
      <c r="H53" s="51" t="s">
        <v>49</v>
      </c>
      <c r="I53" s="39">
        <v>5000.0</v>
      </c>
      <c r="J53" s="39">
        <v>5000.0</v>
      </c>
      <c r="K53" s="41"/>
      <c r="L53" s="42">
        <v>5000.0</v>
      </c>
      <c r="M53" s="42">
        <v>5000.0</v>
      </c>
      <c r="N53" s="55"/>
      <c r="O53" s="39">
        <v>5000.0</v>
      </c>
      <c r="P53" s="39">
        <v>5000.0</v>
      </c>
      <c r="Q53" s="39">
        <v>550.0</v>
      </c>
      <c r="R53" s="46">
        <v>0.67</v>
      </c>
      <c r="S53" s="50">
        <f>IFERROR(__xludf.DUMMYFUNCTION("((IFERROR(MIN(FILTER({K53, N53, Q53}, ISNUMBER({K53, N53, Q53}), {K53, N53, Q53} &gt; 0)), """"))*R53)+IFERROR(MIN(FILTER({K53, N53, Q53}, ISNUMBER({K53, N53, Q53}), {K53, N53, Q53} &gt; 0)), """")"),918.5)</f>
        <v>918.5</v>
      </c>
      <c r="T53" s="53">
        <f>IFERROR(__xludf.DUMMYFUNCTION("(S53-(IFERROR(MIN(FILTER({K53, N53, Q53}, ISNUMBER({K53, N53, Q53}), {K53, N53, Q53} &gt; 0)), """")))/S53"),0.40119760479041916)</f>
        <v>0.4011976048</v>
      </c>
    </row>
    <row r="54" ht="22.5" customHeight="1">
      <c r="A54" s="34" t="s">
        <v>262</v>
      </c>
      <c r="B54" s="34" t="s">
        <v>50</v>
      </c>
      <c r="C54" s="37" t="s">
        <v>85</v>
      </c>
      <c r="D54" s="38" t="s">
        <v>267</v>
      </c>
      <c r="E54" s="40" t="s">
        <v>36</v>
      </c>
      <c r="F54" s="67"/>
      <c r="G54" s="43" t="s">
        <v>41</v>
      </c>
      <c r="H54" s="51" t="s">
        <v>49</v>
      </c>
      <c r="I54" s="39">
        <v>10000.0</v>
      </c>
      <c r="J54" s="39">
        <v>10000.0</v>
      </c>
      <c r="K54" s="41"/>
      <c r="L54" s="42">
        <v>10000.0</v>
      </c>
      <c r="M54" s="42">
        <v>10000.0</v>
      </c>
      <c r="N54" s="55"/>
      <c r="O54" s="39">
        <v>10000.0</v>
      </c>
      <c r="P54" s="39">
        <v>10000.0</v>
      </c>
      <c r="Q54" s="39">
        <v>440.0</v>
      </c>
      <c r="R54" s="46">
        <v>0.67</v>
      </c>
      <c r="S54" s="50">
        <f>IFERROR(__xludf.DUMMYFUNCTION("((IFERROR(MIN(FILTER({K54, N54, Q54}, ISNUMBER({K54, N54, Q54}), {K54, N54, Q54} &gt; 0)), """"))*R54)+IFERROR(MIN(FILTER({K54, N54, Q54}, ISNUMBER({K54, N54, Q54}), {K54, N54, Q54} &gt; 0)), """")"),734.8)</f>
        <v>734.8</v>
      </c>
      <c r="T54" s="53">
        <f>IFERROR(__xludf.DUMMYFUNCTION("(S54-(IFERROR(MIN(FILTER({K54, N54, Q54}, ISNUMBER({K54, N54, Q54}), {K54, N54, Q54} &gt; 0)), """")))/S54"),0.4011976047904191)</f>
        <v>0.4011976048</v>
      </c>
    </row>
    <row r="55" ht="22.5" customHeight="1">
      <c r="A55" s="34" t="s">
        <v>262</v>
      </c>
      <c r="B55" s="34" t="s">
        <v>50</v>
      </c>
      <c r="C55" s="37" t="s">
        <v>85</v>
      </c>
      <c r="D55" s="38" t="s">
        <v>267</v>
      </c>
      <c r="E55" s="40" t="s">
        <v>63</v>
      </c>
      <c r="F55" s="34" t="s">
        <v>67</v>
      </c>
      <c r="G55" s="43" t="s">
        <v>41</v>
      </c>
      <c r="H55" s="51" t="s">
        <v>49</v>
      </c>
      <c r="I55" s="39">
        <v>5000.0</v>
      </c>
      <c r="J55" s="39">
        <v>5000.0</v>
      </c>
      <c r="K55" s="41"/>
      <c r="L55" s="42">
        <v>5000.0</v>
      </c>
      <c r="M55" s="42">
        <v>5000.0</v>
      </c>
      <c r="N55" s="55"/>
      <c r="O55" s="39">
        <v>5000.0</v>
      </c>
      <c r="P55" s="39">
        <v>5000.0</v>
      </c>
      <c r="Q55" s="39">
        <v>720.0</v>
      </c>
      <c r="R55" s="46">
        <v>0.67</v>
      </c>
      <c r="S55" s="50">
        <f>IFERROR(__xludf.DUMMYFUNCTION("((IFERROR(MIN(FILTER({K55, N55, Q55}, ISNUMBER({K55, N55, Q55}), {K55, N55, Q55} &gt; 0)), """"))*R55)+IFERROR(MIN(FILTER({K55, N55, Q55}, ISNUMBER({K55, N55, Q55}), {K55, N55, Q55} &gt; 0)), """")"),1202.4)</f>
        <v>1202.4</v>
      </c>
      <c r="T55" s="53">
        <f>IFERROR(__xludf.DUMMYFUNCTION("(S55-(IFERROR(MIN(FILTER({K55, N55, Q55}, ISNUMBER({K55, N55, Q55}), {K55, N55, Q55} &gt; 0)), """")))/S55"),0.4011976047904192)</f>
        <v>0.4011976048</v>
      </c>
    </row>
    <row r="56" ht="22.5" customHeight="1">
      <c r="A56" s="34" t="s">
        <v>262</v>
      </c>
      <c r="B56" s="34" t="s">
        <v>50</v>
      </c>
      <c r="C56" s="37" t="s">
        <v>85</v>
      </c>
      <c r="D56" s="38" t="s">
        <v>267</v>
      </c>
      <c r="E56" s="40" t="s">
        <v>63</v>
      </c>
      <c r="F56" s="34" t="s">
        <v>67</v>
      </c>
      <c r="G56" s="43" t="s">
        <v>41</v>
      </c>
      <c r="H56" s="51" t="s">
        <v>49</v>
      </c>
      <c r="I56" s="39">
        <v>10000.0</v>
      </c>
      <c r="J56" s="39">
        <v>10000.0</v>
      </c>
      <c r="K56" s="41"/>
      <c r="L56" s="42">
        <v>10000.0</v>
      </c>
      <c r="M56" s="42">
        <v>10000.0</v>
      </c>
      <c r="N56" s="55"/>
      <c r="O56" s="39">
        <v>10000.0</v>
      </c>
      <c r="P56" s="39">
        <v>10000.0</v>
      </c>
      <c r="Q56" s="39">
        <v>640.0</v>
      </c>
      <c r="R56" s="46">
        <v>0.67</v>
      </c>
      <c r="S56" s="50">
        <f>IFERROR(__xludf.DUMMYFUNCTION("((IFERROR(MIN(FILTER({K56, N56, Q56}, ISNUMBER({K56, N56, Q56}), {K56, N56, Q56} &gt; 0)), """"))*R56)+IFERROR(MIN(FILTER({K56, N56, Q56}, ISNUMBER({K56, N56, Q56}), {K56, N56, Q56} &gt; 0)), """")"),1068.8)</f>
        <v>1068.8</v>
      </c>
      <c r="T56" s="53">
        <f>IFERROR(__xludf.DUMMYFUNCTION("(S56-(IFERROR(MIN(FILTER({K56, N56, Q56}, ISNUMBER({K56, N56, Q56}), {K56, N56, Q56} &gt; 0)), """")))/S56"),0.40119760479041916)</f>
        <v>0.4011976048</v>
      </c>
    </row>
    <row r="57" ht="22.5" customHeight="1">
      <c r="A57" s="34" t="s">
        <v>262</v>
      </c>
      <c r="B57" s="34" t="s">
        <v>50</v>
      </c>
      <c r="C57" s="37" t="s">
        <v>42</v>
      </c>
      <c r="D57" s="38" t="s">
        <v>267</v>
      </c>
      <c r="E57" s="40" t="s">
        <v>36</v>
      </c>
      <c r="F57" s="34"/>
      <c r="G57" s="43" t="s">
        <v>41</v>
      </c>
      <c r="H57" s="51" t="s">
        <v>49</v>
      </c>
      <c r="I57" s="39">
        <v>5000.0</v>
      </c>
      <c r="J57" s="39">
        <v>5000.0</v>
      </c>
      <c r="K57" s="41"/>
      <c r="L57" s="42">
        <v>5000.0</v>
      </c>
      <c r="M57" s="42">
        <v>5000.0</v>
      </c>
      <c r="N57" s="55"/>
      <c r="O57" s="39">
        <v>5000.0</v>
      </c>
      <c r="P57" s="39">
        <v>5000.0</v>
      </c>
      <c r="Q57" s="39">
        <v>440.0</v>
      </c>
      <c r="R57" s="46">
        <v>0.67</v>
      </c>
      <c r="S57" s="50">
        <f>IFERROR(__xludf.DUMMYFUNCTION("((IFERROR(MIN(FILTER({K57, N57, Q57}, ISNUMBER({K57, N57, Q57}), {K57, N57, Q57} &gt; 0)), """"))*R57)+IFERROR(MIN(FILTER({K57, N57, Q57}, ISNUMBER({K57, N57, Q57}), {K57, N57, Q57} &gt; 0)), """")"),734.8)</f>
        <v>734.8</v>
      </c>
      <c r="T57" s="53">
        <f>IFERROR(__xludf.DUMMYFUNCTION("(S57-(IFERROR(MIN(FILTER({K57, N57, Q57}, ISNUMBER({K57, N57, Q57}), {K57, N57, Q57} &gt; 0)), """")))/S57"),0.4011976047904191)</f>
        <v>0.4011976048</v>
      </c>
    </row>
    <row r="58" ht="22.5" customHeight="1">
      <c r="A58" s="34" t="s">
        <v>262</v>
      </c>
      <c r="B58" s="34" t="s">
        <v>50</v>
      </c>
      <c r="C58" s="37" t="s">
        <v>42</v>
      </c>
      <c r="D58" s="38" t="s">
        <v>267</v>
      </c>
      <c r="E58" s="40" t="s">
        <v>36</v>
      </c>
      <c r="F58" s="34"/>
      <c r="G58" s="43" t="s">
        <v>41</v>
      </c>
      <c r="H58" s="51" t="s">
        <v>49</v>
      </c>
      <c r="I58" s="39">
        <v>10000.0</v>
      </c>
      <c r="J58" s="39">
        <v>10000.0</v>
      </c>
      <c r="K58" s="41"/>
      <c r="L58" s="42">
        <v>10000.0</v>
      </c>
      <c r="M58" s="42">
        <v>10000.0</v>
      </c>
      <c r="N58" s="55"/>
      <c r="O58" s="39">
        <v>10000.0</v>
      </c>
      <c r="P58" s="39">
        <v>10000.0</v>
      </c>
      <c r="Q58" s="39">
        <v>350.0</v>
      </c>
      <c r="R58" s="46">
        <v>0.67</v>
      </c>
      <c r="S58" s="50">
        <f>IFERROR(__xludf.DUMMYFUNCTION("((IFERROR(MIN(FILTER({K58, N58, Q58}, ISNUMBER({K58, N58, Q58}), {K58, N58, Q58} &gt; 0)), """"))*R58)+IFERROR(MIN(FILTER({K58, N58, Q58}, ISNUMBER({K58, N58, Q58}), {K58, N58, Q58} &gt; 0)), """")"),584.5)</f>
        <v>584.5</v>
      </c>
      <c r="T58" s="53">
        <f>IFERROR(__xludf.DUMMYFUNCTION("(S58-(IFERROR(MIN(FILTER({K58, N58, Q58}, ISNUMBER({K58, N58, Q58}), {K58, N58, Q58} &gt; 0)), """")))/S58"),0.40119760479041916)</f>
        <v>0.4011976048</v>
      </c>
    </row>
    <row r="59" ht="22.5" customHeight="1">
      <c r="A59" s="34" t="s">
        <v>262</v>
      </c>
      <c r="B59" s="34" t="s">
        <v>50</v>
      </c>
      <c r="C59" s="37" t="s">
        <v>42</v>
      </c>
      <c r="D59" s="38" t="s">
        <v>267</v>
      </c>
      <c r="E59" s="40" t="s">
        <v>63</v>
      </c>
      <c r="F59" s="34" t="s">
        <v>67</v>
      </c>
      <c r="G59" s="43" t="s">
        <v>41</v>
      </c>
      <c r="H59" s="51" t="s">
        <v>49</v>
      </c>
      <c r="I59" s="39">
        <v>5000.0</v>
      </c>
      <c r="J59" s="39">
        <v>5000.0</v>
      </c>
      <c r="K59" s="41"/>
      <c r="L59" s="42">
        <v>5000.0</v>
      </c>
      <c r="M59" s="42">
        <v>5000.0</v>
      </c>
      <c r="N59" s="55"/>
      <c r="O59" s="39">
        <v>5000.0</v>
      </c>
      <c r="P59" s="39">
        <v>5000.0</v>
      </c>
      <c r="Q59" s="39">
        <v>640.0</v>
      </c>
      <c r="R59" s="46">
        <v>0.67</v>
      </c>
      <c r="S59" s="50">
        <f>IFERROR(__xludf.DUMMYFUNCTION("((IFERROR(MIN(FILTER({K59, N59, Q59}, ISNUMBER({K59, N59, Q59}), {K59, N59, Q59} &gt; 0)), """"))*R59)+IFERROR(MIN(FILTER({K59, N59, Q59}, ISNUMBER({K59, N59, Q59}), {K59, N59, Q59} &gt; 0)), """")"),1068.8)</f>
        <v>1068.8</v>
      </c>
      <c r="T59" s="53">
        <f>IFERROR(__xludf.DUMMYFUNCTION("(S59-(IFERROR(MIN(FILTER({K59, N59, Q59}, ISNUMBER({K59, N59, Q59}), {K59, N59, Q59} &gt; 0)), """")))/S59"),0.40119760479041916)</f>
        <v>0.4011976048</v>
      </c>
    </row>
    <row r="60" ht="22.5" customHeight="1">
      <c r="A60" s="34" t="s">
        <v>262</v>
      </c>
      <c r="B60" s="34" t="s">
        <v>50</v>
      </c>
      <c r="C60" s="37" t="s">
        <v>42</v>
      </c>
      <c r="D60" s="38" t="s">
        <v>263</v>
      </c>
      <c r="E60" s="40" t="s">
        <v>63</v>
      </c>
      <c r="F60" s="34" t="s">
        <v>67</v>
      </c>
      <c r="G60" s="43" t="s">
        <v>41</v>
      </c>
      <c r="H60" s="51" t="s">
        <v>49</v>
      </c>
      <c r="I60" s="39">
        <v>10000.0</v>
      </c>
      <c r="J60" s="39">
        <v>10000.0</v>
      </c>
      <c r="K60" s="41"/>
      <c r="L60" s="42">
        <v>10000.0</v>
      </c>
      <c r="M60" s="42">
        <v>10000.0</v>
      </c>
      <c r="N60" s="55"/>
      <c r="O60" s="39">
        <v>10000.0</v>
      </c>
      <c r="P60" s="39">
        <v>10000.0</v>
      </c>
      <c r="Q60" s="39">
        <v>550.0</v>
      </c>
      <c r="R60" s="46">
        <v>0.67</v>
      </c>
      <c r="S60" s="50">
        <f>IFERROR(__xludf.DUMMYFUNCTION("((IFERROR(MIN(FILTER({K60, N60, Q60}, ISNUMBER({K60, N60, Q60}), {K60, N60, Q60} &gt; 0)), """"))*R60)+IFERROR(MIN(FILTER({K60, N60, Q60}, ISNUMBER({K60, N60, Q60}), {K60, N60, Q60} &gt; 0)), """")"),918.5)</f>
        <v>918.5</v>
      </c>
      <c r="T60" s="53">
        <f>IFERROR(__xludf.DUMMYFUNCTION("(S60-(IFERROR(MIN(FILTER({K60, N60, Q60}, ISNUMBER({K60, N60, Q60}), {K60, N60, Q60} &gt; 0)), """")))/S60"),0.40119760479041916)</f>
        <v>0.4011976048</v>
      </c>
    </row>
    <row r="61" ht="22.5" customHeight="1">
      <c r="A61" s="34" t="s">
        <v>262</v>
      </c>
      <c r="B61" s="34" t="s">
        <v>50</v>
      </c>
      <c r="C61" s="37" t="s">
        <v>72</v>
      </c>
      <c r="D61" s="38" t="s">
        <v>267</v>
      </c>
      <c r="E61" s="40" t="s">
        <v>36</v>
      </c>
      <c r="F61" s="34"/>
      <c r="G61" s="43" t="s">
        <v>41</v>
      </c>
      <c r="H61" s="51" t="s">
        <v>49</v>
      </c>
      <c r="I61" s="39">
        <v>5000.0</v>
      </c>
      <c r="J61" s="39">
        <v>5000.0</v>
      </c>
      <c r="K61" s="41"/>
      <c r="L61" s="42">
        <v>5000.0</v>
      </c>
      <c r="M61" s="42">
        <v>5000.0</v>
      </c>
      <c r="N61" s="55"/>
      <c r="O61" s="39">
        <v>5000.0</v>
      </c>
      <c r="P61" s="39">
        <v>5000.0</v>
      </c>
      <c r="Q61" s="39">
        <v>550.0</v>
      </c>
      <c r="R61" s="46">
        <v>0.67</v>
      </c>
      <c r="S61" s="50">
        <f>IFERROR(__xludf.DUMMYFUNCTION("((IFERROR(MIN(FILTER({K61, N61, Q61}, ISNUMBER({K61, N61, Q61}), {K61, N61, Q61} &gt; 0)), """"))*R61)+IFERROR(MIN(FILTER({K61, N61, Q61}, ISNUMBER({K61, N61, Q61}), {K61, N61, Q61} &gt; 0)), """")"),918.5)</f>
        <v>918.5</v>
      </c>
      <c r="T61" s="53">
        <f>IFERROR(__xludf.DUMMYFUNCTION("(S61-(IFERROR(MIN(FILTER({K61, N61, Q61}, ISNUMBER({K61, N61, Q61}), {K61, N61, Q61} &gt; 0)), """")))/S61"),0.40119760479041916)</f>
        <v>0.4011976048</v>
      </c>
    </row>
    <row r="62" ht="22.5" customHeight="1">
      <c r="A62" s="34" t="s">
        <v>262</v>
      </c>
      <c r="B62" s="34" t="s">
        <v>50</v>
      </c>
      <c r="C62" s="37" t="s">
        <v>72</v>
      </c>
      <c r="D62" s="38" t="s">
        <v>267</v>
      </c>
      <c r="E62" s="40" t="s">
        <v>36</v>
      </c>
      <c r="F62" s="34"/>
      <c r="G62" s="43" t="s">
        <v>41</v>
      </c>
      <c r="H62" s="51" t="s">
        <v>49</v>
      </c>
      <c r="I62" s="39">
        <v>10000.0</v>
      </c>
      <c r="J62" s="39">
        <v>10000.0</v>
      </c>
      <c r="K62" s="41"/>
      <c r="L62" s="42">
        <v>10000.0</v>
      </c>
      <c r="M62" s="42">
        <v>10000.0</v>
      </c>
      <c r="N62" s="55"/>
      <c r="O62" s="39">
        <v>10000.0</v>
      </c>
      <c r="P62" s="39">
        <v>10000.0</v>
      </c>
      <c r="Q62" s="39">
        <v>440.0</v>
      </c>
      <c r="R62" s="46">
        <v>0.67</v>
      </c>
      <c r="S62" s="50">
        <f>IFERROR(__xludf.DUMMYFUNCTION("((IFERROR(MIN(FILTER({K62, N62, Q62}, ISNUMBER({K62, N62, Q62}), {K62, N62, Q62} &gt; 0)), """"))*R62)+IFERROR(MIN(FILTER({K62, N62, Q62}, ISNUMBER({K62, N62, Q62}), {K62, N62, Q62} &gt; 0)), """")"),734.8)</f>
        <v>734.8</v>
      </c>
      <c r="T62" s="53">
        <f>IFERROR(__xludf.DUMMYFUNCTION("(S62-(IFERROR(MIN(FILTER({K62, N62, Q62}, ISNUMBER({K62, N62, Q62}), {K62, N62, Q62} &gt; 0)), """")))/S62"),0.4011976047904191)</f>
        <v>0.4011976048</v>
      </c>
    </row>
    <row r="63" ht="22.5" customHeight="1">
      <c r="A63" s="34" t="s">
        <v>262</v>
      </c>
      <c r="B63" s="34" t="s">
        <v>50</v>
      </c>
      <c r="C63" s="37" t="s">
        <v>72</v>
      </c>
      <c r="D63" s="38" t="s">
        <v>267</v>
      </c>
      <c r="E63" s="40" t="s">
        <v>63</v>
      </c>
      <c r="F63" s="34" t="s">
        <v>67</v>
      </c>
      <c r="G63" s="43" t="s">
        <v>41</v>
      </c>
      <c r="H63" s="51" t="s">
        <v>49</v>
      </c>
      <c r="I63" s="39">
        <v>5000.0</v>
      </c>
      <c r="J63" s="39">
        <v>5000.0</v>
      </c>
      <c r="K63" s="41"/>
      <c r="L63" s="42">
        <v>5000.0</v>
      </c>
      <c r="M63" s="42">
        <v>5000.0</v>
      </c>
      <c r="N63" s="55"/>
      <c r="O63" s="39">
        <v>5000.0</v>
      </c>
      <c r="P63" s="39">
        <v>5000.0</v>
      </c>
      <c r="Q63" s="39">
        <v>720.0</v>
      </c>
      <c r="R63" s="46">
        <v>0.67</v>
      </c>
      <c r="S63" s="50">
        <f>IFERROR(__xludf.DUMMYFUNCTION("((IFERROR(MIN(FILTER({K63, N63, Q63}, ISNUMBER({K63, N63, Q63}), {K63, N63, Q63} &gt; 0)), """"))*R63)+IFERROR(MIN(FILTER({K63, N63, Q63}, ISNUMBER({K63, N63, Q63}), {K63, N63, Q63} &gt; 0)), """")"),1202.4)</f>
        <v>1202.4</v>
      </c>
      <c r="T63" s="53">
        <f>IFERROR(__xludf.DUMMYFUNCTION("(S63-(IFERROR(MIN(FILTER({K63, N63, Q63}, ISNUMBER({K63, N63, Q63}), {K63, N63, Q63} &gt; 0)), """")))/S63"),0.4011976047904192)</f>
        <v>0.4011976048</v>
      </c>
    </row>
    <row r="64" ht="22.5" customHeight="1">
      <c r="A64" s="34" t="s">
        <v>262</v>
      </c>
      <c r="B64" s="34" t="s">
        <v>50</v>
      </c>
      <c r="C64" s="37" t="s">
        <v>72</v>
      </c>
      <c r="D64" s="38" t="s">
        <v>267</v>
      </c>
      <c r="E64" s="40" t="s">
        <v>63</v>
      </c>
      <c r="F64" s="34" t="s">
        <v>67</v>
      </c>
      <c r="G64" s="43" t="s">
        <v>41</v>
      </c>
      <c r="H64" s="51" t="s">
        <v>49</v>
      </c>
      <c r="I64" s="39">
        <v>10000.0</v>
      </c>
      <c r="J64" s="39">
        <v>10000.0</v>
      </c>
      <c r="K64" s="41"/>
      <c r="L64" s="42">
        <v>10000.0</v>
      </c>
      <c r="M64" s="42">
        <v>10000.0</v>
      </c>
      <c r="N64" s="55"/>
      <c r="O64" s="39">
        <v>10000.0</v>
      </c>
      <c r="P64" s="39">
        <v>10000.0</v>
      </c>
      <c r="Q64" s="39">
        <v>640.0</v>
      </c>
      <c r="R64" s="46">
        <v>0.67</v>
      </c>
      <c r="S64" s="50">
        <f>IFERROR(__xludf.DUMMYFUNCTION("((IFERROR(MIN(FILTER({K64, N64, Q64}, ISNUMBER({K64, N64, Q64}), {K64, N64, Q64} &gt; 0)), """"))*R64)+IFERROR(MIN(FILTER({K64, N64, Q64}, ISNUMBER({K64, N64, Q64}), {K64, N64, Q64} &gt; 0)), """")"),1068.8)</f>
        <v>1068.8</v>
      </c>
      <c r="T64" s="53">
        <f>IFERROR(__xludf.DUMMYFUNCTION("(S64-(IFERROR(MIN(FILTER({K64, N64, Q64}, ISNUMBER({K64, N64, Q64}), {K64, N64, Q64} &gt; 0)), """")))/S64"),0.40119760479041916)</f>
        <v>0.4011976048</v>
      </c>
    </row>
    <row r="65" ht="22.5" customHeight="1">
      <c r="A65" s="34" t="s">
        <v>269</v>
      </c>
      <c r="B65" s="34" t="s">
        <v>50</v>
      </c>
      <c r="C65" s="37" t="s">
        <v>42</v>
      </c>
      <c r="D65" s="38" t="s">
        <v>270</v>
      </c>
      <c r="E65" s="40" t="s">
        <v>55</v>
      </c>
      <c r="F65" s="34" t="s">
        <v>271</v>
      </c>
      <c r="G65" s="43" t="s">
        <v>41</v>
      </c>
      <c r="H65" s="51" t="s">
        <v>49</v>
      </c>
      <c r="I65" s="39">
        <v>2000.0</v>
      </c>
      <c r="J65" s="39">
        <v>2000.0</v>
      </c>
      <c r="K65" s="41"/>
      <c r="L65" s="42">
        <v>2000.0</v>
      </c>
      <c r="M65" s="42">
        <v>2000.0</v>
      </c>
      <c r="N65" s="55"/>
      <c r="O65" s="39">
        <v>2000.0</v>
      </c>
      <c r="P65" s="39">
        <v>2000.0</v>
      </c>
      <c r="Q65" s="39">
        <v>420.0</v>
      </c>
      <c r="R65" s="46">
        <v>0.67</v>
      </c>
      <c r="S65" s="50">
        <f>IFERROR(__xludf.DUMMYFUNCTION("((IFERROR(MIN(FILTER({K65, N65, Q65}, ISNUMBER({K65, N65, Q65}), {K65, N65, Q65} &gt; 0)), """"))*R65)+IFERROR(MIN(FILTER({K65, N65, Q65}, ISNUMBER({K65, N65, Q65}), {K65, N65, Q65} &gt; 0)), """")"),701.4000000000001)</f>
        <v>701.4</v>
      </c>
      <c r="T65" s="53">
        <f>IFERROR(__xludf.DUMMYFUNCTION("(S65-(IFERROR(MIN(FILTER({K65, N65, Q65}, ISNUMBER({K65, N65, Q65}), {K65, N65, Q65} &gt; 0)), """")))/S65"),0.4011976047904192)</f>
        <v>0.4011976048</v>
      </c>
    </row>
    <row r="66" ht="22.5" customHeight="1">
      <c r="A66" s="34" t="s">
        <v>275</v>
      </c>
      <c r="B66" s="34" t="s">
        <v>50</v>
      </c>
      <c r="C66" s="37" t="s">
        <v>42</v>
      </c>
      <c r="D66" s="38" t="s">
        <v>62</v>
      </c>
      <c r="E66" s="40" t="s">
        <v>55</v>
      </c>
      <c r="F66" s="34" t="s">
        <v>74</v>
      </c>
      <c r="G66" s="43" t="s">
        <v>41</v>
      </c>
      <c r="H66" s="51" t="s">
        <v>49</v>
      </c>
      <c r="I66" s="39">
        <v>2000.0</v>
      </c>
      <c r="J66" s="39">
        <v>2000.0</v>
      </c>
      <c r="K66" s="41"/>
      <c r="L66" s="42">
        <v>2000.0</v>
      </c>
      <c r="M66" s="42">
        <v>2000.0</v>
      </c>
      <c r="N66" s="55"/>
      <c r="O66" s="39">
        <v>2000.0</v>
      </c>
      <c r="P66" s="39">
        <v>2000.0</v>
      </c>
      <c r="Q66" s="39">
        <v>550.0</v>
      </c>
      <c r="R66" s="46">
        <v>0.67</v>
      </c>
      <c r="S66" s="50">
        <f>IFERROR(__xludf.DUMMYFUNCTION("((IFERROR(MIN(FILTER({K66, N66, Q66}, ISNUMBER({K66, N66, Q66}), {K66, N66, Q66} &gt; 0)), """"))*R66)+IFERROR(MIN(FILTER({K66, N66, Q66}, ISNUMBER({K66, N66, Q66}), {K66, N66, Q66} &gt; 0)), """")"),918.5)</f>
        <v>918.5</v>
      </c>
      <c r="T66" s="53">
        <f>IFERROR(__xludf.DUMMYFUNCTION("(S66-(IFERROR(MIN(FILTER({K66, N66, Q66}, ISNUMBER({K66, N66, Q66}), {K66, N66, Q66} &gt; 0)), """")))/S66"),0.40119760479041916)</f>
        <v>0.4011976048</v>
      </c>
    </row>
    <row r="67" ht="22.5" customHeight="1">
      <c r="A67" s="34" t="s">
        <v>277</v>
      </c>
      <c r="B67" s="34" t="s">
        <v>50</v>
      </c>
      <c r="C67" s="37" t="s">
        <v>42</v>
      </c>
      <c r="D67" s="38" t="s">
        <v>278</v>
      </c>
      <c r="E67" s="40" t="s">
        <v>55</v>
      </c>
      <c r="F67" s="34" t="s">
        <v>57</v>
      </c>
      <c r="G67" s="49" t="s">
        <v>41</v>
      </c>
      <c r="H67" s="51" t="s">
        <v>49</v>
      </c>
      <c r="I67" s="39">
        <v>2000.0</v>
      </c>
      <c r="J67" s="39">
        <v>2000.0</v>
      </c>
      <c r="K67" s="41"/>
      <c r="L67" s="42">
        <v>2000.0</v>
      </c>
      <c r="M67" s="42">
        <v>2000.0</v>
      </c>
      <c r="N67" s="55"/>
      <c r="O67" s="39">
        <v>2000.0</v>
      </c>
      <c r="P67" s="39">
        <v>2000.0</v>
      </c>
      <c r="Q67" s="39">
        <v>620.0</v>
      </c>
      <c r="R67" s="46">
        <v>0.67</v>
      </c>
      <c r="S67" s="50">
        <f>IFERROR(__xludf.DUMMYFUNCTION("((IFERROR(MIN(FILTER({K67, N67, Q67}, ISNUMBER({K67, N67, Q67}), {K67, N67, Q67} &gt; 0)), """"))*R67)+IFERROR(MIN(FILTER({K67, N67, Q67}, ISNUMBER({K67, N67, Q67}), {K67, N67, Q67} &gt; 0)), """")"),1035.4)</f>
        <v>1035.4</v>
      </c>
      <c r="T67" s="53">
        <f>IFERROR(__xludf.DUMMYFUNCTION("(S67-(IFERROR(MIN(FILTER({K67, N67, Q67}, ISNUMBER({K67, N67, Q67}), {K67, N67, Q67} &gt; 0)), """")))/S67"),0.4011976047904192)</f>
        <v>0.4011976048</v>
      </c>
    </row>
    <row r="68" ht="22.5" customHeight="1">
      <c r="A68" s="34" t="s">
        <v>277</v>
      </c>
      <c r="B68" s="34" t="s">
        <v>50</v>
      </c>
      <c r="C68" s="37" t="s">
        <v>42</v>
      </c>
      <c r="D68" s="38" t="s">
        <v>282</v>
      </c>
      <c r="E68" s="40" t="s">
        <v>55</v>
      </c>
      <c r="F68" s="34" t="s">
        <v>57</v>
      </c>
      <c r="G68" s="49" t="s">
        <v>41</v>
      </c>
      <c r="H68" s="51" t="s">
        <v>49</v>
      </c>
      <c r="I68" s="39">
        <v>2000.0</v>
      </c>
      <c r="J68" s="39">
        <v>2000.0</v>
      </c>
      <c r="K68" s="41"/>
      <c r="L68" s="42">
        <v>2000.0</v>
      </c>
      <c r="M68" s="42">
        <v>2000.0</v>
      </c>
      <c r="N68" s="55"/>
      <c r="O68" s="39">
        <v>2000.0</v>
      </c>
      <c r="P68" s="39">
        <v>2000.0</v>
      </c>
      <c r="Q68" s="39">
        <v>640.0</v>
      </c>
      <c r="R68" s="46">
        <v>0.67</v>
      </c>
      <c r="S68" s="50">
        <f>IFERROR(__xludf.DUMMYFUNCTION("((IFERROR(MIN(FILTER({K68, N68, Q68}, ISNUMBER({K68, N68, Q68}), {K68, N68, Q68} &gt; 0)), """"))*R68)+IFERROR(MIN(FILTER({K68, N68, Q68}, ISNUMBER({K68, N68, Q68}), {K68, N68, Q68} &gt; 0)), """")"),1068.8)</f>
        <v>1068.8</v>
      </c>
      <c r="T68" s="53">
        <f>IFERROR(__xludf.DUMMYFUNCTION("(S68-(IFERROR(MIN(FILTER({K68, N68, Q68}, ISNUMBER({K68, N68, Q68}), {K68, N68, Q68} &gt; 0)), """")))/S68"),0.40119760479041916)</f>
        <v>0.4011976048</v>
      </c>
    </row>
    <row r="69" ht="22.5" customHeight="1">
      <c r="A69" s="34" t="s">
        <v>283</v>
      </c>
      <c r="B69" s="34" t="s">
        <v>50</v>
      </c>
      <c r="C69" s="37" t="s">
        <v>42</v>
      </c>
      <c r="D69" s="38" t="s">
        <v>284</v>
      </c>
      <c r="E69" s="40" t="s">
        <v>55</v>
      </c>
      <c r="F69" s="34" t="s">
        <v>108</v>
      </c>
      <c r="G69" s="49" t="s">
        <v>41</v>
      </c>
      <c r="H69" s="51" t="s">
        <v>49</v>
      </c>
      <c r="I69" s="39">
        <v>2000.0</v>
      </c>
      <c r="J69" s="39">
        <v>2000.0</v>
      </c>
      <c r="K69" s="41"/>
      <c r="L69" s="42">
        <v>2000.0</v>
      </c>
      <c r="M69" s="42">
        <v>2000.0</v>
      </c>
      <c r="N69" s="55"/>
      <c r="O69" s="39">
        <v>2000.0</v>
      </c>
      <c r="P69" s="39">
        <v>2000.0</v>
      </c>
      <c r="Q69" s="39">
        <v>440.0</v>
      </c>
      <c r="R69" s="46">
        <v>0.67</v>
      </c>
      <c r="S69" s="50">
        <f>IFERROR(__xludf.DUMMYFUNCTION("((IFERROR(MIN(FILTER({K69, N69, Q69}, ISNUMBER({K69, N69, Q69}), {K69, N69, Q69} &gt; 0)), """"))*R69)+IFERROR(MIN(FILTER({K69, N69, Q69}, ISNUMBER({K69, N69, Q69}), {K69, N69, Q69} &gt; 0)), """")"),734.8)</f>
        <v>734.8</v>
      </c>
      <c r="T69" s="53">
        <f>IFERROR(__xludf.DUMMYFUNCTION("(S69-(IFERROR(MIN(FILTER({K69, N69, Q69}, ISNUMBER({K69, N69, Q69}), {K69, N69, Q69} &gt; 0)), """")))/S69"),0.4011976047904191)</f>
        <v>0.4011976048</v>
      </c>
    </row>
    <row r="70" ht="22.5" customHeight="1">
      <c r="A70" s="34" t="s">
        <v>286</v>
      </c>
      <c r="B70" s="34" t="s">
        <v>50</v>
      </c>
      <c r="C70" s="37" t="s">
        <v>85</v>
      </c>
      <c r="D70" s="38" t="s">
        <v>287</v>
      </c>
      <c r="E70" s="40" t="s">
        <v>55</v>
      </c>
      <c r="F70" s="34" t="s">
        <v>74</v>
      </c>
      <c r="G70" s="49" t="s">
        <v>41</v>
      </c>
      <c r="H70" s="51" t="s">
        <v>49</v>
      </c>
      <c r="I70" s="39">
        <v>2000.0</v>
      </c>
      <c r="J70" s="39">
        <v>2000.0</v>
      </c>
      <c r="K70" s="41"/>
      <c r="L70" s="42">
        <v>2000.0</v>
      </c>
      <c r="M70" s="42">
        <v>2000.0</v>
      </c>
      <c r="N70" s="55"/>
      <c r="O70" s="39">
        <v>2000.0</v>
      </c>
      <c r="P70" s="39">
        <v>2000.0</v>
      </c>
      <c r="Q70" s="39">
        <v>720.0</v>
      </c>
      <c r="R70" s="46">
        <v>0.67</v>
      </c>
      <c r="S70" s="50">
        <f>IFERROR(__xludf.DUMMYFUNCTION("((IFERROR(MIN(FILTER({K70, N70, Q70}, ISNUMBER({K70, N70, Q70}), {K70, N70, Q70} &gt; 0)), """"))*R70)+IFERROR(MIN(FILTER({K70, N70, Q70}, ISNUMBER({K70, N70, Q70}), {K70, N70, Q70} &gt; 0)), """")"),1202.4)</f>
        <v>1202.4</v>
      </c>
      <c r="T70" s="53">
        <f>IFERROR(__xludf.DUMMYFUNCTION("(S70-(IFERROR(MIN(FILTER({K70, N70, Q70}, ISNUMBER({K70, N70, Q70}), {K70, N70, Q70} &gt; 0)), """")))/S70"),0.4011976047904192)</f>
        <v>0.4011976048</v>
      </c>
    </row>
    <row r="71" ht="22.5" customHeight="1">
      <c r="A71" s="34" t="s">
        <v>292</v>
      </c>
      <c r="B71" s="34" t="s">
        <v>50</v>
      </c>
      <c r="C71" s="37" t="s">
        <v>85</v>
      </c>
      <c r="D71" s="38" t="s">
        <v>293</v>
      </c>
      <c r="E71" s="40" t="s">
        <v>36</v>
      </c>
      <c r="F71" s="34" t="s">
        <v>294</v>
      </c>
      <c r="G71" s="49" t="s">
        <v>41</v>
      </c>
      <c r="H71" s="51" t="s">
        <v>49</v>
      </c>
      <c r="I71" s="39">
        <v>2000.0</v>
      </c>
      <c r="J71" s="39">
        <v>2000.0</v>
      </c>
      <c r="K71" s="41"/>
      <c r="L71" s="42">
        <v>2000.0</v>
      </c>
      <c r="M71" s="42">
        <v>2000.0</v>
      </c>
      <c r="N71" s="55"/>
      <c r="O71" s="39">
        <v>2000.0</v>
      </c>
      <c r="P71" s="39">
        <v>2000.0</v>
      </c>
      <c r="Q71" s="39">
        <v>960.0</v>
      </c>
      <c r="R71" s="46">
        <v>0.67</v>
      </c>
      <c r="S71" s="50">
        <f>IFERROR(__xludf.DUMMYFUNCTION("((IFERROR(MIN(FILTER({K71, N71, Q71}, ISNUMBER({K71, N71, Q71}), {K71, N71, Q71} &gt; 0)), """"))*R71)+IFERROR(MIN(FILTER({K71, N71, Q71}, ISNUMBER({K71, N71, Q71}), {K71, N71, Q71} &gt; 0)), """")"),1603.2)</f>
        <v>1603.2</v>
      </c>
      <c r="T71" s="53">
        <f>IFERROR(__xludf.DUMMYFUNCTION("(S71-(IFERROR(MIN(FILTER({K71, N71, Q71}, ISNUMBER({K71, N71, Q71}), {K71, N71, Q71} &gt; 0)), """")))/S71"),0.40119760479041916)</f>
        <v>0.4011976048</v>
      </c>
    </row>
    <row r="72" ht="22.5" customHeight="1">
      <c r="A72" s="34" t="s">
        <v>292</v>
      </c>
      <c r="B72" s="34" t="s">
        <v>50</v>
      </c>
      <c r="C72" s="37" t="s">
        <v>85</v>
      </c>
      <c r="D72" s="38" t="s">
        <v>293</v>
      </c>
      <c r="E72" s="40" t="s">
        <v>36</v>
      </c>
      <c r="F72" s="34" t="s">
        <v>294</v>
      </c>
      <c r="G72" s="49" t="s">
        <v>41</v>
      </c>
      <c r="H72" s="51" t="s">
        <v>49</v>
      </c>
      <c r="I72" s="39">
        <v>5000.0</v>
      </c>
      <c r="J72" s="39">
        <v>5000.0</v>
      </c>
      <c r="K72" s="41"/>
      <c r="L72" s="42">
        <v>5000.0</v>
      </c>
      <c r="M72" s="42">
        <v>5000.0</v>
      </c>
      <c r="N72" s="55"/>
      <c r="O72" s="39">
        <v>5000.0</v>
      </c>
      <c r="P72" s="39">
        <v>5000.0</v>
      </c>
      <c r="Q72" s="39">
        <v>840.0</v>
      </c>
      <c r="R72" s="46">
        <v>0.67</v>
      </c>
      <c r="S72" s="50">
        <f>IFERROR(__xludf.DUMMYFUNCTION("((IFERROR(MIN(FILTER({K72, N72, Q72}, ISNUMBER({K72, N72, Q72}), {K72, N72, Q72} &gt; 0)), """"))*R72)+IFERROR(MIN(FILTER({K72, N72, Q72}, ISNUMBER({K72, N72, Q72}), {K72, N72, Q72} &gt; 0)), """")"),1402.8000000000002)</f>
        <v>1402.8</v>
      </c>
      <c r="T72" s="53">
        <f>IFERROR(__xludf.DUMMYFUNCTION("(S72-(IFERROR(MIN(FILTER({K72, N72, Q72}, ISNUMBER({K72, N72, Q72}), {K72, N72, Q72} &gt; 0)), """")))/S72"),0.4011976047904192)</f>
        <v>0.4011976048</v>
      </c>
    </row>
    <row r="73" ht="22.5" customHeight="1">
      <c r="A73" s="34" t="s">
        <v>292</v>
      </c>
      <c r="B73" s="34" t="s">
        <v>50</v>
      </c>
      <c r="C73" s="37" t="s">
        <v>85</v>
      </c>
      <c r="D73" s="38" t="s">
        <v>293</v>
      </c>
      <c r="E73" s="40" t="s">
        <v>55</v>
      </c>
      <c r="F73" s="34" t="s">
        <v>216</v>
      </c>
      <c r="G73" s="49" t="s">
        <v>41</v>
      </c>
      <c r="H73" s="51" t="s">
        <v>49</v>
      </c>
      <c r="I73" s="39">
        <v>2000.0</v>
      </c>
      <c r="J73" s="39">
        <v>2000.0</v>
      </c>
      <c r="K73" s="41"/>
      <c r="L73" s="42">
        <v>2000.0</v>
      </c>
      <c r="M73" s="42">
        <v>2000.0</v>
      </c>
      <c r="N73" s="55"/>
      <c r="O73" s="39">
        <v>2000.0</v>
      </c>
      <c r="P73" s="39">
        <v>2000.0</v>
      </c>
      <c r="Q73" s="39">
        <v>840.0</v>
      </c>
      <c r="R73" s="46">
        <v>0.67</v>
      </c>
      <c r="S73" s="50">
        <f>IFERROR(__xludf.DUMMYFUNCTION("((IFERROR(MIN(FILTER({K73, N73, Q73}, ISNUMBER({K73, N73, Q73}), {K73, N73, Q73} &gt; 0)), """"))*R73)+IFERROR(MIN(FILTER({K73, N73, Q73}, ISNUMBER({K73, N73, Q73}), {K73, N73, Q73} &gt; 0)), """")"),1402.8000000000002)</f>
        <v>1402.8</v>
      </c>
      <c r="T73" s="53">
        <f>IFERROR(__xludf.DUMMYFUNCTION("(S73-(IFERROR(MIN(FILTER({K73, N73, Q73}, ISNUMBER({K73, N73, Q73}), {K73, N73, Q73} &gt; 0)), """")))/S73"),0.4011976047904192)</f>
        <v>0.4011976048</v>
      </c>
    </row>
    <row r="74" ht="22.5" customHeight="1">
      <c r="A74" s="34" t="s">
        <v>292</v>
      </c>
      <c r="B74" s="34" t="s">
        <v>50</v>
      </c>
      <c r="C74" s="37" t="s">
        <v>85</v>
      </c>
      <c r="D74" s="38" t="s">
        <v>293</v>
      </c>
      <c r="E74" s="40" t="s">
        <v>55</v>
      </c>
      <c r="F74" s="34" t="s">
        <v>216</v>
      </c>
      <c r="G74" s="49" t="s">
        <v>41</v>
      </c>
      <c r="H74" s="51" t="s">
        <v>49</v>
      </c>
      <c r="I74" s="39">
        <v>5000.0</v>
      </c>
      <c r="J74" s="39">
        <v>5000.0</v>
      </c>
      <c r="K74" s="41"/>
      <c r="L74" s="42">
        <v>5000.0</v>
      </c>
      <c r="M74" s="42">
        <v>5000.0</v>
      </c>
      <c r="N74" s="55"/>
      <c r="O74" s="39">
        <v>5000.0</v>
      </c>
      <c r="P74" s="39">
        <v>5000.0</v>
      </c>
      <c r="Q74" s="39">
        <v>720.0</v>
      </c>
      <c r="R74" s="46">
        <v>0.67</v>
      </c>
      <c r="S74" s="50">
        <f>IFERROR(__xludf.DUMMYFUNCTION("((IFERROR(MIN(FILTER({K74, N74, Q74}, ISNUMBER({K74, N74, Q74}), {K74, N74, Q74} &gt; 0)), """"))*R74)+IFERROR(MIN(FILTER({K74, N74, Q74}, ISNUMBER({K74, N74, Q74}), {K74, N74, Q74} &gt; 0)), """")"),1202.4)</f>
        <v>1202.4</v>
      </c>
      <c r="T74" s="53">
        <f>IFERROR(__xludf.DUMMYFUNCTION("(S74-(IFERROR(MIN(FILTER({K74, N74, Q74}, ISNUMBER({K74, N74, Q74}), {K74, N74, Q74} &gt; 0)), """")))/S74"),0.4011976047904192)</f>
        <v>0.4011976048</v>
      </c>
    </row>
    <row r="75" ht="22.5" customHeight="1">
      <c r="A75" s="34" t="s">
        <v>298</v>
      </c>
      <c r="B75" s="34" t="s">
        <v>50</v>
      </c>
      <c r="C75" s="37" t="s">
        <v>85</v>
      </c>
      <c r="D75" s="38" t="s">
        <v>93</v>
      </c>
      <c r="E75" s="40" t="s">
        <v>55</v>
      </c>
      <c r="F75" s="34" t="s">
        <v>121</v>
      </c>
      <c r="G75" s="49" t="s">
        <v>41</v>
      </c>
      <c r="H75" s="51" t="s">
        <v>49</v>
      </c>
      <c r="I75" s="39">
        <v>10000.0</v>
      </c>
      <c r="J75" s="39">
        <v>10000.0</v>
      </c>
      <c r="K75" s="41"/>
      <c r="L75" s="42">
        <v>10000.0</v>
      </c>
      <c r="M75" s="42">
        <v>10000.0</v>
      </c>
      <c r="N75" s="55"/>
      <c r="O75" s="39">
        <v>10000.0</v>
      </c>
      <c r="P75" s="39">
        <v>10000.0</v>
      </c>
      <c r="Q75" s="39">
        <v>550.0</v>
      </c>
      <c r="R75" s="46">
        <v>0.67</v>
      </c>
      <c r="S75" s="50">
        <f>IFERROR(__xludf.DUMMYFUNCTION("((IFERROR(MIN(FILTER({K75, N75, Q75}, ISNUMBER({K75, N75, Q75}), {K75, N75, Q75} &gt; 0)), """"))*R75)+IFERROR(MIN(FILTER({K75, N75, Q75}, ISNUMBER({K75, N75, Q75}), {K75, N75, Q75} &gt; 0)), """")"),918.5)</f>
        <v>918.5</v>
      </c>
      <c r="T75" s="53">
        <f>IFERROR(__xludf.DUMMYFUNCTION("(S75-(IFERROR(MIN(FILTER({K75, N75, Q75}, ISNUMBER({K75, N75, Q75}), {K75, N75, Q75} &gt; 0)), """")))/S75"),0.40119760479041916)</f>
        <v>0.4011976048</v>
      </c>
    </row>
    <row r="76" ht="22.5" customHeight="1">
      <c r="A76" s="34" t="s">
        <v>298</v>
      </c>
      <c r="B76" s="34" t="s">
        <v>50</v>
      </c>
      <c r="C76" s="37" t="s">
        <v>85</v>
      </c>
      <c r="D76" s="38" t="s">
        <v>93</v>
      </c>
      <c r="E76" s="40" t="s">
        <v>55</v>
      </c>
      <c r="F76" s="34" t="s">
        <v>121</v>
      </c>
      <c r="G76" s="49" t="s">
        <v>41</v>
      </c>
      <c r="H76" s="51" t="s">
        <v>49</v>
      </c>
      <c r="I76" s="39">
        <v>20000.0</v>
      </c>
      <c r="J76" s="39">
        <v>20000.0</v>
      </c>
      <c r="K76" s="41"/>
      <c r="L76" s="42">
        <v>20000.0</v>
      </c>
      <c r="M76" s="42">
        <v>20000.0</v>
      </c>
      <c r="N76" s="55"/>
      <c r="O76" s="39">
        <v>20000.0</v>
      </c>
      <c r="P76" s="39">
        <v>20000.0</v>
      </c>
      <c r="Q76" s="39">
        <v>440.0</v>
      </c>
      <c r="R76" s="46">
        <v>0.67</v>
      </c>
      <c r="S76" s="50">
        <f>IFERROR(__xludf.DUMMYFUNCTION("((IFERROR(MIN(FILTER({K76, N76, Q76}, ISNUMBER({K76, N76, Q76}), {K76, N76, Q76} &gt; 0)), """"))*R76)+IFERROR(MIN(FILTER({K76, N76, Q76}, ISNUMBER({K76, N76, Q76}), {K76, N76, Q76} &gt; 0)), """")"),734.8)</f>
        <v>734.8</v>
      </c>
      <c r="T76" s="53">
        <f>IFERROR(__xludf.DUMMYFUNCTION("(S76-(IFERROR(MIN(FILTER({K76, N76, Q76}, ISNUMBER({K76, N76, Q76}), {K76, N76, Q76} &gt; 0)), """")))/S76"),0.4011976047904191)</f>
        <v>0.4011976048</v>
      </c>
    </row>
    <row r="77" ht="22.5" customHeight="1">
      <c r="A77" s="34" t="s">
        <v>302</v>
      </c>
      <c r="B77" s="34" t="s">
        <v>50</v>
      </c>
      <c r="C77" s="37" t="s">
        <v>42</v>
      </c>
      <c r="D77" s="38" t="s">
        <v>303</v>
      </c>
      <c r="E77" s="40" t="s">
        <v>63</v>
      </c>
      <c r="F77" s="34" t="s">
        <v>67</v>
      </c>
      <c r="G77" s="49" t="s">
        <v>41</v>
      </c>
      <c r="H77" s="51" t="s">
        <v>49</v>
      </c>
      <c r="I77" s="39">
        <v>2000.0</v>
      </c>
      <c r="J77" s="39">
        <v>2000.0</v>
      </c>
      <c r="K77" s="41"/>
      <c r="L77" s="42">
        <v>2000.0</v>
      </c>
      <c r="M77" s="42">
        <v>2000.0</v>
      </c>
      <c r="N77" s="55"/>
      <c r="O77" s="39">
        <v>2000.0</v>
      </c>
      <c r="P77" s="39">
        <v>2000.0</v>
      </c>
      <c r="Q77" s="39">
        <v>720.0</v>
      </c>
      <c r="R77" s="46">
        <v>0.67</v>
      </c>
      <c r="S77" s="50">
        <f>IFERROR(__xludf.DUMMYFUNCTION("((IFERROR(MIN(FILTER({K77, N77, Q77}, ISNUMBER({K77, N77, Q77}), {K77, N77, Q77} &gt; 0)), """"))*R77)+IFERROR(MIN(FILTER({K77, N77, Q77}, ISNUMBER({K77, N77, Q77}), {K77, N77, Q77} &gt; 0)), """")"),1202.4)</f>
        <v>1202.4</v>
      </c>
      <c r="T77" s="53">
        <f>IFERROR(__xludf.DUMMYFUNCTION("(S77-(IFERROR(MIN(FILTER({K77, N77, Q77}, ISNUMBER({K77, N77, Q77}), {K77, N77, Q77} &gt; 0)), """")))/S77"),0.4011976047904192)</f>
        <v>0.4011976048</v>
      </c>
    </row>
    <row r="78" ht="22.5" customHeight="1">
      <c r="A78" s="34" t="s">
        <v>302</v>
      </c>
      <c r="B78" s="34" t="s">
        <v>50</v>
      </c>
      <c r="C78" s="37" t="s">
        <v>42</v>
      </c>
      <c r="D78" s="38" t="s">
        <v>303</v>
      </c>
      <c r="E78" s="40" t="s">
        <v>63</v>
      </c>
      <c r="F78" s="34" t="s">
        <v>67</v>
      </c>
      <c r="G78" s="49" t="s">
        <v>41</v>
      </c>
      <c r="H78" s="51" t="s">
        <v>49</v>
      </c>
      <c r="I78" s="39">
        <v>5000.0</v>
      </c>
      <c r="J78" s="39">
        <v>5000.0</v>
      </c>
      <c r="K78" s="41"/>
      <c r="L78" s="42">
        <v>5000.0</v>
      </c>
      <c r="M78" s="42">
        <v>5000.0</v>
      </c>
      <c r="N78" s="55"/>
      <c r="O78" s="39">
        <v>5000.0</v>
      </c>
      <c r="P78" s="39">
        <v>5000.0</v>
      </c>
      <c r="Q78" s="39">
        <v>550.0</v>
      </c>
      <c r="R78" s="46">
        <v>0.67</v>
      </c>
      <c r="S78" s="50">
        <f>IFERROR(__xludf.DUMMYFUNCTION("((IFERROR(MIN(FILTER({K78, N78, Q78}, ISNUMBER({K78, N78, Q78}), {K78, N78, Q78} &gt; 0)), """"))*R78)+IFERROR(MIN(FILTER({K78, N78, Q78}, ISNUMBER({K78, N78, Q78}), {K78, N78, Q78} &gt; 0)), """")"),918.5)</f>
        <v>918.5</v>
      </c>
      <c r="T78" s="53">
        <f>IFERROR(__xludf.DUMMYFUNCTION("(S78-(IFERROR(MIN(FILTER({K78, N78, Q78}, ISNUMBER({K78, N78, Q78}), {K78, N78, Q78} &gt; 0)), """")))/S78"),0.40119760479041916)</f>
        <v>0.4011976048</v>
      </c>
    </row>
    <row r="79" ht="22.5" customHeight="1">
      <c r="A79" s="34" t="s">
        <v>302</v>
      </c>
      <c r="B79" s="34" t="s">
        <v>50</v>
      </c>
      <c r="C79" s="37" t="s">
        <v>42</v>
      </c>
      <c r="D79" s="38" t="s">
        <v>111</v>
      </c>
      <c r="E79" s="40" t="s">
        <v>63</v>
      </c>
      <c r="F79" s="34" t="s">
        <v>67</v>
      </c>
      <c r="G79" s="49" t="s">
        <v>41</v>
      </c>
      <c r="H79" s="51" t="s">
        <v>49</v>
      </c>
      <c r="I79" s="39">
        <v>2000.0</v>
      </c>
      <c r="J79" s="39">
        <v>2000.0</v>
      </c>
      <c r="K79" s="41"/>
      <c r="L79" s="42">
        <v>2000.0</v>
      </c>
      <c r="M79" s="42">
        <v>2000.0</v>
      </c>
      <c r="N79" s="55"/>
      <c r="O79" s="39">
        <v>2000.0</v>
      </c>
      <c r="P79" s="39">
        <v>2000.0</v>
      </c>
      <c r="Q79" s="39">
        <v>740.0</v>
      </c>
      <c r="R79" s="46">
        <v>0.67</v>
      </c>
      <c r="S79" s="50">
        <f>IFERROR(__xludf.DUMMYFUNCTION("((IFERROR(MIN(FILTER({K79, N79, Q79}, ISNUMBER({K79, N79, Q79}), {K79, N79, Q79} &gt; 0)), """"))*R79)+IFERROR(MIN(FILTER({K79, N79, Q79}, ISNUMBER({K79, N79, Q79}), {K79, N79, Q79} &gt; 0)), """")"),1235.8)</f>
        <v>1235.8</v>
      </c>
      <c r="T79" s="53">
        <f>IFERROR(__xludf.DUMMYFUNCTION("(S79-(IFERROR(MIN(FILTER({K79, N79, Q79}, ISNUMBER({K79, N79, Q79}), {K79, N79, Q79} &gt; 0)), """")))/S79"),0.40119760479041916)</f>
        <v>0.4011976048</v>
      </c>
    </row>
    <row r="80" ht="22.5" customHeight="1">
      <c r="A80" s="34" t="s">
        <v>302</v>
      </c>
      <c r="B80" s="34" t="s">
        <v>50</v>
      </c>
      <c r="C80" s="37" t="s">
        <v>42</v>
      </c>
      <c r="D80" s="38" t="s">
        <v>111</v>
      </c>
      <c r="E80" s="40" t="s">
        <v>63</v>
      </c>
      <c r="F80" s="34" t="s">
        <v>67</v>
      </c>
      <c r="G80" s="49" t="s">
        <v>41</v>
      </c>
      <c r="H80" s="51" t="s">
        <v>49</v>
      </c>
      <c r="I80" s="39">
        <v>5000.0</v>
      </c>
      <c r="J80" s="39">
        <v>5000.0</v>
      </c>
      <c r="K80" s="41"/>
      <c r="L80" s="42">
        <v>5000.0</v>
      </c>
      <c r="M80" s="42">
        <v>5000.0</v>
      </c>
      <c r="N80" s="55"/>
      <c r="O80" s="39">
        <v>5000.0</v>
      </c>
      <c r="P80" s="39">
        <v>5000.0</v>
      </c>
      <c r="Q80" s="39">
        <v>570.0</v>
      </c>
      <c r="R80" s="46">
        <v>0.67</v>
      </c>
      <c r="S80" s="50">
        <f>IFERROR(__xludf.DUMMYFUNCTION("((IFERROR(MIN(FILTER({K80, N80, Q80}, ISNUMBER({K80, N80, Q80}), {K80, N80, Q80} &gt; 0)), """"))*R80)+IFERROR(MIN(FILTER({K80, N80, Q80}, ISNUMBER({K80, N80, Q80}), {K80, N80, Q80} &gt; 0)), """")"),951.9000000000001)</f>
        <v>951.9</v>
      </c>
      <c r="T80" s="53">
        <f>IFERROR(__xludf.DUMMYFUNCTION("(S80-(IFERROR(MIN(FILTER({K80, N80, Q80}, ISNUMBER({K80, N80, Q80}), {K80, N80, Q80} &gt; 0)), """")))/S80"),0.4011976047904192)</f>
        <v>0.4011976048</v>
      </c>
    </row>
    <row r="81" ht="22.5" customHeight="1">
      <c r="A81" s="34" t="s">
        <v>302</v>
      </c>
      <c r="B81" s="34" t="s">
        <v>50</v>
      </c>
      <c r="C81" s="37" t="s">
        <v>42</v>
      </c>
      <c r="D81" s="38" t="s">
        <v>114</v>
      </c>
      <c r="E81" s="40" t="s">
        <v>63</v>
      </c>
      <c r="F81" s="34" t="s">
        <v>67</v>
      </c>
      <c r="G81" s="49" t="s">
        <v>41</v>
      </c>
      <c r="H81" s="51" t="s">
        <v>49</v>
      </c>
      <c r="I81" s="39">
        <v>2000.0</v>
      </c>
      <c r="J81" s="39">
        <v>2000.0</v>
      </c>
      <c r="K81" s="41"/>
      <c r="L81" s="42">
        <v>2000.0</v>
      </c>
      <c r="M81" s="42">
        <v>2000.0</v>
      </c>
      <c r="N81" s="55"/>
      <c r="O81" s="39">
        <v>2000.0</v>
      </c>
      <c r="P81" s="39">
        <v>2000.0</v>
      </c>
      <c r="Q81" s="39">
        <v>820.0</v>
      </c>
      <c r="R81" s="46">
        <v>0.67</v>
      </c>
      <c r="S81" s="50">
        <f>IFERROR(__xludf.DUMMYFUNCTION("((IFERROR(MIN(FILTER({K81, N81, Q81}, ISNUMBER({K81, N81, Q81}), {K81, N81, Q81} &gt; 0)), """"))*R81)+IFERROR(MIN(FILTER({K81, N81, Q81}, ISNUMBER({K81, N81, Q81}), {K81, N81, Q81} &gt; 0)), """")"),1369.4)</f>
        <v>1369.4</v>
      </c>
      <c r="T81" s="53">
        <f>IFERROR(__xludf.DUMMYFUNCTION("(S81-(IFERROR(MIN(FILTER({K81, N81, Q81}, ISNUMBER({K81, N81, Q81}), {K81, N81, Q81} &gt; 0)), """")))/S81"),0.4011976047904192)</f>
        <v>0.4011976048</v>
      </c>
    </row>
    <row r="82" ht="22.5" customHeight="1">
      <c r="A82" s="34" t="s">
        <v>302</v>
      </c>
      <c r="B82" s="34" t="s">
        <v>50</v>
      </c>
      <c r="C82" s="37" t="s">
        <v>42</v>
      </c>
      <c r="D82" s="38" t="s">
        <v>114</v>
      </c>
      <c r="E82" s="40" t="s">
        <v>63</v>
      </c>
      <c r="F82" s="34" t="s">
        <v>67</v>
      </c>
      <c r="G82" s="49" t="s">
        <v>41</v>
      </c>
      <c r="H82" s="51" t="s">
        <v>49</v>
      </c>
      <c r="I82" s="39">
        <v>5000.0</v>
      </c>
      <c r="J82" s="39">
        <v>5000.0</v>
      </c>
      <c r="K82" s="41"/>
      <c r="L82" s="42">
        <v>5000.0</v>
      </c>
      <c r="M82" s="42">
        <v>5000.0</v>
      </c>
      <c r="N82" s="55"/>
      <c r="O82" s="39">
        <v>5000.0</v>
      </c>
      <c r="P82" s="39">
        <v>5000.0</v>
      </c>
      <c r="Q82" s="39">
        <v>640.0</v>
      </c>
      <c r="R82" s="46">
        <v>0.67</v>
      </c>
      <c r="S82" s="50">
        <f>IFERROR(__xludf.DUMMYFUNCTION("((IFERROR(MIN(FILTER({K82, N82, Q82}, ISNUMBER({K82, N82, Q82}), {K82, N82, Q82} &gt; 0)), """"))*R82)+IFERROR(MIN(FILTER({K82, N82, Q82}, ISNUMBER({K82, N82, Q82}), {K82, N82, Q82} &gt; 0)), """")"),1068.8)</f>
        <v>1068.8</v>
      </c>
      <c r="T82" s="53">
        <f>IFERROR(__xludf.DUMMYFUNCTION("(S82-(IFERROR(MIN(FILTER({K82, N82, Q82}, ISNUMBER({K82, N82, Q82}), {K82, N82, Q82} &gt; 0)), """")))/S82"),0.40119760479041916)</f>
        <v>0.4011976048</v>
      </c>
    </row>
    <row r="83" ht="22.5" customHeight="1">
      <c r="A83" s="34" t="s">
        <v>302</v>
      </c>
      <c r="B83" s="34" t="s">
        <v>50</v>
      </c>
      <c r="C83" s="37" t="s">
        <v>42</v>
      </c>
      <c r="D83" s="38" t="s">
        <v>62</v>
      </c>
      <c r="E83" s="40" t="s">
        <v>63</v>
      </c>
      <c r="F83" s="34" t="s">
        <v>67</v>
      </c>
      <c r="G83" s="49" t="s">
        <v>41</v>
      </c>
      <c r="H83" s="51" t="s">
        <v>49</v>
      </c>
      <c r="I83" s="39">
        <v>2000.0</v>
      </c>
      <c r="J83" s="39">
        <v>2000.0</v>
      </c>
      <c r="K83" s="41"/>
      <c r="L83" s="42">
        <v>2000.0</v>
      </c>
      <c r="M83" s="42">
        <v>2000.0</v>
      </c>
      <c r="N83" s="55"/>
      <c r="O83" s="39">
        <v>2000.0</v>
      </c>
      <c r="P83" s="39">
        <v>2000.0</v>
      </c>
      <c r="Q83" s="39">
        <v>840.0</v>
      </c>
      <c r="R83" s="46">
        <v>0.67</v>
      </c>
      <c r="S83" s="50">
        <f>IFERROR(__xludf.DUMMYFUNCTION("((IFERROR(MIN(FILTER({K83, N83, Q83}, ISNUMBER({K83, N83, Q83}), {K83, N83, Q83} &gt; 0)), """"))*R83)+IFERROR(MIN(FILTER({K83, N83, Q83}, ISNUMBER({K83, N83, Q83}), {K83, N83, Q83} &gt; 0)), """")"),1402.8000000000002)</f>
        <v>1402.8</v>
      </c>
      <c r="T83" s="53">
        <f>IFERROR(__xludf.DUMMYFUNCTION("(S83-(IFERROR(MIN(FILTER({K83, N83, Q83}, ISNUMBER({K83, N83, Q83}), {K83, N83, Q83} &gt; 0)), """")))/S83"),0.4011976047904192)</f>
        <v>0.4011976048</v>
      </c>
    </row>
    <row r="84" ht="22.5" customHeight="1">
      <c r="A84" s="34" t="s">
        <v>302</v>
      </c>
      <c r="B84" s="34" t="s">
        <v>50</v>
      </c>
      <c r="C84" s="37" t="s">
        <v>42</v>
      </c>
      <c r="D84" s="38" t="s">
        <v>62</v>
      </c>
      <c r="E84" s="40" t="s">
        <v>63</v>
      </c>
      <c r="F84" s="34" t="s">
        <v>67</v>
      </c>
      <c r="G84" s="49" t="s">
        <v>41</v>
      </c>
      <c r="H84" s="51" t="s">
        <v>49</v>
      </c>
      <c r="I84" s="39">
        <v>5000.0</v>
      </c>
      <c r="J84" s="39">
        <v>5000.0</v>
      </c>
      <c r="K84" s="41"/>
      <c r="L84" s="42">
        <v>5000.0</v>
      </c>
      <c r="M84" s="42">
        <v>5000.0</v>
      </c>
      <c r="N84" s="55"/>
      <c r="O84" s="39">
        <v>5000.0</v>
      </c>
      <c r="P84" s="39">
        <v>5000.0</v>
      </c>
      <c r="Q84" s="39">
        <v>720.0</v>
      </c>
      <c r="R84" s="46">
        <v>0.67</v>
      </c>
      <c r="S84" s="50">
        <f>IFERROR(__xludf.DUMMYFUNCTION("((IFERROR(MIN(FILTER({K84, N84, Q84}, ISNUMBER({K84, N84, Q84}), {K84, N84, Q84} &gt; 0)), """"))*R84)+IFERROR(MIN(FILTER({K84, N84, Q84}, ISNUMBER({K84, N84, Q84}), {K84, N84, Q84} &gt; 0)), """")"),1202.4)</f>
        <v>1202.4</v>
      </c>
      <c r="T84" s="53">
        <f>IFERROR(__xludf.DUMMYFUNCTION("(S84-(IFERROR(MIN(FILTER({K84, N84, Q84}, ISNUMBER({K84, N84, Q84}), {K84, N84, Q84} &gt; 0)), """")))/S84"),0.4011976047904192)</f>
        <v>0.4011976048</v>
      </c>
    </row>
    <row r="85" ht="22.5" customHeight="1">
      <c r="A85" s="34" t="s">
        <v>313</v>
      </c>
      <c r="B85" s="34" t="s">
        <v>50</v>
      </c>
      <c r="C85" s="37" t="s">
        <v>42</v>
      </c>
      <c r="D85" s="38" t="s">
        <v>314</v>
      </c>
      <c r="E85" s="40" t="s">
        <v>36</v>
      </c>
      <c r="F85" s="34" t="s">
        <v>125</v>
      </c>
      <c r="G85" s="49" t="s">
        <v>41</v>
      </c>
      <c r="H85" s="51" t="s">
        <v>49</v>
      </c>
      <c r="I85" s="39">
        <v>2000.0</v>
      </c>
      <c r="J85" s="39">
        <v>2000.0</v>
      </c>
      <c r="K85" s="41"/>
      <c r="L85" s="42">
        <v>2000.0</v>
      </c>
      <c r="M85" s="42">
        <v>2000.0</v>
      </c>
      <c r="N85" s="55"/>
      <c r="O85" s="39">
        <v>2000.0</v>
      </c>
      <c r="P85" s="39">
        <v>2000.0</v>
      </c>
      <c r="Q85" s="39">
        <v>840.0</v>
      </c>
      <c r="R85" s="46">
        <v>0.67</v>
      </c>
      <c r="S85" s="50">
        <f>IFERROR(__xludf.DUMMYFUNCTION("((IFERROR(MIN(FILTER({K85, N85, Q85}, ISNUMBER({K85, N85, Q85}), {K85, N85, Q85} &gt; 0)), """"))*R85)+IFERROR(MIN(FILTER({K85, N85, Q85}, ISNUMBER({K85, N85, Q85}), {K85, N85, Q85} &gt; 0)), """")"),1402.8000000000002)</f>
        <v>1402.8</v>
      </c>
      <c r="T85" s="53">
        <f>IFERROR(__xludf.DUMMYFUNCTION("(S85-(IFERROR(MIN(FILTER({K85, N85, Q85}, ISNUMBER({K85, N85, Q85}), {K85, N85, Q85} &gt; 0)), """")))/S85"),0.4011976047904192)</f>
        <v>0.4011976048</v>
      </c>
    </row>
    <row r="86" ht="22.5" customHeight="1">
      <c r="A86" s="34" t="s">
        <v>313</v>
      </c>
      <c r="B86" s="34" t="s">
        <v>50</v>
      </c>
      <c r="C86" s="37" t="s">
        <v>42</v>
      </c>
      <c r="D86" s="38" t="s">
        <v>314</v>
      </c>
      <c r="E86" s="40" t="s">
        <v>63</v>
      </c>
      <c r="F86" s="34" t="s">
        <v>67</v>
      </c>
      <c r="G86" s="49" t="s">
        <v>41</v>
      </c>
      <c r="H86" s="51" t="s">
        <v>49</v>
      </c>
      <c r="I86" s="39">
        <v>2000.0</v>
      </c>
      <c r="J86" s="39">
        <v>2000.0</v>
      </c>
      <c r="K86" s="41"/>
      <c r="L86" s="42">
        <v>2000.0</v>
      </c>
      <c r="M86" s="42">
        <v>2000.0</v>
      </c>
      <c r="N86" s="55"/>
      <c r="O86" s="39">
        <v>2000.0</v>
      </c>
      <c r="P86" s="39">
        <v>2000.0</v>
      </c>
      <c r="Q86" s="39">
        <v>1080.0</v>
      </c>
      <c r="R86" s="46">
        <v>0.67</v>
      </c>
      <c r="S86" s="50">
        <f>IFERROR(__xludf.DUMMYFUNCTION("((IFERROR(MIN(FILTER({K86, N86, Q86}, ISNUMBER({K86, N86, Q86}), {K86, N86, Q86} &gt; 0)), """"))*R86)+IFERROR(MIN(FILTER({K86, N86, Q86}, ISNUMBER({K86, N86, Q86}), {K86, N86, Q86} &gt; 0)), """")"),1803.6)</f>
        <v>1803.6</v>
      </c>
      <c r="T86" s="53">
        <f>IFERROR(__xludf.DUMMYFUNCTION("(S86-(IFERROR(MIN(FILTER({K86, N86, Q86}, ISNUMBER({K86, N86, Q86}), {K86, N86, Q86} &gt; 0)), """")))/S86"),0.4011976047904191)</f>
        <v>0.4011976048</v>
      </c>
    </row>
    <row r="87" ht="22.5" customHeight="1">
      <c r="A87" s="34" t="s">
        <v>325</v>
      </c>
      <c r="B87" s="34" t="s">
        <v>50</v>
      </c>
      <c r="C87" s="37" t="s">
        <v>42</v>
      </c>
      <c r="D87" s="38" t="s">
        <v>62</v>
      </c>
      <c r="E87" s="40" t="s">
        <v>55</v>
      </c>
      <c r="F87" s="34" t="s">
        <v>58</v>
      </c>
      <c r="G87" s="49" t="s">
        <v>41</v>
      </c>
      <c r="H87" s="51" t="s">
        <v>49</v>
      </c>
      <c r="I87" s="39">
        <v>2000.0</v>
      </c>
      <c r="J87" s="39">
        <v>2000.0</v>
      </c>
      <c r="K87" s="41"/>
      <c r="L87" s="42">
        <v>2000.0</v>
      </c>
      <c r="M87" s="42">
        <v>2000.0</v>
      </c>
      <c r="N87" s="55"/>
      <c r="O87" s="39">
        <v>2000.0</v>
      </c>
      <c r="P87" s="39">
        <v>2000.0</v>
      </c>
      <c r="Q87" s="39">
        <v>640.0</v>
      </c>
      <c r="R87" s="46">
        <v>0.67</v>
      </c>
      <c r="S87" s="50">
        <f>IFERROR(__xludf.DUMMYFUNCTION("((IFERROR(MIN(FILTER({K87, N87, Q87}, ISNUMBER({K87, N87, Q87}), {K87, N87, Q87} &gt; 0)), """"))*R87)+IFERROR(MIN(FILTER({K87, N87, Q87}, ISNUMBER({K87, N87, Q87}), {K87, N87, Q87} &gt; 0)), """")"),1068.8)</f>
        <v>1068.8</v>
      </c>
      <c r="T87" s="53">
        <f>IFERROR(__xludf.DUMMYFUNCTION("(S87-(IFERROR(MIN(FILTER({K87, N87, Q87}, ISNUMBER({K87, N87, Q87}), {K87, N87, Q87} &gt; 0)), """")))/S87"),0.40119760479041916)</f>
        <v>0.4011976048</v>
      </c>
    </row>
    <row r="88" ht="22.5" customHeight="1">
      <c r="A88" s="34" t="s">
        <v>325</v>
      </c>
      <c r="B88" s="34" t="s">
        <v>50</v>
      </c>
      <c r="C88" s="37" t="s">
        <v>42</v>
      </c>
      <c r="D88" s="38" t="s">
        <v>62</v>
      </c>
      <c r="E88" s="40" t="s">
        <v>36</v>
      </c>
      <c r="F88" s="34" t="s">
        <v>329</v>
      </c>
      <c r="G88" s="49" t="s">
        <v>41</v>
      </c>
      <c r="H88" s="51" t="s">
        <v>49</v>
      </c>
      <c r="I88" s="39">
        <v>2000.0</v>
      </c>
      <c r="J88" s="39">
        <v>2000.0</v>
      </c>
      <c r="K88" s="41"/>
      <c r="L88" s="42">
        <v>2000.0</v>
      </c>
      <c r="M88" s="42">
        <v>2000.0</v>
      </c>
      <c r="N88" s="55"/>
      <c r="O88" s="39">
        <v>2000.0</v>
      </c>
      <c r="P88" s="39">
        <v>2000.0</v>
      </c>
      <c r="Q88" s="39">
        <v>720.0</v>
      </c>
      <c r="R88" s="46">
        <v>0.67</v>
      </c>
      <c r="S88" s="50">
        <f>IFERROR(__xludf.DUMMYFUNCTION("((IFERROR(MIN(FILTER({K88, N88, Q88}, ISNUMBER({K88, N88, Q88}), {K88, N88, Q88} &gt; 0)), """"))*R88)+IFERROR(MIN(FILTER({K88, N88, Q88}, ISNUMBER({K88, N88, Q88}), {K88, N88, Q88} &gt; 0)), """")"),1202.4)</f>
        <v>1202.4</v>
      </c>
      <c r="T88" s="53">
        <f>IFERROR(__xludf.DUMMYFUNCTION("(S88-(IFERROR(MIN(FILTER({K88, N88, Q88}, ISNUMBER({K88, N88, Q88}), {K88, N88, Q88} &gt; 0)), """")))/S88"),0.4011976047904192)</f>
        <v>0.4011976048</v>
      </c>
    </row>
    <row r="89" ht="22.5" customHeight="1">
      <c r="A89" s="34" t="s">
        <v>330</v>
      </c>
      <c r="B89" s="34" t="s">
        <v>50</v>
      </c>
      <c r="C89" s="37" t="s">
        <v>42</v>
      </c>
      <c r="D89" s="38" t="s">
        <v>331</v>
      </c>
      <c r="E89" s="40" t="s">
        <v>36</v>
      </c>
      <c r="F89" s="34" t="s">
        <v>112</v>
      </c>
      <c r="G89" s="49" t="s">
        <v>41</v>
      </c>
      <c r="H89" s="51" t="s">
        <v>49</v>
      </c>
      <c r="I89" s="39">
        <v>2000.0</v>
      </c>
      <c r="J89" s="39">
        <v>2000.0</v>
      </c>
      <c r="K89" s="41"/>
      <c r="L89" s="42">
        <v>2000.0</v>
      </c>
      <c r="M89" s="42">
        <v>2000.0</v>
      </c>
      <c r="N89" s="55"/>
      <c r="O89" s="39">
        <v>2000.0</v>
      </c>
      <c r="P89" s="39">
        <v>2000.0</v>
      </c>
      <c r="Q89" s="39">
        <v>720.0</v>
      </c>
      <c r="R89" s="46">
        <v>0.67</v>
      </c>
      <c r="S89" s="50">
        <f>IFERROR(__xludf.DUMMYFUNCTION("((IFERROR(MIN(FILTER({K89, N89, Q89}, ISNUMBER({K89, N89, Q89}), {K89, N89, Q89} &gt; 0)), """"))*R89)+IFERROR(MIN(FILTER({K89, N89, Q89}, ISNUMBER({K89, N89, Q89}), {K89, N89, Q89} &gt; 0)), """")"),1202.4)</f>
        <v>1202.4</v>
      </c>
      <c r="T89" s="53">
        <f>IFERROR(__xludf.DUMMYFUNCTION("(S89-(IFERROR(MIN(FILTER({K89, N89, Q89}, ISNUMBER({K89, N89, Q89}), {K89, N89, Q89} &gt; 0)), """")))/S89"),0.4011976047904192)</f>
        <v>0.4011976048</v>
      </c>
    </row>
    <row r="90" ht="22.5" customHeight="1">
      <c r="A90" s="34" t="s">
        <v>330</v>
      </c>
      <c r="B90" s="34" t="s">
        <v>50</v>
      </c>
      <c r="C90" s="37" t="s">
        <v>85</v>
      </c>
      <c r="D90" s="38" t="s">
        <v>331</v>
      </c>
      <c r="E90" s="40" t="s">
        <v>36</v>
      </c>
      <c r="F90" s="34" t="s">
        <v>112</v>
      </c>
      <c r="G90" s="49" t="s">
        <v>41</v>
      </c>
      <c r="H90" s="51" t="s">
        <v>49</v>
      </c>
      <c r="I90" s="39">
        <v>2000.0</v>
      </c>
      <c r="J90" s="39">
        <v>2000.0</v>
      </c>
      <c r="K90" s="41"/>
      <c r="L90" s="42">
        <v>2000.0</v>
      </c>
      <c r="M90" s="42">
        <v>2000.0</v>
      </c>
      <c r="N90" s="55"/>
      <c r="O90" s="39">
        <v>2000.0</v>
      </c>
      <c r="P90" s="39">
        <v>2000.0</v>
      </c>
      <c r="Q90" s="39">
        <v>840.0</v>
      </c>
      <c r="R90" s="46">
        <v>0.67</v>
      </c>
      <c r="S90" s="50">
        <f>IFERROR(__xludf.DUMMYFUNCTION("((IFERROR(MIN(FILTER({K90, N90, Q90}, ISNUMBER({K90, N90, Q90}), {K90, N90, Q90} &gt; 0)), """"))*R90)+IFERROR(MIN(FILTER({K90, N90, Q90}, ISNUMBER({K90, N90, Q90}), {K90, N90, Q90} &gt; 0)), """")"),1402.8000000000002)</f>
        <v>1402.8</v>
      </c>
      <c r="T90" s="53">
        <f>IFERROR(__xludf.DUMMYFUNCTION("(S90-(IFERROR(MIN(FILTER({K90, N90, Q90}, ISNUMBER({K90, N90, Q90}), {K90, N90, Q90} &gt; 0)), """")))/S90"),0.4011976047904192)</f>
        <v>0.4011976048</v>
      </c>
    </row>
    <row r="91" ht="22.5" customHeight="1">
      <c r="A91" s="34" t="s">
        <v>336</v>
      </c>
      <c r="B91" s="34" t="s">
        <v>50</v>
      </c>
      <c r="C91" s="37" t="s">
        <v>42</v>
      </c>
      <c r="D91" s="38" t="s">
        <v>337</v>
      </c>
      <c r="E91" s="49" t="s">
        <v>55</v>
      </c>
      <c r="F91" s="37" t="s">
        <v>271</v>
      </c>
      <c r="G91" s="49" t="s">
        <v>41</v>
      </c>
      <c r="H91" s="51" t="s">
        <v>49</v>
      </c>
      <c r="I91" s="39">
        <v>12000.0</v>
      </c>
      <c r="J91" s="39">
        <v>12000.0</v>
      </c>
      <c r="K91" s="41"/>
      <c r="L91" s="42">
        <v>12000.0</v>
      </c>
      <c r="M91" s="42">
        <v>12000.0</v>
      </c>
      <c r="N91" s="55"/>
      <c r="O91" s="39">
        <v>12000.0</v>
      </c>
      <c r="P91" s="39">
        <v>12000.0</v>
      </c>
      <c r="Q91" s="39">
        <v>350.0</v>
      </c>
      <c r="R91" s="46">
        <v>0.67</v>
      </c>
      <c r="S91" s="50">
        <f>IFERROR(__xludf.DUMMYFUNCTION("((IFERROR(MIN(FILTER({K91, N91, Q91}, ISNUMBER({K91, N91, Q91}), {K91, N91, Q91} &gt; 0)), """"))*R91)+IFERROR(MIN(FILTER({K91, N91, Q91}, ISNUMBER({K91, N91, Q91}), {K91, N91, Q91} &gt; 0)), """")"),584.5)</f>
        <v>584.5</v>
      </c>
      <c r="T91" s="53">
        <f>IFERROR(__xludf.DUMMYFUNCTION("(S91-(IFERROR(MIN(FILTER({K91, N91, Q91}, ISNUMBER({K91, N91, Q91}), {K91, N91, Q91} &gt; 0)), """")))/S91"),0.40119760479041916)</f>
        <v>0.4011976048</v>
      </c>
    </row>
    <row r="92" ht="22.5" customHeight="1">
      <c r="A92" s="34" t="s">
        <v>338</v>
      </c>
      <c r="B92" s="34" t="s">
        <v>50</v>
      </c>
      <c r="C92" s="37" t="s">
        <v>42</v>
      </c>
      <c r="D92" s="38" t="s">
        <v>287</v>
      </c>
      <c r="E92" s="49" t="s">
        <v>55</v>
      </c>
      <c r="F92" s="37" t="s">
        <v>339</v>
      </c>
      <c r="G92" s="49" t="s">
        <v>41</v>
      </c>
      <c r="H92" s="51" t="s">
        <v>49</v>
      </c>
      <c r="I92" s="39">
        <v>2000.0</v>
      </c>
      <c r="J92" s="39">
        <v>2000.0</v>
      </c>
      <c r="K92" s="41"/>
      <c r="L92" s="42">
        <v>2000.0</v>
      </c>
      <c r="M92" s="42">
        <v>2000.0</v>
      </c>
      <c r="N92" s="55"/>
      <c r="O92" s="39">
        <v>2000.0</v>
      </c>
      <c r="P92" s="39">
        <v>2000.0</v>
      </c>
      <c r="Q92" s="39">
        <v>550.0</v>
      </c>
      <c r="R92" s="46">
        <v>0.67</v>
      </c>
      <c r="S92" s="50">
        <f>IFERROR(__xludf.DUMMYFUNCTION("((IFERROR(MIN(FILTER({K92, N92, Q92}, ISNUMBER({K92, N92, Q92}), {K92, N92, Q92} &gt; 0)), """"))*R92)+IFERROR(MIN(FILTER({K92, N92, Q92}, ISNUMBER({K92, N92, Q92}), {K92, N92, Q92} &gt; 0)), """")"),918.5)</f>
        <v>918.5</v>
      </c>
      <c r="T92" s="53">
        <f>IFERROR(__xludf.DUMMYFUNCTION("(S92-(IFERROR(MIN(FILTER({K92, N92, Q92}, ISNUMBER({K92, N92, Q92}), {K92, N92, Q92} &gt; 0)), """")))/S92"),0.40119760479041916)</f>
        <v>0.4011976048</v>
      </c>
    </row>
    <row r="93" ht="22.5" customHeight="1">
      <c r="A93" s="34" t="s">
        <v>340</v>
      </c>
      <c r="B93" s="34" t="s">
        <v>50</v>
      </c>
      <c r="C93" s="37" t="s">
        <v>42</v>
      </c>
      <c r="D93" s="38" t="s">
        <v>114</v>
      </c>
      <c r="E93" s="49" t="s">
        <v>55</v>
      </c>
      <c r="F93" s="37" t="s">
        <v>74</v>
      </c>
      <c r="G93" s="49" t="s">
        <v>41</v>
      </c>
      <c r="H93" s="51" t="s">
        <v>49</v>
      </c>
      <c r="I93" s="39">
        <v>2000.0</v>
      </c>
      <c r="J93" s="39">
        <v>2000.0</v>
      </c>
      <c r="K93" s="41"/>
      <c r="L93" s="42">
        <v>2000.0</v>
      </c>
      <c r="M93" s="42">
        <v>2000.0</v>
      </c>
      <c r="N93" s="55"/>
      <c r="O93" s="39">
        <v>2000.0</v>
      </c>
      <c r="P93" s="39">
        <v>2000.0</v>
      </c>
      <c r="Q93" s="39">
        <v>440.0</v>
      </c>
      <c r="R93" s="46">
        <v>0.67</v>
      </c>
      <c r="S93" s="50">
        <f>IFERROR(__xludf.DUMMYFUNCTION("((IFERROR(MIN(FILTER({K93, N93, Q93}, ISNUMBER({K93, N93, Q93}), {K93, N93, Q93} &gt; 0)), """"))*R93)+IFERROR(MIN(FILTER({K93, N93, Q93}, ISNUMBER({K93, N93, Q93}), {K93, N93, Q93} &gt; 0)), """")"),734.8)</f>
        <v>734.8</v>
      </c>
      <c r="T93" s="53">
        <f>IFERROR(__xludf.DUMMYFUNCTION("(S93-(IFERROR(MIN(FILTER({K93, N93, Q93}, ISNUMBER({K93, N93, Q93}), {K93, N93, Q93} &gt; 0)), """")))/S93"),0.4011976047904191)</f>
        <v>0.4011976048</v>
      </c>
    </row>
    <row r="94" ht="22.5" customHeight="1">
      <c r="A94" s="34" t="s">
        <v>340</v>
      </c>
      <c r="B94" s="34" t="s">
        <v>50</v>
      </c>
      <c r="C94" s="37" t="s">
        <v>42</v>
      </c>
      <c r="D94" s="38" t="s">
        <v>144</v>
      </c>
      <c r="E94" s="49" t="s">
        <v>55</v>
      </c>
      <c r="F94" s="37" t="s">
        <v>74</v>
      </c>
      <c r="G94" s="49" t="s">
        <v>41</v>
      </c>
      <c r="H94" s="51" t="s">
        <v>49</v>
      </c>
      <c r="I94" s="39">
        <v>2000.0</v>
      </c>
      <c r="J94" s="39">
        <v>2000.0</v>
      </c>
      <c r="K94" s="41"/>
      <c r="L94" s="42">
        <v>2000.0</v>
      </c>
      <c r="M94" s="42">
        <v>2000.0</v>
      </c>
      <c r="N94" s="55"/>
      <c r="O94" s="39">
        <v>2000.0</v>
      </c>
      <c r="P94" s="39">
        <v>2000.0</v>
      </c>
      <c r="Q94" s="39">
        <v>490.0</v>
      </c>
      <c r="R94" s="46">
        <v>0.67</v>
      </c>
      <c r="S94" s="50">
        <f>IFERROR(__xludf.DUMMYFUNCTION("((IFERROR(MIN(FILTER({K94, N94, Q94}, ISNUMBER({K94, N94, Q94}), {K94, N94, Q94} &gt; 0)), """"))*R94)+IFERROR(MIN(FILTER({K94, N94, Q94}, ISNUMBER({K94, N94, Q94}), {K94, N94, Q94} &gt; 0)), """")"),818.3)</f>
        <v>818.3</v>
      </c>
      <c r="T94" s="53">
        <f>IFERROR(__xludf.DUMMYFUNCTION("(S94-(IFERROR(MIN(FILTER({K94, N94, Q94}, ISNUMBER({K94, N94, Q94}), {K94, N94, Q94} &gt; 0)), """")))/S94"),0.4011976047904191)</f>
        <v>0.4011976048</v>
      </c>
    </row>
    <row r="95" ht="22.5" customHeight="1">
      <c r="A95" s="34" t="s">
        <v>347</v>
      </c>
      <c r="B95" s="34" t="s">
        <v>50</v>
      </c>
      <c r="C95" s="37" t="s">
        <v>85</v>
      </c>
      <c r="D95" s="38" t="s">
        <v>270</v>
      </c>
      <c r="E95" s="49" t="s">
        <v>55</v>
      </c>
      <c r="F95" s="37" t="s">
        <v>58</v>
      </c>
      <c r="G95" s="49" t="s">
        <v>41</v>
      </c>
      <c r="H95" s="51" t="s">
        <v>49</v>
      </c>
      <c r="I95" s="39">
        <v>2000.0</v>
      </c>
      <c r="J95" s="39">
        <v>2000.0</v>
      </c>
      <c r="K95" s="41"/>
      <c r="L95" s="42">
        <v>2000.0</v>
      </c>
      <c r="M95" s="42">
        <v>2000.0</v>
      </c>
      <c r="N95" s="55"/>
      <c r="O95" s="39">
        <v>2000.0</v>
      </c>
      <c r="P95" s="39">
        <v>2000.0</v>
      </c>
      <c r="Q95" s="39">
        <v>550.0</v>
      </c>
      <c r="R95" s="46">
        <v>0.67</v>
      </c>
      <c r="S95" s="50">
        <f>IFERROR(__xludf.DUMMYFUNCTION("((IFERROR(MIN(FILTER({K95, N95, Q95}, ISNUMBER({K95, N95, Q95}), {K95, N95, Q95} &gt; 0)), """"))*R95)+IFERROR(MIN(FILTER({K95, N95, Q95}, ISNUMBER({K95, N95, Q95}), {K95, N95, Q95} &gt; 0)), """")"),918.5)</f>
        <v>918.5</v>
      </c>
      <c r="T95" s="53">
        <f>IFERROR(__xludf.DUMMYFUNCTION("(S95-(IFERROR(MIN(FILTER({K95, N95, Q95}, ISNUMBER({K95, N95, Q95}), {K95, N95, Q95} &gt; 0)), """")))/S95"),0.40119760479041916)</f>
        <v>0.4011976048</v>
      </c>
    </row>
    <row r="96" ht="22.5" customHeight="1">
      <c r="A96" s="34" t="s">
        <v>347</v>
      </c>
      <c r="B96" s="34" t="s">
        <v>50</v>
      </c>
      <c r="C96" s="37" t="s">
        <v>85</v>
      </c>
      <c r="D96" s="38" t="s">
        <v>270</v>
      </c>
      <c r="E96" s="49" t="s">
        <v>55</v>
      </c>
      <c r="F96" s="37" t="s">
        <v>58</v>
      </c>
      <c r="G96" s="49" t="s">
        <v>41</v>
      </c>
      <c r="H96" s="51" t="s">
        <v>49</v>
      </c>
      <c r="I96" s="39">
        <v>5000.0</v>
      </c>
      <c r="J96" s="39">
        <v>5000.0</v>
      </c>
      <c r="K96" s="41"/>
      <c r="L96" s="42">
        <v>5000.0</v>
      </c>
      <c r="M96" s="42">
        <v>5000.0</v>
      </c>
      <c r="N96" s="55"/>
      <c r="O96" s="39">
        <v>5000.0</v>
      </c>
      <c r="P96" s="39">
        <v>5000.0</v>
      </c>
      <c r="Q96" s="39">
        <v>440.0</v>
      </c>
      <c r="R96" s="46">
        <v>0.67</v>
      </c>
      <c r="S96" s="50">
        <f>IFERROR(__xludf.DUMMYFUNCTION("((IFERROR(MIN(FILTER({K96, N96, Q96}, ISNUMBER({K96, N96, Q96}), {K96, N96, Q96} &gt; 0)), """"))*R96)+IFERROR(MIN(FILTER({K96, N96, Q96}, ISNUMBER({K96, N96, Q96}), {K96, N96, Q96} &gt; 0)), """")"),734.8)</f>
        <v>734.8</v>
      </c>
      <c r="T96" s="53">
        <f>IFERROR(__xludf.DUMMYFUNCTION("(S96-(IFERROR(MIN(FILTER({K96, N96, Q96}, ISNUMBER({K96, N96, Q96}), {K96, N96, Q96} &gt; 0)), """")))/S96"),0.4011976047904191)</f>
        <v>0.4011976048</v>
      </c>
    </row>
    <row r="97" ht="22.5" customHeight="1">
      <c r="A97" s="34" t="s">
        <v>355</v>
      </c>
      <c r="B97" s="34" t="s">
        <v>50</v>
      </c>
      <c r="C97" s="37" t="s">
        <v>42</v>
      </c>
      <c r="D97" s="38" t="s">
        <v>62</v>
      </c>
      <c r="E97" s="49" t="s">
        <v>55</v>
      </c>
      <c r="F97" s="37" t="s">
        <v>74</v>
      </c>
      <c r="G97" s="49" t="s">
        <v>41</v>
      </c>
      <c r="H97" s="51" t="s">
        <v>49</v>
      </c>
      <c r="I97" s="39">
        <v>5000.0</v>
      </c>
      <c r="J97" s="39">
        <v>5000.0</v>
      </c>
      <c r="K97" s="41"/>
      <c r="L97" s="42">
        <v>5000.0</v>
      </c>
      <c r="M97" s="42">
        <v>5000.0</v>
      </c>
      <c r="N97" s="55"/>
      <c r="O97" s="39">
        <v>5000.0</v>
      </c>
      <c r="P97" s="39">
        <v>5000.0</v>
      </c>
      <c r="Q97" s="39">
        <v>550.0</v>
      </c>
      <c r="R97" s="46">
        <v>0.67</v>
      </c>
      <c r="S97" s="50">
        <f>IFERROR(__xludf.DUMMYFUNCTION("((IFERROR(MIN(FILTER({K97, N97, Q97}, ISNUMBER({K97, N97, Q97}), {K97, N97, Q97} &gt; 0)), """"))*R97)+IFERROR(MIN(FILTER({K97, N97, Q97}, ISNUMBER({K97, N97, Q97}), {K97, N97, Q97} &gt; 0)), """")"),918.5)</f>
        <v>918.5</v>
      </c>
      <c r="T97" s="53">
        <f>IFERROR(__xludf.DUMMYFUNCTION("(S97-(IFERROR(MIN(FILTER({K97, N97, Q97}, ISNUMBER({K97, N97, Q97}), {K97, N97, Q97} &gt; 0)), """")))/S97"),0.40119760479041916)</f>
        <v>0.4011976048</v>
      </c>
    </row>
    <row r="98" ht="22.5" customHeight="1">
      <c r="A98" s="34" t="s">
        <v>355</v>
      </c>
      <c r="B98" s="34" t="s">
        <v>50</v>
      </c>
      <c r="C98" s="37" t="s">
        <v>42</v>
      </c>
      <c r="D98" s="38" t="s">
        <v>62</v>
      </c>
      <c r="E98" s="49" t="s">
        <v>55</v>
      </c>
      <c r="F98" s="37" t="s">
        <v>74</v>
      </c>
      <c r="G98" s="49" t="s">
        <v>41</v>
      </c>
      <c r="H98" s="51" t="s">
        <v>49</v>
      </c>
      <c r="I98" s="39">
        <v>10000.0</v>
      </c>
      <c r="J98" s="39">
        <v>10000.0</v>
      </c>
      <c r="K98" s="41"/>
      <c r="L98" s="42">
        <v>10000.0</v>
      </c>
      <c r="M98" s="42">
        <v>10000.0</v>
      </c>
      <c r="N98" s="55"/>
      <c r="O98" s="39">
        <v>10000.0</v>
      </c>
      <c r="P98" s="39">
        <v>10000.0</v>
      </c>
      <c r="Q98" s="39">
        <v>440.0</v>
      </c>
      <c r="R98" s="46">
        <v>0.67</v>
      </c>
      <c r="S98" s="50">
        <f>IFERROR(__xludf.DUMMYFUNCTION("((IFERROR(MIN(FILTER({K98, N98, Q98}, ISNUMBER({K98, N98, Q98}), {K98, N98, Q98} &gt; 0)), """"))*R98)+IFERROR(MIN(FILTER({K98, N98, Q98}, ISNUMBER({K98, N98, Q98}), {K98, N98, Q98} &gt; 0)), """")"),734.8)</f>
        <v>734.8</v>
      </c>
      <c r="T98" s="53">
        <f>IFERROR(__xludf.DUMMYFUNCTION("(S98-(IFERROR(MIN(FILTER({K98, N98, Q98}, ISNUMBER({K98, N98, Q98}), {K98, N98, Q98} &gt; 0)), """")))/S98"),0.4011976047904191)</f>
        <v>0.4011976048</v>
      </c>
    </row>
    <row r="99" ht="22.5" customHeight="1">
      <c r="A99" s="34" t="s">
        <v>355</v>
      </c>
      <c r="B99" s="34" t="s">
        <v>50</v>
      </c>
      <c r="C99" s="37" t="s">
        <v>42</v>
      </c>
      <c r="D99" s="38" t="s">
        <v>62</v>
      </c>
      <c r="E99" s="49" t="s">
        <v>55</v>
      </c>
      <c r="F99" s="37" t="s">
        <v>74</v>
      </c>
      <c r="G99" s="49" t="s">
        <v>41</v>
      </c>
      <c r="H99" s="51" t="s">
        <v>49</v>
      </c>
      <c r="I99" s="39">
        <v>25000.0</v>
      </c>
      <c r="J99" s="39">
        <v>25000.0</v>
      </c>
      <c r="K99" s="41"/>
      <c r="L99" s="42">
        <v>25000.0</v>
      </c>
      <c r="M99" s="42">
        <v>25000.0</v>
      </c>
      <c r="N99" s="55"/>
      <c r="O99" s="39">
        <v>25000.0</v>
      </c>
      <c r="P99" s="39">
        <v>25000.0</v>
      </c>
      <c r="Q99" s="39">
        <v>350.0</v>
      </c>
      <c r="R99" s="46">
        <v>0.67</v>
      </c>
      <c r="S99" s="50">
        <f>IFERROR(__xludf.DUMMYFUNCTION("((IFERROR(MIN(FILTER({K99, N99, Q99}, ISNUMBER({K99, N99, Q99}), {K99, N99, Q99} &gt; 0)), """"))*R99)+IFERROR(MIN(FILTER({K99, N99, Q99}, ISNUMBER({K99, N99, Q99}), {K99, N99, Q99} &gt; 0)), """")"),584.5)</f>
        <v>584.5</v>
      </c>
      <c r="T99" s="53">
        <f>IFERROR(__xludf.DUMMYFUNCTION("(S99-(IFERROR(MIN(FILTER({K99, N99, Q99}, ISNUMBER({K99, N99, Q99}), {K99, N99, Q99} &gt; 0)), """")))/S99"),0.40119760479041916)</f>
        <v>0.4011976048</v>
      </c>
    </row>
    <row r="100" ht="22.5" customHeight="1">
      <c r="A100" s="34" t="s">
        <v>362</v>
      </c>
      <c r="B100" s="34" t="s">
        <v>50</v>
      </c>
      <c r="C100" s="37" t="s">
        <v>42</v>
      </c>
      <c r="D100" s="38" t="s">
        <v>363</v>
      </c>
      <c r="E100" s="49" t="s">
        <v>36</v>
      </c>
      <c r="F100" s="37" t="s">
        <v>116</v>
      </c>
      <c r="G100" s="49" t="s">
        <v>41</v>
      </c>
      <c r="H100" s="51" t="s">
        <v>49</v>
      </c>
      <c r="I100" s="39">
        <v>5000.0</v>
      </c>
      <c r="J100" s="39">
        <v>5000.0</v>
      </c>
      <c r="K100" s="41"/>
      <c r="L100" s="42">
        <v>5000.0</v>
      </c>
      <c r="M100" s="42">
        <v>5000.0</v>
      </c>
      <c r="N100" s="55"/>
      <c r="O100" s="39">
        <v>5000.0</v>
      </c>
      <c r="P100" s="39">
        <v>5000.0</v>
      </c>
      <c r="Q100" s="39">
        <v>720.0</v>
      </c>
      <c r="R100" s="46">
        <v>0.67</v>
      </c>
      <c r="S100" s="50">
        <f>IFERROR(__xludf.DUMMYFUNCTION("((IFERROR(MIN(FILTER({K100, N100, Q100}, ISNUMBER({K100, N100, Q100}), {K100, N100, Q100} &gt; 0)), """"))*R100)+IFERROR(MIN(FILTER({K100, N100, Q100}, ISNUMBER({K100, N100, Q100}), {K100, N100, Q100} &gt; 0)), """")"),1202.4)</f>
        <v>1202.4</v>
      </c>
      <c r="T100" s="53">
        <f>IFERROR(__xludf.DUMMYFUNCTION("(S100-(IFERROR(MIN(FILTER({K100, N100, Q100}, ISNUMBER({K100, N100, Q100}), {K100, N100, Q100} &gt; 0)), """")))/S100"),0.4011976047904192)</f>
        <v>0.4011976048</v>
      </c>
    </row>
    <row r="101" ht="22.5" customHeight="1">
      <c r="A101" s="34" t="s">
        <v>362</v>
      </c>
      <c r="B101" s="34" t="s">
        <v>50</v>
      </c>
      <c r="C101" s="37" t="s">
        <v>42</v>
      </c>
      <c r="D101" s="38" t="s">
        <v>363</v>
      </c>
      <c r="E101" s="49" t="s">
        <v>36</v>
      </c>
      <c r="F101" s="37" t="s">
        <v>116</v>
      </c>
      <c r="G101" s="49" t="s">
        <v>41</v>
      </c>
      <c r="H101" s="51" t="s">
        <v>49</v>
      </c>
      <c r="I101" s="39">
        <v>10000.0</v>
      </c>
      <c r="J101" s="39">
        <v>10000.0</v>
      </c>
      <c r="K101" s="41"/>
      <c r="L101" s="42">
        <v>10000.0</v>
      </c>
      <c r="M101" s="42">
        <v>10000.0</v>
      </c>
      <c r="N101" s="55"/>
      <c r="O101" s="39">
        <v>10000.0</v>
      </c>
      <c r="P101" s="39">
        <v>10000.0</v>
      </c>
      <c r="Q101" s="39">
        <v>640.0</v>
      </c>
      <c r="R101" s="46">
        <v>0.67</v>
      </c>
      <c r="S101" s="50">
        <f>IFERROR(__xludf.DUMMYFUNCTION("((IFERROR(MIN(FILTER({K101, N101, Q101}, ISNUMBER({K101, N101, Q101}), {K101, N101, Q101} &gt; 0)), """"))*R101)+IFERROR(MIN(FILTER({K101, N101, Q101}, ISNUMBER({K101, N101, Q101}), {K101, N101, Q101} &gt; 0)), """")"),1068.8)</f>
        <v>1068.8</v>
      </c>
      <c r="T101" s="53">
        <f>IFERROR(__xludf.DUMMYFUNCTION("(S101-(IFERROR(MIN(FILTER({K101, N101, Q101}, ISNUMBER({K101, N101, Q101}), {K101, N101, Q101} &gt; 0)), """")))/S101"),0.40119760479041916)</f>
        <v>0.4011976048</v>
      </c>
    </row>
    <row r="102" ht="22.5" customHeight="1">
      <c r="A102" s="34" t="s">
        <v>362</v>
      </c>
      <c r="B102" s="34" t="s">
        <v>50</v>
      </c>
      <c r="C102" s="37" t="s">
        <v>42</v>
      </c>
      <c r="D102" s="38" t="s">
        <v>363</v>
      </c>
      <c r="E102" s="49" t="s">
        <v>36</v>
      </c>
      <c r="F102" s="37" t="s">
        <v>116</v>
      </c>
      <c r="G102" s="49" t="s">
        <v>41</v>
      </c>
      <c r="H102" s="51" t="s">
        <v>49</v>
      </c>
      <c r="I102" s="39">
        <v>25000.0</v>
      </c>
      <c r="J102" s="39">
        <v>25000.0</v>
      </c>
      <c r="K102" s="41"/>
      <c r="L102" s="42">
        <v>25000.0</v>
      </c>
      <c r="M102" s="42">
        <v>25000.0</v>
      </c>
      <c r="N102" s="55"/>
      <c r="O102" s="39">
        <v>25000.0</v>
      </c>
      <c r="P102" s="39">
        <v>25000.0</v>
      </c>
      <c r="Q102" s="39">
        <v>550.0</v>
      </c>
      <c r="R102" s="46">
        <v>0.67</v>
      </c>
      <c r="S102" s="50">
        <f>IFERROR(__xludf.DUMMYFUNCTION("((IFERROR(MIN(FILTER({K102, N102, Q102}, ISNUMBER({K102, N102, Q102}), {K102, N102, Q102} &gt; 0)), """"))*R102)+IFERROR(MIN(FILTER({K102, N102, Q102}, ISNUMBER({K102, N102, Q102}), {K102, N102, Q102} &gt; 0)), """")"),918.5)</f>
        <v>918.5</v>
      </c>
      <c r="T102" s="53">
        <f>IFERROR(__xludf.DUMMYFUNCTION("(S102-(IFERROR(MIN(FILTER({K102, N102, Q102}, ISNUMBER({K102, N102, Q102}), {K102, N102, Q102} &gt; 0)), """")))/S102"),0.40119760479041916)</f>
        <v>0.4011976048</v>
      </c>
    </row>
    <row r="103" ht="22.5" customHeight="1">
      <c r="A103" s="34" t="s">
        <v>362</v>
      </c>
      <c r="B103" s="34" t="s">
        <v>50</v>
      </c>
      <c r="C103" s="37" t="s">
        <v>42</v>
      </c>
      <c r="D103" s="38" t="s">
        <v>363</v>
      </c>
      <c r="E103" s="49" t="s">
        <v>36</v>
      </c>
      <c r="F103" s="37" t="s">
        <v>116</v>
      </c>
      <c r="G103" s="49" t="s">
        <v>41</v>
      </c>
      <c r="H103" s="51" t="s">
        <v>49</v>
      </c>
      <c r="I103" s="39">
        <v>50000.0</v>
      </c>
      <c r="J103" s="39">
        <v>50000.0</v>
      </c>
      <c r="K103" s="41"/>
      <c r="L103" s="42">
        <v>50000.0</v>
      </c>
      <c r="M103" s="42">
        <v>50000.0</v>
      </c>
      <c r="N103" s="55"/>
      <c r="O103" s="39">
        <v>50000.0</v>
      </c>
      <c r="P103" s="39">
        <v>50000.0</v>
      </c>
      <c r="Q103" s="39">
        <v>460.0</v>
      </c>
      <c r="R103" s="46">
        <v>0.67</v>
      </c>
      <c r="S103" s="50">
        <f>IFERROR(__xludf.DUMMYFUNCTION("((IFERROR(MIN(FILTER({K103, N103, Q103}, ISNUMBER({K103, N103, Q103}), {K103, N103, Q103} &gt; 0)), """"))*R103)+IFERROR(MIN(FILTER({K103, N103, Q103}, ISNUMBER({K103, N103, Q103}), {K103, N103, Q103} &gt; 0)), """")"),768.2)</f>
        <v>768.2</v>
      </c>
      <c r="T103" s="53">
        <f>IFERROR(__xludf.DUMMYFUNCTION("(S103-(IFERROR(MIN(FILTER({K103, N103, Q103}, ISNUMBER({K103, N103, Q103}), {K103, N103, Q103} &gt; 0)), """")))/S103"),0.4011976047904192)</f>
        <v>0.4011976048</v>
      </c>
    </row>
    <row r="104" ht="22.5" customHeight="1">
      <c r="A104" s="34" t="s">
        <v>362</v>
      </c>
      <c r="B104" s="34" t="s">
        <v>50</v>
      </c>
      <c r="C104" s="37" t="s">
        <v>42</v>
      </c>
      <c r="D104" s="38" t="s">
        <v>374</v>
      </c>
      <c r="E104" s="49" t="s">
        <v>36</v>
      </c>
      <c r="F104" s="37" t="s">
        <v>116</v>
      </c>
      <c r="G104" s="49" t="s">
        <v>41</v>
      </c>
      <c r="H104" s="51" t="s">
        <v>49</v>
      </c>
      <c r="I104" s="39">
        <v>5000.0</v>
      </c>
      <c r="J104" s="39">
        <v>5000.0</v>
      </c>
      <c r="K104" s="41"/>
      <c r="L104" s="42">
        <v>5000.0</v>
      </c>
      <c r="M104" s="42">
        <v>5000.0</v>
      </c>
      <c r="N104" s="55"/>
      <c r="O104" s="39">
        <v>5000.0</v>
      </c>
      <c r="P104" s="39">
        <v>5000.0</v>
      </c>
      <c r="Q104" s="39">
        <v>700.0</v>
      </c>
      <c r="R104" s="46">
        <v>0.67</v>
      </c>
      <c r="S104" s="50">
        <f>IFERROR(__xludf.DUMMYFUNCTION("((IFERROR(MIN(FILTER({K104, N104, Q104}, ISNUMBER({K104, N104, Q104}), {K104, N104, Q104} &gt; 0)), """"))*R104)+IFERROR(MIN(FILTER({K104, N104, Q104}, ISNUMBER({K104, N104, Q104}), {K104, N104, Q104} &gt; 0)), """")"),1169.0)</f>
        <v>1169</v>
      </c>
      <c r="T104" s="53">
        <f>IFERROR(__xludf.DUMMYFUNCTION("(S104-(IFERROR(MIN(FILTER({K104, N104, Q104}, ISNUMBER({K104, N104, Q104}), {K104, N104, Q104} &gt; 0)), """")))/S104"),0.40119760479041916)</f>
        <v>0.4011976048</v>
      </c>
    </row>
    <row r="105" ht="22.5" customHeight="1">
      <c r="A105" s="34" t="s">
        <v>362</v>
      </c>
      <c r="B105" s="34" t="s">
        <v>50</v>
      </c>
      <c r="C105" s="37" t="s">
        <v>42</v>
      </c>
      <c r="D105" s="38" t="s">
        <v>374</v>
      </c>
      <c r="E105" s="49" t="s">
        <v>36</v>
      </c>
      <c r="F105" s="37" t="s">
        <v>116</v>
      </c>
      <c r="G105" s="49" t="s">
        <v>41</v>
      </c>
      <c r="H105" s="51" t="s">
        <v>49</v>
      </c>
      <c r="I105" s="39">
        <v>10000.0</v>
      </c>
      <c r="J105" s="39">
        <v>10000.0</v>
      </c>
      <c r="K105" s="41"/>
      <c r="L105" s="42">
        <v>10000.0</v>
      </c>
      <c r="M105" s="42">
        <v>10000.0</v>
      </c>
      <c r="N105" s="55"/>
      <c r="O105" s="39">
        <v>10000.0</v>
      </c>
      <c r="P105" s="39">
        <v>10000.0</v>
      </c>
      <c r="Q105" s="39">
        <v>600.0</v>
      </c>
      <c r="R105" s="46">
        <v>0.67</v>
      </c>
      <c r="S105" s="50">
        <f>IFERROR(__xludf.DUMMYFUNCTION("((IFERROR(MIN(FILTER({K105, N105, Q105}, ISNUMBER({K105, N105, Q105}), {K105, N105, Q105} &gt; 0)), """"))*R105)+IFERROR(MIN(FILTER({K105, N105, Q105}, ISNUMBER({K105, N105, Q105}), {K105, N105, Q105} &gt; 0)), """")"),1002.0)</f>
        <v>1002</v>
      </c>
      <c r="T105" s="53">
        <f>IFERROR(__xludf.DUMMYFUNCTION("(S105-(IFERROR(MIN(FILTER({K105, N105, Q105}, ISNUMBER({K105, N105, Q105}), {K105, N105, Q105} &gt; 0)), """")))/S105"),0.40119760479041916)</f>
        <v>0.4011976048</v>
      </c>
    </row>
    <row r="106" ht="22.5" customHeight="1">
      <c r="A106" s="34" t="s">
        <v>362</v>
      </c>
      <c r="B106" s="34" t="s">
        <v>50</v>
      </c>
      <c r="C106" s="37" t="s">
        <v>42</v>
      </c>
      <c r="D106" s="38" t="s">
        <v>374</v>
      </c>
      <c r="E106" s="49" t="s">
        <v>36</v>
      </c>
      <c r="F106" s="37" t="s">
        <v>116</v>
      </c>
      <c r="G106" s="49" t="s">
        <v>41</v>
      </c>
      <c r="H106" s="51" t="s">
        <v>49</v>
      </c>
      <c r="I106" s="39">
        <v>25000.0</v>
      </c>
      <c r="J106" s="39">
        <v>25000.0</v>
      </c>
      <c r="K106" s="41"/>
      <c r="L106" s="42">
        <v>25000.0</v>
      </c>
      <c r="M106" s="42">
        <v>25000.0</v>
      </c>
      <c r="N106" s="55"/>
      <c r="O106" s="39">
        <v>25000.0</v>
      </c>
      <c r="P106" s="39">
        <v>25000.0</v>
      </c>
      <c r="Q106" s="39">
        <v>520.0</v>
      </c>
      <c r="R106" s="46">
        <v>0.67</v>
      </c>
      <c r="S106" s="50">
        <f>IFERROR(__xludf.DUMMYFUNCTION("((IFERROR(MIN(FILTER({K106, N106, Q106}, ISNUMBER({K106, N106, Q106}), {K106, N106, Q106} &gt; 0)), """"))*R106)+IFERROR(MIN(FILTER({K106, N106, Q106}, ISNUMBER({K106, N106, Q106}), {K106, N106, Q106} &gt; 0)), """")"),868.4000000000001)</f>
        <v>868.4</v>
      </c>
      <c r="T106" s="53">
        <f>IFERROR(__xludf.DUMMYFUNCTION("(S106-(IFERROR(MIN(FILTER({K106, N106, Q106}, ISNUMBER({K106, N106, Q106}), {K106, N106, Q106} &gt; 0)), """")))/S106"),0.4011976047904192)</f>
        <v>0.4011976048</v>
      </c>
    </row>
    <row r="107" ht="22.5" customHeight="1">
      <c r="A107" s="34" t="s">
        <v>362</v>
      </c>
      <c r="B107" s="34" t="s">
        <v>50</v>
      </c>
      <c r="C107" s="37" t="s">
        <v>42</v>
      </c>
      <c r="D107" s="38" t="s">
        <v>374</v>
      </c>
      <c r="E107" s="49" t="s">
        <v>36</v>
      </c>
      <c r="F107" s="37" t="s">
        <v>116</v>
      </c>
      <c r="G107" s="49" t="s">
        <v>41</v>
      </c>
      <c r="H107" s="51" t="s">
        <v>49</v>
      </c>
      <c r="I107" s="39">
        <v>50000.0</v>
      </c>
      <c r="J107" s="39">
        <v>50000.0</v>
      </c>
      <c r="K107" s="41"/>
      <c r="L107" s="42">
        <v>50000.0</v>
      </c>
      <c r="M107" s="42">
        <v>50000.0</v>
      </c>
      <c r="N107" s="55"/>
      <c r="O107" s="39">
        <v>50000.0</v>
      </c>
      <c r="P107" s="39">
        <v>50000.0</v>
      </c>
      <c r="Q107" s="39">
        <v>440.0</v>
      </c>
      <c r="R107" s="46">
        <v>0.67</v>
      </c>
      <c r="S107" s="50">
        <f>IFERROR(__xludf.DUMMYFUNCTION("((IFERROR(MIN(FILTER({K107, N107, Q107}, ISNUMBER({K107, N107, Q107}), {K107, N107, Q107} &gt; 0)), """"))*R107)+IFERROR(MIN(FILTER({K107, N107, Q107}, ISNUMBER({K107, N107, Q107}), {K107, N107, Q107} &gt; 0)), """")"),734.8)</f>
        <v>734.8</v>
      </c>
      <c r="T107" s="53">
        <f>IFERROR(__xludf.DUMMYFUNCTION("(S107-(IFERROR(MIN(FILTER({K107, N107, Q107}, ISNUMBER({K107, N107, Q107}), {K107, N107, Q107} &gt; 0)), """")))/S107"),0.4011976047904191)</f>
        <v>0.4011976048</v>
      </c>
    </row>
    <row r="108" ht="22.5" customHeight="1">
      <c r="A108" s="34" t="s">
        <v>393</v>
      </c>
      <c r="B108" s="34" t="s">
        <v>50</v>
      </c>
      <c r="C108" s="37" t="s">
        <v>42</v>
      </c>
      <c r="D108" s="38" t="s">
        <v>287</v>
      </c>
      <c r="E108" s="49" t="s">
        <v>55</v>
      </c>
      <c r="F108" s="37" t="s">
        <v>58</v>
      </c>
      <c r="G108" s="49" t="s">
        <v>41</v>
      </c>
      <c r="H108" s="51" t="s">
        <v>49</v>
      </c>
      <c r="I108" s="39">
        <v>2000.0</v>
      </c>
      <c r="J108" s="39">
        <v>2000.0</v>
      </c>
      <c r="K108" s="41"/>
      <c r="L108" s="42">
        <v>2000.0</v>
      </c>
      <c r="M108" s="42">
        <v>2000.0</v>
      </c>
      <c r="N108" s="55"/>
      <c r="O108" s="39">
        <v>2000.0</v>
      </c>
      <c r="P108" s="39">
        <v>2000.0</v>
      </c>
      <c r="Q108" s="39">
        <v>550.0</v>
      </c>
      <c r="R108" s="46">
        <v>0.67</v>
      </c>
      <c r="S108" s="50">
        <f>IFERROR(__xludf.DUMMYFUNCTION("((IFERROR(MIN(FILTER({K108, N108, Q108}, ISNUMBER({K108, N108, Q108}), {K108, N108, Q108} &gt; 0)), """"))*R108)+IFERROR(MIN(FILTER({K108, N108, Q108}, ISNUMBER({K108, N108, Q108}), {K108, N108, Q108} &gt; 0)), """")"),918.5)</f>
        <v>918.5</v>
      </c>
      <c r="T108" s="53">
        <f>IFERROR(__xludf.DUMMYFUNCTION("(S108-(IFERROR(MIN(FILTER({K108, N108, Q108}, ISNUMBER({K108, N108, Q108}), {K108, N108, Q108} &gt; 0)), """")))/S108"),0.40119760479041916)</f>
        <v>0.4011976048</v>
      </c>
    </row>
    <row r="109" ht="22.5" customHeight="1">
      <c r="A109" s="34" t="s">
        <v>393</v>
      </c>
      <c r="B109" s="34" t="s">
        <v>50</v>
      </c>
      <c r="C109" s="37" t="s">
        <v>85</v>
      </c>
      <c r="D109" s="38" t="s">
        <v>395</v>
      </c>
      <c r="E109" s="49" t="s">
        <v>55</v>
      </c>
      <c r="F109" s="37" t="s">
        <v>58</v>
      </c>
      <c r="G109" s="49" t="s">
        <v>41</v>
      </c>
      <c r="H109" s="51" t="s">
        <v>49</v>
      </c>
      <c r="I109" s="39">
        <v>2000.0</v>
      </c>
      <c r="J109" s="39">
        <v>2000.0</v>
      </c>
      <c r="K109" s="41"/>
      <c r="L109" s="42">
        <v>2000.0</v>
      </c>
      <c r="M109" s="42">
        <v>2000.0</v>
      </c>
      <c r="N109" s="55"/>
      <c r="O109" s="39">
        <v>2000.0</v>
      </c>
      <c r="P109" s="39">
        <v>2000.0</v>
      </c>
      <c r="Q109" s="39">
        <v>720.0</v>
      </c>
      <c r="R109" s="46">
        <v>0.67</v>
      </c>
      <c r="S109" s="50">
        <f>IFERROR(__xludf.DUMMYFUNCTION("((IFERROR(MIN(FILTER({K109, N109, Q109}, ISNUMBER({K109, N109, Q109}), {K109, N109, Q109} &gt; 0)), """"))*R109)+IFERROR(MIN(FILTER({K109, N109, Q109}, ISNUMBER({K109, N109, Q109}), {K109, N109, Q109} &gt; 0)), """")"),1202.4)</f>
        <v>1202.4</v>
      </c>
      <c r="T109" s="53">
        <f>IFERROR(__xludf.DUMMYFUNCTION("(S109-(IFERROR(MIN(FILTER({K109, N109, Q109}, ISNUMBER({K109, N109, Q109}), {K109, N109, Q109} &gt; 0)), """")))/S109"),0.4011976047904192)</f>
        <v>0.4011976048</v>
      </c>
    </row>
    <row r="110" ht="22.5" customHeight="1">
      <c r="A110" s="34" t="s">
        <v>398</v>
      </c>
      <c r="B110" s="34" t="s">
        <v>50</v>
      </c>
      <c r="C110" s="37" t="s">
        <v>42</v>
      </c>
      <c r="D110" s="38" t="s">
        <v>399</v>
      </c>
      <c r="E110" s="49" t="s">
        <v>36</v>
      </c>
      <c r="F110" s="37" t="s">
        <v>400</v>
      </c>
      <c r="G110" s="49" t="s">
        <v>41</v>
      </c>
      <c r="H110" s="51" t="s">
        <v>49</v>
      </c>
      <c r="I110" s="39">
        <v>1000.0</v>
      </c>
      <c r="J110" s="39">
        <v>1000.0</v>
      </c>
      <c r="K110" s="41"/>
      <c r="L110" s="42">
        <v>1000.0</v>
      </c>
      <c r="M110" s="42">
        <v>1000.0</v>
      </c>
      <c r="N110" s="55"/>
      <c r="O110" s="39">
        <v>1000.0</v>
      </c>
      <c r="P110" s="39">
        <v>1000.0</v>
      </c>
      <c r="Q110" s="39">
        <v>1080.0</v>
      </c>
      <c r="R110" s="46">
        <v>0.67</v>
      </c>
      <c r="S110" s="50">
        <f>IFERROR(__xludf.DUMMYFUNCTION("((IFERROR(MIN(FILTER({K110, N110, Q110}, ISNUMBER({K110, N110, Q110}), {K110, N110, Q110} &gt; 0)), """"))*R110)+IFERROR(MIN(FILTER({K110, N110, Q110}, ISNUMBER({K110, N110, Q110}), {K110, N110, Q110} &gt; 0)), """")"),1803.6)</f>
        <v>1803.6</v>
      </c>
      <c r="T110" s="53">
        <f>IFERROR(__xludf.DUMMYFUNCTION("(S110-(IFERROR(MIN(FILTER({K110, N110, Q110}, ISNUMBER({K110, N110, Q110}), {K110, N110, Q110} &gt; 0)), """")))/S110"),0.4011976047904191)</f>
        <v>0.4011976048</v>
      </c>
    </row>
    <row r="111" ht="22.5" customHeight="1">
      <c r="A111" s="34" t="s">
        <v>402</v>
      </c>
      <c r="B111" s="34" t="s">
        <v>50</v>
      </c>
      <c r="C111" s="37" t="s">
        <v>42</v>
      </c>
      <c r="D111" s="38" t="s">
        <v>403</v>
      </c>
      <c r="E111" s="49" t="s">
        <v>55</v>
      </c>
      <c r="F111" s="37" t="s">
        <v>100</v>
      </c>
      <c r="G111" s="49" t="s">
        <v>41</v>
      </c>
      <c r="H111" s="51" t="s">
        <v>49</v>
      </c>
      <c r="I111" s="39">
        <v>2000.0</v>
      </c>
      <c r="J111" s="39">
        <v>2000.0</v>
      </c>
      <c r="K111" s="41"/>
      <c r="L111" s="42">
        <v>2000.0</v>
      </c>
      <c r="M111" s="42">
        <v>2000.0</v>
      </c>
      <c r="N111" s="55"/>
      <c r="O111" s="39">
        <v>2000.0</v>
      </c>
      <c r="P111" s="39">
        <v>2000.0</v>
      </c>
      <c r="Q111" s="39">
        <v>440.0</v>
      </c>
      <c r="R111" s="46">
        <v>0.67</v>
      </c>
      <c r="S111" s="50">
        <f>IFERROR(__xludf.DUMMYFUNCTION("((IFERROR(MIN(FILTER({K111, N111, Q111}, ISNUMBER({K111, N111, Q111}), {K111, N111, Q111} &gt; 0)), """"))*R111)+IFERROR(MIN(FILTER({K111, N111, Q111}, ISNUMBER({K111, N111, Q111}), {K111, N111, Q111} &gt; 0)), """")"),734.8)</f>
        <v>734.8</v>
      </c>
      <c r="T111" s="53">
        <f>IFERROR(__xludf.DUMMYFUNCTION("(S111-(IFERROR(MIN(FILTER({K111, N111, Q111}, ISNUMBER({K111, N111, Q111}), {K111, N111, Q111} &gt; 0)), """")))/S111"),0.4011976047904191)</f>
        <v>0.4011976048</v>
      </c>
    </row>
    <row r="112" ht="22.5" customHeight="1">
      <c r="A112" s="34" t="s">
        <v>402</v>
      </c>
      <c r="B112" s="34" t="s">
        <v>50</v>
      </c>
      <c r="C112" s="37" t="s">
        <v>42</v>
      </c>
      <c r="D112" s="38" t="s">
        <v>403</v>
      </c>
      <c r="E112" s="49" t="s">
        <v>55</v>
      </c>
      <c r="F112" s="37" t="s">
        <v>100</v>
      </c>
      <c r="G112" s="49" t="s">
        <v>41</v>
      </c>
      <c r="H112" s="51" t="s">
        <v>49</v>
      </c>
      <c r="I112" s="39">
        <v>5000.0</v>
      </c>
      <c r="J112" s="39">
        <v>5000.0</v>
      </c>
      <c r="K112" s="41"/>
      <c r="L112" s="42">
        <v>5000.0</v>
      </c>
      <c r="M112" s="42">
        <v>5000.0</v>
      </c>
      <c r="N112" s="55"/>
      <c r="O112" s="39">
        <v>5000.0</v>
      </c>
      <c r="P112" s="39">
        <v>5000.0</v>
      </c>
      <c r="Q112" s="39">
        <v>350.0</v>
      </c>
      <c r="R112" s="46">
        <v>0.67</v>
      </c>
      <c r="S112" s="50">
        <f>IFERROR(__xludf.DUMMYFUNCTION("((IFERROR(MIN(FILTER({K112, N112, Q112}, ISNUMBER({K112, N112, Q112}), {K112, N112, Q112} &gt; 0)), """"))*R112)+IFERROR(MIN(FILTER({K112, N112, Q112}, ISNUMBER({K112, N112, Q112}), {K112, N112, Q112} &gt; 0)), """")"),584.5)</f>
        <v>584.5</v>
      </c>
      <c r="T112" s="53">
        <f>IFERROR(__xludf.DUMMYFUNCTION("(S112-(IFERROR(MIN(FILTER({K112, N112, Q112}, ISNUMBER({K112, N112, Q112}), {K112, N112, Q112} &gt; 0)), """")))/S112"),0.40119760479041916)</f>
        <v>0.4011976048</v>
      </c>
    </row>
    <row r="113" ht="22.5" customHeight="1">
      <c r="A113" s="34" t="s">
        <v>405</v>
      </c>
      <c r="B113" s="34" t="s">
        <v>50</v>
      </c>
      <c r="C113" s="37" t="s">
        <v>42</v>
      </c>
      <c r="D113" s="38" t="s">
        <v>406</v>
      </c>
      <c r="E113" s="49" t="s">
        <v>36</v>
      </c>
      <c r="F113" s="37" t="s">
        <v>360</v>
      </c>
      <c r="G113" s="49" t="s">
        <v>41</v>
      </c>
      <c r="H113" s="51" t="s">
        <v>49</v>
      </c>
      <c r="I113" s="39">
        <v>2000.0</v>
      </c>
      <c r="J113" s="39">
        <v>2000.0</v>
      </c>
      <c r="K113" s="41"/>
      <c r="L113" s="42">
        <v>2000.0</v>
      </c>
      <c r="M113" s="42">
        <v>2000.0</v>
      </c>
      <c r="N113" s="55"/>
      <c r="O113" s="39">
        <v>2000.0</v>
      </c>
      <c r="P113" s="39">
        <v>2000.0</v>
      </c>
      <c r="Q113" s="39">
        <v>550.0</v>
      </c>
      <c r="R113" s="46">
        <v>0.67</v>
      </c>
      <c r="S113" s="50">
        <f>IFERROR(__xludf.DUMMYFUNCTION("((IFERROR(MIN(FILTER({K113, N113, Q113}, ISNUMBER({K113, N113, Q113}), {K113, N113, Q113} &gt; 0)), """"))*R113)+IFERROR(MIN(FILTER({K113, N113, Q113}, ISNUMBER({K113, N113, Q113}), {K113, N113, Q113} &gt; 0)), """")"),918.5)</f>
        <v>918.5</v>
      </c>
      <c r="T113" s="53">
        <f>IFERROR(__xludf.DUMMYFUNCTION("(S113-(IFERROR(MIN(FILTER({K113, N113, Q113}, ISNUMBER({K113, N113, Q113}), {K113, N113, Q113} &gt; 0)), """")))/S113"),0.40119760479041916)</f>
        <v>0.4011976048</v>
      </c>
    </row>
    <row r="114" ht="22.5" customHeight="1">
      <c r="A114" s="34" t="s">
        <v>412</v>
      </c>
      <c r="B114" s="34" t="s">
        <v>50</v>
      </c>
      <c r="C114" s="37" t="s">
        <v>42</v>
      </c>
      <c r="D114" s="38" t="s">
        <v>413</v>
      </c>
      <c r="E114" s="49" t="s">
        <v>55</v>
      </c>
      <c r="F114" s="37"/>
      <c r="G114" s="49" t="s">
        <v>41</v>
      </c>
      <c r="H114" s="51" t="s">
        <v>49</v>
      </c>
      <c r="I114" s="39">
        <v>5000.0</v>
      </c>
      <c r="J114" s="39">
        <v>5000.0</v>
      </c>
      <c r="K114" s="41"/>
      <c r="L114" s="42">
        <v>5000.0</v>
      </c>
      <c r="M114" s="42">
        <v>5000.0</v>
      </c>
      <c r="N114" s="55"/>
      <c r="O114" s="39">
        <v>5000.0</v>
      </c>
      <c r="P114" s="39">
        <v>5000.0</v>
      </c>
      <c r="Q114" s="39">
        <v>220.0</v>
      </c>
      <c r="R114" s="46">
        <v>0.67</v>
      </c>
      <c r="S114" s="50">
        <f>IFERROR(__xludf.DUMMYFUNCTION("((IFERROR(MIN(FILTER({K114, N114, Q114}, ISNUMBER({K114, N114, Q114}), {K114, N114, Q114} &gt; 0)), """"))*R114)+IFERROR(MIN(FILTER({K114, N114, Q114}, ISNUMBER({K114, N114, Q114}), {K114, N114, Q114} &gt; 0)), """")"),367.4)</f>
        <v>367.4</v>
      </c>
      <c r="T114" s="53">
        <f>IFERROR(__xludf.DUMMYFUNCTION("(S114-(IFERROR(MIN(FILTER({K114, N114, Q114}, ISNUMBER({K114, N114, Q114}), {K114, N114, Q114} &gt; 0)), """")))/S114"),0.4011976047904191)</f>
        <v>0.4011976048</v>
      </c>
    </row>
    <row r="115" ht="22.5" customHeight="1">
      <c r="A115" s="34" t="s">
        <v>414</v>
      </c>
      <c r="B115" s="34" t="s">
        <v>50</v>
      </c>
      <c r="C115" s="37" t="s">
        <v>42</v>
      </c>
      <c r="D115" s="38" t="s">
        <v>415</v>
      </c>
      <c r="E115" s="49" t="s">
        <v>36</v>
      </c>
      <c r="F115" s="37" t="s">
        <v>360</v>
      </c>
      <c r="G115" s="49" t="s">
        <v>41</v>
      </c>
      <c r="H115" s="51" t="s">
        <v>49</v>
      </c>
      <c r="I115" s="39">
        <v>2000.0</v>
      </c>
      <c r="J115" s="39">
        <v>2000.0</v>
      </c>
      <c r="K115" s="41"/>
      <c r="L115" s="42">
        <v>2000.0</v>
      </c>
      <c r="M115" s="42">
        <v>2000.0</v>
      </c>
      <c r="N115" s="55"/>
      <c r="O115" s="39">
        <v>2000.0</v>
      </c>
      <c r="P115" s="39">
        <v>2000.0</v>
      </c>
      <c r="Q115" s="39">
        <v>440.0</v>
      </c>
      <c r="R115" s="46">
        <v>0.67</v>
      </c>
      <c r="S115" s="50">
        <f>IFERROR(__xludf.DUMMYFUNCTION("((IFERROR(MIN(FILTER({K115, N115, Q115}, ISNUMBER({K115, N115, Q115}), {K115, N115, Q115} &gt; 0)), """"))*R115)+IFERROR(MIN(FILTER({K115, N115, Q115}, ISNUMBER({K115, N115, Q115}), {K115, N115, Q115} &gt; 0)), """")"),734.8)</f>
        <v>734.8</v>
      </c>
      <c r="T115" s="53">
        <f>IFERROR(__xludf.DUMMYFUNCTION("(S115-(IFERROR(MIN(FILTER({K115, N115, Q115}, ISNUMBER({K115, N115, Q115}), {K115, N115, Q115} &gt; 0)), """")))/S115"),0.4011976047904191)</f>
        <v>0.4011976048</v>
      </c>
    </row>
    <row r="116" ht="22.5" customHeight="1">
      <c r="A116" s="34" t="s">
        <v>421</v>
      </c>
      <c r="B116" s="34" t="s">
        <v>50</v>
      </c>
      <c r="C116" s="37" t="s">
        <v>42</v>
      </c>
      <c r="D116" s="38" t="s">
        <v>114</v>
      </c>
      <c r="E116" s="49" t="s">
        <v>55</v>
      </c>
      <c r="F116" s="37" t="s">
        <v>100</v>
      </c>
      <c r="G116" s="49" t="s">
        <v>41</v>
      </c>
      <c r="H116" s="51" t="s">
        <v>49</v>
      </c>
      <c r="I116" s="39">
        <v>2000.0</v>
      </c>
      <c r="J116" s="39">
        <v>2000.0</v>
      </c>
      <c r="K116" s="41"/>
      <c r="L116" s="42">
        <v>2000.0</v>
      </c>
      <c r="M116" s="42">
        <v>2000.0</v>
      </c>
      <c r="N116" s="55"/>
      <c r="O116" s="39">
        <v>2000.0</v>
      </c>
      <c r="P116" s="39">
        <v>2000.0</v>
      </c>
      <c r="Q116" s="39">
        <v>440.0</v>
      </c>
      <c r="R116" s="46">
        <v>0.67</v>
      </c>
      <c r="S116" s="50">
        <f>IFERROR(__xludf.DUMMYFUNCTION("((IFERROR(MIN(FILTER({K116, N116, Q116}, ISNUMBER({K116, N116, Q116}), {K116, N116, Q116} &gt; 0)), """"))*R116)+IFERROR(MIN(FILTER({K116, N116, Q116}, ISNUMBER({K116, N116, Q116}), {K116, N116, Q116} &gt; 0)), """")"),734.8)</f>
        <v>734.8</v>
      </c>
      <c r="T116" s="53">
        <f>IFERROR(__xludf.DUMMYFUNCTION("(S116-(IFERROR(MIN(FILTER({K116, N116, Q116}, ISNUMBER({K116, N116, Q116}), {K116, N116, Q116} &gt; 0)), """")))/S116"),0.4011976047904191)</f>
        <v>0.4011976048</v>
      </c>
    </row>
    <row r="117" ht="22.5" customHeight="1">
      <c r="A117" s="34" t="s">
        <v>422</v>
      </c>
      <c r="B117" s="34" t="s">
        <v>50</v>
      </c>
      <c r="C117" s="37" t="s">
        <v>42</v>
      </c>
      <c r="D117" s="38" t="s">
        <v>406</v>
      </c>
      <c r="E117" s="49" t="s">
        <v>63</v>
      </c>
      <c r="F117" s="37" t="s">
        <v>67</v>
      </c>
      <c r="G117" s="49" t="s">
        <v>41</v>
      </c>
      <c r="H117" s="51" t="s">
        <v>49</v>
      </c>
      <c r="I117" s="39">
        <v>2000.0</v>
      </c>
      <c r="J117" s="39">
        <v>2000.0</v>
      </c>
      <c r="K117" s="41"/>
      <c r="L117" s="42">
        <v>2000.0</v>
      </c>
      <c r="M117" s="42">
        <v>2000.0</v>
      </c>
      <c r="N117" s="55"/>
      <c r="O117" s="39">
        <v>2000.0</v>
      </c>
      <c r="P117" s="39">
        <v>2000.0</v>
      </c>
      <c r="Q117" s="39">
        <v>960.0</v>
      </c>
      <c r="R117" s="46">
        <v>0.67</v>
      </c>
      <c r="S117" s="50">
        <f>IFERROR(__xludf.DUMMYFUNCTION("((IFERROR(MIN(FILTER({K117, N117, Q117}, ISNUMBER({K117, N117, Q117}), {K117, N117, Q117} &gt; 0)), """"))*R117)+IFERROR(MIN(FILTER({K117, N117, Q117}, ISNUMBER({K117, N117, Q117}), {K117, N117, Q117} &gt; 0)), """")"),1603.2)</f>
        <v>1603.2</v>
      </c>
      <c r="T117" s="53">
        <f>IFERROR(__xludf.DUMMYFUNCTION("(S117-(IFERROR(MIN(FILTER({K117, N117, Q117}, ISNUMBER({K117, N117, Q117}), {K117, N117, Q117} &gt; 0)), """")))/S117"),0.40119760479041916)</f>
        <v>0.4011976048</v>
      </c>
    </row>
    <row r="118" ht="22.5" customHeight="1">
      <c r="A118" s="34" t="s">
        <v>421</v>
      </c>
      <c r="B118" s="34" t="s">
        <v>50</v>
      </c>
      <c r="C118" s="37" t="s">
        <v>42</v>
      </c>
      <c r="D118" s="38" t="s">
        <v>427</v>
      </c>
      <c r="E118" s="49" t="s">
        <v>55</v>
      </c>
      <c r="F118" s="37" t="s">
        <v>100</v>
      </c>
      <c r="G118" s="49" t="s">
        <v>41</v>
      </c>
      <c r="H118" s="51" t="s">
        <v>49</v>
      </c>
      <c r="I118" s="39">
        <v>2000.0</v>
      </c>
      <c r="J118" s="39">
        <v>2000.0</v>
      </c>
      <c r="K118" s="41"/>
      <c r="L118" s="42">
        <v>2000.0</v>
      </c>
      <c r="M118" s="42">
        <v>2000.0</v>
      </c>
      <c r="N118" s="55"/>
      <c r="O118" s="39">
        <v>2000.0</v>
      </c>
      <c r="P118" s="39">
        <v>2000.0</v>
      </c>
      <c r="Q118" s="39">
        <v>440.0</v>
      </c>
      <c r="R118" s="46">
        <v>0.67</v>
      </c>
      <c r="S118" s="50">
        <f>IFERROR(__xludf.DUMMYFUNCTION("((IFERROR(MIN(FILTER({K118, N118, Q118}, ISNUMBER({K118, N118, Q118}), {K118, N118, Q118} &gt; 0)), """"))*R118)+IFERROR(MIN(FILTER({K118, N118, Q118}, ISNUMBER({K118, N118, Q118}), {K118, N118, Q118} &gt; 0)), """")"),734.8)</f>
        <v>734.8</v>
      </c>
      <c r="T118" s="53">
        <f>IFERROR(__xludf.DUMMYFUNCTION("(S118-(IFERROR(MIN(FILTER({K118, N118, Q118}, ISNUMBER({K118, N118, Q118}), {K118, N118, Q118} &gt; 0)), """")))/S118"),0.4011976047904191)</f>
        <v>0.4011976048</v>
      </c>
    </row>
    <row r="119" ht="22.5" customHeight="1">
      <c r="A119" s="34" t="s">
        <v>412</v>
      </c>
      <c r="B119" s="34" t="s">
        <v>50</v>
      </c>
      <c r="C119" s="37" t="s">
        <v>42</v>
      </c>
      <c r="D119" s="38" t="s">
        <v>413</v>
      </c>
      <c r="E119" s="49" t="s">
        <v>55</v>
      </c>
      <c r="F119" s="37" t="s">
        <v>108</v>
      </c>
      <c r="G119" s="49" t="s">
        <v>41</v>
      </c>
      <c r="H119" s="51" t="s">
        <v>49</v>
      </c>
      <c r="I119" s="39">
        <v>5000.0</v>
      </c>
      <c r="J119" s="39">
        <v>5000.0</v>
      </c>
      <c r="K119" s="41"/>
      <c r="L119" s="42">
        <v>5000.0</v>
      </c>
      <c r="M119" s="42">
        <v>5000.0</v>
      </c>
      <c r="N119" s="55"/>
      <c r="O119" s="39">
        <v>5000.0</v>
      </c>
      <c r="P119" s="39">
        <v>5000.0</v>
      </c>
      <c r="Q119" s="39">
        <v>280.0</v>
      </c>
      <c r="R119" s="46">
        <v>0.67</v>
      </c>
      <c r="S119" s="50">
        <f>IFERROR(__xludf.DUMMYFUNCTION("((IFERROR(MIN(FILTER({K119, N119, Q119}, ISNUMBER({K119, N119, Q119}), {K119, N119, Q119} &gt; 0)), """"))*R119)+IFERROR(MIN(FILTER({K119, N119, Q119}, ISNUMBER({K119, N119, Q119}), {K119, N119, Q119} &gt; 0)), """")"),467.6)</f>
        <v>467.6</v>
      </c>
      <c r="T119" s="53">
        <f>IFERROR(__xludf.DUMMYFUNCTION("(S119-(IFERROR(MIN(FILTER({K119, N119, Q119}, ISNUMBER({K119, N119, Q119}), {K119, N119, Q119} &gt; 0)), """")))/S119"),0.4011976047904192)</f>
        <v>0.4011976048</v>
      </c>
    </row>
    <row r="120" ht="22.5" customHeight="1">
      <c r="A120" s="34" t="s">
        <v>429</v>
      </c>
      <c r="B120" s="34" t="s">
        <v>50</v>
      </c>
      <c r="C120" s="37" t="s">
        <v>42</v>
      </c>
      <c r="D120" s="38" t="s">
        <v>432</v>
      </c>
      <c r="E120" s="49" t="s">
        <v>55</v>
      </c>
      <c r="F120" s="37" t="s">
        <v>216</v>
      </c>
      <c r="G120" s="49" t="s">
        <v>41</v>
      </c>
      <c r="H120" s="51" t="s">
        <v>49</v>
      </c>
      <c r="I120" s="39">
        <v>2000.0</v>
      </c>
      <c r="J120" s="39">
        <v>2000.0</v>
      </c>
      <c r="K120" s="41"/>
      <c r="L120" s="42">
        <v>2000.0</v>
      </c>
      <c r="M120" s="42">
        <v>2000.0</v>
      </c>
      <c r="N120" s="55"/>
      <c r="O120" s="39">
        <v>2000.0</v>
      </c>
      <c r="P120" s="39">
        <v>2000.0</v>
      </c>
      <c r="Q120" s="39">
        <v>1080.0</v>
      </c>
      <c r="R120" s="46">
        <v>0.67</v>
      </c>
      <c r="S120" s="50">
        <f>IFERROR(__xludf.DUMMYFUNCTION("((IFERROR(MIN(FILTER({K120, N120, Q120}, ISNUMBER({K120, N120, Q120}), {K120, N120, Q120} &gt; 0)), """"))*R120)+IFERROR(MIN(FILTER({K120, N120, Q120}, ISNUMBER({K120, N120, Q120}), {K120, N120, Q120} &gt; 0)), """")"),1803.6)</f>
        <v>1803.6</v>
      </c>
      <c r="T120" s="53">
        <f>IFERROR(__xludf.DUMMYFUNCTION("(S120-(IFERROR(MIN(FILTER({K120, N120, Q120}, ISNUMBER({K120, N120, Q120}), {K120, N120, Q120} &gt; 0)), """")))/S120"),0.4011976047904191)</f>
        <v>0.4011976048</v>
      </c>
    </row>
    <row r="121" ht="22.5" customHeight="1">
      <c r="A121" s="34" t="s">
        <v>429</v>
      </c>
      <c r="B121" s="34" t="s">
        <v>50</v>
      </c>
      <c r="C121" s="37" t="s">
        <v>42</v>
      </c>
      <c r="D121" s="38" t="s">
        <v>432</v>
      </c>
      <c r="E121" s="49" t="s">
        <v>55</v>
      </c>
      <c r="F121" s="37" t="s">
        <v>216</v>
      </c>
      <c r="G121" s="49" t="s">
        <v>41</v>
      </c>
      <c r="H121" s="51" t="s">
        <v>49</v>
      </c>
      <c r="I121" s="39">
        <v>1000.0</v>
      </c>
      <c r="J121" s="39">
        <v>1000.0</v>
      </c>
      <c r="K121" s="41"/>
      <c r="L121" s="42">
        <v>1000.0</v>
      </c>
      <c r="M121" s="42">
        <v>1000.0</v>
      </c>
      <c r="N121" s="55"/>
      <c r="O121" s="39">
        <v>1000.0</v>
      </c>
      <c r="P121" s="39">
        <v>1000.0</v>
      </c>
      <c r="Q121" s="39">
        <v>1400.0</v>
      </c>
      <c r="R121" s="46">
        <v>0.67</v>
      </c>
      <c r="S121" s="50">
        <f>IFERROR(__xludf.DUMMYFUNCTION("((IFERROR(MIN(FILTER({K121, N121, Q121}, ISNUMBER({K121, N121, Q121}), {K121, N121, Q121} &gt; 0)), """"))*R121)+IFERROR(MIN(FILTER({K121, N121, Q121}, ISNUMBER({K121, N121, Q121}), {K121, N121, Q121} &gt; 0)), """")"),2338.0)</f>
        <v>2338</v>
      </c>
      <c r="T121" s="53">
        <f>IFERROR(__xludf.DUMMYFUNCTION("(S121-(IFERROR(MIN(FILTER({K121, N121, Q121}, ISNUMBER({K121, N121, Q121}), {K121, N121, Q121} &gt; 0)), """")))/S121"),0.40119760479041916)</f>
        <v>0.4011976048</v>
      </c>
    </row>
    <row r="122" ht="22.5" customHeight="1">
      <c r="A122" s="34" t="s">
        <v>438</v>
      </c>
      <c r="B122" s="34" t="s">
        <v>50</v>
      </c>
      <c r="C122" s="37" t="s">
        <v>42</v>
      </c>
      <c r="D122" s="38" t="s">
        <v>406</v>
      </c>
      <c r="E122" s="49" t="s">
        <v>55</v>
      </c>
      <c r="F122" s="37" t="s">
        <v>121</v>
      </c>
      <c r="G122" s="49" t="s">
        <v>41</v>
      </c>
      <c r="H122" s="51" t="s">
        <v>49</v>
      </c>
      <c r="I122" s="39">
        <v>2000.0</v>
      </c>
      <c r="J122" s="39">
        <v>2000.0</v>
      </c>
      <c r="K122" s="41"/>
      <c r="L122" s="42">
        <v>2000.0</v>
      </c>
      <c r="M122" s="42">
        <v>2000.0</v>
      </c>
      <c r="N122" s="55"/>
      <c r="O122" s="39">
        <v>2000.0</v>
      </c>
      <c r="P122" s="39">
        <v>2000.0</v>
      </c>
      <c r="Q122" s="39">
        <v>550.0</v>
      </c>
      <c r="R122" s="46">
        <v>0.67</v>
      </c>
      <c r="S122" s="50">
        <f>IFERROR(__xludf.DUMMYFUNCTION("((IFERROR(MIN(FILTER({K122, N122, Q122}, ISNUMBER({K122, N122, Q122}), {K122, N122, Q122} &gt; 0)), """"))*R122)+IFERROR(MIN(FILTER({K122, N122, Q122}, ISNUMBER({K122, N122, Q122}), {K122, N122, Q122} &gt; 0)), """")"),918.5)</f>
        <v>918.5</v>
      </c>
      <c r="T122" s="53">
        <f>IFERROR(__xludf.DUMMYFUNCTION("(S122-(IFERROR(MIN(FILTER({K122, N122, Q122}, ISNUMBER({K122, N122, Q122}), {K122, N122, Q122} &gt; 0)), """")))/S122"),0.40119760479041916)</f>
        <v>0.4011976048</v>
      </c>
    </row>
    <row r="123" ht="22.5" customHeight="1">
      <c r="A123" s="34" t="s">
        <v>438</v>
      </c>
      <c r="B123" s="34" t="s">
        <v>50</v>
      </c>
      <c r="C123" s="37" t="s">
        <v>85</v>
      </c>
      <c r="D123" s="38" t="s">
        <v>406</v>
      </c>
      <c r="E123" s="49" t="s">
        <v>55</v>
      </c>
      <c r="F123" s="37" t="s">
        <v>121</v>
      </c>
      <c r="G123" s="49" t="s">
        <v>41</v>
      </c>
      <c r="H123" s="51" t="s">
        <v>49</v>
      </c>
      <c r="I123" s="39">
        <v>2000.0</v>
      </c>
      <c r="J123" s="39">
        <v>2000.0</v>
      </c>
      <c r="K123" s="41"/>
      <c r="L123" s="42">
        <v>2000.0</v>
      </c>
      <c r="M123" s="42">
        <v>2000.0</v>
      </c>
      <c r="N123" s="55"/>
      <c r="O123" s="39">
        <v>2000.0</v>
      </c>
      <c r="P123" s="39">
        <v>2000.0</v>
      </c>
      <c r="Q123" s="39">
        <v>640.0</v>
      </c>
      <c r="R123" s="46">
        <v>0.67</v>
      </c>
      <c r="S123" s="50">
        <f>IFERROR(__xludf.DUMMYFUNCTION("((IFERROR(MIN(FILTER({K123, N123, Q123}, ISNUMBER({K123, N123, Q123}), {K123, N123, Q123} &gt; 0)), """"))*R123)+IFERROR(MIN(FILTER({K123, N123, Q123}, ISNUMBER({K123, N123, Q123}), {K123, N123, Q123} &gt; 0)), """")"),1068.8)</f>
        <v>1068.8</v>
      </c>
      <c r="T123" s="53">
        <f>IFERROR(__xludf.DUMMYFUNCTION("(S123-(IFERROR(MIN(FILTER({K123, N123, Q123}, ISNUMBER({K123, N123, Q123}), {K123, N123, Q123} &gt; 0)), """")))/S123"),0.40119760479041916)</f>
        <v>0.4011976048</v>
      </c>
    </row>
    <row r="124" ht="22.5" customHeight="1">
      <c r="A124" s="34" t="s">
        <v>443</v>
      </c>
      <c r="B124" s="34" t="s">
        <v>50</v>
      </c>
      <c r="C124" s="37" t="s">
        <v>42</v>
      </c>
      <c r="D124" s="38" t="s">
        <v>444</v>
      </c>
      <c r="E124" s="49" t="s">
        <v>63</v>
      </c>
      <c r="F124" s="37" t="s">
        <v>67</v>
      </c>
      <c r="G124" s="49" t="s">
        <v>41</v>
      </c>
      <c r="H124" s="51" t="s">
        <v>49</v>
      </c>
      <c r="I124" s="39">
        <v>2000.0</v>
      </c>
      <c r="J124" s="39">
        <v>2000.0</v>
      </c>
      <c r="K124" s="41"/>
      <c r="L124" s="42">
        <v>2000.0</v>
      </c>
      <c r="M124" s="42">
        <v>2000.0</v>
      </c>
      <c r="N124" s="55"/>
      <c r="O124" s="39">
        <v>2000.0</v>
      </c>
      <c r="P124" s="39">
        <v>2000.0</v>
      </c>
      <c r="Q124" s="39">
        <v>960.0</v>
      </c>
      <c r="R124" s="46">
        <v>0.67</v>
      </c>
      <c r="S124" s="50">
        <f>IFERROR(__xludf.DUMMYFUNCTION("((IFERROR(MIN(FILTER({K124, N124, Q124}, ISNUMBER({K124, N124, Q124}), {K124, N124, Q124} &gt; 0)), """"))*R124)+IFERROR(MIN(FILTER({K124, N124, Q124}, ISNUMBER({K124, N124, Q124}), {K124, N124, Q124} &gt; 0)), """")"),1603.2)</f>
        <v>1603.2</v>
      </c>
      <c r="T124" s="53">
        <f>IFERROR(__xludf.DUMMYFUNCTION("(S124-(IFERROR(MIN(FILTER({K124, N124, Q124}, ISNUMBER({K124, N124, Q124}), {K124, N124, Q124} &gt; 0)), """")))/S124"),0.40119760479041916)</f>
        <v>0.4011976048</v>
      </c>
    </row>
    <row r="125" ht="22.5" customHeight="1">
      <c r="A125" s="34" t="s">
        <v>446</v>
      </c>
      <c r="B125" s="34" t="s">
        <v>50</v>
      </c>
      <c r="C125" s="37" t="s">
        <v>85</v>
      </c>
      <c r="D125" s="38" t="s">
        <v>449</v>
      </c>
      <c r="E125" s="49" t="s">
        <v>36</v>
      </c>
      <c r="F125" s="37" t="s">
        <v>360</v>
      </c>
      <c r="G125" s="49" t="s">
        <v>41</v>
      </c>
      <c r="H125" s="51" t="s">
        <v>49</v>
      </c>
      <c r="I125" s="39">
        <v>2000.0</v>
      </c>
      <c r="J125" s="39">
        <v>2000.0</v>
      </c>
      <c r="K125" s="41"/>
      <c r="L125" s="42">
        <v>2000.0</v>
      </c>
      <c r="M125" s="42">
        <v>2000.0</v>
      </c>
      <c r="N125" s="55"/>
      <c r="O125" s="39">
        <v>2000.0</v>
      </c>
      <c r="P125" s="39">
        <v>2000.0</v>
      </c>
      <c r="Q125" s="39">
        <v>1350.0</v>
      </c>
      <c r="R125" s="46">
        <v>0.67</v>
      </c>
      <c r="S125" s="50">
        <f>IFERROR(__xludf.DUMMYFUNCTION("((IFERROR(MIN(FILTER({K125, N125, Q125}, ISNUMBER({K125, N125, Q125}), {K125, N125, Q125} &gt; 0)), """"))*R125)+IFERROR(MIN(FILTER({K125, N125, Q125}, ISNUMBER({K125, N125, Q125}), {K125, N125, Q125} &gt; 0)), """")"),2254.5)</f>
        <v>2254.5</v>
      </c>
      <c r="T125" s="53">
        <f>IFERROR(__xludf.DUMMYFUNCTION("(S125-(IFERROR(MIN(FILTER({K125, N125, Q125}, ISNUMBER({K125, N125, Q125}), {K125, N125, Q125} &gt; 0)), """")))/S125"),0.40119760479041916)</f>
        <v>0.4011976048</v>
      </c>
    </row>
    <row r="126" ht="22.5" customHeight="1">
      <c r="A126" s="34" t="s">
        <v>446</v>
      </c>
      <c r="B126" s="34" t="s">
        <v>50</v>
      </c>
      <c r="C126" s="37" t="s">
        <v>85</v>
      </c>
      <c r="D126" s="38" t="s">
        <v>449</v>
      </c>
      <c r="E126" s="49" t="s">
        <v>36</v>
      </c>
      <c r="F126" s="37" t="s">
        <v>360</v>
      </c>
      <c r="G126" s="49" t="s">
        <v>41</v>
      </c>
      <c r="H126" s="51" t="s">
        <v>49</v>
      </c>
      <c r="I126" s="39">
        <v>5000.0</v>
      </c>
      <c r="J126" s="39">
        <v>5000.0</v>
      </c>
      <c r="K126" s="41"/>
      <c r="L126" s="42">
        <v>5000.0</v>
      </c>
      <c r="M126" s="42">
        <v>5000.0</v>
      </c>
      <c r="N126" s="55"/>
      <c r="O126" s="39">
        <v>5000.0</v>
      </c>
      <c r="P126" s="39">
        <v>5000.0</v>
      </c>
      <c r="Q126" s="39">
        <v>1280.0</v>
      </c>
      <c r="R126" s="46">
        <v>0.67</v>
      </c>
      <c r="S126" s="50">
        <f>IFERROR(__xludf.DUMMYFUNCTION("((IFERROR(MIN(FILTER({K126, N126, Q126}, ISNUMBER({K126, N126, Q126}), {K126, N126, Q126} &gt; 0)), """"))*R126)+IFERROR(MIN(FILTER({K126, N126, Q126}, ISNUMBER({K126, N126, Q126}), {K126, N126, Q126} &gt; 0)), """")"),2137.6)</f>
        <v>2137.6</v>
      </c>
      <c r="T126" s="53">
        <f>IFERROR(__xludf.DUMMYFUNCTION("(S126-(IFERROR(MIN(FILTER({K126, N126, Q126}, ISNUMBER({K126, N126, Q126}), {K126, N126, Q126} &gt; 0)), """")))/S126"),0.40119760479041916)</f>
        <v>0.4011976048</v>
      </c>
    </row>
    <row r="127" ht="22.5" customHeight="1">
      <c r="A127" s="34" t="s">
        <v>446</v>
      </c>
      <c r="B127" s="34" t="s">
        <v>50</v>
      </c>
      <c r="C127" s="37" t="s">
        <v>85</v>
      </c>
      <c r="D127" s="38" t="s">
        <v>449</v>
      </c>
      <c r="E127" s="49" t="s">
        <v>36</v>
      </c>
      <c r="F127" s="37" t="s">
        <v>360</v>
      </c>
      <c r="G127" s="49" t="s">
        <v>41</v>
      </c>
      <c r="H127" s="51" t="s">
        <v>49</v>
      </c>
      <c r="I127" s="39">
        <v>10000.0</v>
      </c>
      <c r="J127" s="39">
        <v>10000.0</v>
      </c>
      <c r="K127" s="41"/>
      <c r="L127" s="42">
        <v>10000.0</v>
      </c>
      <c r="M127" s="42">
        <v>10000.0</v>
      </c>
      <c r="N127" s="55"/>
      <c r="O127" s="39">
        <v>10000.0</v>
      </c>
      <c r="P127" s="39">
        <v>10000.0</v>
      </c>
      <c r="Q127" s="39">
        <v>1180.0</v>
      </c>
      <c r="R127" s="46">
        <v>0.67</v>
      </c>
      <c r="S127" s="50">
        <f>IFERROR(__xludf.DUMMYFUNCTION("((IFERROR(MIN(FILTER({K127, N127, Q127}, ISNUMBER({K127, N127, Q127}), {K127, N127, Q127} &gt; 0)), """"))*R127)+IFERROR(MIN(FILTER({K127, N127, Q127}, ISNUMBER({K127, N127, Q127}), {K127, N127, Q127} &gt; 0)), """")"),1970.6)</f>
        <v>1970.6</v>
      </c>
      <c r="T127" s="53">
        <f>IFERROR(__xludf.DUMMYFUNCTION("(S127-(IFERROR(MIN(FILTER({K127, N127, Q127}, ISNUMBER({K127, N127, Q127}), {K127, N127, Q127} &gt; 0)), """")))/S127"),0.40119760479041916)</f>
        <v>0.4011976048</v>
      </c>
    </row>
    <row r="128" ht="22.5" customHeight="1">
      <c r="A128" s="34" t="s">
        <v>446</v>
      </c>
      <c r="B128" s="34" t="s">
        <v>50</v>
      </c>
      <c r="C128" s="37" t="s">
        <v>85</v>
      </c>
      <c r="D128" s="38" t="s">
        <v>449</v>
      </c>
      <c r="E128" s="49" t="s">
        <v>36</v>
      </c>
      <c r="F128" s="37" t="s">
        <v>360</v>
      </c>
      <c r="G128" s="49" t="s">
        <v>41</v>
      </c>
      <c r="H128" s="51" t="s">
        <v>49</v>
      </c>
      <c r="I128" s="39">
        <v>15000.0</v>
      </c>
      <c r="J128" s="39">
        <v>15000.0</v>
      </c>
      <c r="K128" s="41"/>
      <c r="L128" s="42">
        <v>15000.0</v>
      </c>
      <c r="M128" s="42">
        <v>15000.0</v>
      </c>
      <c r="N128" s="55"/>
      <c r="O128" s="39">
        <v>15000.0</v>
      </c>
      <c r="P128" s="39">
        <v>15000.0</v>
      </c>
      <c r="Q128" s="39">
        <v>1100.0</v>
      </c>
      <c r="R128" s="46">
        <v>0.67</v>
      </c>
      <c r="S128" s="50">
        <f>IFERROR(__xludf.DUMMYFUNCTION("((IFERROR(MIN(FILTER({K128, N128, Q128}, ISNUMBER({K128, N128, Q128}), {K128, N128, Q128} &gt; 0)), """"))*R128)+IFERROR(MIN(FILTER({K128, N128, Q128}, ISNUMBER({K128, N128, Q128}), {K128, N128, Q128} &gt; 0)), """")"),1837.0)</f>
        <v>1837</v>
      </c>
      <c r="T128" s="53">
        <f>IFERROR(__xludf.DUMMYFUNCTION("(S128-(IFERROR(MIN(FILTER({K128, N128, Q128}, ISNUMBER({K128, N128, Q128}), {K128, N128, Q128} &gt; 0)), """")))/S128"),0.40119760479041916)</f>
        <v>0.4011976048</v>
      </c>
    </row>
    <row r="129" ht="22.5" customHeight="1">
      <c r="A129" s="34" t="s">
        <v>446</v>
      </c>
      <c r="B129" s="34" t="s">
        <v>50</v>
      </c>
      <c r="C129" s="37" t="s">
        <v>85</v>
      </c>
      <c r="D129" s="38" t="s">
        <v>449</v>
      </c>
      <c r="E129" s="49" t="s">
        <v>36</v>
      </c>
      <c r="F129" s="37" t="s">
        <v>360</v>
      </c>
      <c r="G129" s="49" t="s">
        <v>41</v>
      </c>
      <c r="H129" s="51" t="s">
        <v>49</v>
      </c>
      <c r="I129" s="39">
        <v>25000.0</v>
      </c>
      <c r="J129" s="39">
        <v>25000.0</v>
      </c>
      <c r="K129" s="41"/>
      <c r="L129" s="42">
        <v>25000.0</v>
      </c>
      <c r="M129" s="42">
        <v>25000.0</v>
      </c>
      <c r="N129" s="55"/>
      <c r="O129" s="39">
        <v>25000.0</v>
      </c>
      <c r="P129" s="39">
        <v>25000.0</v>
      </c>
      <c r="Q129" s="39">
        <v>1000.0</v>
      </c>
      <c r="R129" s="46">
        <v>0.67</v>
      </c>
      <c r="S129" s="50">
        <f>IFERROR(__xludf.DUMMYFUNCTION("((IFERROR(MIN(FILTER({K129, N129, Q129}, ISNUMBER({K129, N129, Q129}), {K129, N129, Q129} &gt; 0)), """"))*R129)+IFERROR(MIN(FILTER({K129, N129, Q129}, ISNUMBER({K129, N129, Q129}), {K129, N129, Q129} &gt; 0)), """")"),1670.0)</f>
        <v>1670</v>
      </c>
      <c r="T129" s="53">
        <f>IFERROR(__xludf.DUMMYFUNCTION("(S129-(IFERROR(MIN(FILTER({K129, N129, Q129}, ISNUMBER({K129, N129, Q129}), {K129, N129, Q129} &gt; 0)), """")))/S129"),0.40119760479041916)</f>
        <v>0.4011976048</v>
      </c>
    </row>
    <row r="130" ht="22.5" customHeight="1">
      <c r="A130" s="34" t="s">
        <v>467</v>
      </c>
      <c r="B130" s="34" t="s">
        <v>50</v>
      </c>
      <c r="C130" s="37" t="s">
        <v>85</v>
      </c>
      <c r="D130" s="38" t="s">
        <v>62</v>
      </c>
      <c r="E130" s="49" t="s">
        <v>55</v>
      </c>
      <c r="F130" s="37"/>
      <c r="G130" s="49" t="s">
        <v>41</v>
      </c>
      <c r="H130" s="51" t="s">
        <v>49</v>
      </c>
      <c r="I130" s="39">
        <v>2000.0</v>
      </c>
      <c r="J130" s="39">
        <v>2000.0</v>
      </c>
      <c r="K130" s="41"/>
      <c r="L130" s="42">
        <v>2000.0</v>
      </c>
      <c r="M130" s="42">
        <v>2000.0</v>
      </c>
      <c r="N130" s="55"/>
      <c r="O130" s="39">
        <v>2000.0</v>
      </c>
      <c r="P130" s="39">
        <v>2000.0</v>
      </c>
      <c r="Q130" s="39">
        <v>640.0</v>
      </c>
      <c r="R130" s="46">
        <v>0.67</v>
      </c>
      <c r="S130" s="50">
        <f>IFERROR(__xludf.DUMMYFUNCTION("((IFERROR(MIN(FILTER({K130, N130, Q130}, ISNUMBER({K130, N130, Q130}), {K130, N130, Q130} &gt; 0)), """"))*R130)+IFERROR(MIN(FILTER({K130, N130, Q130}, ISNUMBER({K130, N130, Q130}), {K130, N130, Q130} &gt; 0)), """")"),1068.8)</f>
        <v>1068.8</v>
      </c>
      <c r="T130" s="53">
        <f>IFERROR(__xludf.DUMMYFUNCTION("(S130-(IFERROR(MIN(FILTER({K130, N130, Q130}, ISNUMBER({K130, N130, Q130}), {K130, N130, Q130} &gt; 0)), """")))/S130"),0.40119760479041916)</f>
        <v>0.4011976048</v>
      </c>
    </row>
    <row r="131" ht="22.5" customHeight="1">
      <c r="A131" s="34" t="s">
        <v>467</v>
      </c>
      <c r="B131" s="34" t="s">
        <v>50</v>
      </c>
      <c r="C131" s="37" t="s">
        <v>85</v>
      </c>
      <c r="D131" s="38" t="s">
        <v>62</v>
      </c>
      <c r="E131" s="49" t="s">
        <v>55</v>
      </c>
      <c r="F131" s="37"/>
      <c r="G131" s="49" t="s">
        <v>41</v>
      </c>
      <c r="H131" s="51" t="s">
        <v>49</v>
      </c>
      <c r="I131" s="39">
        <v>3000.0</v>
      </c>
      <c r="J131" s="39">
        <v>3000.0</v>
      </c>
      <c r="K131" s="41"/>
      <c r="L131" s="42">
        <v>3000.0</v>
      </c>
      <c r="M131" s="42">
        <v>3000.0</v>
      </c>
      <c r="N131" s="55"/>
      <c r="O131" s="39">
        <v>3000.0</v>
      </c>
      <c r="P131" s="39">
        <v>3000.0</v>
      </c>
      <c r="Q131" s="39">
        <v>620.0</v>
      </c>
      <c r="R131" s="46">
        <v>0.67</v>
      </c>
      <c r="S131" s="50">
        <f>IFERROR(__xludf.DUMMYFUNCTION("((IFERROR(MIN(FILTER({K131, N131, Q131}, ISNUMBER({K131, N131, Q131}), {K131, N131, Q131} &gt; 0)), """"))*R131)+IFERROR(MIN(FILTER({K131, N131, Q131}, ISNUMBER({K131, N131, Q131}), {K131, N131, Q131} &gt; 0)), """")"),1035.4)</f>
        <v>1035.4</v>
      </c>
      <c r="T131" s="53">
        <f>IFERROR(__xludf.DUMMYFUNCTION("(S131-(IFERROR(MIN(FILTER({K131, N131, Q131}, ISNUMBER({K131, N131, Q131}), {K131, N131, Q131} &gt; 0)), """")))/S131"),0.4011976047904192)</f>
        <v>0.4011976048</v>
      </c>
    </row>
    <row r="132" ht="22.5" customHeight="1">
      <c r="A132" s="34" t="s">
        <v>475</v>
      </c>
      <c r="B132" s="34" t="s">
        <v>50</v>
      </c>
      <c r="C132" s="37" t="s">
        <v>42</v>
      </c>
      <c r="D132" s="38" t="s">
        <v>476</v>
      </c>
      <c r="E132" s="49" t="s">
        <v>55</v>
      </c>
      <c r="F132" s="37"/>
      <c r="G132" s="49" t="s">
        <v>41</v>
      </c>
      <c r="H132" s="51" t="s">
        <v>49</v>
      </c>
      <c r="I132" s="39">
        <v>2000.0</v>
      </c>
      <c r="J132" s="39">
        <v>2000.0</v>
      </c>
      <c r="K132" s="41"/>
      <c r="L132" s="42">
        <v>2000.0</v>
      </c>
      <c r="M132" s="42">
        <v>2000.0</v>
      </c>
      <c r="N132" s="55"/>
      <c r="O132" s="39">
        <v>2000.0</v>
      </c>
      <c r="P132" s="39">
        <v>2000.0</v>
      </c>
      <c r="Q132" s="39">
        <v>640.0</v>
      </c>
      <c r="R132" s="46">
        <v>0.67</v>
      </c>
      <c r="S132" s="50">
        <f>IFERROR(__xludf.DUMMYFUNCTION("((IFERROR(MIN(FILTER({K132, N132, Q132}, ISNUMBER({K132, N132, Q132}), {K132, N132, Q132} &gt; 0)), """"))*R132)+IFERROR(MIN(FILTER({K132, N132, Q132}, ISNUMBER({K132, N132, Q132}), {K132, N132, Q132} &gt; 0)), """")"),1068.8)</f>
        <v>1068.8</v>
      </c>
      <c r="T132" s="53">
        <f>IFERROR(__xludf.DUMMYFUNCTION("(S132-(IFERROR(MIN(FILTER({K132, N132, Q132}, ISNUMBER({K132, N132, Q132}), {K132, N132, Q132} &gt; 0)), """")))/S132"),0.40119760479041916)</f>
        <v>0.4011976048</v>
      </c>
    </row>
    <row r="133" ht="22.5" customHeight="1">
      <c r="A133" s="34" t="s">
        <v>483</v>
      </c>
      <c r="B133" s="34" t="s">
        <v>50</v>
      </c>
      <c r="C133" s="37" t="s">
        <v>42</v>
      </c>
      <c r="D133" s="38" t="s">
        <v>62</v>
      </c>
      <c r="E133" s="49" t="s">
        <v>55</v>
      </c>
      <c r="F133" s="37"/>
      <c r="G133" s="49" t="s">
        <v>41</v>
      </c>
      <c r="H133" s="51" t="s">
        <v>49</v>
      </c>
      <c r="I133" s="39">
        <v>1000.0</v>
      </c>
      <c r="J133" s="39">
        <v>1000.0</v>
      </c>
      <c r="K133" s="41"/>
      <c r="L133" s="42">
        <v>1000.0</v>
      </c>
      <c r="M133" s="42">
        <v>1000.0</v>
      </c>
      <c r="N133" s="55"/>
      <c r="O133" s="39">
        <v>1000.0</v>
      </c>
      <c r="P133" s="39">
        <v>1000.0</v>
      </c>
      <c r="Q133" s="39">
        <v>1080.0</v>
      </c>
      <c r="R133" s="46">
        <v>0.67</v>
      </c>
      <c r="S133" s="50">
        <f>IFERROR(__xludf.DUMMYFUNCTION("((IFERROR(MIN(FILTER({K133, N133, Q133}, ISNUMBER({K133, N133, Q133}), {K133, N133, Q133} &gt; 0)), """"))*R133)+IFERROR(MIN(FILTER({K133, N133, Q133}, ISNUMBER({K133, N133, Q133}), {K133, N133, Q133} &gt; 0)), """")"),1803.6)</f>
        <v>1803.6</v>
      </c>
      <c r="T133" s="53">
        <f>IFERROR(__xludf.DUMMYFUNCTION("(S133-(IFERROR(MIN(FILTER({K133, N133, Q133}, ISNUMBER({K133, N133, Q133}), {K133, N133, Q133} &gt; 0)), """")))/S133"),0.4011976047904191)</f>
        <v>0.4011976048</v>
      </c>
    </row>
    <row r="134" ht="22.5" customHeight="1">
      <c r="A134" s="34" t="s">
        <v>483</v>
      </c>
      <c r="B134" s="34" t="s">
        <v>50</v>
      </c>
      <c r="C134" s="37" t="s">
        <v>42</v>
      </c>
      <c r="D134" s="38" t="s">
        <v>62</v>
      </c>
      <c r="E134" s="49" t="s">
        <v>55</v>
      </c>
      <c r="F134" s="37"/>
      <c r="G134" s="49" t="s">
        <v>41</v>
      </c>
      <c r="H134" s="51" t="s">
        <v>49</v>
      </c>
      <c r="I134" s="39">
        <v>2000.0</v>
      </c>
      <c r="J134" s="39">
        <v>2000.0</v>
      </c>
      <c r="K134" s="41"/>
      <c r="L134" s="42">
        <v>2000.0</v>
      </c>
      <c r="M134" s="42">
        <v>2000.0</v>
      </c>
      <c r="N134" s="55"/>
      <c r="O134" s="39">
        <v>2000.0</v>
      </c>
      <c r="P134" s="39">
        <v>2000.0</v>
      </c>
      <c r="Q134" s="39">
        <v>640.0</v>
      </c>
      <c r="R134" s="46">
        <v>0.67</v>
      </c>
      <c r="S134" s="50">
        <f>IFERROR(__xludf.DUMMYFUNCTION("((IFERROR(MIN(FILTER({K134, N134, Q134}, ISNUMBER({K134, N134, Q134}), {K134, N134, Q134} &gt; 0)), """"))*R134)+IFERROR(MIN(FILTER({K134, N134, Q134}, ISNUMBER({K134, N134, Q134}), {K134, N134, Q134} &gt; 0)), """")"),1068.8)</f>
        <v>1068.8</v>
      </c>
      <c r="T134" s="53">
        <f>IFERROR(__xludf.DUMMYFUNCTION("(S134-(IFERROR(MIN(FILTER({K134, N134, Q134}, ISNUMBER({K134, N134, Q134}), {K134, N134, Q134} &gt; 0)), """")))/S134"),0.40119760479041916)</f>
        <v>0.4011976048</v>
      </c>
    </row>
    <row r="135" ht="22.5" customHeight="1">
      <c r="A135" s="34" t="s">
        <v>485</v>
      </c>
      <c r="B135" s="34" t="s">
        <v>50</v>
      </c>
      <c r="C135" s="37" t="s">
        <v>42</v>
      </c>
      <c r="D135" s="38" t="s">
        <v>486</v>
      </c>
      <c r="E135" s="49" t="s">
        <v>36</v>
      </c>
      <c r="F135" s="37"/>
      <c r="G135" s="49" t="s">
        <v>41</v>
      </c>
      <c r="H135" s="51" t="s">
        <v>49</v>
      </c>
      <c r="I135" s="39">
        <v>2000.0</v>
      </c>
      <c r="J135" s="39">
        <v>2000.0</v>
      </c>
      <c r="K135" s="41"/>
      <c r="L135" s="42">
        <v>2000.0</v>
      </c>
      <c r="M135" s="42">
        <v>2000.0</v>
      </c>
      <c r="N135" s="55"/>
      <c r="O135" s="39">
        <v>2000.0</v>
      </c>
      <c r="P135" s="39">
        <v>2000.0</v>
      </c>
      <c r="Q135" s="39">
        <v>640.0</v>
      </c>
      <c r="R135" s="46">
        <v>0.67</v>
      </c>
      <c r="S135" s="50">
        <f>IFERROR(__xludf.DUMMYFUNCTION("((IFERROR(MIN(FILTER({K135, N135, Q135}, ISNUMBER({K135, N135, Q135}), {K135, N135, Q135} &gt; 0)), """"))*R135)+IFERROR(MIN(FILTER({K135, N135, Q135}, ISNUMBER({K135, N135, Q135}), {K135, N135, Q135} &gt; 0)), """")"),1068.8)</f>
        <v>1068.8</v>
      </c>
      <c r="T135" s="53">
        <f>IFERROR(__xludf.DUMMYFUNCTION("(S135-(IFERROR(MIN(FILTER({K135, N135, Q135}, ISNUMBER({K135, N135, Q135}), {K135, N135, Q135} &gt; 0)), """")))/S135"),0.40119760479041916)</f>
        <v>0.4011976048</v>
      </c>
    </row>
    <row r="136" ht="22.5" customHeight="1">
      <c r="A136" s="34" t="s">
        <v>485</v>
      </c>
      <c r="B136" s="34" t="s">
        <v>50</v>
      </c>
      <c r="C136" s="37" t="s">
        <v>42</v>
      </c>
      <c r="D136" s="38" t="s">
        <v>486</v>
      </c>
      <c r="E136" s="49" t="s">
        <v>36</v>
      </c>
      <c r="F136" s="37"/>
      <c r="G136" s="49" t="s">
        <v>41</v>
      </c>
      <c r="H136" s="51" t="s">
        <v>49</v>
      </c>
      <c r="I136" s="39">
        <v>3000.0</v>
      </c>
      <c r="J136" s="39">
        <v>3000.0</v>
      </c>
      <c r="K136" s="41"/>
      <c r="L136" s="42">
        <v>3000.0</v>
      </c>
      <c r="M136" s="42">
        <v>3000.0</v>
      </c>
      <c r="N136" s="55"/>
      <c r="O136" s="39">
        <v>3000.0</v>
      </c>
      <c r="P136" s="39">
        <v>3000.0</v>
      </c>
      <c r="Q136" s="39">
        <v>620.0</v>
      </c>
      <c r="R136" s="46">
        <v>0.67</v>
      </c>
      <c r="S136" s="50">
        <f>IFERROR(__xludf.DUMMYFUNCTION("((IFERROR(MIN(FILTER({K136, N136, Q136}, ISNUMBER({K136, N136, Q136}), {K136, N136, Q136} &gt; 0)), """"))*R136)+IFERROR(MIN(FILTER({K136, N136, Q136}, ISNUMBER({K136, N136, Q136}), {K136, N136, Q136} &gt; 0)), """")"),1035.4)</f>
        <v>1035.4</v>
      </c>
      <c r="T136" s="53">
        <f>IFERROR(__xludf.DUMMYFUNCTION("(S136-(IFERROR(MIN(FILTER({K136, N136, Q136}, ISNUMBER({K136, N136, Q136}), {K136, N136, Q136} &gt; 0)), """")))/S136"),0.4011976047904192)</f>
        <v>0.4011976048</v>
      </c>
    </row>
    <row r="137" ht="22.5" customHeight="1">
      <c r="A137" s="34" t="s">
        <v>492</v>
      </c>
      <c r="B137" s="34" t="s">
        <v>50</v>
      </c>
      <c r="C137" s="37" t="s">
        <v>42</v>
      </c>
      <c r="D137" s="38" t="s">
        <v>494</v>
      </c>
      <c r="E137" s="49" t="s">
        <v>55</v>
      </c>
      <c r="F137" s="37" t="s">
        <v>271</v>
      </c>
      <c r="G137" s="49" t="s">
        <v>41</v>
      </c>
      <c r="H137" s="51" t="s">
        <v>49</v>
      </c>
      <c r="I137" s="39">
        <v>2000.0</v>
      </c>
      <c r="J137" s="39">
        <v>2000.0</v>
      </c>
      <c r="K137" s="41"/>
      <c r="L137" s="42">
        <v>2000.0</v>
      </c>
      <c r="M137" s="42">
        <v>2000.0</v>
      </c>
      <c r="N137" s="55"/>
      <c r="O137" s="39">
        <v>2000.0</v>
      </c>
      <c r="P137" s="39">
        <v>2000.0</v>
      </c>
      <c r="Q137" s="39">
        <v>440.0</v>
      </c>
      <c r="R137" s="46">
        <v>0.67</v>
      </c>
      <c r="S137" s="50">
        <f>IFERROR(__xludf.DUMMYFUNCTION("((IFERROR(MIN(FILTER({K137, N137, Q137}, ISNUMBER({K137, N137, Q137}), {K137, N137, Q137} &gt; 0)), """"))*R137)+IFERROR(MIN(FILTER({K137, N137, Q137}, ISNUMBER({K137, N137, Q137}), {K137, N137, Q137} &gt; 0)), """")"),734.8)</f>
        <v>734.8</v>
      </c>
      <c r="T137" s="53">
        <f>IFERROR(__xludf.DUMMYFUNCTION("(S137-(IFERROR(MIN(FILTER({K137, N137, Q137}, ISNUMBER({K137, N137, Q137}), {K137, N137, Q137} &gt; 0)), """")))/S137"),0.4011976047904191)</f>
        <v>0.4011976048</v>
      </c>
    </row>
    <row r="138" ht="22.5" customHeight="1">
      <c r="A138" s="34" t="s">
        <v>492</v>
      </c>
      <c r="B138" s="34" t="s">
        <v>50</v>
      </c>
      <c r="C138" s="37" t="s">
        <v>42</v>
      </c>
      <c r="D138" s="38" t="s">
        <v>498</v>
      </c>
      <c r="E138" s="49" t="s">
        <v>55</v>
      </c>
      <c r="F138" s="37" t="s">
        <v>271</v>
      </c>
      <c r="G138" s="49" t="s">
        <v>41</v>
      </c>
      <c r="H138" s="51" t="s">
        <v>49</v>
      </c>
      <c r="I138" s="39">
        <v>2000.0</v>
      </c>
      <c r="J138" s="39">
        <v>2000.0</v>
      </c>
      <c r="K138" s="41"/>
      <c r="L138" s="42">
        <v>2000.0</v>
      </c>
      <c r="M138" s="42">
        <v>2000.0</v>
      </c>
      <c r="N138" s="55"/>
      <c r="O138" s="39">
        <v>2000.0</v>
      </c>
      <c r="P138" s="39">
        <v>2000.0</v>
      </c>
      <c r="Q138" s="39">
        <v>720.0</v>
      </c>
      <c r="R138" s="46">
        <v>0.67</v>
      </c>
      <c r="S138" s="50">
        <f>IFERROR(__xludf.DUMMYFUNCTION("((IFERROR(MIN(FILTER({K138, N138, Q138}, ISNUMBER({K138, N138, Q138}), {K138, N138, Q138} &gt; 0)), """"))*R138)+IFERROR(MIN(FILTER({K138, N138, Q138}, ISNUMBER({K138, N138, Q138}), {K138, N138, Q138} &gt; 0)), """")"),1202.4)</f>
        <v>1202.4</v>
      </c>
      <c r="T138" s="53">
        <f>IFERROR(__xludf.DUMMYFUNCTION("(S138-(IFERROR(MIN(FILTER({K138, N138, Q138}, ISNUMBER({K138, N138, Q138}), {K138, N138, Q138} &gt; 0)), """")))/S138"),0.4011976047904192)</f>
        <v>0.4011976048</v>
      </c>
    </row>
    <row r="139" ht="22.5" customHeight="1">
      <c r="A139" s="34" t="s">
        <v>499</v>
      </c>
      <c r="B139" s="34" t="s">
        <v>50</v>
      </c>
      <c r="C139" s="37" t="s">
        <v>85</v>
      </c>
      <c r="D139" s="38" t="s">
        <v>93</v>
      </c>
      <c r="E139" s="49" t="s">
        <v>55</v>
      </c>
      <c r="F139" s="37" t="s">
        <v>271</v>
      </c>
      <c r="G139" s="49" t="s">
        <v>41</v>
      </c>
      <c r="H139" s="51" t="s">
        <v>49</v>
      </c>
      <c r="I139" s="39">
        <v>2000.0</v>
      </c>
      <c r="J139" s="39">
        <v>2000.0</v>
      </c>
      <c r="K139" s="41"/>
      <c r="L139" s="42">
        <v>2000.0</v>
      </c>
      <c r="M139" s="42">
        <v>2000.0</v>
      </c>
      <c r="N139" s="55"/>
      <c r="O139" s="39">
        <v>2000.0</v>
      </c>
      <c r="P139" s="39">
        <v>2000.0</v>
      </c>
      <c r="Q139" s="39">
        <v>640.0</v>
      </c>
      <c r="R139" s="46">
        <v>0.67</v>
      </c>
      <c r="S139" s="50">
        <f>IFERROR(__xludf.DUMMYFUNCTION("((IFERROR(MIN(FILTER({K139, N139, Q139}, ISNUMBER({K139, N139, Q139}), {K139, N139, Q139} &gt; 0)), """"))*R139)+IFERROR(MIN(FILTER({K139, N139, Q139}, ISNUMBER({K139, N139, Q139}), {K139, N139, Q139} &gt; 0)), """")"),1068.8)</f>
        <v>1068.8</v>
      </c>
      <c r="T139" s="53">
        <f>IFERROR(__xludf.DUMMYFUNCTION("(S139-(IFERROR(MIN(FILTER({K139, N139, Q139}, ISNUMBER({K139, N139, Q139}), {K139, N139, Q139} &gt; 0)), """")))/S139"),0.40119760479041916)</f>
        <v>0.4011976048</v>
      </c>
    </row>
    <row r="140" ht="22.5" customHeight="1">
      <c r="A140" s="34" t="s">
        <v>499</v>
      </c>
      <c r="B140" s="34" t="s">
        <v>50</v>
      </c>
      <c r="C140" s="37" t="s">
        <v>85</v>
      </c>
      <c r="D140" s="38" t="s">
        <v>287</v>
      </c>
      <c r="E140" s="49" t="s">
        <v>55</v>
      </c>
      <c r="F140" s="37" t="s">
        <v>271</v>
      </c>
      <c r="G140" s="49" t="s">
        <v>41</v>
      </c>
      <c r="H140" s="51" t="s">
        <v>49</v>
      </c>
      <c r="I140" s="39">
        <v>2000.0</v>
      </c>
      <c r="J140" s="39">
        <v>2000.0</v>
      </c>
      <c r="K140" s="41"/>
      <c r="L140" s="42">
        <v>2000.0</v>
      </c>
      <c r="M140" s="42">
        <v>2000.0</v>
      </c>
      <c r="N140" s="55"/>
      <c r="O140" s="39">
        <v>2000.0</v>
      </c>
      <c r="P140" s="39">
        <v>2000.0</v>
      </c>
      <c r="Q140" s="39">
        <v>620.0</v>
      </c>
      <c r="R140" s="46">
        <v>0.67</v>
      </c>
      <c r="S140" s="50">
        <f>IFERROR(__xludf.DUMMYFUNCTION("((IFERROR(MIN(FILTER({K140, N140, Q140}, ISNUMBER({K140, N140, Q140}), {K140, N140, Q140} &gt; 0)), """"))*R140)+IFERROR(MIN(FILTER({K140, N140, Q140}, ISNUMBER({K140, N140, Q140}), {K140, N140, Q140} &gt; 0)), """")"),1035.4)</f>
        <v>1035.4</v>
      </c>
      <c r="T140" s="53">
        <f>IFERROR(__xludf.DUMMYFUNCTION("(S140-(IFERROR(MIN(FILTER({K140, N140, Q140}, ISNUMBER({K140, N140, Q140}), {K140, N140, Q140} &gt; 0)), """")))/S140"),0.4011976047904192)</f>
        <v>0.4011976048</v>
      </c>
    </row>
    <row r="141" ht="22.5" customHeight="1">
      <c r="A141" s="34" t="s">
        <v>509</v>
      </c>
      <c r="B141" s="34" t="s">
        <v>50</v>
      </c>
      <c r="C141" s="37" t="s">
        <v>85</v>
      </c>
      <c r="D141" s="38" t="s">
        <v>510</v>
      </c>
      <c r="E141" s="49" t="s">
        <v>55</v>
      </c>
      <c r="F141" s="37"/>
      <c r="G141" s="49" t="s">
        <v>41</v>
      </c>
      <c r="H141" s="51" t="s">
        <v>49</v>
      </c>
      <c r="I141" s="39">
        <v>500000.0</v>
      </c>
      <c r="J141" s="39">
        <v>500000.0</v>
      </c>
      <c r="K141" s="39">
        <v>105.0</v>
      </c>
      <c r="L141" s="42">
        <v>500000.0</v>
      </c>
      <c r="M141" s="42">
        <v>500000.0</v>
      </c>
      <c r="N141" s="96"/>
      <c r="O141" s="39">
        <v>500000.0</v>
      </c>
      <c r="P141" s="39">
        <v>500000.0</v>
      </c>
      <c r="Q141" s="41"/>
      <c r="R141" s="46">
        <v>0.67</v>
      </c>
      <c r="S141" s="50">
        <f>IFERROR(__xludf.DUMMYFUNCTION("((IFERROR(MIN(FILTER({K141, N141, Q141}, ISNUMBER({K141, N141, Q141}), {K141, N141, Q141} &gt; 0)), """"))*R141)+IFERROR(MIN(FILTER({K141, N141, Q141}, ISNUMBER({K141, N141, Q141}), {K141, N141, Q141} &gt; 0)), """")"),175.35000000000002)</f>
        <v>175.35</v>
      </c>
      <c r="T141" s="53">
        <f>IFERROR(__xludf.DUMMYFUNCTION("(S141-(IFERROR(MIN(FILTER({K141, N141, Q141}, ISNUMBER({K141, N141, Q141}), {K141, N141, Q141} &gt; 0)), """")))/S141"),0.4011976047904192)</f>
        <v>0.4011976048</v>
      </c>
    </row>
    <row r="142" ht="22.5" customHeight="1">
      <c r="A142" s="34" t="s">
        <v>509</v>
      </c>
      <c r="B142" s="34" t="s">
        <v>50</v>
      </c>
      <c r="C142" s="37" t="s">
        <v>85</v>
      </c>
      <c r="D142" s="38" t="s">
        <v>510</v>
      </c>
      <c r="E142" s="49" t="s">
        <v>55</v>
      </c>
      <c r="F142" s="37"/>
      <c r="G142" s="49" t="s">
        <v>41</v>
      </c>
      <c r="H142" s="51" t="s">
        <v>49</v>
      </c>
      <c r="I142" s="39">
        <v>2000000.0</v>
      </c>
      <c r="J142" s="39">
        <v>2000000.0</v>
      </c>
      <c r="K142" s="39">
        <v>102.0</v>
      </c>
      <c r="L142" s="42">
        <v>2000000.0</v>
      </c>
      <c r="M142" s="42">
        <v>2000000.0</v>
      </c>
      <c r="N142" s="96"/>
      <c r="O142" s="39">
        <v>2000000.0</v>
      </c>
      <c r="P142" s="39">
        <v>2000000.0</v>
      </c>
      <c r="Q142" s="41"/>
      <c r="R142" s="46">
        <v>0.67</v>
      </c>
      <c r="S142" s="50">
        <f>IFERROR(__xludf.DUMMYFUNCTION("((IFERROR(MIN(FILTER({K142, N142, Q142}, ISNUMBER({K142, N142, Q142}), {K142, N142, Q142} &gt; 0)), """"))*R142)+IFERROR(MIN(FILTER({K142, N142, Q142}, ISNUMBER({K142, N142, Q142}), {K142, N142, Q142} &gt; 0)), """")"),170.34)</f>
        <v>170.34</v>
      </c>
      <c r="T142" s="53">
        <f>IFERROR(__xludf.DUMMYFUNCTION("(S142-(IFERROR(MIN(FILTER({K142, N142, Q142}, ISNUMBER({K142, N142, Q142}), {K142, N142, Q142} &gt; 0)), """")))/S142"),0.40119760479041916)</f>
        <v>0.4011976048</v>
      </c>
    </row>
    <row r="143" ht="22.5" customHeight="1">
      <c r="A143" s="34" t="s">
        <v>509</v>
      </c>
      <c r="B143" s="34" t="s">
        <v>50</v>
      </c>
      <c r="C143" s="37" t="s">
        <v>42</v>
      </c>
      <c r="D143" s="38" t="s">
        <v>522</v>
      </c>
      <c r="E143" s="49" t="s">
        <v>55</v>
      </c>
      <c r="F143" s="37"/>
      <c r="G143" s="49" t="s">
        <v>41</v>
      </c>
      <c r="H143" s="51" t="s">
        <v>49</v>
      </c>
      <c r="I143" s="39">
        <v>500000.0</v>
      </c>
      <c r="J143" s="39">
        <v>500000.0</v>
      </c>
      <c r="K143" s="39">
        <v>190.0</v>
      </c>
      <c r="L143" s="42">
        <v>500000.0</v>
      </c>
      <c r="M143" s="42">
        <v>500000.0</v>
      </c>
      <c r="N143" s="96"/>
      <c r="O143" s="39">
        <v>500000.0</v>
      </c>
      <c r="P143" s="39">
        <v>500000.0</v>
      </c>
      <c r="Q143" s="41"/>
      <c r="R143" s="46">
        <v>0.67</v>
      </c>
      <c r="S143" s="50">
        <f>IFERROR(__xludf.DUMMYFUNCTION("((IFERROR(MIN(FILTER({K143, N143, Q143}, ISNUMBER({K143, N143, Q143}), {K143, N143, Q143} &gt; 0)), """"))*R143)+IFERROR(MIN(FILTER({K143, N143, Q143}, ISNUMBER({K143, N143, Q143}), {K143, N143, Q143} &gt; 0)), """")"),317.3)</f>
        <v>317.3</v>
      </c>
      <c r="T143" s="53">
        <f>IFERROR(__xludf.DUMMYFUNCTION("(S143-(IFERROR(MIN(FILTER({K143, N143, Q143}, ISNUMBER({K143, N143, Q143}), {K143, N143, Q143} &gt; 0)), """")))/S143"),0.40119760479041916)</f>
        <v>0.4011976048</v>
      </c>
    </row>
    <row r="144" ht="22.5" customHeight="1">
      <c r="A144" s="34" t="s">
        <v>509</v>
      </c>
      <c r="B144" s="34" t="s">
        <v>50</v>
      </c>
      <c r="C144" s="37" t="s">
        <v>42</v>
      </c>
      <c r="D144" s="38" t="s">
        <v>522</v>
      </c>
      <c r="E144" s="49" t="s">
        <v>55</v>
      </c>
      <c r="F144" s="37"/>
      <c r="G144" s="49" t="s">
        <v>41</v>
      </c>
      <c r="H144" s="51" t="s">
        <v>49</v>
      </c>
      <c r="I144" s="39">
        <v>2000000.0</v>
      </c>
      <c r="J144" s="39">
        <v>2000000.0</v>
      </c>
      <c r="K144" s="39">
        <v>175.0</v>
      </c>
      <c r="L144" s="42">
        <v>2000000.0</v>
      </c>
      <c r="M144" s="42">
        <v>2000000.0</v>
      </c>
      <c r="N144" s="96"/>
      <c r="O144" s="39">
        <v>2000000.0</v>
      </c>
      <c r="P144" s="39">
        <v>2000000.0</v>
      </c>
      <c r="Q144" s="41"/>
      <c r="R144" s="46">
        <v>0.67</v>
      </c>
      <c r="S144" s="50">
        <f>IFERROR(__xludf.DUMMYFUNCTION("((IFERROR(MIN(FILTER({K144, N144, Q144}, ISNUMBER({K144, N144, Q144}), {K144, N144, Q144} &gt; 0)), """"))*R144)+IFERROR(MIN(FILTER({K144, N144, Q144}, ISNUMBER({K144, N144, Q144}), {K144, N144, Q144} &gt; 0)), """")"),292.25)</f>
        <v>292.25</v>
      </c>
      <c r="T144" s="53">
        <f>IFERROR(__xludf.DUMMYFUNCTION("(S144-(IFERROR(MIN(FILTER({K144, N144, Q144}, ISNUMBER({K144, N144, Q144}), {K144, N144, Q144} &gt; 0)), """")))/S144"),0.40119760479041916)</f>
        <v>0.4011976048</v>
      </c>
    </row>
    <row r="145" ht="22.5" customHeight="1">
      <c r="A145" s="34" t="s">
        <v>509</v>
      </c>
      <c r="B145" s="34" t="s">
        <v>50</v>
      </c>
      <c r="C145" s="37" t="s">
        <v>72</v>
      </c>
      <c r="D145" s="38" t="s">
        <v>522</v>
      </c>
      <c r="E145" s="49" t="s">
        <v>55</v>
      </c>
      <c r="F145" s="37"/>
      <c r="G145" s="49" t="s">
        <v>41</v>
      </c>
      <c r="H145" s="51" t="s">
        <v>49</v>
      </c>
      <c r="I145" s="39">
        <v>500000.0</v>
      </c>
      <c r="J145" s="39">
        <v>500000.0</v>
      </c>
      <c r="K145" s="39">
        <v>205.0</v>
      </c>
      <c r="L145" s="42">
        <v>500000.0</v>
      </c>
      <c r="M145" s="42">
        <v>500000.0</v>
      </c>
      <c r="N145" s="55"/>
      <c r="O145" s="39">
        <v>500000.0</v>
      </c>
      <c r="P145" s="39">
        <v>500000.0</v>
      </c>
      <c r="Q145" s="39"/>
      <c r="R145" s="46">
        <v>0.67</v>
      </c>
      <c r="S145" s="50">
        <f>IFERROR(__xludf.DUMMYFUNCTION("((IFERROR(MIN(FILTER({K145, N145, Q145}, ISNUMBER({K145, N145, Q145}), {K145, N145, Q145} &gt; 0)), """"))*R145)+IFERROR(MIN(FILTER({K145, N145, Q145}, ISNUMBER({K145, N145, Q145}), {K145, N145, Q145} &gt; 0)), """")"),342.35)</f>
        <v>342.35</v>
      </c>
      <c r="T145" s="53">
        <f>IFERROR(__xludf.DUMMYFUNCTION("(S145-(IFERROR(MIN(FILTER({K145, N145, Q145}, ISNUMBER({K145, N145, Q145}), {K145, N145, Q145} &gt; 0)), """")))/S145"),0.4011976047904192)</f>
        <v>0.4011976048</v>
      </c>
    </row>
    <row r="146" ht="22.5" customHeight="1">
      <c r="A146" s="34" t="s">
        <v>509</v>
      </c>
      <c r="B146" s="34" t="s">
        <v>50</v>
      </c>
      <c r="C146" s="37" t="s">
        <v>72</v>
      </c>
      <c r="D146" s="38" t="s">
        <v>522</v>
      </c>
      <c r="E146" s="49" t="s">
        <v>55</v>
      </c>
      <c r="F146" s="37"/>
      <c r="G146" s="49" t="s">
        <v>41</v>
      </c>
      <c r="H146" s="51" t="s">
        <v>49</v>
      </c>
      <c r="I146" s="39">
        <v>2000000.0</v>
      </c>
      <c r="J146" s="39">
        <v>2000000.0</v>
      </c>
      <c r="K146" s="39">
        <v>190.0</v>
      </c>
      <c r="L146" s="42">
        <v>2000000.0</v>
      </c>
      <c r="M146" s="42">
        <v>2000000.0</v>
      </c>
      <c r="N146" s="96"/>
      <c r="O146" s="39">
        <v>2000000.0</v>
      </c>
      <c r="P146" s="39">
        <v>2000000.0</v>
      </c>
      <c r="Q146" s="41"/>
      <c r="R146" s="46">
        <v>0.67</v>
      </c>
      <c r="S146" s="50">
        <f>IFERROR(__xludf.DUMMYFUNCTION("((IFERROR(MIN(FILTER({K146, N146, Q146}, ISNUMBER({K146, N146, Q146}), {K146, N146, Q146} &gt; 0)), """"))*R146)+IFERROR(MIN(FILTER({K146, N146, Q146}, ISNUMBER({K146, N146, Q146}), {K146, N146, Q146} &gt; 0)), """")"),317.3)</f>
        <v>317.3</v>
      </c>
      <c r="T146" s="53">
        <f>IFERROR(__xludf.DUMMYFUNCTION("(S146-(IFERROR(MIN(FILTER({K146, N146, Q146}, ISNUMBER({K146, N146, Q146}), {K146, N146, Q146} &gt; 0)), """")))/S146"),0.40119760479041916)</f>
        <v>0.4011976048</v>
      </c>
    </row>
    <row r="147" ht="22.5" customHeight="1">
      <c r="A147" s="34" t="s">
        <v>509</v>
      </c>
      <c r="B147" s="34" t="s">
        <v>50</v>
      </c>
      <c r="C147" s="37" t="s">
        <v>72</v>
      </c>
      <c r="D147" s="38" t="s">
        <v>243</v>
      </c>
      <c r="E147" s="49" t="s">
        <v>55</v>
      </c>
      <c r="F147" s="37"/>
      <c r="G147" s="49" t="s">
        <v>41</v>
      </c>
      <c r="H147" s="51" t="s">
        <v>49</v>
      </c>
      <c r="I147" s="39">
        <v>500000.0</v>
      </c>
      <c r="J147" s="39">
        <v>500000.0</v>
      </c>
      <c r="K147" s="39">
        <v>350.0</v>
      </c>
      <c r="L147" s="42">
        <v>500000.0</v>
      </c>
      <c r="M147" s="42">
        <v>500000.0</v>
      </c>
      <c r="N147" s="55"/>
      <c r="O147" s="39">
        <v>500000.0</v>
      </c>
      <c r="P147" s="39">
        <v>500000.0</v>
      </c>
      <c r="Q147" s="39"/>
      <c r="R147" s="46">
        <v>0.67</v>
      </c>
      <c r="S147" s="50">
        <f>IFERROR(__xludf.DUMMYFUNCTION("((IFERROR(MIN(FILTER({K147, N147, Q147}, ISNUMBER({K147, N147, Q147}), {K147, N147, Q147} &gt; 0)), """"))*R147)+IFERROR(MIN(FILTER({K147, N147, Q147}, ISNUMBER({K147, N147, Q147}), {K147, N147, Q147} &gt; 0)), """")"),584.5)</f>
        <v>584.5</v>
      </c>
      <c r="T147" s="53">
        <f>IFERROR(__xludf.DUMMYFUNCTION("(S147-(IFERROR(MIN(FILTER({K147, N147, Q147}, ISNUMBER({K147, N147, Q147}), {K147, N147, Q147} &gt; 0)), """")))/S147"),0.40119760479041916)</f>
        <v>0.4011976048</v>
      </c>
    </row>
    <row r="148" ht="22.5" customHeight="1">
      <c r="A148" s="34" t="s">
        <v>509</v>
      </c>
      <c r="B148" s="34" t="s">
        <v>50</v>
      </c>
      <c r="C148" s="37" t="s">
        <v>72</v>
      </c>
      <c r="D148" s="38" t="s">
        <v>243</v>
      </c>
      <c r="E148" s="49" t="s">
        <v>55</v>
      </c>
      <c r="F148" s="37"/>
      <c r="G148" s="49" t="s">
        <v>41</v>
      </c>
      <c r="H148" s="51" t="s">
        <v>49</v>
      </c>
      <c r="I148" s="39">
        <v>2000000.0</v>
      </c>
      <c r="J148" s="39">
        <v>2000000.0</v>
      </c>
      <c r="K148" s="39">
        <v>340.0</v>
      </c>
      <c r="L148" s="42">
        <v>2000000.0</v>
      </c>
      <c r="M148" s="42">
        <v>2000000.0</v>
      </c>
      <c r="N148" s="55"/>
      <c r="O148" s="39">
        <v>2000000.0</v>
      </c>
      <c r="P148" s="39">
        <v>2000000.0</v>
      </c>
      <c r="Q148" s="39"/>
      <c r="R148" s="46">
        <v>0.67</v>
      </c>
      <c r="S148" s="50">
        <f>IFERROR(__xludf.DUMMYFUNCTION("((IFERROR(MIN(FILTER({K148, N148, Q148}, ISNUMBER({K148, N148, Q148}), {K148, N148, Q148} &gt; 0)), """"))*R148)+IFERROR(MIN(FILTER({K148, N148, Q148}, ISNUMBER({K148, N148, Q148}), {K148, N148, Q148} &gt; 0)), """")"),567.8)</f>
        <v>567.8</v>
      </c>
      <c r="T148" s="53">
        <f>IFERROR(__xludf.DUMMYFUNCTION("(S148-(IFERROR(MIN(FILTER({K148, N148, Q148}, ISNUMBER({K148, N148, Q148}), {K148, N148, Q148} &gt; 0)), """")))/S148"),0.4011976047904191)</f>
        <v>0.4011976048</v>
      </c>
    </row>
    <row r="149" ht="22.5" customHeight="1">
      <c r="A149" s="34" t="s">
        <v>543</v>
      </c>
      <c r="B149" s="34" t="s">
        <v>50</v>
      </c>
      <c r="C149" s="37" t="s">
        <v>42</v>
      </c>
      <c r="D149" s="38" t="s">
        <v>548</v>
      </c>
      <c r="E149" s="49" t="s">
        <v>55</v>
      </c>
      <c r="F149" s="37" t="s">
        <v>171</v>
      </c>
      <c r="G149" s="49" t="s">
        <v>41</v>
      </c>
      <c r="H149" s="51" t="s">
        <v>49</v>
      </c>
      <c r="I149" s="39">
        <v>2000.0</v>
      </c>
      <c r="J149" s="39">
        <v>2000.0</v>
      </c>
      <c r="K149" s="41"/>
      <c r="L149" s="42">
        <v>2000.0</v>
      </c>
      <c r="M149" s="42">
        <v>2000.0</v>
      </c>
      <c r="N149" s="55"/>
      <c r="O149" s="39">
        <v>2000.0</v>
      </c>
      <c r="P149" s="39">
        <v>2000.0</v>
      </c>
      <c r="Q149" s="39">
        <v>350.0</v>
      </c>
      <c r="R149" s="46">
        <v>0.67</v>
      </c>
      <c r="S149" s="50">
        <f>IFERROR(__xludf.DUMMYFUNCTION("((IFERROR(MIN(FILTER({K149, N149, Q149}, ISNUMBER({K149, N149, Q149}), {K149, N149, Q149} &gt; 0)), """"))*R149)+IFERROR(MIN(FILTER({K149, N149, Q149}, ISNUMBER({K149, N149, Q149}), {K149, N149, Q149} &gt; 0)), """")"),584.5)</f>
        <v>584.5</v>
      </c>
      <c r="T149" s="53">
        <f>IFERROR(__xludf.DUMMYFUNCTION("(S149-(IFERROR(MIN(FILTER({K149, N149, Q149}, ISNUMBER({K149, N149, Q149}), {K149, N149, Q149} &gt; 0)), """")))/S149"),0.40119760479041916)</f>
        <v>0.4011976048</v>
      </c>
    </row>
    <row r="150" ht="22.5" customHeight="1">
      <c r="A150" s="34" t="s">
        <v>543</v>
      </c>
      <c r="B150" s="34" t="s">
        <v>50</v>
      </c>
      <c r="C150" s="37" t="s">
        <v>72</v>
      </c>
      <c r="D150" s="38" t="s">
        <v>548</v>
      </c>
      <c r="E150" s="49" t="s">
        <v>55</v>
      </c>
      <c r="F150" s="37" t="s">
        <v>171</v>
      </c>
      <c r="G150" s="49" t="s">
        <v>41</v>
      </c>
      <c r="H150" s="51" t="s">
        <v>49</v>
      </c>
      <c r="I150" s="39">
        <v>2000.0</v>
      </c>
      <c r="J150" s="39">
        <v>2000.0</v>
      </c>
      <c r="K150" s="41"/>
      <c r="L150" s="42">
        <v>2000.0</v>
      </c>
      <c r="M150" s="42">
        <v>2000.0</v>
      </c>
      <c r="N150" s="55"/>
      <c r="O150" s="39">
        <v>2000.0</v>
      </c>
      <c r="P150" s="39">
        <v>2000.0</v>
      </c>
      <c r="Q150" s="39">
        <v>440.0</v>
      </c>
      <c r="R150" s="46">
        <v>0.67</v>
      </c>
      <c r="S150" s="50">
        <f>IFERROR(__xludf.DUMMYFUNCTION("((IFERROR(MIN(FILTER({K150, N150, Q150}, ISNUMBER({K150, N150, Q150}), {K150, N150, Q150} &gt; 0)), """"))*R150)+IFERROR(MIN(FILTER({K150, N150, Q150}, ISNUMBER({K150, N150, Q150}), {K150, N150, Q150} &gt; 0)), """")"),734.8)</f>
        <v>734.8</v>
      </c>
      <c r="T150" s="53">
        <f>IFERROR(__xludf.DUMMYFUNCTION("(S150-(IFERROR(MIN(FILTER({K150, N150, Q150}, ISNUMBER({K150, N150, Q150}), {K150, N150, Q150} &gt; 0)), """")))/S150"),0.4011976047904191)</f>
        <v>0.4011976048</v>
      </c>
    </row>
    <row r="151" ht="22.5" customHeight="1">
      <c r="A151" s="34" t="s">
        <v>543</v>
      </c>
      <c r="B151" s="34" t="s">
        <v>50</v>
      </c>
      <c r="C151" s="37" t="s">
        <v>85</v>
      </c>
      <c r="D151" s="38" t="s">
        <v>548</v>
      </c>
      <c r="E151" s="49" t="s">
        <v>55</v>
      </c>
      <c r="F151" s="37" t="s">
        <v>171</v>
      </c>
      <c r="G151" s="49" t="s">
        <v>41</v>
      </c>
      <c r="H151" s="51" t="s">
        <v>49</v>
      </c>
      <c r="I151" s="39">
        <v>2000.0</v>
      </c>
      <c r="J151" s="39">
        <v>2000.0</v>
      </c>
      <c r="K151" s="41"/>
      <c r="L151" s="42">
        <v>2000.0</v>
      </c>
      <c r="M151" s="42">
        <v>2000.0</v>
      </c>
      <c r="N151" s="55"/>
      <c r="O151" s="39">
        <v>2000.0</v>
      </c>
      <c r="P151" s="39">
        <v>2000.0</v>
      </c>
      <c r="Q151" s="39">
        <v>440.0</v>
      </c>
      <c r="R151" s="46">
        <v>0.67</v>
      </c>
      <c r="S151" s="50">
        <f>IFERROR(__xludf.DUMMYFUNCTION("((IFERROR(MIN(FILTER({K151, N151, Q151}, ISNUMBER({K151, N151, Q151}), {K151, N151, Q151} &gt; 0)), """"))*R151)+IFERROR(MIN(FILTER({K151, N151, Q151}, ISNUMBER({K151, N151, Q151}), {K151, N151, Q151} &gt; 0)), """")"),734.8)</f>
        <v>734.8</v>
      </c>
      <c r="T151" s="53">
        <f>IFERROR(__xludf.DUMMYFUNCTION("(S151-(IFERROR(MIN(FILTER({K151, N151, Q151}, ISNUMBER({K151, N151, Q151}), {K151, N151, Q151} &gt; 0)), """")))/S151"),0.4011976047904191)</f>
        <v>0.4011976048</v>
      </c>
    </row>
    <row r="152" ht="22.5" customHeight="1">
      <c r="A152" s="34" t="s">
        <v>558</v>
      </c>
      <c r="B152" s="34" t="s">
        <v>50</v>
      </c>
      <c r="C152" s="37" t="s">
        <v>42</v>
      </c>
      <c r="D152" s="38" t="s">
        <v>62</v>
      </c>
      <c r="E152" s="49" t="s">
        <v>46</v>
      </c>
      <c r="F152" s="37" t="s">
        <v>561</v>
      </c>
      <c r="G152" s="49" t="s">
        <v>41</v>
      </c>
      <c r="H152" s="51" t="s">
        <v>49</v>
      </c>
      <c r="I152" s="39">
        <v>2000.0</v>
      </c>
      <c r="J152" s="39">
        <v>2000.0</v>
      </c>
      <c r="K152" s="41"/>
      <c r="L152" s="42">
        <v>2000.0</v>
      </c>
      <c r="M152" s="42">
        <v>2000.0</v>
      </c>
      <c r="N152" s="55"/>
      <c r="O152" s="39">
        <v>2000.0</v>
      </c>
      <c r="P152" s="39">
        <v>2000.0</v>
      </c>
      <c r="Q152" s="39">
        <v>840.0</v>
      </c>
      <c r="R152" s="46">
        <v>0.67</v>
      </c>
      <c r="S152" s="50">
        <f>IFERROR(__xludf.DUMMYFUNCTION("((IFERROR(MIN(FILTER({K152, N152, Q152}, ISNUMBER({K152, N152, Q152}), {K152, N152, Q152} &gt; 0)), """"))*R152)+IFERROR(MIN(FILTER({K152, N152, Q152}, ISNUMBER({K152, N152, Q152}), {K152, N152, Q152} &gt; 0)), """")"),1402.8000000000002)</f>
        <v>1402.8</v>
      </c>
      <c r="T152" s="53">
        <f>IFERROR(__xludf.DUMMYFUNCTION("(S152-(IFERROR(MIN(FILTER({K152, N152, Q152}, ISNUMBER({K152, N152, Q152}), {K152, N152, Q152} &gt; 0)), """")))/S152"),0.4011976047904192)</f>
        <v>0.4011976048</v>
      </c>
    </row>
    <row r="153" ht="22.5" customHeight="1">
      <c r="A153" s="34" t="s">
        <v>565</v>
      </c>
      <c r="B153" s="34" t="s">
        <v>50</v>
      </c>
      <c r="C153" s="37" t="s">
        <v>85</v>
      </c>
      <c r="D153" s="38" t="s">
        <v>93</v>
      </c>
      <c r="E153" s="49" t="s">
        <v>55</v>
      </c>
      <c r="F153" s="37" t="s">
        <v>74</v>
      </c>
      <c r="G153" s="49" t="s">
        <v>41</v>
      </c>
      <c r="H153" s="51" t="s">
        <v>49</v>
      </c>
      <c r="I153" s="39">
        <v>2000.0</v>
      </c>
      <c r="J153" s="39">
        <v>2000.0</v>
      </c>
      <c r="K153" s="41"/>
      <c r="L153" s="42">
        <v>2000.0</v>
      </c>
      <c r="M153" s="42">
        <v>2000.0</v>
      </c>
      <c r="N153" s="55"/>
      <c r="O153" s="39">
        <v>2000.0</v>
      </c>
      <c r="P153" s="39">
        <v>2000.0</v>
      </c>
      <c r="Q153" s="39">
        <v>720.0</v>
      </c>
      <c r="R153" s="46">
        <v>0.67</v>
      </c>
      <c r="S153" s="50">
        <f>IFERROR(__xludf.DUMMYFUNCTION("((IFERROR(MIN(FILTER({K153, N153, Q153}, ISNUMBER({K153, N153, Q153}), {K153, N153, Q153} &gt; 0)), """"))*R153)+IFERROR(MIN(FILTER({K153, N153, Q153}, ISNUMBER({K153, N153, Q153}), {K153, N153, Q153} &gt; 0)), """")"),1202.4)</f>
        <v>1202.4</v>
      </c>
      <c r="T153" s="53">
        <f>IFERROR(__xludf.DUMMYFUNCTION("(S153-(IFERROR(MIN(FILTER({K153, N153, Q153}, ISNUMBER({K153, N153, Q153}), {K153, N153, Q153} &gt; 0)), """")))/S153"),0.4011976047904192)</f>
        <v>0.4011976048</v>
      </c>
    </row>
    <row r="154" ht="22.5" customHeight="1">
      <c r="A154" s="34" t="s">
        <v>565</v>
      </c>
      <c r="B154" s="34" t="s">
        <v>50</v>
      </c>
      <c r="C154" s="37" t="s">
        <v>85</v>
      </c>
      <c r="D154" s="38" t="s">
        <v>93</v>
      </c>
      <c r="E154" s="49" t="s">
        <v>55</v>
      </c>
      <c r="F154" s="37" t="s">
        <v>74</v>
      </c>
      <c r="G154" s="49" t="s">
        <v>41</v>
      </c>
      <c r="H154" s="51" t="s">
        <v>49</v>
      </c>
      <c r="I154" s="39">
        <v>10000.0</v>
      </c>
      <c r="J154" s="39">
        <v>10000.0</v>
      </c>
      <c r="K154" s="41"/>
      <c r="L154" s="42">
        <v>10000.0</v>
      </c>
      <c r="M154" s="42">
        <v>10000.0</v>
      </c>
      <c r="N154" s="55"/>
      <c r="O154" s="39">
        <v>10000.0</v>
      </c>
      <c r="P154" s="39">
        <v>10000.0</v>
      </c>
      <c r="Q154" s="39">
        <v>440.0</v>
      </c>
      <c r="R154" s="46">
        <v>0.67</v>
      </c>
      <c r="S154" s="50">
        <f>IFERROR(__xludf.DUMMYFUNCTION("((IFERROR(MIN(FILTER({K154, N154, Q154}, ISNUMBER({K154, N154, Q154}), {K154, N154, Q154} &gt; 0)), """"))*R154)+IFERROR(MIN(FILTER({K154, N154, Q154}, ISNUMBER({K154, N154, Q154}), {K154, N154, Q154} &gt; 0)), """")"),734.8)</f>
        <v>734.8</v>
      </c>
      <c r="T154" s="53">
        <f>IFERROR(__xludf.DUMMYFUNCTION("(S154-(IFERROR(MIN(FILTER({K154, N154, Q154}, ISNUMBER({K154, N154, Q154}), {K154, N154, Q154} &gt; 0)), """")))/S154"),0.4011976047904191)</f>
        <v>0.4011976048</v>
      </c>
    </row>
    <row r="155" ht="22.5" customHeight="1">
      <c r="A155" s="34" t="s">
        <v>565</v>
      </c>
      <c r="B155" s="34" t="s">
        <v>50</v>
      </c>
      <c r="C155" s="37" t="s">
        <v>85</v>
      </c>
      <c r="D155" s="38" t="s">
        <v>93</v>
      </c>
      <c r="E155" s="49" t="s">
        <v>36</v>
      </c>
      <c r="F155" s="37" t="s">
        <v>578</v>
      </c>
      <c r="G155" s="49" t="s">
        <v>41</v>
      </c>
      <c r="H155" s="51" t="s">
        <v>49</v>
      </c>
      <c r="I155" s="39">
        <v>2000.0</v>
      </c>
      <c r="J155" s="39">
        <v>2000.0</v>
      </c>
      <c r="K155" s="41"/>
      <c r="L155" s="42">
        <v>2000.0</v>
      </c>
      <c r="M155" s="42">
        <v>2000.0</v>
      </c>
      <c r="N155" s="55"/>
      <c r="O155" s="39">
        <v>2000.0</v>
      </c>
      <c r="P155" s="39">
        <v>2000.0</v>
      </c>
      <c r="Q155" s="39">
        <v>840.0</v>
      </c>
      <c r="R155" s="46">
        <v>0.67</v>
      </c>
      <c r="S155" s="50">
        <f>IFERROR(__xludf.DUMMYFUNCTION("((IFERROR(MIN(FILTER({K155, N155, Q155}, ISNUMBER({K155, N155, Q155}), {K155, N155, Q155} &gt; 0)), """"))*R155)+IFERROR(MIN(FILTER({K155, N155, Q155}, ISNUMBER({K155, N155, Q155}), {K155, N155, Q155} &gt; 0)), """")"),1402.8000000000002)</f>
        <v>1402.8</v>
      </c>
      <c r="T155" s="53">
        <f>IFERROR(__xludf.DUMMYFUNCTION("(S155-(IFERROR(MIN(FILTER({K155, N155, Q155}, ISNUMBER({K155, N155, Q155}), {K155, N155, Q155} &gt; 0)), """")))/S155"),0.4011976047904192)</f>
        <v>0.4011976048</v>
      </c>
    </row>
    <row r="156" ht="22.5" customHeight="1">
      <c r="A156" s="34" t="s">
        <v>565</v>
      </c>
      <c r="B156" s="34" t="s">
        <v>50</v>
      </c>
      <c r="C156" s="37" t="s">
        <v>85</v>
      </c>
      <c r="D156" s="38" t="s">
        <v>93</v>
      </c>
      <c r="E156" s="49" t="s">
        <v>36</v>
      </c>
      <c r="F156" s="37" t="s">
        <v>578</v>
      </c>
      <c r="G156" s="49" t="s">
        <v>41</v>
      </c>
      <c r="H156" s="51" t="s">
        <v>49</v>
      </c>
      <c r="I156" s="39">
        <v>10000.0</v>
      </c>
      <c r="J156" s="39">
        <v>10000.0</v>
      </c>
      <c r="K156" s="41"/>
      <c r="L156" s="42">
        <v>10000.0</v>
      </c>
      <c r="M156" s="42">
        <v>10000.0</v>
      </c>
      <c r="N156" s="55"/>
      <c r="O156" s="39">
        <v>10000.0</v>
      </c>
      <c r="P156" s="39">
        <v>10000.0</v>
      </c>
      <c r="Q156" s="39">
        <v>550.0</v>
      </c>
      <c r="R156" s="46">
        <v>0.67</v>
      </c>
      <c r="S156" s="50">
        <f>IFERROR(__xludf.DUMMYFUNCTION("((IFERROR(MIN(FILTER({K156, N156, Q156}, ISNUMBER({K156, N156, Q156}), {K156, N156, Q156} &gt; 0)), """"))*R156)+IFERROR(MIN(FILTER({K156, N156, Q156}, ISNUMBER({K156, N156, Q156}), {K156, N156, Q156} &gt; 0)), """")"),918.5)</f>
        <v>918.5</v>
      </c>
      <c r="T156" s="53">
        <f>IFERROR(__xludf.DUMMYFUNCTION("(S156-(IFERROR(MIN(FILTER({K156, N156, Q156}, ISNUMBER({K156, N156, Q156}), {K156, N156, Q156} &gt; 0)), """")))/S156"),0.40119760479041916)</f>
        <v>0.4011976048</v>
      </c>
    </row>
    <row r="157" ht="22.5" customHeight="1">
      <c r="A157" s="34" t="s">
        <v>583</v>
      </c>
      <c r="B157" s="34" t="s">
        <v>50</v>
      </c>
      <c r="C157" s="37" t="s">
        <v>85</v>
      </c>
      <c r="D157" s="38" t="s">
        <v>584</v>
      </c>
      <c r="E157" s="49" t="s">
        <v>55</v>
      </c>
      <c r="F157" s="37" t="s">
        <v>585</v>
      </c>
      <c r="G157" s="49" t="s">
        <v>41</v>
      </c>
      <c r="H157" s="51" t="s">
        <v>49</v>
      </c>
      <c r="I157" s="39">
        <v>2000.0</v>
      </c>
      <c r="J157" s="39">
        <v>2000.0</v>
      </c>
      <c r="K157" s="41"/>
      <c r="L157" s="42">
        <v>2000.0</v>
      </c>
      <c r="M157" s="42">
        <v>2000.0</v>
      </c>
      <c r="N157" s="55"/>
      <c r="O157" s="39">
        <v>2000.0</v>
      </c>
      <c r="P157" s="39">
        <v>2000.0</v>
      </c>
      <c r="Q157" s="39">
        <v>840.0</v>
      </c>
      <c r="R157" s="46">
        <v>0.67</v>
      </c>
      <c r="S157" s="50">
        <f>IFERROR(__xludf.DUMMYFUNCTION("((IFERROR(MIN(FILTER({K157, N157, Q157}, ISNUMBER({K157, N157, Q157}), {K157, N157, Q157} &gt; 0)), """"))*R157)+IFERROR(MIN(FILTER({K157, N157, Q157}, ISNUMBER({K157, N157, Q157}), {K157, N157, Q157} &gt; 0)), """")"),1402.8000000000002)</f>
        <v>1402.8</v>
      </c>
      <c r="T157" s="53">
        <f>IFERROR(__xludf.DUMMYFUNCTION("(S157-(IFERROR(MIN(FILTER({K157, N157, Q157}, ISNUMBER({K157, N157, Q157}), {K157, N157, Q157} &gt; 0)), """")))/S157"),0.4011976047904192)</f>
        <v>0.4011976048</v>
      </c>
    </row>
    <row r="158" ht="22.5" customHeight="1">
      <c r="A158" s="34" t="s">
        <v>583</v>
      </c>
      <c r="B158" s="34" t="s">
        <v>50</v>
      </c>
      <c r="C158" s="37" t="s">
        <v>85</v>
      </c>
      <c r="D158" s="38" t="s">
        <v>584</v>
      </c>
      <c r="E158" s="49" t="s">
        <v>55</v>
      </c>
      <c r="F158" s="37" t="s">
        <v>585</v>
      </c>
      <c r="G158" s="49" t="s">
        <v>41</v>
      </c>
      <c r="H158" s="51" t="s">
        <v>49</v>
      </c>
      <c r="I158" s="39">
        <v>5000.0</v>
      </c>
      <c r="J158" s="39">
        <v>5000.0</v>
      </c>
      <c r="K158" s="41"/>
      <c r="L158" s="42">
        <v>5000.0</v>
      </c>
      <c r="M158" s="42">
        <v>5000.0</v>
      </c>
      <c r="N158" s="55"/>
      <c r="O158" s="39">
        <v>5000.0</v>
      </c>
      <c r="P158" s="39">
        <v>5000.0</v>
      </c>
      <c r="Q158" s="39">
        <v>720.0</v>
      </c>
      <c r="R158" s="46">
        <v>0.67</v>
      </c>
      <c r="S158" s="50">
        <f>IFERROR(__xludf.DUMMYFUNCTION("((IFERROR(MIN(FILTER({K158, N158, Q158}, ISNUMBER({K158, N158, Q158}), {K158, N158, Q158} &gt; 0)), """"))*R158)+IFERROR(MIN(FILTER({K158, N158, Q158}, ISNUMBER({K158, N158, Q158}), {K158, N158, Q158} &gt; 0)), """")"),1202.4)</f>
        <v>1202.4</v>
      </c>
      <c r="T158" s="53">
        <f>IFERROR(__xludf.DUMMYFUNCTION("(S158-(IFERROR(MIN(FILTER({K158, N158, Q158}, ISNUMBER({K158, N158, Q158}), {K158, N158, Q158} &gt; 0)), """")))/S158"),0.4011976047904192)</f>
        <v>0.4011976048</v>
      </c>
    </row>
    <row r="159" ht="22.5" customHeight="1">
      <c r="A159" s="34" t="s">
        <v>598</v>
      </c>
      <c r="B159" s="34" t="s">
        <v>50</v>
      </c>
      <c r="C159" s="37" t="s">
        <v>42</v>
      </c>
      <c r="D159" s="38" t="s">
        <v>114</v>
      </c>
      <c r="E159" s="49" t="s">
        <v>55</v>
      </c>
      <c r="F159" s="37"/>
      <c r="G159" s="49" t="s">
        <v>41</v>
      </c>
      <c r="H159" s="51" t="s">
        <v>49</v>
      </c>
      <c r="I159" s="39">
        <v>2000.0</v>
      </c>
      <c r="J159" s="39">
        <v>2000.0</v>
      </c>
      <c r="K159" s="41"/>
      <c r="L159" s="42">
        <v>2000.0</v>
      </c>
      <c r="M159" s="42">
        <v>2000.0</v>
      </c>
      <c r="N159" s="55"/>
      <c r="O159" s="39">
        <v>2000.0</v>
      </c>
      <c r="P159" s="39">
        <v>2000.0</v>
      </c>
      <c r="Q159" s="39">
        <v>440.0</v>
      </c>
      <c r="R159" s="46">
        <v>0.67</v>
      </c>
      <c r="S159" s="50">
        <f>IFERROR(__xludf.DUMMYFUNCTION("((IFERROR(MIN(FILTER({K159, N159, Q159}, ISNUMBER({K159, N159, Q159}), {K159, N159, Q159} &gt; 0)), """"))*R159)+IFERROR(MIN(FILTER({K159, N159, Q159}, ISNUMBER({K159, N159, Q159}), {K159, N159, Q159} &gt; 0)), """")"),734.8)</f>
        <v>734.8</v>
      </c>
      <c r="T159" s="53">
        <f>IFERROR(__xludf.DUMMYFUNCTION("(S159-(IFERROR(MIN(FILTER({K159, N159, Q159}, ISNUMBER({K159, N159, Q159}), {K159, N159, Q159} &gt; 0)), """")))/S159"),0.4011976047904191)</f>
        <v>0.4011976048</v>
      </c>
    </row>
    <row r="160" ht="22.5" customHeight="1">
      <c r="A160" s="34" t="s">
        <v>424</v>
      </c>
      <c r="B160" s="34" t="s">
        <v>50</v>
      </c>
      <c r="C160" s="37" t="s">
        <v>42</v>
      </c>
      <c r="D160" s="38" t="s">
        <v>599</v>
      </c>
      <c r="E160" s="49" t="s">
        <v>55</v>
      </c>
      <c r="F160" s="37" t="s">
        <v>108</v>
      </c>
      <c r="G160" s="49" t="s">
        <v>41</v>
      </c>
      <c r="H160" s="51" t="s">
        <v>49</v>
      </c>
      <c r="I160" s="39">
        <v>2000.0</v>
      </c>
      <c r="J160" s="39">
        <v>2000.0</v>
      </c>
      <c r="K160" s="41"/>
      <c r="L160" s="42">
        <v>2000.0</v>
      </c>
      <c r="M160" s="42">
        <v>2000.0</v>
      </c>
      <c r="N160" s="55"/>
      <c r="O160" s="39">
        <v>2000.0</v>
      </c>
      <c r="P160" s="39">
        <v>2000.0</v>
      </c>
      <c r="Q160" s="39">
        <v>640.0</v>
      </c>
      <c r="R160" s="46">
        <v>0.67</v>
      </c>
      <c r="S160" s="50">
        <f>IFERROR(__xludf.DUMMYFUNCTION("((IFERROR(MIN(FILTER({K160, N160, Q160}, ISNUMBER({K160, N160, Q160}), {K160, N160, Q160} &gt; 0)), """"))*R160)+IFERROR(MIN(FILTER({K160, N160, Q160}, ISNUMBER({K160, N160, Q160}), {K160, N160, Q160} &gt; 0)), """")"),1068.8)</f>
        <v>1068.8</v>
      </c>
      <c r="T160" s="53">
        <f>IFERROR(__xludf.DUMMYFUNCTION("(S160-(IFERROR(MIN(FILTER({K160, N160, Q160}, ISNUMBER({K160, N160, Q160}), {K160, N160, Q160} &gt; 0)), """")))/S160"),0.40119760479041916)</f>
        <v>0.4011976048</v>
      </c>
    </row>
    <row r="161" ht="22.5" customHeight="1">
      <c r="A161" s="34" t="s">
        <v>600</v>
      </c>
      <c r="B161" s="34" t="s">
        <v>50</v>
      </c>
      <c r="C161" s="37" t="s">
        <v>72</v>
      </c>
      <c r="D161" s="38" t="s">
        <v>601</v>
      </c>
      <c r="E161" s="49" t="s">
        <v>36</v>
      </c>
      <c r="F161" s="37" t="s">
        <v>602</v>
      </c>
      <c r="G161" s="49" t="s">
        <v>41</v>
      </c>
      <c r="H161" s="51" t="s">
        <v>49</v>
      </c>
      <c r="I161" s="39">
        <v>2000.0</v>
      </c>
      <c r="J161" s="39">
        <v>2000.0</v>
      </c>
      <c r="K161" s="41"/>
      <c r="L161" s="42">
        <v>2000.0</v>
      </c>
      <c r="M161" s="42">
        <v>2000.0</v>
      </c>
      <c r="N161" s="55"/>
      <c r="O161" s="39">
        <v>2000.0</v>
      </c>
      <c r="P161" s="39">
        <v>2000.0</v>
      </c>
      <c r="Q161" s="39">
        <v>960.0</v>
      </c>
      <c r="R161" s="46">
        <v>0.67</v>
      </c>
      <c r="S161" s="50">
        <f>IFERROR(__xludf.DUMMYFUNCTION("((IFERROR(MIN(FILTER({K161, N161, Q161}, ISNUMBER({K161, N161, Q161}), {K161, N161, Q161} &gt; 0)), """"))*R161)+IFERROR(MIN(FILTER({K161, N161, Q161}, ISNUMBER({K161, N161, Q161}), {K161, N161, Q161} &gt; 0)), """")"),1603.2)</f>
        <v>1603.2</v>
      </c>
      <c r="T161" s="53">
        <f>IFERROR(__xludf.DUMMYFUNCTION("(S161-(IFERROR(MIN(FILTER({K161, N161, Q161}, ISNUMBER({K161, N161, Q161}), {K161, N161, Q161} &gt; 0)), """")))/S161"),0.40119760479041916)</f>
        <v>0.4011976048</v>
      </c>
    </row>
    <row r="162" ht="22.5" customHeight="1">
      <c r="A162" s="34" t="s">
        <v>600</v>
      </c>
      <c r="B162" s="34" t="s">
        <v>50</v>
      </c>
      <c r="C162" s="37" t="s">
        <v>72</v>
      </c>
      <c r="D162" s="38" t="s">
        <v>601</v>
      </c>
      <c r="E162" s="49" t="s">
        <v>36</v>
      </c>
      <c r="F162" s="37" t="s">
        <v>602</v>
      </c>
      <c r="G162" s="49" t="s">
        <v>41</v>
      </c>
      <c r="H162" s="51" t="s">
        <v>49</v>
      </c>
      <c r="I162" s="39">
        <v>5000.0</v>
      </c>
      <c r="J162" s="39">
        <v>5000.0</v>
      </c>
      <c r="K162" s="41"/>
      <c r="L162" s="42">
        <v>5000.0</v>
      </c>
      <c r="M162" s="42">
        <v>5000.0</v>
      </c>
      <c r="N162" s="55"/>
      <c r="O162" s="39">
        <v>5000.0</v>
      </c>
      <c r="P162" s="39">
        <v>5000.0</v>
      </c>
      <c r="Q162" s="39">
        <v>840.0</v>
      </c>
      <c r="R162" s="46">
        <v>0.67</v>
      </c>
      <c r="S162" s="50">
        <f>IFERROR(__xludf.DUMMYFUNCTION("((IFERROR(MIN(FILTER({K162, N162, Q162}, ISNUMBER({K162, N162, Q162}), {K162, N162, Q162} &gt; 0)), """"))*R162)+IFERROR(MIN(FILTER({K162, N162, Q162}, ISNUMBER({K162, N162, Q162}), {K162, N162, Q162} &gt; 0)), """")"),1402.8000000000002)</f>
        <v>1402.8</v>
      </c>
      <c r="T162" s="53">
        <f>IFERROR(__xludf.DUMMYFUNCTION("(S162-(IFERROR(MIN(FILTER({K162, N162, Q162}, ISNUMBER({K162, N162, Q162}), {K162, N162, Q162} &gt; 0)), """")))/S162"),0.4011976047904192)</f>
        <v>0.4011976048</v>
      </c>
    </row>
    <row r="163" ht="22.5" customHeight="1">
      <c r="A163" s="34" t="s">
        <v>606</v>
      </c>
      <c r="B163" s="34" t="s">
        <v>50</v>
      </c>
      <c r="C163" s="37" t="s">
        <v>85</v>
      </c>
      <c r="D163" s="38" t="s">
        <v>607</v>
      </c>
      <c r="E163" s="49" t="s">
        <v>55</v>
      </c>
      <c r="F163" s="37"/>
      <c r="G163" s="49" t="s">
        <v>41</v>
      </c>
      <c r="H163" s="51" t="s">
        <v>49</v>
      </c>
      <c r="I163" s="39">
        <v>100000.0</v>
      </c>
      <c r="J163" s="39">
        <v>100000.0</v>
      </c>
      <c r="K163" s="41"/>
      <c r="L163" s="42">
        <v>100000.0</v>
      </c>
      <c r="M163" s="42">
        <v>100000.0</v>
      </c>
      <c r="N163" s="55"/>
      <c r="O163" s="39">
        <v>100000.0</v>
      </c>
      <c r="P163" s="39">
        <v>100000.0</v>
      </c>
      <c r="Q163" s="39">
        <v>440.0</v>
      </c>
      <c r="R163" s="46">
        <v>0.67</v>
      </c>
      <c r="S163" s="50">
        <f>IFERROR(__xludf.DUMMYFUNCTION("((IFERROR(MIN(FILTER({K163, N163, Q163}, ISNUMBER({K163, N163, Q163}), {K163, N163, Q163} &gt; 0)), """"))*R163)+IFERROR(MIN(FILTER({K163, N163, Q163}, ISNUMBER({K163, N163, Q163}), {K163, N163, Q163} &gt; 0)), """")"),734.8)</f>
        <v>734.8</v>
      </c>
      <c r="T163" s="53">
        <f>IFERROR(__xludf.DUMMYFUNCTION("(S163-(IFERROR(MIN(FILTER({K163, N163, Q163}, ISNUMBER({K163, N163, Q163}), {K163, N163, Q163} &gt; 0)), """")))/S163"),0.4011976047904191)</f>
        <v>0.4011976048</v>
      </c>
    </row>
    <row r="164" ht="22.5" customHeight="1">
      <c r="A164" s="34" t="s">
        <v>606</v>
      </c>
      <c r="B164" s="34" t="s">
        <v>50</v>
      </c>
      <c r="C164" s="37" t="s">
        <v>85</v>
      </c>
      <c r="D164" s="38" t="s">
        <v>615</v>
      </c>
      <c r="E164" s="49" t="s">
        <v>55</v>
      </c>
      <c r="F164" s="37"/>
      <c r="G164" s="49" t="s">
        <v>41</v>
      </c>
      <c r="H164" s="51" t="s">
        <v>49</v>
      </c>
      <c r="I164" s="39">
        <v>100000.0</v>
      </c>
      <c r="J164" s="39">
        <v>100000.0</v>
      </c>
      <c r="K164" s="41"/>
      <c r="L164" s="42">
        <v>100000.0</v>
      </c>
      <c r="M164" s="42">
        <v>100000.0</v>
      </c>
      <c r="N164" s="55"/>
      <c r="O164" s="39">
        <v>100000.0</v>
      </c>
      <c r="P164" s="39">
        <v>100000.0</v>
      </c>
      <c r="Q164" s="39">
        <v>440.0</v>
      </c>
      <c r="R164" s="46">
        <v>0.67</v>
      </c>
      <c r="S164" s="50">
        <f>IFERROR(__xludf.DUMMYFUNCTION("((IFERROR(MIN(FILTER({K164, N164, Q164}, ISNUMBER({K164, N164, Q164}), {K164, N164, Q164} &gt; 0)), """"))*R164)+IFERROR(MIN(FILTER({K164, N164, Q164}, ISNUMBER({K164, N164, Q164}), {K164, N164, Q164} &gt; 0)), """")"),734.8)</f>
        <v>734.8</v>
      </c>
      <c r="T164" s="53">
        <f>IFERROR(__xludf.DUMMYFUNCTION("(S164-(IFERROR(MIN(FILTER({K164, N164, Q164}, ISNUMBER({K164, N164, Q164}), {K164, N164, Q164} &gt; 0)), """")))/S164"),0.4011976047904191)</f>
        <v>0.4011976048</v>
      </c>
    </row>
    <row r="165" ht="22.5" customHeight="1">
      <c r="A165" s="34" t="s">
        <v>618</v>
      </c>
      <c r="B165" s="34" t="s">
        <v>50</v>
      </c>
      <c r="C165" s="37" t="s">
        <v>72</v>
      </c>
      <c r="D165" s="38" t="s">
        <v>363</v>
      </c>
      <c r="E165" s="49" t="s">
        <v>55</v>
      </c>
      <c r="F165" s="37"/>
      <c r="G165" s="49" t="s">
        <v>41</v>
      </c>
      <c r="H165" s="51" t="s">
        <v>49</v>
      </c>
      <c r="I165" s="39">
        <v>2000.0</v>
      </c>
      <c r="J165" s="39">
        <v>2000.0</v>
      </c>
      <c r="K165" s="39"/>
      <c r="L165" s="42">
        <v>2000.0</v>
      </c>
      <c r="M165" s="42">
        <v>2000.0</v>
      </c>
      <c r="N165" s="55"/>
      <c r="O165" s="39">
        <v>2000.0</v>
      </c>
      <c r="P165" s="39">
        <v>2000.0</v>
      </c>
      <c r="Q165" s="39">
        <v>840.0</v>
      </c>
      <c r="R165" s="46">
        <v>0.67</v>
      </c>
      <c r="S165" s="50">
        <f>IFERROR(__xludf.DUMMYFUNCTION("((IFERROR(MIN(FILTER({K165, N165, Q165}, ISNUMBER({K165, N165, Q165}), {K165, N165, Q165} &gt; 0)), """"))*R165)+IFERROR(MIN(FILTER({K165, N165, Q165}, ISNUMBER({K165, N165, Q165}), {K165, N165, Q165} &gt; 0)), """")"),1402.8000000000002)</f>
        <v>1402.8</v>
      </c>
      <c r="T165" s="53">
        <f>IFERROR(__xludf.DUMMYFUNCTION("(S165-(IFERROR(MIN(FILTER({K165, N165, Q165}, ISNUMBER({K165, N165, Q165}), {K165, N165, Q165} &gt; 0)), """")))/S165"),0.4011976047904192)</f>
        <v>0.4011976048</v>
      </c>
    </row>
    <row r="166" ht="22.5" customHeight="1">
      <c r="A166" s="34" t="s">
        <v>618</v>
      </c>
      <c r="B166" s="34" t="s">
        <v>50</v>
      </c>
      <c r="C166" s="37" t="s">
        <v>72</v>
      </c>
      <c r="D166" s="38" t="s">
        <v>363</v>
      </c>
      <c r="E166" s="49" t="s">
        <v>55</v>
      </c>
      <c r="F166" s="37"/>
      <c r="G166" s="49" t="s">
        <v>41</v>
      </c>
      <c r="H166" s="51" t="s">
        <v>49</v>
      </c>
      <c r="I166" s="39">
        <v>3000.0</v>
      </c>
      <c r="J166" s="39">
        <v>3000.0</v>
      </c>
      <c r="K166" s="39"/>
      <c r="L166" s="42">
        <v>3000.0</v>
      </c>
      <c r="M166" s="42">
        <v>3000.0</v>
      </c>
      <c r="N166" s="55"/>
      <c r="O166" s="39">
        <v>3000.0</v>
      </c>
      <c r="P166" s="39">
        <v>3000.0</v>
      </c>
      <c r="Q166" s="39">
        <v>750.0</v>
      </c>
      <c r="R166" s="46">
        <v>0.67</v>
      </c>
      <c r="S166" s="50">
        <f>IFERROR(__xludf.DUMMYFUNCTION("((IFERROR(MIN(FILTER({K166, N166, Q166}, ISNUMBER({K166, N166, Q166}), {K166, N166, Q166} &gt; 0)), """"))*R166)+IFERROR(MIN(FILTER({K166, N166, Q166}, ISNUMBER({K166, N166, Q166}), {K166, N166, Q166} &gt; 0)), """")"),1252.5)</f>
        <v>1252.5</v>
      </c>
      <c r="T166" s="53">
        <f>IFERROR(__xludf.DUMMYFUNCTION("(S166-(IFERROR(MIN(FILTER({K166, N166, Q166}, ISNUMBER({K166, N166, Q166}), {K166, N166, Q166} &gt; 0)), """")))/S166"),0.40119760479041916)</f>
        <v>0.4011976048</v>
      </c>
    </row>
    <row r="167" ht="22.5" customHeight="1">
      <c r="A167" s="34" t="s">
        <v>618</v>
      </c>
      <c r="B167" s="34" t="s">
        <v>50</v>
      </c>
      <c r="C167" s="37" t="s">
        <v>72</v>
      </c>
      <c r="D167" s="38" t="s">
        <v>62</v>
      </c>
      <c r="E167" s="49" t="s">
        <v>55</v>
      </c>
      <c r="F167" s="37"/>
      <c r="G167" s="49" t="s">
        <v>41</v>
      </c>
      <c r="H167" s="51" t="s">
        <v>49</v>
      </c>
      <c r="I167" s="39">
        <v>2000.0</v>
      </c>
      <c r="J167" s="39">
        <v>2000.0</v>
      </c>
      <c r="K167" s="39"/>
      <c r="L167" s="42">
        <v>2000.0</v>
      </c>
      <c r="M167" s="42">
        <v>2000.0</v>
      </c>
      <c r="N167" s="55"/>
      <c r="O167" s="39">
        <v>2000.0</v>
      </c>
      <c r="P167" s="39">
        <v>2000.0</v>
      </c>
      <c r="Q167" s="39">
        <v>720.0</v>
      </c>
      <c r="R167" s="46">
        <v>0.67</v>
      </c>
      <c r="S167" s="50">
        <f>IFERROR(__xludf.DUMMYFUNCTION("((IFERROR(MIN(FILTER({K167, N167, Q167}, ISNUMBER({K167, N167, Q167}), {K167, N167, Q167} &gt; 0)), """"))*R167)+IFERROR(MIN(FILTER({K167, N167, Q167}, ISNUMBER({K167, N167, Q167}), {K167, N167, Q167} &gt; 0)), """")"),1202.4)</f>
        <v>1202.4</v>
      </c>
      <c r="T167" s="53">
        <f>IFERROR(__xludf.DUMMYFUNCTION("(S167-(IFERROR(MIN(FILTER({K167, N167, Q167}, ISNUMBER({K167, N167, Q167}), {K167, N167, Q167} &gt; 0)), """")))/S167"),0.4011976047904192)</f>
        <v>0.4011976048</v>
      </c>
    </row>
    <row r="168" ht="22.5" customHeight="1">
      <c r="A168" s="34" t="s">
        <v>618</v>
      </c>
      <c r="B168" s="34" t="s">
        <v>50</v>
      </c>
      <c r="C168" s="37" t="s">
        <v>72</v>
      </c>
      <c r="D168" s="38" t="s">
        <v>62</v>
      </c>
      <c r="E168" s="49" t="s">
        <v>55</v>
      </c>
      <c r="F168" s="37"/>
      <c r="G168" s="49" t="s">
        <v>41</v>
      </c>
      <c r="H168" s="51" t="s">
        <v>49</v>
      </c>
      <c r="I168" s="39">
        <v>3000.0</v>
      </c>
      <c r="J168" s="39">
        <v>3000.0</v>
      </c>
      <c r="K168" s="39"/>
      <c r="L168" s="42">
        <v>3000.0</v>
      </c>
      <c r="M168" s="42">
        <v>3000.0</v>
      </c>
      <c r="N168" s="55"/>
      <c r="O168" s="39">
        <v>3000.0</v>
      </c>
      <c r="P168" s="39">
        <v>3000.0</v>
      </c>
      <c r="Q168" s="39">
        <v>680.0</v>
      </c>
      <c r="R168" s="46">
        <v>0.67</v>
      </c>
      <c r="S168" s="50">
        <f>IFERROR(__xludf.DUMMYFUNCTION("((IFERROR(MIN(FILTER({K168, N168, Q168}, ISNUMBER({K168, N168, Q168}), {K168, N168, Q168} &gt; 0)), """"))*R168)+IFERROR(MIN(FILTER({K168, N168, Q168}, ISNUMBER({K168, N168, Q168}), {K168, N168, Q168} &gt; 0)), """")"),1135.6)</f>
        <v>1135.6</v>
      </c>
      <c r="T168" s="53">
        <f>IFERROR(__xludf.DUMMYFUNCTION("(S168-(IFERROR(MIN(FILTER({K168, N168, Q168}, ISNUMBER({K168, N168, Q168}), {K168, N168, Q168} &gt; 0)), """")))/S168"),0.4011976047904191)</f>
        <v>0.4011976048</v>
      </c>
    </row>
    <row r="169" ht="22.5" customHeight="1">
      <c r="A169" s="34" t="s">
        <v>195</v>
      </c>
      <c r="B169" s="34" t="s">
        <v>50</v>
      </c>
      <c r="C169" s="37" t="s">
        <v>85</v>
      </c>
      <c r="D169" s="38" t="s">
        <v>62</v>
      </c>
      <c r="E169" s="49" t="s">
        <v>55</v>
      </c>
      <c r="F169" s="37" t="s">
        <v>197</v>
      </c>
      <c r="G169" s="49" t="s">
        <v>41</v>
      </c>
      <c r="H169" s="51" t="s">
        <v>49</v>
      </c>
      <c r="I169" s="39">
        <v>2000.0</v>
      </c>
      <c r="J169" s="39">
        <v>2000.0</v>
      </c>
      <c r="K169" s="39"/>
      <c r="L169" s="42">
        <v>2000.0</v>
      </c>
      <c r="M169" s="42">
        <v>2000.0</v>
      </c>
      <c r="N169" s="55"/>
      <c r="O169" s="39">
        <v>2000.0</v>
      </c>
      <c r="P169" s="39">
        <v>2000.0</v>
      </c>
      <c r="Q169" s="39">
        <v>960.0</v>
      </c>
      <c r="R169" s="46">
        <v>0.67</v>
      </c>
      <c r="S169" s="50">
        <f>IFERROR(__xludf.DUMMYFUNCTION("((IFERROR(MIN(FILTER({K169, N169, Q169}, ISNUMBER({K169, N169, Q169}), {K169, N169, Q169} &gt; 0)), """"))*R169)+IFERROR(MIN(FILTER({K169, N169, Q169}, ISNUMBER({K169, N169, Q169}), {K169, N169, Q169} &gt; 0)), """")"),1603.2)</f>
        <v>1603.2</v>
      </c>
      <c r="T169" s="53">
        <f>IFERROR(__xludf.DUMMYFUNCTION("(S169-(IFERROR(MIN(FILTER({K169, N169, Q169}, ISNUMBER({K169, N169, Q169}), {K169, N169, Q169} &gt; 0)), """")))/S169"),0.40119760479041916)</f>
        <v>0.4011976048</v>
      </c>
    </row>
    <row r="170" ht="22.5" customHeight="1">
      <c r="A170" s="34" t="s">
        <v>195</v>
      </c>
      <c r="B170" s="34" t="s">
        <v>50</v>
      </c>
      <c r="C170" s="37" t="s">
        <v>85</v>
      </c>
      <c r="D170" s="38" t="s">
        <v>62</v>
      </c>
      <c r="E170" s="49" t="s">
        <v>55</v>
      </c>
      <c r="F170" s="37" t="s">
        <v>197</v>
      </c>
      <c r="G170" s="49" t="s">
        <v>41</v>
      </c>
      <c r="H170" s="51" t="s">
        <v>49</v>
      </c>
      <c r="I170" s="39">
        <v>3000.0</v>
      </c>
      <c r="J170" s="39">
        <v>3000.0</v>
      </c>
      <c r="K170" s="39"/>
      <c r="L170" s="42">
        <v>3000.0</v>
      </c>
      <c r="M170" s="42">
        <v>3000.0</v>
      </c>
      <c r="N170" s="55"/>
      <c r="O170" s="39">
        <v>3000.0</v>
      </c>
      <c r="P170" s="39">
        <v>3000.0</v>
      </c>
      <c r="Q170" s="39">
        <v>840.0</v>
      </c>
      <c r="R170" s="46">
        <v>0.67</v>
      </c>
      <c r="S170" s="50">
        <f>IFERROR(__xludf.DUMMYFUNCTION("((IFERROR(MIN(FILTER({K170, N170, Q170}, ISNUMBER({K170, N170, Q170}), {K170, N170, Q170} &gt; 0)), """"))*R170)+IFERROR(MIN(FILTER({K170, N170, Q170}, ISNUMBER({K170, N170, Q170}), {K170, N170, Q170} &gt; 0)), """")"),1402.8000000000002)</f>
        <v>1402.8</v>
      </c>
      <c r="T170" s="53">
        <f>IFERROR(__xludf.DUMMYFUNCTION("(S170-(IFERROR(MIN(FILTER({K170, N170, Q170}, ISNUMBER({K170, N170, Q170}), {K170, N170, Q170} &gt; 0)), """")))/S170"),0.4011976047904192)</f>
        <v>0.4011976048</v>
      </c>
    </row>
    <row r="171" ht="22.5" customHeight="1">
      <c r="A171" s="34" t="s">
        <v>629</v>
      </c>
      <c r="B171" s="34" t="s">
        <v>50</v>
      </c>
      <c r="C171" s="37" t="s">
        <v>85</v>
      </c>
      <c r="D171" s="38" t="s">
        <v>630</v>
      </c>
      <c r="E171" s="49" t="s">
        <v>55</v>
      </c>
      <c r="F171" s="37" t="s">
        <v>58</v>
      </c>
      <c r="G171" s="49" t="s">
        <v>41</v>
      </c>
      <c r="H171" s="51" t="s">
        <v>49</v>
      </c>
      <c r="I171" s="39">
        <v>2000.0</v>
      </c>
      <c r="J171" s="39">
        <v>2000.0</v>
      </c>
      <c r="K171" s="39"/>
      <c r="L171" s="42">
        <v>2000.0</v>
      </c>
      <c r="M171" s="42">
        <v>2000.0</v>
      </c>
      <c r="N171" s="55"/>
      <c r="O171" s="39">
        <v>2000.0</v>
      </c>
      <c r="P171" s="39">
        <v>2000.0</v>
      </c>
      <c r="Q171" s="39">
        <v>840.0</v>
      </c>
      <c r="R171" s="46">
        <v>0.67</v>
      </c>
      <c r="S171" s="50">
        <f>IFERROR(__xludf.DUMMYFUNCTION("((IFERROR(MIN(FILTER({K171, N171, Q171}, ISNUMBER({K171, N171, Q171}), {K171, N171, Q171} &gt; 0)), """"))*R171)+IFERROR(MIN(FILTER({K171, N171, Q171}, ISNUMBER({K171, N171, Q171}), {K171, N171, Q171} &gt; 0)), """")"),1402.8000000000002)</f>
        <v>1402.8</v>
      </c>
      <c r="T171" s="53">
        <f>IFERROR(__xludf.DUMMYFUNCTION("(S171-(IFERROR(MIN(FILTER({K171, N171, Q171}, ISNUMBER({K171, N171, Q171}), {K171, N171, Q171} &gt; 0)), """")))/S171"),0.4011976047904192)</f>
        <v>0.4011976048</v>
      </c>
    </row>
    <row r="172" ht="22.5" customHeight="1">
      <c r="A172" s="34" t="s">
        <v>629</v>
      </c>
      <c r="B172" s="34" t="s">
        <v>50</v>
      </c>
      <c r="C172" s="37" t="s">
        <v>85</v>
      </c>
      <c r="D172" s="38" t="s">
        <v>630</v>
      </c>
      <c r="E172" s="49" t="s">
        <v>36</v>
      </c>
      <c r="F172" s="37" t="s">
        <v>634</v>
      </c>
      <c r="G172" s="49" t="s">
        <v>41</v>
      </c>
      <c r="H172" s="51" t="s">
        <v>49</v>
      </c>
      <c r="I172" s="39">
        <v>2000.0</v>
      </c>
      <c r="J172" s="39">
        <v>2000.0</v>
      </c>
      <c r="K172" s="39"/>
      <c r="L172" s="42">
        <v>2000.0</v>
      </c>
      <c r="M172" s="42">
        <v>2000.0</v>
      </c>
      <c r="N172" s="55"/>
      <c r="O172" s="39">
        <v>2000.0</v>
      </c>
      <c r="P172" s="39">
        <v>2000.0</v>
      </c>
      <c r="Q172" s="39">
        <v>960.0</v>
      </c>
      <c r="R172" s="46">
        <v>0.67</v>
      </c>
      <c r="S172" s="50">
        <f>IFERROR(__xludf.DUMMYFUNCTION("((IFERROR(MIN(FILTER({K172, N172, Q172}, ISNUMBER({K172, N172, Q172}), {K172, N172, Q172} &gt; 0)), """"))*R172)+IFERROR(MIN(FILTER({K172, N172, Q172}, ISNUMBER({K172, N172, Q172}), {K172, N172, Q172} &gt; 0)), """")"),1603.2)</f>
        <v>1603.2</v>
      </c>
      <c r="T172" s="53">
        <f>IFERROR(__xludf.DUMMYFUNCTION("(S172-(IFERROR(MIN(FILTER({K172, N172, Q172}, ISNUMBER({K172, N172, Q172}), {K172, N172, Q172} &gt; 0)), """")))/S172"),0.40119760479041916)</f>
        <v>0.4011976048</v>
      </c>
    </row>
    <row r="173" ht="22.5" customHeight="1">
      <c r="A173" s="34" t="s">
        <v>635</v>
      </c>
      <c r="B173" s="34" t="s">
        <v>50</v>
      </c>
      <c r="C173" s="37" t="s">
        <v>85</v>
      </c>
      <c r="D173" s="38" t="s">
        <v>114</v>
      </c>
      <c r="E173" s="49" t="s">
        <v>55</v>
      </c>
      <c r="F173" s="37" t="s">
        <v>271</v>
      </c>
      <c r="G173" s="49" t="s">
        <v>41</v>
      </c>
      <c r="H173" s="51" t="s">
        <v>49</v>
      </c>
      <c r="I173" s="39">
        <v>2000.0</v>
      </c>
      <c r="J173" s="39">
        <v>2000.0</v>
      </c>
      <c r="K173" s="39"/>
      <c r="L173" s="42">
        <v>2000.0</v>
      </c>
      <c r="M173" s="42">
        <v>2000.0</v>
      </c>
      <c r="N173" s="55"/>
      <c r="O173" s="39">
        <v>2000.0</v>
      </c>
      <c r="P173" s="39">
        <v>2000.0</v>
      </c>
      <c r="Q173" s="39">
        <v>440.0</v>
      </c>
      <c r="R173" s="46">
        <v>0.67</v>
      </c>
      <c r="S173" s="50">
        <f>IFERROR(__xludf.DUMMYFUNCTION("((IFERROR(MIN(FILTER({K173, N173, Q173}, ISNUMBER({K173, N173, Q173}), {K173, N173, Q173} &gt; 0)), """"))*R173)+IFERROR(MIN(FILTER({K173, N173, Q173}, ISNUMBER({K173, N173, Q173}), {K173, N173, Q173} &gt; 0)), """")"),734.8)</f>
        <v>734.8</v>
      </c>
      <c r="T173" s="53">
        <f>IFERROR(__xludf.DUMMYFUNCTION("(S173-(IFERROR(MIN(FILTER({K173, N173, Q173}, ISNUMBER({K173, N173, Q173}), {K173, N173, Q173} &gt; 0)), """")))/S173"),0.4011976047904191)</f>
        <v>0.4011976048</v>
      </c>
    </row>
    <row r="174" ht="22.5" customHeight="1">
      <c r="A174" s="34" t="s">
        <v>635</v>
      </c>
      <c r="B174" s="34" t="s">
        <v>50</v>
      </c>
      <c r="C174" s="37" t="s">
        <v>42</v>
      </c>
      <c r="D174" s="38" t="s">
        <v>153</v>
      </c>
      <c r="E174" s="49" t="s">
        <v>55</v>
      </c>
      <c r="F174" s="37" t="s">
        <v>271</v>
      </c>
      <c r="G174" s="49" t="s">
        <v>41</v>
      </c>
      <c r="H174" s="51" t="s">
        <v>49</v>
      </c>
      <c r="I174" s="39">
        <v>2000.0</v>
      </c>
      <c r="J174" s="39">
        <v>2000.0</v>
      </c>
      <c r="K174" s="39"/>
      <c r="L174" s="42">
        <v>2000.0</v>
      </c>
      <c r="M174" s="42">
        <v>2000.0</v>
      </c>
      <c r="N174" s="55"/>
      <c r="O174" s="39">
        <v>2000.0</v>
      </c>
      <c r="P174" s="39">
        <v>2000.0</v>
      </c>
      <c r="Q174" s="39">
        <v>400.0</v>
      </c>
      <c r="R174" s="46">
        <v>0.67</v>
      </c>
      <c r="S174" s="50">
        <f>IFERROR(__xludf.DUMMYFUNCTION("((IFERROR(MIN(FILTER({K174, N174, Q174}, ISNUMBER({K174, N174, Q174}), {K174, N174, Q174} &gt; 0)), """"))*R174)+IFERROR(MIN(FILTER({K174, N174, Q174}, ISNUMBER({K174, N174, Q174}), {K174, N174, Q174} &gt; 0)), """")"),668.0)</f>
        <v>668</v>
      </c>
      <c r="T174" s="53">
        <f>IFERROR(__xludf.DUMMYFUNCTION("(S174-(IFERROR(MIN(FILTER({K174, N174, Q174}, ISNUMBER({K174, N174, Q174}), {K174, N174, Q174} &gt; 0)), """")))/S174"),0.40119760479041916)</f>
        <v>0.4011976048</v>
      </c>
    </row>
    <row r="175" ht="22.5" customHeight="1">
      <c r="A175" s="34" t="s">
        <v>635</v>
      </c>
      <c r="B175" s="34" t="s">
        <v>50</v>
      </c>
      <c r="C175" s="37" t="s">
        <v>42</v>
      </c>
      <c r="D175" s="38" t="s">
        <v>287</v>
      </c>
      <c r="E175" s="49" t="s">
        <v>55</v>
      </c>
      <c r="F175" s="37" t="s">
        <v>271</v>
      </c>
      <c r="G175" s="49" t="s">
        <v>41</v>
      </c>
      <c r="H175" s="51" t="s">
        <v>49</v>
      </c>
      <c r="I175" s="39">
        <v>2000.0</v>
      </c>
      <c r="J175" s="39">
        <v>2000.0</v>
      </c>
      <c r="K175" s="39"/>
      <c r="L175" s="42">
        <v>2000.0</v>
      </c>
      <c r="M175" s="42">
        <v>2000.0</v>
      </c>
      <c r="N175" s="55"/>
      <c r="O175" s="39">
        <v>2000.0</v>
      </c>
      <c r="P175" s="39">
        <v>2000.0</v>
      </c>
      <c r="Q175" s="39">
        <v>550.0</v>
      </c>
      <c r="R175" s="46">
        <v>0.67</v>
      </c>
      <c r="S175" s="50">
        <f>IFERROR(__xludf.DUMMYFUNCTION("((IFERROR(MIN(FILTER({K175, N175, Q175}, ISNUMBER({K175, N175, Q175}), {K175, N175, Q175} &gt; 0)), """"))*R175)+IFERROR(MIN(FILTER({K175, N175, Q175}, ISNUMBER({K175, N175, Q175}), {K175, N175, Q175} &gt; 0)), """")"),918.5)</f>
        <v>918.5</v>
      </c>
      <c r="T175" s="53">
        <f>IFERROR(__xludf.DUMMYFUNCTION("(S175-(IFERROR(MIN(FILTER({K175, N175, Q175}, ISNUMBER({K175, N175, Q175}), {K175, N175, Q175} &gt; 0)), """")))/S175"),0.40119760479041916)</f>
        <v>0.4011976048</v>
      </c>
    </row>
    <row r="176" ht="22.5" customHeight="1">
      <c r="A176" s="34" t="s">
        <v>636</v>
      </c>
      <c r="B176" s="34" t="s">
        <v>50</v>
      </c>
      <c r="C176" s="37" t="s">
        <v>85</v>
      </c>
      <c r="D176" s="38" t="s">
        <v>637</v>
      </c>
      <c r="E176" s="49" t="s">
        <v>36</v>
      </c>
      <c r="F176" s="37" t="s">
        <v>224</v>
      </c>
      <c r="G176" s="49" t="s">
        <v>41</v>
      </c>
      <c r="H176" s="51" t="s">
        <v>49</v>
      </c>
      <c r="I176" s="39">
        <v>2000.0</v>
      </c>
      <c r="J176" s="39">
        <v>2000.0</v>
      </c>
      <c r="K176" s="39"/>
      <c r="L176" s="42">
        <v>2000.0</v>
      </c>
      <c r="M176" s="42">
        <v>2000.0</v>
      </c>
      <c r="N176" s="55"/>
      <c r="O176" s="39">
        <v>2000.0</v>
      </c>
      <c r="P176" s="39">
        <v>2000.0</v>
      </c>
      <c r="Q176" s="39">
        <v>840.0</v>
      </c>
      <c r="R176" s="46">
        <v>0.67</v>
      </c>
      <c r="S176" s="50">
        <f>IFERROR(__xludf.DUMMYFUNCTION("((IFERROR(MIN(FILTER({K176, N176, Q176}, ISNUMBER({K176, N176, Q176}), {K176, N176, Q176} &gt; 0)), """"))*R176)+IFERROR(MIN(FILTER({K176, N176, Q176}, ISNUMBER({K176, N176, Q176}), {K176, N176, Q176} &gt; 0)), """")"),1402.8000000000002)</f>
        <v>1402.8</v>
      </c>
      <c r="T176" s="53">
        <f>IFERROR(__xludf.DUMMYFUNCTION("(S176-(IFERROR(MIN(FILTER({K176, N176, Q176}, ISNUMBER({K176, N176, Q176}), {K176, N176, Q176} &gt; 0)), """")))/S176"),0.4011976047904192)</f>
        <v>0.4011976048</v>
      </c>
    </row>
    <row r="177" ht="22.5" customHeight="1">
      <c r="A177" s="34" t="s">
        <v>641</v>
      </c>
      <c r="B177" s="34" t="s">
        <v>50</v>
      </c>
      <c r="C177" s="37" t="s">
        <v>42</v>
      </c>
      <c r="D177" s="38" t="s">
        <v>114</v>
      </c>
      <c r="E177" s="49" t="s">
        <v>55</v>
      </c>
      <c r="F177" s="37" t="s">
        <v>642</v>
      </c>
      <c r="G177" s="49" t="s">
        <v>41</v>
      </c>
      <c r="H177" s="51" t="s">
        <v>49</v>
      </c>
      <c r="I177" s="39">
        <v>2000.0</v>
      </c>
      <c r="J177" s="39">
        <v>2000.0</v>
      </c>
      <c r="K177" s="39"/>
      <c r="L177" s="42">
        <v>2000.0</v>
      </c>
      <c r="M177" s="42">
        <v>2000.0</v>
      </c>
      <c r="N177" s="55"/>
      <c r="O177" s="39">
        <v>2000.0</v>
      </c>
      <c r="P177" s="39">
        <v>2000.0</v>
      </c>
      <c r="Q177" s="39">
        <v>440.0</v>
      </c>
      <c r="R177" s="46">
        <v>0.67</v>
      </c>
      <c r="S177" s="50">
        <f>IFERROR(__xludf.DUMMYFUNCTION("((IFERROR(MIN(FILTER({K177, N177, Q177}, ISNUMBER({K177, N177, Q177}), {K177, N177, Q177} &gt; 0)), """"))*R177)+IFERROR(MIN(FILTER({K177, N177, Q177}, ISNUMBER({K177, N177, Q177}), {K177, N177, Q177} &gt; 0)), """")"),734.8)</f>
        <v>734.8</v>
      </c>
      <c r="T177" s="53">
        <f>IFERROR(__xludf.DUMMYFUNCTION("(S177-(IFERROR(MIN(FILTER({K177, N177, Q177}, ISNUMBER({K177, N177, Q177}), {K177, N177, Q177} &gt; 0)), """")))/S177"),0.4011976047904191)</f>
        <v>0.4011976048</v>
      </c>
    </row>
    <row r="178" ht="22.5" customHeight="1">
      <c r="A178" s="34" t="s">
        <v>641</v>
      </c>
      <c r="B178" s="34" t="s">
        <v>50</v>
      </c>
      <c r="C178" s="37" t="s">
        <v>42</v>
      </c>
      <c r="D178" s="38" t="s">
        <v>114</v>
      </c>
      <c r="E178" s="49" t="s">
        <v>55</v>
      </c>
      <c r="F178" s="37" t="s">
        <v>642</v>
      </c>
      <c r="G178" s="49" t="s">
        <v>41</v>
      </c>
      <c r="H178" s="51" t="s">
        <v>49</v>
      </c>
      <c r="I178" s="39">
        <v>5000.0</v>
      </c>
      <c r="J178" s="39">
        <v>5000.0</v>
      </c>
      <c r="K178" s="39"/>
      <c r="L178" s="42">
        <v>5000.0</v>
      </c>
      <c r="M178" s="42">
        <v>5000.0</v>
      </c>
      <c r="N178" s="55"/>
      <c r="O178" s="39">
        <v>5000.0</v>
      </c>
      <c r="P178" s="39">
        <v>5000.0</v>
      </c>
      <c r="Q178" s="39">
        <v>350.0</v>
      </c>
      <c r="R178" s="46">
        <v>0.67</v>
      </c>
      <c r="S178" s="50">
        <f>IFERROR(__xludf.DUMMYFUNCTION("((IFERROR(MIN(FILTER({K178, N178, Q178}, ISNUMBER({K178, N178, Q178}), {K178, N178, Q178} &gt; 0)), """"))*R178)+IFERROR(MIN(FILTER({K178, N178, Q178}, ISNUMBER({K178, N178, Q178}), {K178, N178, Q178} &gt; 0)), """")"),584.5)</f>
        <v>584.5</v>
      </c>
      <c r="T178" s="53">
        <f>IFERROR(__xludf.DUMMYFUNCTION("(S178-(IFERROR(MIN(FILTER({K178, N178, Q178}, ISNUMBER({K178, N178, Q178}), {K178, N178, Q178} &gt; 0)), """")))/S178"),0.40119760479041916)</f>
        <v>0.4011976048</v>
      </c>
    </row>
    <row r="179" ht="22.5" customHeight="1">
      <c r="A179" s="34" t="s">
        <v>641</v>
      </c>
      <c r="B179" s="34" t="s">
        <v>50</v>
      </c>
      <c r="C179" s="37" t="s">
        <v>42</v>
      </c>
      <c r="D179" s="38" t="s">
        <v>114</v>
      </c>
      <c r="E179" s="49" t="s">
        <v>36</v>
      </c>
      <c r="F179" s="37" t="s">
        <v>643</v>
      </c>
      <c r="G179" s="49" t="s">
        <v>41</v>
      </c>
      <c r="H179" s="51" t="s">
        <v>49</v>
      </c>
      <c r="I179" s="39">
        <v>2000.0</v>
      </c>
      <c r="J179" s="39">
        <v>2000.0</v>
      </c>
      <c r="K179" s="39"/>
      <c r="L179" s="42">
        <v>2000.0</v>
      </c>
      <c r="M179" s="42">
        <v>2000.0</v>
      </c>
      <c r="N179" s="55"/>
      <c r="O179" s="39">
        <v>2000.0</v>
      </c>
      <c r="P179" s="39">
        <v>2000.0</v>
      </c>
      <c r="Q179" s="39">
        <v>550.0</v>
      </c>
      <c r="R179" s="46">
        <v>0.67</v>
      </c>
      <c r="S179" s="50">
        <f>IFERROR(__xludf.DUMMYFUNCTION("((IFERROR(MIN(FILTER({K179, N179, Q179}, ISNUMBER({K179, N179, Q179}), {K179, N179, Q179} &gt; 0)), """"))*R179)+IFERROR(MIN(FILTER({K179, N179, Q179}, ISNUMBER({K179, N179, Q179}), {K179, N179, Q179} &gt; 0)), """")"),918.5)</f>
        <v>918.5</v>
      </c>
      <c r="T179" s="53">
        <f>IFERROR(__xludf.DUMMYFUNCTION("(S179-(IFERROR(MIN(FILTER({K179, N179, Q179}, ISNUMBER({K179, N179, Q179}), {K179, N179, Q179} &gt; 0)), """")))/S179"),0.40119760479041916)</f>
        <v>0.4011976048</v>
      </c>
    </row>
    <row r="180" ht="22.5" customHeight="1">
      <c r="A180" s="34" t="s">
        <v>641</v>
      </c>
      <c r="B180" s="34" t="s">
        <v>50</v>
      </c>
      <c r="C180" s="37" t="s">
        <v>42</v>
      </c>
      <c r="D180" s="38" t="s">
        <v>114</v>
      </c>
      <c r="E180" s="49" t="s">
        <v>36</v>
      </c>
      <c r="F180" s="37" t="s">
        <v>643</v>
      </c>
      <c r="G180" s="49" t="s">
        <v>41</v>
      </c>
      <c r="H180" s="51" t="s">
        <v>49</v>
      </c>
      <c r="I180" s="39">
        <v>5000.0</v>
      </c>
      <c r="J180" s="39">
        <v>5000.0</v>
      </c>
      <c r="K180" s="39"/>
      <c r="L180" s="42">
        <v>5000.0</v>
      </c>
      <c r="M180" s="42">
        <v>5000.0</v>
      </c>
      <c r="N180" s="55"/>
      <c r="O180" s="39">
        <v>5000.0</v>
      </c>
      <c r="P180" s="39">
        <v>5000.0</v>
      </c>
      <c r="Q180" s="39">
        <v>440.0</v>
      </c>
      <c r="R180" s="46">
        <v>0.67</v>
      </c>
      <c r="S180" s="50">
        <f>IFERROR(__xludf.DUMMYFUNCTION("((IFERROR(MIN(FILTER({K180, N180, Q180}, ISNUMBER({K180, N180, Q180}), {K180, N180, Q180} &gt; 0)), """"))*R180)+IFERROR(MIN(FILTER({K180, N180, Q180}, ISNUMBER({K180, N180, Q180}), {K180, N180, Q180} &gt; 0)), """")"),734.8)</f>
        <v>734.8</v>
      </c>
      <c r="T180" s="53">
        <f>IFERROR(__xludf.DUMMYFUNCTION("(S180-(IFERROR(MIN(FILTER({K180, N180, Q180}, ISNUMBER({K180, N180, Q180}), {K180, N180, Q180} &gt; 0)), """")))/S180"),0.4011976047904191)</f>
        <v>0.4011976048</v>
      </c>
    </row>
    <row r="181" ht="22.5" customHeight="1">
      <c r="A181" s="34" t="s">
        <v>645</v>
      </c>
      <c r="B181" s="34" t="s">
        <v>50</v>
      </c>
      <c r="C181" s="37" t="s">
        <v>85</v>
      </c>
      <c r="D181" s="38" t="s">
        <v>62</v>
      </c>
      <c r="E181" s="49" t="s">
        <v>55</v>
      </c>
      <c r="F181" s="37" t="s">
        <v>58</v>
      </c>
      <c r="G181" s="49" t="s">
        <v>41</v>
      </c>
      <c r="H181" s="51" t="s">
        <v>49</v>
      </c>
      <c r="I181" s="39">
        <v>2000.0</v>
      </c>
      <c r="J181" s="39">
        <v>2000.0</v>
      </c>
      <c r="K181" s="39"/>
      <c r="L181" s="42">
        <v>2000.0</v>
      </c>
      <c r="M181" s="42">
        <v>2000.0</v>
      </c>
      <c r="N181" s="55"/>
      <c r="O181" s="39">
        <v>2000.0</v>
      </c>
      <c r="P181" s="39">
        <v>2000.0</v>
      </c>
      <c r="Q181" s="39">
        <v>840.0</v>
      </c>
      <c r="R181" s="46">
        <v>0.67</v>
      </c>
      <c r="S181" s="50">
        <f>IFERROR(__xludf.DUMMYFUNCTION("((IFERROR(MIN(FILTER({K181, N181, Q181}, ISNUMBER({K181, N181, Q181}), {K181, N181, Q181} &gt; 0)), """"))*R181)+IFERROR(MIN(FILTER({K181, N181, Q181}, ISNUMBER({K181, N181, Q181}), {K181, N181, Q181} &gt; 0)), """")"),1402.8000000000002)</f>
        <v>1402.8</v>
      </c>
      <c r="T181" s="53">
        <f>IFERROR(__xludf.DUMMYFUNCTION("(S181-(IFERROR(MIN(FILTER({K181, N181, Q181}, ISNUMBER({K181, N181, Q181}), {K181, N181, Q181} &gt; 0)), """")))/S181"),0.4011976047904192)</f>
        <v>0.4011976048</v>
      </c>
    </row>
    <row r="182" ht="22.5" customHeight="1">
      <c r="A182" s="34" t="s">
        <v>646</v>
      </c>
      <c r="B182" s="34" t="s">
        <v>50</v>
      </c>
      <c r="C182" s="37" t="s">
        <v>85</v>
      </c>
      <c r="D182" s="38" t="s">
        <v>111</v>
      </c>
      <c r="E182" s="49" t="s">
        <v>55</v>
      </c>
      <c r="F182" s="37" t="s">
        <v>74</v>
      </c>
      <c r="G182" s="49" t="s">
        <v>41</v>
      </c>
      <c r="H182" s="51" t="s">
        <v>49</v>
      </c>
      <c r="I182" s="39">
        <v>2000.0</v>
      </c>
      <c r="J182" s="39">
        <v>2000.0</v>
      </c>
      <c r="K182" s="39"/>
      <c r="L182" s="42">
        <v>2000.0</v>
      </c>
      <c r="M182" s="42">
        <v>2000.0</v>
      </c>
      <c r="N182" s="55"/>
      <c r="O182" s="39">
        <v>2000.0</v>
      </c>
      <c r="P182" s="39">
        <v>2000.0</v>
      </c>
      <c r="Q182" s="39">
        <v>440.0</v>
      </c>
      <c r="R182" s="46">
        <v>0.67</v>
      </c>
      <c r="S182" s="50">
        <f>IFERROR(__xludf.DUMMYFUNCTION("((IFERROR(MIN(FILTER({K182, N182, Q182}, ISNUMBER({K182, N182, Q182}), {K182, N182, Q182} &gt; 0)), """"))*R182)+IFERROR(MIN(FILTER({K182, N182, Q182}, ISNUMBER({K182, N182, Q182}), {K182, N182, Q182} &gt; 0)), """")"),734.8)</f>
        <v>734.8</v>
      </c>
      <c r="T182" s="53">
        <f>IFERROR(__xludf.DUMMYFUNCTION("(S182-(IFERROR(MIN(FILTER({K182, N182, Q182}, ISNUMBER({K182, N182, Q182}), {K182, N182, Q182} &gt; 0)), """")))/S182"),0.4011976047904191)</f>
        <v>0.4011976048</v>
      </c>
    </row>
    <row r="183" ht="22.5" customHeight="1">
      <c r="A183" s="34" t="s">
        <v>649</v>
      </c>
      <c r="B183" s="34" t="s">
        <v>50</v>
      </c>
      <c r="C183" s="37" t="s">
        <v>42</v>
      </c>
      <c r="D183" s="38" t="s">
        <v>650</v>
      </c>
      <c r="E183" s="49" t="s">
        <v>55</v>
      </c>
      <c r="F183" s="37" t="s">
        <v>216</v>
      </c>
      <c r="G183" s="49" t="s">
        <v>41</v>
      </c>
      <c r="H183" s="51" t="s">
        <v>49</v>
      </c>
      <c r="I183" s="39">
        <v>2000.0</v>
      </c>
      <c r="J183" s="39">
        <v>2000.0</v>
      </c>
      <c r="K183" s="39"/>
      <c r="L183" s="42">
        <v>2000.0</v>
      </c>
      <c r="M183" s="42">
        <v>2000.0</v>
      </c>
      <c r="N183" s="55"/>
      <c r="O183" s="39">
        <v>2000.0</v>
      </c>
      <c r="P183" s="39">
        <v>2000.0</v>
      </c>
      <c r="Q183" s="39">
        <v>700.0</v>
      </c>
      <c r="R183" s="46">
        <v>0.67</v>
      </c>
      <c r="S183" s="50">
        <f>IFERROR(__xludf.DUMMYFUNCTION("((IFERROR(MIN(FILTER({K183, N183, Q183}, ISNUMBER({K183, N183, Q183}), {K183, N183, Q183} &gt; 0)), """"))*R183)+IFERROR(MIN(FILTER({K183, N183, Q183}, ISNUMBER({K183, N183, Q183}), {K183, N183, Q183} &gt; 0)), """")"),1169.0)</f>
        <v>1169</v>
      </c>
      <c r="T183" s="53">
        <f>IFERROR(__xludf.DUMMYFUNCTION("(S183-(IFERROR(MIN(FILTER({K183, N183, Q183}, ISNUMBER({K183, N183, Q183}), {K183, N183, Q183} &gt; 0)), """")))/S183"),0.40119760479041916)</f>
        <v>0.4011976048</v>
      </c>
    </row>
    <row r="184" ht="22.5" customHeight="1">
      <c r="A184" s="34" t="s">
        <v>651</v>
      </c>
      <c r="B184" s="34" t="s">
        <v>50</v>
      </c>
      <c r="C184" s="37" t="s">
        <v>42</v>
      </c>
      <c r="D184" s="38" t="s">
        <v>62</v>
      </c>
      <c r="E184" s="49" t="s">
        <v>36</v>
      </c>
      <c r="F184" s="37" t="s">
        <v>652</v>
      </c>
      <c r="G184" s="49" t="s">
        <v>41</v>
      </c>
      <c r="H184" s="51" t="s">
        <v>49</v>
      </c>
      <c r="I184" s="39">
        <v>2000.0</v>
      </c>
      <c r="J184" s="39">
        <v>2000.0</v>
      </c>
      <c r="K184" s="39"/>
      <c r="L184" s="42">
        <v>2000.0</v>
      </c>
      <c r="M184" s="42">
        <v>2000.0</v>
      </c>
      <c r="N184" s="55"/>
      <c r="O184" s="39">
        <v>2000.0</v>
      </c>
      <c r="P184" s="39">
        <v>2000.0</v>
      </c>
      <c r="Q184" s="39">
        <v>720.0</v>
      </c>
      <c r="R184" s="46">
        <v>0.67</v>
      </c>
      <c r="S184" s="50">
        <f>IFERROR(__xludf.DUMMYFUNCTION("((IFERROR(MIN(FILTER({K184, N184, Q184}, ISNUMBER({K184, N184, Q184}), {K184, N184, Q184} &gt; 0)), """"))*R184)+IFERROR(MIN(FILTER({K184, N184, Q184}, ISNUMBER({K184, N184, Q184}), {K184, N184, Q184} &gt; 0)), """")"),1202.4)</f>
        <v>1202.4</v>
      </c>
      <c r="T184" s="53">
        <f>IFERROR(__xludf.DUMMYFUNCTION("(S184-(IFERROR(MIN(FILTER({K184, N184, Q184}, ISNUMBER({K184, N184, Q184}), {K184, N184, Q184} &gt; 0)), """")))/S184"),0.4011976047904192)</f>
        <v>0.4011976048</v>
      </c>
    </row>
    <row r="185" ht="22.5" customHeight="1">
      <c r="A185" s="34" t="s">
        <v>655</v>
      </c>
      <c r="B185" s="34" t="s">
        <v>50</v>
      </c>
      <c r="C185" s="37" t="s">
        <v>85</v>
      </c>
      <c r="D185" s="38" t="s">
        <v>93</v>
      </c>
      <c r="E185" s="49" t="s">
        <v>55</v>
      </c>
      <c r="F185" s="37" t="s">
        <v>74</v>
      </c>
      <c r="G185" s="49" t="s">
        <v>41</v>
      </c>
      <c r="H185" s="51" t="s">
        <v>49</v>
      </c>
      <c r="I185" s="39">
        <v>2000.0</v>
      </c>
      <c r="J185" s="39">
        <v>2000.0</v>
      </c>
      <c r="K185" s="41"/>
      <c r="L185" s="42">
        <v>2000.0</v>
      </c>
      <c r="M185" s="42">
        <v>2000.0</v>
      </c>
      <c r="N185" s="55"/>
      <c r="O185" s="39">
        <v>2000.0</v>
      </c>
      <c r="P185" s="39">
        <v>2000.0</v>
      </c>
      <c r="Q185" s="39">
        <v>720.0</v>
      </c>
      <c r="R185" s="46">
        <v>0.67</v>
      </c>
      <c r="S185" s="50">
        <f>IFERROR(__xludf.DUMMYFUNCTION("((IFERROR(MIN(FILTER({K185, N185, Q185}, ISNUMBER({K185, N185, Q185}), {K185, N185, Q185} &gt; 0)), """"))*R185)+IFERROR(MIN(FILTER({K185, N185, Q185}, ISNUMBER({K185, N185, Q185}), {K185, N185, Q185} &gt; 0)), """")"),1202.4)</f>
        <v>1202.4</v>
      </c>
      <c r="T185" s="53">
        <f>IFERROR(__xludf.DUMMYFUNCTION("(S185-(IFERROR(MIN(FILTER({K185, N185, Q185}, ISNUMBER({K185, N185, Q185}), {K185, N185, Q185} &gt; 0)), """")))/S185"),0.4011976047904192)</f>
        <v>0.4011976048</v>
      </c>
    </row>
    <row r="186" ht="22.5" customHeight="1">
      <c r="A186" s="34" t="s">
        <v>655</v>
      </c>
      <c r="B186" s="34" t="s">
        <v>50</v>
      </c>
      <c r="C186" s="37" t="s">
        <v>85</v>
      </c>
      <c r="D186" s="38" t="s">
        <v>93</v>
      </c>
      <c r="E186" s="49" t="s">
        <v>63</v>
      </c>
      <c r="F186" s="37" t="s">
        <v>67</v>
      </c>
      <c r="G186" s="49" t="s">
        <v>41</v>
      </c>
      <c r="H186" s="51" t="s">
        <v>49</v>
      </c>
      <c r="I186" s="39">
        <v>2000.0</v>
      </c>
      <c r="J186" s="39">
        <v>2000.0</v>
      </c>
      <c r="K186" s="39"/>
      <c r="L186" s="42">
        <v>2000.0</v>
      </c>
      <c r="M186" s="42">
        <v>2000.0</v>
      </c>
      <c r="N186" s="55"/>
      <c r="O186" s="39">
        <v>2000.0</v>
      </c>
      <c r="P186" s="39">
        <v>2000.0</v>
      </c>
      <c r="Q186" s="39">
        <v>1080.0</v>
      </c>
      <c r="R186" s="46">
        <v>0.67</v>
      </c>
      <c r="S186" s="50">
        <f>IFERROR(__xludf.DUMMYFUNCTION("((IFERROR(MIN(FILTER({K186, N186, Q186}, ISNUMBER({K186, N186, Q186}), {K186, N186, Q186} &gt; 0)), """"))*R186)+IFERROR(MIN(FILTER({K186, N186, Q186}, ISNUMBER({K186, N186, Q186}), {K186, N186, Q186} &gt; 0)), """")"),1803.6)</f>
        <v>1803.6</v>
      </c>
      <c r="T186" s="53">
        <f>IFERROR(__xludf.DUMMYFUNCTION("(S186-(IFERROR(MIN(FILTER({K186, N186, Q186}, ISNUMBER({K186, N186, Q186}), {K186, N186, Q186} &gt; 0)), """")))/S186"),0.4011976047904191)</f>
        <v>0.4011976048</v>
      </c>
    </row>
    <row r="187" ht="22.5" customHeight="1">
      <c r="A187" s="34" t="s">
        <v>655</v>
      </c>
      <c r="B187" s="34" t="s">
        <v>50</v>
      </c>
      <c r="C187" s="37" t="s">
        <v>85</v>
      </c>
      <c r="D187" s="38" t="s">
        <v>287</v>
      </c>
      <c r="E187" s="49" t="s">
        <v>55</v>
      </c>
      <c r="F187" s="37" t="s">
        <v>74</v>
      </c>
      <c r="G187" s="49" t="s">
        <v>41</v>
      </c>
      <c r="H187" s="51" t="s">
        <v>49</v>
      </c>
      <c r="I187" s="39">
        <v>2000.0</v>
      </c>
      <c r="J187" s="39">
        <v>2000.0</v>
      </c>
      <c r="K187" s="39"/>
      <c r="L187" s="42">
        <v>2000.0</v>
      </c>
      <c r="M187" s="42">
        <v>2000.0</v>
      </c>
      <c r="N187" s="55"/>
      <c r="O187" s="39">
        <v>2000.0</v>
      </c>
      <c r="P187" s="39">
        <v>2000.0</v>
      </c>
      <c r="Q187" s="39">
        <v>640.0</v>
      </c>
      <c r="R187" s="46">
        <v>0.67</v>
      </c>
      <c r="S187" s="50">
        <f>IFERROR(__xludf.DUMMYFUNCTION("((IFERROR(MIN(FILTER({K187, N187, Q187}, ISNUMBER({K187, N187, Q187}), {K187, N187, Q187} &gt; 0)), """"))*R187)+IFERROR(MIN(FILTER({K187, N187, Q187}, ISNUMBER({K187, N187, Q187}), {K187, N187, Q187} &gt; 0)), """")"),1068.8)</f>
        <v>1068.8</v>
      </c>
      <c r="T187" s="53">
        <f>IFERROR(__xludf.DUMMYFUNCTION("(S187-(IFERROR(MIN(FILTER({K187, N187, Q187}, ISNUMBER({K187, N187, Q187}), {K187, N187, Q187} &gt; 0)), """")))/S187"),0.40119760479041916)</f>
        <v>0.4011976048</v>
      </c>
    </row>
    <row r="188" ht="22.5" customHeight="1">
      <c r="A188" s="34" t="s">
        <v>655</v>
      </c>
      <c r="B188" s="34" t="s">
        <v>50</v>
      </c>
      <c r="C188" s="37" t="s">
        <v>85</v>
      </c>
      <c r="D188" s="38" t="s">
        <v>287</v>
      </c>
      <c r="E188" s="49" t="s">
        <v>63</v>
      </c>
      <c r="F188" s="37" t="s">
        <v>67</v>
      </c>
      <c r="G188" s="49" t="s">
        <v>41</v>
      </c>
      <c r="H188" s="51" t="s">
        <v>49</v>
      </c>
      <c r="I188" s="39">
        <v>2000.0</v>
      </c>
      <c r="J188" s="39">
        <v>2000.0</v>
      </c>
      <c r="K188" s="39"/>
      <c r="L188" s="42">
        <v>2000.0</v>
      </c>
      <c r="M188" s="42">
        <v>2000.0</v>
      </c>
      <c r="N188" s="55"/>
      <c r="O188" s="39">
        <v>2000.0</v>
      </c>
      <c r="P188" s="39">
        <v>2000.0</v>
      </c>
      <c r="Q188" s="39">
        <v>960.0</v>
      </c>
      <c r="R188" s="46">
        <v>0.67</v>
      </c>
      <c r="S188" s="50">
        <f>IFERROR(__xludf.DUMMYFUNCTION("((IFERROR(MIN(FILTER({K188, N188, Q188}, ISNUMBER({K188, N188, Q188}), {K188, N188, Q188} &gt; 0)), """"))*R188)+IFERROR(MIN(FILTER({K188, N188, Q188}, ISNUMBER({K188, N188, Q188}), {K188, N188, Q188} &gt; 0)), """")"),1603.2)</f>
        <v>1603.2</v>
      </c>
      <c r="T188" s="53">
        <f>IFERROR(__xludf.DUMMYFUNCTION("(S188-(IFERROR(MIN(FILTER({K188, N188, Q188}, ISNUMBER({K188, N188, Q188}), {K188, N188, Q188} &gt; 0)), """")))/S188"),0.40119760479041916)</f>
        <v>0.4011976048</v>
      </c>
    </row>
    <row r="189" ht="22.5" customHeight="1">
      <c r="A189" s="34" t="s">
        <v>661</v>
      </c>
      <c r="B189" s="34" t="s">
        <v>50</v>
      </c>
      <c r="C189" s="37" t="s">
        <v>42</v>
      </c>
      <c r="D189" s="38" t="s">
        <v>270</v>
      </c>
      <c r="E189" s="49" t="s">
        <v>63</v>
      </c>
      <c r="F189" s="37" t="s">
        <v>67</v>
      </c>
      <c r="G189" s="49" t="s">
        <v>41</v>
      </c>
      <c r="H189" s="51" t="s">
        <v>49</v>
      </c>
      <c r="I189" s="39">
        <v>2000.0</v>
      </c>
      <c r="J189" s="39">
        <v>2000.0</v>
      </c>
      <c r="K189" s="41"/>
      <c r="L189" s="42">
        <v>2000.0</v>
      </c>
      <c r="M189" s="42">
        <v>2000.0</v>
      </c>
      <c r="N189" s="55"/>
      <c r="O189" s="39">
        <v>2000.0</v>
      </c>
      <c r="P189" s="39">
        <v>2000.0</v>
      </c>
      <c r="Q189" s="39">
        <v>720.0</v>
      </c>
      <c r="R189" s="46">
        <v>0.67</v>
      </c>
      <c r="S189" s="50">
        <f>IFERROR(__xludf.DUMMYFUNCTION("((IFERROR(MIN(FILTER({K189, N189, Q189}, ISNUMBER({K189, N189, Q189}), {K189, N189, Q189} &gt; 0)), """"))*R189)+IFERROR(MIN(FILTER({K189, N189, Q189}, ISNUMBER({K189, N189, Q189}), {K189, N189, Q189} &gt; 0)), """")"),1202.4)</f>
        <v>1202.4</v>
      </c>
      <c r="T189" s="53">
        <f>IFERROR(__xludf.DUMMYFUNCTION("(S189-(IFERROR(MIN(FILTER({K189, N189, Q189}, ISNUMBER({K189, N189, Q189}), {K189, N189, Q189} &gt; 0)), """")))/S189"),0.4011976047904192)</f>
        <v>0.4011976048</v>
      </c>
    </row>
    <row r="190" ht="22.5" customHeight="1">
      <c r="A190" s="34" t="s">
        <v>662</v>
      </c>
      <c r="B190" s="34" t="s">
        <v>50</v>
      </c>
      <c r="C190" s="37" t="s">
        <v>42</v>
      </c>
      <c r="D190" s="38" t="s">
        <v>62</v>
      </c>
      <c r="E190" s="49" t="s">
        <v>55</v>
      </c>
      <c r="F190" s="37" t="s">
        <v>216</v>
      </c>
      <c r="G190" s="49" t="s">
        <v>41</v>
      </c>
      <c r="H190" s="51" t="s">
        <v>49</v>
      </c>
      <c r="I190" s="39">
        <v>2000.0</v>
      </c>
      <c r="J190" s="39">
        <v>2000.0</v>
      </c>
      <c r="K190" s="41"/>
      <c r="L190" s="42">
        <v>2000.0</v>
      </c>
      <c r="M190" s="42">
        <v>2000.0</v>
      </c>
      <c r="N190" s="55"/>
      <c r="O190" s="39">
        <v>2000.0</v>
      </c>
      <c r="P190" s="39">
        <v>2000.0</v>
      </c>
      <c r="Q190" s="39">
        <v>550.0</v>
      </c>
      <c r="R190" s="46">
        <v>0.67</v>
      </c>
      <c r="S190" s="50">
        <f>IFERROR(__xludf.DUMMYFUNCTION("((IFERROR(MIN(FILTER({K190, N190, Q190}, ISNUMBER({K190, N190, Q190}), {K190, N190, Q190} &gt; 0)), """"))*R190)+IFERROR(MIN(FILTER({K190, N190, Q190}, ISNUMBER({K190, N190, Q190}), {K190, N190, Q190} &gt; 0)), """")"),918.5)</f>
        <v>918.5</v>
      </c>
      <c r="T190" s="53">
        <f>IFERROR(__xludf.DUMMYFUNCTION("(S190-(IFERROR(MIN(FILTER({K190, N190, Q190}, ISNUMBER({K190, N190, Q190}), {K190, N190, Q190} &gt; 0)), """")))/S190"),0.40119760479041916)</f>
        <v>0.4011976048</v>
      </c>
    </row>
    <row r="191" ht="22.5" customHeight="1">
      <c r="A191" s="34" t="s">
        <v>662</v>
      </c>
      <c r="B191" s="34" t="s">
        <v>50</v>
      </c>
      <c r="C191" s="37" t="s">
        <v>72</v>
      </c>
      <c r="D191" s="38" t="s">
        <v>62</v>
      </c>
      <c r="E191" s="49" t="s">
        <v>55</v>
      </c>
      <c r="F191" s="37" t="s">
        <v>216</v>
      </c>
      <c r="G191" s="49" t="s">
        <v>41</v>
      </c>
      <c r="H191" s="51" t="s">
        <v>49</v>
      </c>
      <c r="I191" s="39">
        <v>2000.0</v>
      </c>
      <c r="J191" s="39">
        <v>2000.0</v>
      </c>
      <c r="K191" s="41"/>
      <c r="L191" s="42">
        <v>2000.0</v>
      </c>
      <c r="M191" s="42">
        <v>2000.0</v>
      </c>
      <c r="N191" s="55"/>
      <c r="O191" s="39">
        <v>2000.0</v>
      </c>
      <c r="P191" s="39">
        <v>2000.0</v>
      </c>
      <c r="Q191" s="39">
        <v>720.0</v>
      </c>
      <c r="R191" s="46">
        <v>0.67</v>
      </c>
      <c r="S191" s="50">
        <f>IFERROR(__xludf.DUMMYFUNCTION("((IFERROR(MIN(FILTER({K191, N191, Q191}, ISNUMBER({K191, N191, Q191}), {K191, N191, Q191} &gt; 0)), """"))*R191)+IFERROR(MIN(FILTER({K191, N191, Q191}, ISNUMBER({K191, N191, Q191}), {K191, N191, Q191} &gt; 0)), """")"),1202.4)</f>
        <v>1202.4</v>
      </c>
      <c r="T191" s="53">
        <f>IFERROR(__xludf.DUMMYFUNCTION("(S191-(IFERROR(MIN(FILTER({K191, N191, Q191}, ISNUMBER({K191, N191, Q191}), {K191, N191, Q191} &gt; 0)), """")))/S191"),0.4011976047904192)</f>
        <v>0.4011976048</v>
      </c>
    </row>
    <row r="192" ht="22.5" customHeight="1">
      <c r="A192" s="34" t="s">
        <v>664</v>
      </c>
      <c r="B192" s="34" t="s">
        <v>50</v>
      </c>
      <c r="C192" s="37" t="s">
        <v>72</v>
      </c>
      <c r="D192" s="38" t="s">
        <v>665</v>
      </c>
      <c r="E192" s="49" t="s">
        <v>55</v>
      </c>
      <c r="F192" s="37" t="s">
        <v>108</v>
      </c>
      <c r="G192" s="49" t="s">
        <v>41</v>
      </c>
      <c r="H192" s="51" t="s">
        <v>49</v>
      </c>
      <c r="I192" s="39">
        <v>2000.0</v>
      </c>
      <c r="J192" s="39">
        <v>2000.0</v>
      </c>
      <c r="K192" s="41"/>
      <c r="L192" s="42">
        <v>2000.0</v>
      </c>
      <c r="M192" s="42">
        <v>2000.0</v>
      </c>
      <c r="N192" s="55"/>
      <c r="O192" s="39">
        <v>2000.0</v>
      </c>
      <c r="P192" s="39">
        <v>2000.0</v>
      </c>
      <c r="Q192" s="39">
        <v>800.0</v>
      </c>
      <c r="R192" s="46">
        <v>0.67</v>
      </c>
      <c r="S192" s="50">
        <f>IFERROR(__xludf.DUMMYFUNCTION("((IFERROR(MIN(FILTER({K192, N192, Q192}, ISNUMBER({K192, N192, Q192}), {K192, N192, Q192} &gt; 0)), """"))*R192)+IFERROR(MIN(FILTER({K192, N192, Q192}, ISNUMBER({K192, N192, Q192}), {K192, N192, Q192} &gt; 0)), """")"),1336.0)</f>
        <v>1336</v>
      </c>
      <c r="T192" s="53">
        <f>IFERROR(__xludf.DUMMYFUNCTION("(S192-(IFERROR(MIN(FILTER({K192, N192, Q192}, ISNUMBER({K192, N192, Q192}), {K192, N192, Q192} &gt; 0)), """")))/S192"),0.40119760479041916)</f>
        <v>0.4011976048</v>
      </c>
    </row>
    <row r="193" ht="22.5" customHeight="1">
      <c r="A193" s="34" t="s">
        <v>664</v>
      </c>
      <c r="B193" s="34" t="s">
        <v>50</v>
      </c>
      <c r="C193" s="37" t="s">
        <v>72</v>
      </c>
      <c r="D193" s="38" t="s">
        <v>665</v>
      </c>
      <c r="E193" s="49" t="s">
        <v>55</v>
      </c>
      <c r="F193" s="37" t="s">
        <v>108</v>
      </c>
      <c r="G193" s="49" t="s">
        <v>41</v>
      </c>
      <c r="H193" s="51" t="s">
        <v>49</v>
      </c>
      <c r="I193" s="39">
        <v>5000.0</v>
      </c>
      <c r="J193" s="39">
        <v>5000.0</v>
      </c>
      <c r="K193" s="39"/>
      <c r="L193" s="42">
        <v>5000.0</v>
      </c>
      <c r="M193" s="42">
        <v>5000.0</v>
      </c>
      <c r="N193" s="55"/>
      <c r="O193" s="39">
        <v>5000.0</v>
      </c>
      <c r="P193" s="39">
        <v>5000.0</v>
      </c>
      <c r="Q193" s="39">
        <v>720.0</v>
      </c>
      <c r="R193" s="46">
        <v>0.67</v>
      </c>
      <c r="S193" s="50">
        <f>IFERROR(__xludf.DUMMYFUNCTION("((IFERROR(MIN(FILTER({K193, N193, Q193}, ISNUMBER({K193, N193, Q193}), {K193, N193, Q193} &gt; 0)), """"))*R193)+IFERROR(MIN(FILTER({K193, N193, Q193}, ISNUMBER({K193, N193, Q193}), {K193, N193, Q193} &gt; 0)), """")"),1202.4)</f>
        <v>1202.4</v>
      </c>
      <c r="T193" s="53">
        <f>IFERROR(__xludf.DUMMYFUNCTION("(S193-(IFERROR(MIN(FILTER({K193, N193, Q193}, ISNUMBER({K193, N193, Q193}), {K193, N193, Q193} &gt; 0)), """")))/S193"),0.4011976047904192)</f>
        <v>0.4011976048</v>
      </c>
    </row>
    <row r="194" ht="22.5" customHeight="1">
      <c r="A194" s="34" t="s">
        <v>666</v>
      </c>
      <c r="B194" s="34" t="s">
        <v>50</v>
      </c>
      <c r="C194" s="37" t="s">
        <v>42</v>
      </c>
      <c r="D194" s="38" t="s">
        <v>114</v>
      </c>
      <c r="E194" s="49" t="s">
        <v>55</v>
      </c>
      <c r="F194" s="37" t="s">
        <v>216</v>
      </c>
      <c r="G194" s="49" t="s">
        <v>41</v>
      </c>
      <c r="H194" s="51" t="s">
        <v>49</v>
      </c>
      <c r="I194" s="39">
        <v>2000.0</v>
      </c>
      <c r="J194" s="39">
        <v>2000.0</v>
      </c>
      <c r="K194" s="39"/>
      <c r="L194" s="42">
        <v>2000.0</v>
      </c>
      <c r="M194" s="42">
        <v>2000.0</v>
      </c>
      <c r="N194" s="55"/>
      <c r="O194" s="39">
        <v>2000.0</v>
      </c>
      <c r="P194" s="39">
        <v>2000.0</v>
      </c>
      <c r="Q194" s="39">
        <v>440.0</v>
      </c>
      <c r="R194" s="46">
        <v>0.67</v>
      </c>
      <c r="S194" s="50">
        <f>IFERROR(__xludf.DUMMYFUNCTION("((IFERROR(MIN(FILTER({K194, N194, Q194}, ISNUMBER({K194, N194, Q194}), {K194, N194, Q194} &gt; 0)), """"))*R194)+IFERROR(MIN(FILTER({K194, N194, Q194}, ISNUMBER({K194, N194, Q194}), {K194, N194, Q194} &gt; 0)), """")"),734.8)</f>
        <v>734.8</v>
      </c>
      <c r="T194" s="53">
        <f>IFERROR(__xludf.DUMMYFUNCTION("(S194-(IFERROR(MIN(FILTER({K194, N194, Q194}, ISNUMBER({K194, N194, Q194}), {K194, N194, Q194} &gt; 0)), """")))/S194"),0.4011976047904191)</f>
        <v>0.4011976048</v>
      </c>
    </row>
    <row r="195" ht="22.5" customHeight="1">
      <c r="A195" s="34" t="s">
        <v>666</v>
      </c>
      <c r="B195" s="34" t="s">
        <v>50</v>
      </c>
      <c r="C195" s="37" t="s">
        <v>42</v>
      </c>
      <c r="D195" s="38" t="s">
        <v>114</v>
      </c>
      <c r="E195" s="49" t="s">
        <v>55</v>
      </c>
      <c r="F195" s="37" t="s">
        <v>216</v>
      </c>
      <c r="G195" s="49" t="s">
        <v>41</v>
      </c>
      <c r="H195" s="51" t="s">
        <v>49</v>
      </c>
      <c r="I195" s="39">
        <v>5000.0</v>
      </c>
      <c r="J195" s="39">
        <v>5000.0</v>
      </c>
      <c r="K195" s="41"/>
      <c r="L195" s="42">
        <v>5000.0</v>
      </c>
      <c r="M195" s="42">
        <v>5000.0</v>
      </c>
      <c r="N195" s="55"/>
      <c r="O195" s="39">
        <v>5000.0</v>
      </c>
      <c r="P195" s="39">
        <v>5000.0</v>
      </c>
      <c r="Q195" s="39">
        <v>350.0</v>
      </c>
      <c r="R195" s="46">
        <v>0.67</v>
      </c>
      <c r="S195" s="50">
        <f>IFERROR(__xludf.DUMMYFUNCTION("((IFERROR(MIN(FILTER({K195, N195, Q195}, ISNUMBER({K195, N195, Q195}), {K195, N195, Q195} &gt; 0)), """"))*R195)+IFERROR(MIN(FILTER({K195, N195, Q195}, ISNUMBER({K195, N195, Q195}), {K195, N195, Q195} &gt; 0)), """")"),584.5)</f>
        <v>584.5</v>
      </c>
      <c r="T195" s="53">
        <f>IFERROR(__xludf.DUMMYFUNCTION("(S195-(IFERROR(MIN(FILTER({K195, N195, Q195}, ISNUMBER({K195, N195, Q195}), {K195, N195, Q195} &gt; 0)), """")))/S195"),0.40119760479041916)</f>
        <v>0.4011976048</v>
      </c>
    </row>
    <row r="196" ht="22.5" customHeight="1">
      <c r="A196" s="34" t="s">
        <v>666</v>
      </c>
      <c r="B196" s="34" t="s">
        <v>50</v>
      </c>
      <c r="C196" s="37" t="s">
        <v>85</v>
      </c>
      <c r="D196" s="38" t="s">
        <v>114</v>
      </c>
      <c r="E196" s="49" t="s">
        <v>55</v>
      </c>
      <c r="F196" s="37" t="s">
        <v>216</v>
      </c>
      <c r="G196" s="49" t="s">
        <v>41</v>
      </c>
      <c r="H196" s="51" t="s">
        <v>49</v>
      </c>
      <c r="I196" s="39">
        <v>2000.0</v>
      </c>
      <c r="J196" s="39">
        <v>2000.0</v>
      </c>
      <c r="K196" s="41"/>
      <c r="L196" s="42">
        <v>2000.0</v>
      </c>
      <c r="M196" s="42">
        <v>2000.0</v>
      </c>
      <c r="N196" s="55"/>
      <c r="O196" s="39">
        <v>2000.0</v>
      </c>
      <c r="P196" s="39">
        <v>2000.0</v>
      </c>
      <c r="Q196" s="39">
        <v>640.0</v>
      </c>
      <c r="R196" s="46">
        <v>0.67</v>
      </c>
      <c r="S196" s="50">
        <f>IFERROR(__xludf.DUMMYFUNCTION("((IFERROR(MIN(FILTER({K196, N196, Q196}, ISNUMBER({K196, N196, Q196}), {K196, N196, Q196} &gt; 0)), """"))*R196)+IFERROR(MIN(FILTER({K196, N196, Q196}, ISNUMBER({K196, N196, Q196}), {K196, N196, Q196} &gt; 0)), """")"),1068.8)</f>
        <v>1068.8</v>
      </c>
      <c r="T196" s="53">
        <f>IFERROR(__xludf.DUMMYFUNCTION("(S196-(IFERROR(MIN(FILTER({K196, N196, Q196}, ISNUMBER({K196, N196, Q196}), {K196, N196, Q196} &gt; 0)), """")))/S196"),0.40119760479041916)</f>
        <v>0.4011976048</v>
      </c>
    </row>
    <row r="197" ht="22.5" customHeight="1">
      <c r="A197" s="34" t="s">
        <v>666</v>
      </c>
      <c r="B197" s="34" t="s">
        <v>50</v>
      </c>
      <c r="C197" s="37" t="s">
        <v>85</v>
      </c>
      <c r="D197" s="38" t="s">
        <v>114</v>
      </c>
      <c r="E197" s="49" t="s">
        <v>55</v>
      </c>
      <c r="F197" s="37" t="s">
        <v>216</v>
      </c>
      <c r="G197" s="49" t="s">
        <v>41</v>
      </c>
      <c r="H197" s="51" t="s">
        <v>49</v>
      </c>
      <c r="I197" s="39">
        <v>5000.0</v>
      </c>
      <c r="J197" s="39">
        <v>5000.0</v>
      </c>
      <c r="K197" s="41"/>
      <c r="L197" s="42">
        <v>5000.0</v>
      </c>
      <c r="M197" s="42">
        <v>5000.0</v>
      </c>
      <c r="N197" s="55"/>
      <c r="O197" s="39">
        <v>5000.0</v>
      </c>
      <c r="P197" s="39">
        <v>5000.0</v>
      </c>
      <c r="Q197" s="39">
        <v>550.0</v>
      </c>
      <c r="R197" s="46">
        <v>0.67</v>
      </c>
      <c r="S197" s="50">
        <f>IFERROR(__xludf.DUMMYFUNCTION("((IFERROR(MIN(FILTER({K197, N197, Q197}, ISNUMBER({K197, N197, Q197}), {K197, N197, Q197} &gt; 0)), """"))*R197)+IFERROR(MIN(FILTER({K197, N197, Q197}, ISNUMBER({K197, N197, Q197}), {K197, N197, Q197} &gt; 0)), """")"),918.5)</f>
        <v>918.5</v>
      </c>
      <c r="T197" s="53">
        <f>IFERROR(__xludf.DUMMYFUNCTION("(S197-(IFERROR(MIN(FILTER({K197, N197, Q197}, ISNUMBER({K197, N197, Q197}), {K197, N197, Q197} &gt; 0)), """")))/S197"),0.40119760479041916)</f>
        <v>0.4011976048</v>
      </c>
    </row>
    <row r="198" ht="22.5" customHeight="1">
      <c r="A198" s="34" t="s">
        <v>673</v>
      </c>
      <c r="B198" s="34" t="s">
        <v>50</v>
      </c>
      <c r="C198" s="37" t="s">
        <v>72</v>
      </c>
      <c r="D198" s="38" t="s">
        <v>674</v>
      </c>
      <c r="E198" s="49" t="s">
        <v>55</v>
      </c>
      <c r="F198" s="37" t="s">
        <v>675</v>
      </c>
      <c r="G198" s="49" t="s">
        <v>41</v>
      </c>
      <c r="H198" s="51" t="s">
        <v>49</v>
      </c>
      <c r="I198" s="39">
        <v>2000.0</v>
      </c>
      <c r="J198" s="39">
        <v>2000.0</v>
      </c>
      <c r="K198" s="41"/>
      <c r="L198" s="42">
        <v>2000.0</v>
      </c>
      <c r="M198" s="42">
        <v>2000.0</v>
      </c>
      <c r="N198" s="55"/>
      <c r="O198" s="39">
        <v>2000.0</v>
      </c>
      <c r="P198" s="39">
        <v>2000.0</v>
      </c>
      <c r="Q198" s="39">
        <v>350.0</v>
      </c>
      <c r="R198" s="46">
        <v>0.67</v>
      </c>
      <c r="S198" s="50">
        <f>IFERROR(__xludf.DUMMYFUNCTION("((IFERROR(MIN(FILTER({K198, N198, Q198}, ISNUMBER({K198, N198, Q198}), {K198, N198, Q198} &gt; 0)), """"))*R198)+IFERROR(MIN(FILTER({K198, N198, Q198}, ISNUMBER({K198, N198, Q198}), {K198, N198, Q198} &gt; 0)), """")"),584.5)</f>
        <v>584.5</v>
      </c>
      <c r="T198" s="53">
        <f>IFERROR(__xludf.DUMMYFUNCTION("(S198-(IFERROR(MIN(FILTER({K198, N198, Q198}, ISNUMBER({K198, N198, Q198}), {K198, N198, Q198} &gt; 0)), """")))/S198"),0.40119760479041916)</f>
        <v>0.4011976048</v>
      </c>
    </row>
    <row r="199" ht="22.5" customHeight="1">
      <c r="A199" s="34" t="s">
        <v>673</v>
      </c>
      <c r="B199" s="34" t="s">
        <v>50</v>
      </c>
      <c r="C199" s="37" t="s">
        <v>72</v>
      </c>
      <c r="D199" s="38" t="s">
        <v>674</v>
      </c>
      <c r="E199" s="49" t="s">
        <v>55</v>
      </c>
      <c r="F199" s="37" t="s">
        <v>675</v>
      </c>
      <c r="G199" s="49" t="s">
        <v>41</v>
      </c>
      <c r="H199" s="51" t="s">
        <v>49</v>
      </c>
      <c r="I199" s="39">
        <v>5000.0</v>
      </c>
      <c r="J199" s="39">
        <v>5000.0</v>
      </c>
      <c r="K199" s="41"/>
      <c r="L199" s="42">
        <v>5000.0</v>
      </c>
      <c r="M199" s="42">
        <v>5000.0</v>
      </c>
      <c r="N199" s="55"/>
      <c r="O199" s="39">
        <v>5000.0</v>
      </c>
      <c r="P199" s="39">
        <v>5000.0</v>
      </c>
      <c r="Q199" s="39">
        <v>280.0</v>
      </c>
      <c r="R199" s="46">
        <v>0.67</v>
      </c>
      <c r="S199" s="50">
        <f>IFERROR(__xludf.DUMMYFUNCTION("((IFERROR(MIN(FILTER({K199, N199, Q199}, ISNUMBER({K199, N199, Q199}), {K199, N199, Q199} &gt; 0)), """"))*R199)+IFERROR(MIN(FILTER({K199, N199, Q199}, ISNUMBER({K199, N199, Q199}), {K199, N199, Q199} &gt; 0)), """")"),467.6)</f>
        <v>467.6</v>
      </c>
      <c r="T199" s="53">
        <f>IFERROR(__xludf.DUMMYFUNCTION("(S199-(IFERROR(MIN(FILTER({K199, N199, Q199}, ISNUMBER({K199, N199, Q199}), {K199, N199, Q199} &gt; 0)), """")))/S199"),0.4011976047904192)</f>
        <v>0.4011976048</v>
      </c>
    </row>
    <row r="200" ht="22.5" customHeight="1">
      <c r="A200" s="34" t="s">
        <v>680</v>
      </c>
      <c r="B200" s="34" t="s">
        <v>50</v>
      </c>
      <c r="C200" s="37" t="s">
        <v>683</v>
      </c>
      <c r="D200" s="38" t="s">
        <v>62</v>
      </c>
      <c r="E200" s="49" t="s">
        <v>55</v>
      </c>
      <c r="F200" s="37" t="s">
        <v>58</v>
      </c>
      <c r="G200" s="49" t="s">
        <v>41</v>
      </c>
      <c r="H200" s="51" t="s">
        <v>49</v>
      </c>
      <c r="I200" s="39">
        <v>2000.0</v>
      </c>
      <c r="J200" s="39">
        <v>2000.0</v>
      </c>
      <c r="K200" s="41"/>
      <c r="L200" s="42">
        <v>2000.0</v>
      </c>
      <c r="M200" s="42">
        <v>2000.0</v>
      </c>
      <c r="N200" s="55"/>
      <c r="O200" s="39">
        <v>2000.0</v>
      </c>
      <c r="P200" s="39">
        <v>2000.0</v>
      </c>
      <c r="Q200" s="39">
        <v>550.0</v>
      </c>
      <c r="R200" s="46">
        <v>0.67</v>
      </c>
      <c r="S200" s="50">
        <f>IFERROR(__xludf.DUMMYFUNCTION("((IFERROR(MIN(FILTER({K200, N200, Q200}, ISNUMBER({K200, N200, Q200}), {K200, N200, Q200} &gt; 0)), """"))*R200)+IFERROR(MIN(FILTER({K200, N200, Q200}, ISNUMBER({K200, N200, Q200}), {K200, N200, Q200} &gt; 0)), """")"),918.5)</f>
        <v>918.5</v>
      </c>
      <c r="T200" s="53">
        <f>IFERROR(__xludf.DUMMYFUNCTION("(S200-(IFERROR(MIN(FILTER({K200, N200, Q200}, ISNUMBER({K200, N200, Q200}), {K200, N200, Q200} &gt; 0)), """")))/S200"),0.40119760479041916)</f>
        <v>0.4011976048</v>
      </c>
    </row>
    <row r="201" ht="22.5" customHeight="1">
      <c r="A201" s="34" t="s">
        <v>680</v>
      </c>
      <c r="B201" s="34" t="s">
        <v>50</v>
      </c>
      <c r="C201" s="37" t="s">
        <v>42</v>
      </c>
      <c r="D201" s="38" t="s">
        <v>62</v>
      </c>
      <c r="E201" s="49" t="s">
        <v>55</v>
      </c>
      <c r="F201" s="37" t="s">
        <v>58</v>
      </c>
      <c r="G201" s="49" t="s">
        <v>41</v>
      </c>
      <c r="H201" s="51" t="s">
        <v>49</v>
      </c>
      <c r="I201" s="39">
        <v>5000.0</v>
      </c>
      <c r="J201" s="39">
        <v>5000.0</v>
      </c>
      <c r="K201" s="39"/>
      <c r="L201" s="42">
        <v>5000.0</v>
      </c>
      <c r="M201" s="42">
        <v>5000.0</v>
      </c>
      <c r="N201" s="55"/>
      <c r="O201" s="39">
        <v>5000.0</v>
      </c>
      <c r="P201" s="39">
        <v>5000.0</v>
      </c>
      <c r="Q201" s="39">
        <v>440.0</v>
      </c>
      <c r="R201" s="46">
        <v>0.67</v>
      </c>
      <c r="S201" s="50">
        <f>IFERROR(__xludf.DUMMYFUNCTION("((IFERROR(MIN(FILTER({K201, N201, Q201}, ISNUMBER({K201, N201, Q201}), {K201, N201, Q201} &gt; 0)), """"))*R201)+IFERROR(MIN(FILTER({K201, N201, Q201}, ISNUMBER({K201, N201, Q201}), {K201, N201, Q201} &gt; 0)), """")"),734.8)</f>
        <v>734.8</v>
      </c>
      <c r="T201" s="53">
        <f>IFERROR(__xludf.DUMMYFUNCTION("(S201-(IFERROR(MIN(FILTER({K201, N201, Q201}, ISNUMBER({K201, N201, Q201}), {K201, N201, Q201} &gt; 0)), """")))/S201"),0.4011976047904191)</f>
        <v>0.4011976048</v>
      </c>
    </row>
    <row r="202" ht="22.5" customHeight="1">
      <c r="A202" s="34" t="s">
        <v>680</v>
      </c>
      <c r="B202" s="34" t="s">
        <v>50</v>
      </c>
      <c r="C202" s="37" t="s">
        <v>683</v>
      </c>
      <c r="D202" s="38" t="s">
        <v>62</v>
      </c>
      <c r="E202" s="49" t="s">
        <v>55</v>
      </c>
      <c r="F202" s="37" t="s">
        <v>58</v>
      </c>
      <c r="G202" s="49" t="s">
        <v>41</v>
      </c>
      <c r="H202" s="51" t="s">
        <v>49</v>
      </c>
      <c r="I202" s="39">
        <v>10000.0</v>
      </c>
      <c r="J202" s="39">
        <v>10000.0</v>
      </c>
      <c r="K202" s="39"/>
      <c r="L202" s="42">
        <v>10000.0</v>
      </c>
      <c r="M202" s="42">
        <v>10000.0</v>
      </c>
      <c r="N202" s="55"/>
      <c r="O202" s="39">
        <v>10000.0</v>
      </c>
      <c r="P202" s="39">
        <v>10000.0</v>
      </c>
      <c r="Q202" s="39">
        <v>350.0</v>
      </c>
      <c r="R202" s="46">
        <v>0.67</v>
      </c>
      <c r="S202" s="50">
        <f>IFERROR(__xludf.DUMMYFUNCTION("((IFERROR(MIN(FILTER({K202, N202, Q202}, ISNUMBER({K202, N202, Q202}), {K202, N202, Q202} &gt; 0)), """"))*R202)+IFERROR(MIN(FILTER({K202, N202, Q202}, ISNUMBER({K202, N202, Q202}), {K202, N202, Q202} &gt; 0)), """")"),584.5)</f>
        <v>584.5</v>
      </c>
      <c r="T202" s="53">
        <f>IFERROR(__xludf.DUMMYFUNCTION("(S202-(IFERROR(MIN(FILTER({K202, N202, Q202}, ISNUMBER({K202, N202, Q202}), {K202, N202, Q202} &gt; 0)), """")))/S202"),0.40119760479041916)</f>
        <v>0.4011976048</v>
      </c>
    </row>
    <row r="203" ht="22.5" customHeight="1">
      <c r="A203" s="34" t="s">
        <v>680</v>
      </c>
      <c r="B203" s="34" t="s">
        <v>50</v>
      </c>
      <c r="C203" s="37" t="s">
        <v>72</v>
      </c>
      <c r="D203" s="38" t="s">
        <v>62</v>
      </c>
      <c r="E203" s="49" t="s">
        <v>55</v>
      </c>
      <c r="F203" s="37" t="s">
        <v>58</v>
      </c>
      <c r="G203" s="49" t="s">
        <v>41</v>
      </c>
      <c r="H203" s="51" t="s">
        <v>49</v>
      </c>
      <c r="I203" s="39">
        <v>2000.0</v>
      </c>
      <c r="J203" s="39">
        <v>2000.0</v>
      </c>
      <c r="K203" s="41"/>
      <c r="L203" s="42">
        <v>2000.0</v>
      </c>
      <c r="M203" s="42">
        <v>2000.0</v>
      </c>
      <c r="N203" s="55"/>
      <c r="O203" s="39">
        <v>2000.0</v>
      </c>
      <c r="P203" s="39">
        <v>2000.0</v>
      </c>
      <c r="Q203" s="39">
        <v>640.0</v>
      </c>
      <c r="R203" s="46">
        <v>0.67</v>
      </c>
      <c r="S203" s="50">
        <f>IFERROR(__xludf.DUMMYFUNCTION("((IFERROR(MIN(FILTER({K203, N203, Q203}, ISNUMBER({K203, N203, Q203}), {K203, N203, Q203} &gt; 0)), """"))*R203)+IFERROR(MIN(FILTER({K203, N203, Q203}, ISNUMBER({K203, N203, Q203}), {K203, N203, Q203} &gt; 0)), """")"),1068.8)</f>
        <v>1068.8</v>
      </c>
      <c r="T203" s="53">
        <f>IFERROR(__xludf.DUMMYFUNCTION("(S203-(IFERROR(MIN(FILTER({K203, N203, Q203}, ISNUMBER({K203, N203, Q203}), {K203, N203, Q203} &gt; 0)), """")))/S203"),0.40119760479041916)</f>
        <v>0.4011976048</v>
      </c>
    </row>
    <row r="204" ht="22.5" customHeight="1">
      <c r="A204" s="34" t="s">
        <v>680</v>
      </c>
      <c r="B204" s="34" t="s">
        <v>50</v>
      </c>
      <c r="C204" s="37" t="s">
        <v>72</v>
      </c>
      <c r="D204" s="38" t="s">
        <v>62</v>
      </c>
      <c r="E204" s="49" t="s">
        <v>55</v>
      </c>
      <c r="F204" s="37" t="s">
        <v>58</v>
      </c>
      <c r="G204" s="49" t="s">
        <v>41</v>
      </c>
      <c r="H204" s="51" t="s">
        <v>49</v>
      </c>
      <c r="I204" s="39">
        <v>5000.0</v>
      </c>
      <c r="J204" s="39">
        <v>5000.0</v>
      </c>
      <c r="K204" s="41"/>
      <c r="L204" s="42">
        <v>5000.0</v>
      </c>
      <c r="M204" s="42">
        <v>5000.0</v>
      </c>
      <c r="N204" s="55"/>
      <c r="O204" s="39">
        <v>5000.0</v>
      </c>
      <c r="P204" s="39">
        <v>5000.0</v>
      </c>
      <c r="Q204" s="39">
        <v>550.0</v>
      </c>
      <c r="R204" s="46">
        <v>0.67</v>
      </c>
      <c r="S204" s="50">
        <f>IFERROR(__xludf.DUMMYFUNCTION("((IFERROR(MIN(FILTER({K204, N204, Q204}, ISNUMBER({K204, N204, Q204}), {K204, N204, Q204} &gt; 0)), """"))*R204)+IFERROR(MIN(FILTER({K204, N204, Q204}, ISNUMBER({K204, N204, Q204}), {K204, N204, Q204} &gt; 0)), """")"),918.5)</f>
        <v>918.5</v>
      </c>
      <c r="T204" s="53">
        <f>IFERROR(__xludf.DUMMYFUNCTION("(S204-(IFERROR(MIN(FILTER({K204, N204, Q204}, ISNUMBER({K204, N204, Q204}), {K204, N204, Q204} &gt; 0)), """")))/S204"),0.40119760479041916)</f>
        <v>0.4011976048</v>
      </c>
    </row>
    <row r="205" ht="22.5" customHeight="1">
      <c r="A205" s="34" t="s">
        <v>680</v>
      </c>
      <c r="B205" s="34" t="s">
        <v>50</v>
      </c>
      <c r="C205" s="37" t="s">
        <v>72</v>
      </c>
      <c r="D205" s="38" t="s">
        <v>62</v>
      </c>
      <c r="E205" s="49" t="s">
        <v>55</v>
      </c>
      <c r="F205" s="37" t="s">
        <v>58</v>
      </c>
      <c r="G205" s="49" t="s">
        <v>41</v>
      </c>
      <c r="H205" s="51" t="s">
        <v>49</v>
      </c>
      <c r="I205" s="39">
        <v>10000.0</v>
      </c>
      <c r="J205" s="39">
        <v>10000.0</v>
      </c>
      <c r="K205" s="41"/>
      <c r="L205" s="42">
        <v>10000.0</v>
      </c>
      <c r="M205" s="42">
        <v>10000.0</v>
      </c>
      <c r="N205" s="55"/>
      <c r="O205" s="39">
        <v>10000.0</v>
      </c>
      <c r="P205" s="39">
        <v>10000.0</v>
      </c>
      <c r="Q205" s="39">
        <v>440.0</v>
      </c>
      <c r="R205" s="46">
        <v>0.67</v>
      </c>
      <c r="S205" s="50">
        <f>IFERROR(__xludf.DUMMYFUNCTION("((IFERROR(MIN(FILTER({K205, N205, Q205}, ISNUMBER({K205, N205, Q205}), {K205, N205, Q205} &gt; 0)), """"))*R205)+IFERROR(MIN(FILTER({K205, N205, Q205}, ISNUMBER({K205, N205, Q205}), {K205, N205, Q205} &gt; 0)), """")"),734.8)</f>
        <v>734.8</v>
      </c>
      <c r="T205" s="53">
        <f>IFERROR(__xludf.DUMMYFUNCTION("(S205-(IFERROR(MIN(FILTER({K205, N205, Q205}, ISNUMBER({K205, N205, Q205}), {K205, N205, Q205} &gt; 0)), """")))/S205"),0.4011976047904191)</f>
        <v>0.4011976048</v>
      </c>
    </row>
    <row r="206" ht="22.5" customHeight="1">
      <c r="A206" s="34" t="s">
        <v>680</v>
      </c>
      <c r="B206" s="34" t="s">
        <v>50</v>
      </c>
      <c r="C206" s="37" t="s">
        <v>85</v>
      </c>
      <c r="D206" s="38" t="s">
        <v>62</v>
      </c>
      <c r="E206" s="49" t="s">
        <v>55</v>
      </c>
      <c r="F206" s="37" t="s">
        <v>58</v>
      </c>
      <c r="G206" s="49" t="s">
        <v>41</v>
      </c>
      <c r="H206" s="51" t="s">
        <v>49</v>
      </c>
      <c r="I206" s="39">
        <v>2000.0</v>
      </c>
      <c r="J206" s="39">
        <v>2000.0</v>
      </c>
      <c r="K206" s="41"/>
      <c r="L206" s="42">
        <v>2000.0</v>
      </c>
      <c r="M206" s="42">
        <v>2000.0</v>
      </c>
      <c r="N206" s="55"/>
      <c r="O206" s="39">
        <v>2000.0</v>
      </c>
      <c r="P206" s="39">
        <v>2000.0</v>
      </c>
      <c r="Q206" s="39">
        <v>720.0</v>
      </c>
      <c r="R206" s="46">
        <v>0.67</v>
      </c>
      <c r="S206" s="50">
        <f>IFERROR(__xludf.DUMMYFUNCTION("((IFERROR(MIN(FILTER({K206, N206, Q206}, ISNUMBER({K206, N206, Q206}), {K206, N206, Q206} &gt; 0)), """"))*R206)+IFERROR(MIN(FILTER({K206, N206, Q206}, ISNUMBER({K206, N206, Q206}), {K206, N206, Q206} &gt; 0)), """")"),1202.4)</f>
        <v>1202.4</v>
      </c>
      <c r="T206" s="53">
        <f>IFERROR(__xludf.DUMMYFUNCTION("(S206-(IFERROR(MIN(FILTER({K206, N206, Q206}, ISNUMBER({K206, N206, Q206}), {K206, N206, Q206} &gt; 0)), """")))/S206"),0.4011976047904192)</f>
        <v>0.4011976048</v>
      </c>
    </row>
    <row r="207" ht="22.5" customHeight="1">
      <c r="A207" s="34" t="s">
        <v>680</v>
      </c>
      <c r="B207" s="34" t="s">
        <v>50</v>
      </c>
      <c r="C207" s="37" t="s">
        <v>85</v>
      </c>
      <c r="D207" s="38" t="s">
        <v>62</v>
      </c>
      <c r="E207" s="49" t="s">
        <v>55</v>
      </c>
      <c r="F207" s="37" t="s">
        <v>58</v>
      </c>
      <c r="G207" s="49" t="s">
        <v>41</v>
      </c>
      <c r="H207" s="51" t="s">
        <v>49</v>
      </c>
      <c r="I207" s="39">
        <v>5000.0</v>
      </c>
      <c r="J207" s="39">
        <v>5000.0</v>
      </c>
      <c r="K207" s="41"/>
      <c r="L207" s="42">
        <v>5000.0</v>
      </c>
      <c r="M207" s="42">
        <v>5000.0</v>
      </c>
      <c r="N207" s="55"/>
      <c r="O207" s="39">
        <v>5000.0</v>
      </c>
      <c r="P207" s="39">
        <v>5000.0</v>
      </c>
      <c r="Q207" s="39">
        <v>640.0</v>
      </c>
      <c r="R207" s="46">
        <v>0.67</v>
      </c>
      <c r="S207" s="50">
        <f>IFERROR(__xludf.DUMMYFUNCTION("((IFERROR(MIN(FILTER({K207, N207, Q207}, ISNUMBER({K207, N207, Q207}), {K207, N207, Q207} &gt; 0)), """"))*R207)+IFERROR(MIN(FILTER({K207, N207, Q207}, ISNUMBER({K207, N207, Q207}), {K207, N207, Q207} &gt; 0)), """")"),1068.8)</f>
        <v>1068.8</v>
      </c>
      <c r="T207" s="53">
        <f>IFERROR(__xludf.DUMMYFUNCTION("(S207-(IFERROR(MIN(FILTER({K207, N207, Q207}, ISNUMBER({K207, N207, Q207}), {K207, N207, Q207} &gt; 0)), """")))/S207"),0.40119760479041916)</f>
        <v>0.4011976048</v>
      </c>
    </row>
    <row r="208" ht="22.5" customHeight="1">
      <c r="A208" s="34" t="s">
        <v>680</v>
      </c>
      <c r="B208" s="34" t="s">
        <v>50</v>
      </c>
      <c r="C208" s="37" t="s">
        <v>85</v>
      </c>
      <c r="D208" s="38" t="s">
        <v>62</v>
      </c>
      <c r="E208" s="49" t="s">
        <v>55</v>
      </c>
      <c r="F208" s="37" t="s">
        <v>58</v>
      </c>
      <c r="G208" s="49" t="s">
        <v>41</v>
      </c>
      <c r="H208" s="51" t="s">
        <v>49</v>
      </c>
      <c r="I208" s="39">
        <v>10000.0</v>
      </c>
      <c r="J208" s="39">
        <v>10000.0</v>
      </c>
      <c r="K208" s="41"/>
      <c r="L208" s="42">
        <v>10000.0</v>
      </c>
      <c r="M208" s="42">
        <v>10000.0</v>
      </c>
      <c r="N208" s="55"/>
      <c r="O208" s="39">
        <v>10000.0</v>
      </c>
      <c r="P208" s="39">
        <v>10000.0</v>
      </c>
      <c r="Q208" s="39">
        <v>550.0</v>
      </c>
      <c r="R208" s="46">
        <v>0.67</v>
      </c>
      <c r="S208" s="50">
        <f>IFERROR(__xludf.DUMMYFUNCTION("((IFERROR(MIN(FILTER({K208, N208, Q208}, ISNUMBER({K208, N208, Q208}), {K208, N208, Q208} &gt; 0)), """"))*R208)+IFERROR(MIN(FILTER({K208, N208, Q208}, ISNUMBER({K208, N208, Q208}), {K208, N208, Q208} &gt; 0)), """")"),918.5)</f>
        <v>918.5</v>
      </c>
      <c r="T208" s="53">
        <f>IFERROR(__xludf.DUMMYFUNCTION("(S208-(IFERROR(MIN(FILTER({K208, N208, Q208}, ISNUMBER({K208, N208, Q208}), {K208, N208, Q208} &gt; 0)), """")))/S208"),0.40119760479041916)</f>
        <v>0.4011976048</v>
      </c>
    </row>
    <row r="209" ht="22.5" customHeight="1">
      <c r="A209" s="34" t="s">
        <v>708</v>
      </c>
      <c r="B209" s="34" t="s">
        <v>50</v>
      </c>
      <c r="C209" s="37" t="s">
        <v>42</v>
      </c>
      <c r="D209" s="38" t="s">
        <v>709</v>
      </c>
      <c r="E209" s="49" t="s">
        <v>55</v>
      </c>
      <c r="F209" s="37" t="s">
        <v>239</v>
      </c>
      <c r="G209" s="49" t="s">
        <v>41</v>
      </c>
      <c r="H209" s="51" t="s">
        <v>49</v>
      </c>
      <c r="I209" s="39">
        <v>2000.0</v>
      </c>
      <c r="J209" s="39">
        <v>2000.0</v>
      </c>
      <c r="K209" s="41"/>
      <c r="L209" s="42">
        <v>2000.0</v>
      </c>
      <c r="M209" s="42">
        <v>2000.0</v>
      </c>
      <c r="N209" s="55"/>
      <c r="O209" s="39">
        <v>2000.0</v>
      </c>
      <c r="P209" s="39">
        <v>2000.0</v>
      </c>
      <c r="Q209" s="39">
        <v>1080.0</v>
      </c>
      <c r="R209" s="46">
        <v>0.67</v>
      </c>
      <c r="S209" s="50">
        <f>IFERROR(__xludf.DUMMYFUNCTION("((IFERROR(MIN(FILTER({K209, N209, Q209}, ISNUMBER({K209, N209, Q209}), {K209, N209, Q209} &gt; 0)), """"))*R209)+IFERROR(MIN(FILTER({K209, N209, Q209}, ISNUMBER({K209, N209, Q209}), {K209, N209, Q209} &gt; 0)), """")"),1803.6)</f>
        <v>1803.6</v>
      </c>
      <c r="T209" s="53">
        <f>IFERROR(__xludf.DUMMYFUNCTION("(S209-(IFERROR(MIN(FILTER({K209, N209, Q209}, ISNUMBER({K209, N209, Q209}), {K209, N209, Q209} &gt; 0)), """")))/S209"),0.4011976047904191)</f>
        <v>0.4011976048</v>
      </c>
    </row>
    <row r="210" ht="22.5" customHeight="1">
      <c r="A210" s="34" t="s">
        <v>708</v>
      </c>
      <c r="B210" s="34" t="s">
        <v>50</v>
      </c>
      <c r="C210" s="37" t="s">
        <v>42</v>
      </c>
      <c r="D210" s="38" t="s">
        <v>62</v>
      </c>
      <c r="E210" s="49" t="s">
        <v>55</v>
      </c>
      <c r="F210" s="37" t="s">
        <v>239</v>
      </c>
      <c r="G210" s="49" t="s">
        <v>41</v>
      </c>
      <c r="H210" s="51" t="s">
        <v>49</v>
      </c>
      <c r="I210" s="39">
        <v>2000.0</v>
      </c>
      <c r="J210" s="39">
        <v>2000.0</v>
      </c>
      <c r="K210" s="41"/>
      <c r="L210" s="42">
        <v>2000.0</v>
      </c>
      <c r="M210" s="42">
        <v>2000.0</v>
      </c>
      <c r="N210" s="55"/>
      <c r="O210" s="39">
        <v>2000.0</v>
      </c>
      <c r="P210" s="39">
        <v>2000.0</v>
      </c>
      <c r="Q210" s="39">
        <v>550.0</v>
      </c>
      <c r="R210" s="46">
        <v>0.67</v>
      </c>
      <c r="S210" s="50">
        <f>IFERROR(__xludf.DUMMYFUNCTION("((IFERROR(MIN(FILTER({K210, N210, Q210}, ISNUMBER({K210, N210, Q210}), {K210, N210, Q210} &gt; 0)), """"))*R210)+IFERROR(MIN(FILTER({K210, N210, Q210}, ISNUMBER({K210, N210, Q210}), {K210, N210, Q210} &gt; 0)), """")"),918.5)</f>
        <v>918.5</v>
      </c>
      <c r="T210" s="53">
        <f>IFERROR(__xludf.DUMMYFUNCTION("(S210-(IFERROR(MIN(FILTER({K210, N210, Q210}, ISNUMBER({K210, N210, Q210}), {K210, N210, Q210} &gt; 0)), """")))/S210"),0.40119760479041916)</f>
        <v>0.4011976048</v>
      </c>
    </row>
    <row r="211" ht="22.5" customHeight="1">
      <c r="A211" s="34" t="s">
        <v>708</v>
      </c>
      <c r="B211" s="34" t="s">
        <v>50</v>
      </c>
      <c r="C211" s="37" t="s">
        <v>42</v>
      </c>
      <c r="D211" s="38" t="s">
        <v>287</v>
      </c>
      <c r="E211" s="49" t="s">
        <v>55</v>
      </c>
      <c r="F211" s="37" t="s">
        <v>239</v>
      </c>
      <c r="G211" s="49" t="s">
        <v>41</v>
      </c>
      <c r="H211" s="51" t="s">
        <v>49</v>
      </c>
      <c r="I211" s="39">
        <v>2000.0</v>
      </c>
      <c r="J211" s="39">
        <v>2000.0</v>
      </c>
      <c r="K211" s="41"/>
      <c r="L211" s="42">
        <v>2000.0</v>
      </c>
      <c r="M211" s="42">
        <v>2000.0</v>
      </c>
      <c r="N211" s="55"/>
      <c r="O211" s="39">
        <v>2000.0</v>
      </c>
      <c r="P211" s="39">
        <v>2000.0</v>
      </c>
      <c r="Q211" s="39">
        <v>510.0</v>
      </c>
      <c r="R211" s="46">
        <v>0.67</v>
      </c>
      <c r="S211" s="50">
        <f>IFERROR(__xludf.DUMMYFUNCTION("((IFERROR(MIN(FILTER({K211, N211, Q211}, ISNUMBER({K211, N211, Q211}), {K211, N211, Q211} &gt; 0)), """"))*R211)+IFERROR(MIN(FILTER({K211, N211, Q211}, ISNUMBER({K211, N211, Q211}), {K211, N211, Q211} &gt; 0)), """")"),851.7)</f>
        <v>851.7</v>
      </c>
      <c r="T211" s="53">
        <f>IFERROR(__xludf.DUMMYFUNCTION("(S211-(IFERROR(MIN(FILTER({K211, N211, Q211}, ISNUMBER({K211, N211, Q211}), {K211, N211, Q211} &gt; 0)), """")))/S211"),0.4011976047904192)</f>
        <v>0.4011976048</v>
      </c>
    </row>
    <row r="212" ht="22.5" customHeight="1">
      <c r="A212" s="34" t="s">
        <v>714</v>
      </c>
      <c r="B212" s="34" t="s">
        <v>50</v>
      </c>
      <c r="C212" s="37" t="s">
        <v>504</v>
      </c>
      <c r="D212" s="38" t="s">
        <v>62</v>
      </c>
      <c r="E212" s="49" t="s">
        <v>46</v>
      </c>
      <c r="F212" s="37" t="s">
        <v>715</v>
      </c>
      <c r="G212" s="49" t="s">
        <v>41</v>
      </c>
      <c r="H212" s="51" t="s">
        <v>49</v>
      </c>
      <c r="I212" s="39">
        <v>2000.0</v>
      </c>
      <c r="J212" s="39">
        <v>2000.0</v>
      </c>
      <c r="K212" s="41"/>
      <c r="L212" s="42">
        <v>2000.0</v>
      </c>
      <c r="M212" s="42">
        <v>2000.0</v>
      </c>
      <c r="N212" s="55"/>
      <c r="O212" s="39">
        <v>2000.0</v>
      </c>
      <c r="P212" s="39">
        <v>2000.0</v>
      </c>
      <c r="Q212" s="39">
        <v>960.0</v>
      </c>
      <c r="R212" s="46">
        <v>0.67</v>
      </c>
      <c r="S212" s="50">
        <f>IFERROR(__xludf.DUMMYFUNCTION("((IFERROR(MIN(FILTER({K212, N212, Q212}, ISNUMBER({K212, N212, Q212}), {K212, N212, Q212} &gt; 0)), """"))*R212)+IFERROR(MIN(FILTER({K212, N212, Q212}, ISNUMBER({K212, N212, Q212}), {K212, N212, Q212} &gt; 0)), """")"),1603.2)</f>
        <v>1603.2</v>
      </c>
      <c r="T212" s="53">
        <f>IFERROR(__xludf.DUMMYFUNCTION("(S212-(IFERROR(MIN(FILTER({K212, N212, Q212}, ISNUMBER({K212, N212, Q212}), {K212, N212, Q212} &gt; 0)), """")))/S212"),0.40119760479041916)</f>
        <v>0.4011976048</v>
      </c>
    </row>
    <row r="213" ht="22.5" customHeight="1">
      <c r="A213" s="34" t="s">
        <v>716</v>
      </c>
      <c r="B213" s="34" t="s">
        <v>50</v>
      </c>
      <c r="C213" s="37" t="s">
        <v>85</v>
      </c>
      <c r="D213" s="38" t="s">
        <v>363</v>
      </c>
      <c r="E213" s="49" t="s">
        <v>36</v>
      </c>
      <c r="F213" s="37" t="s">
        <v>717</v>
      </c>
      <c r="G213" s="49" t="s">
        <v>41</v>
      </c>
      <c r="H213" s="51" t="s">
        <v>49</v>
      </c>
      <c r="I213" s="39">
        <v>2000.0</v>
      </c>
      <c r="J213" s="39">
        <v>2000.0</v>
      </c>
      <c r="K213" s="41"/>
      <c r="L213" s="42">
        <v>2000.0</v>
      </c>
      <c r="M213" s="42">
        <v>2000.0</v>
      </c>
      <c r="N213" s="55"/>
      <c r="O213" s="39">
        <v>2000.0</v>
      </c>
      <c r="P213" s="39">
        <v>2000.0</v>
      </c>
      <c r="Q213" s="39">
        <v>880.0</v>
      </c>
      <c r="R213" s="46">
        <v>0.67</v>
      </c>
      <c r="S213" s="50">
        <f>IFERROR(__xludf.DUMMYFUNCTION("((IFERROR(MIN(FILTER({K213, N213, Q213}, ISNUMBER({K213, N213, Q213}), {K213, N213, Q213} &gt; 0)), """"))*R213)+IFERROR(MIN(FILTER({K213, N213, Q213}, ISNUMBER({K213, N213, Q213}), {K213, N213, Q213} &gt; 0)), """")"),1469.6)</f>
        <v>1469.6</v>
      </c>
      <c r="T213" s="53">
        <f>IFERROR(__xludf.DUMMYFUNCTION("(S213-(IFERROR(MIN(FILTER({K213, N213, Q213}, ISNUMBER({K213, N213, Q213}), {K213, N213, Q213} &gt; 0)), """")))/S213"),0.4011976047904191)</f>
        <v>0.4011976048</v>
      </c>
    </row>
    <row r="214" ht="22.5" customHeight="1">
      <c r="A214" s="34" t="s">
        <v>387</v>
      </c>
      <c r="B214" s="34" t="s">
        <v>50</v>
      </c>
      <c r="C214" s="37" t="s">
        <v>85</v>
      </c>
      <c r="D214" s="38" t="s">
        <v>720</v>
      </c>
      <c r="E214" s="49" t="s">
        <v>63</v>
      </c>
      <c r="F214" s="37" t="s">
        <v>67</v>
      </c>
      <c r="G214" s="49" t="s">
        <v>41</v>
      </c>
      <c r="H214" s="51" t="s">
        <v>49</v>
      </c>
      <c r="I214" s="39">
        <v>15000.0</v>
      </c>
      <c r="J214" s="39">
        <v>15000.0</v>
      </c>
      <c r="K214" s="41"/>
      <c r="L214" s="42">
        <v>15000.0</v>
      </c>
      <c r="M214" s="42">
        <v>15000.0</v>
      </c>
      <c r="N214" s="55"/>
      <c r="O214" s="39">
        <v>15000.0</v>
      </c>
      <c r="P214" s="39">
        <v>15000.0</v>
      </c>
      <c r="Q214" s="39">
        <v>420.0</v>
      </c>
      <c r="R214" s="46">
        <v>0.67</v>
      </c>
      <c r="S214" s="50">
        <f>IFERROR(__xludf.DUMMYFUNCTION("((IFERROR(MIN(FILTER({K214, N214, Q214}, ISNUMBER({K214, N214, Q214}), {K214, N214, Q214} &gt; 0)), """"))*R214)+IFERROR(MIN(FILTER({K214, N214, Q214}, ISNUMBER({K214, N214, Q214}), {K214, N214, Q214} &gt; 0)), """")"),701.4000000000001)</f>
        <v>701.4</v>
      </c>
      <c r="T214" s="53">
        <f>IFERROR(__xludf.DUMMYFUNCTION("(S214-(IFERROR(MIN(FILTER({K214, N214, Q214}, ISNUMBER({K214, N214, Q214}), {K214, N214, Q214} &gt; 0)), """")))/S214"),0.4011976047904192)</f>
        <v>0.4011976048</v>
      </c>
    </row>
    <row r="215" ht="22.5" customHeight="1">
      <c r="A215" s="34" t="s">
        <v>387</v>
      </c>
      <c r="B215" s="34" t="s">
        <v>50</v>
      </c>
      <c r="C215" s="37" t="s">
        <v>85</v>
      </c>
      <c r="D215" s="38" t="s">
        <v>721</v>
      </c>
      <c r="E215" s="49" t="s">
        <v>63</v>
      </c>
      <c r="F215" s="37" t="s">
        <v>67</v>
      </c>
      <c r="G215" s="49" t="s">
        <v>41</v>
      </c>
      <c r="H215" s="51" t="s">
        <v>49</v>
      </c>
      <c r="I215" s="39">
        <v>25000.0</v>
      </c>
      <c r="J215" s="39">
        <v>25000.0</v>
      </c>
      <c r="K215" s="41"/>
      <c r="L215" s="42">
        <v>25000.0</v>
      </c>
      <c r="M215" s="42">
        <v>25000.0</v>
      </c>
      <c r="N215" s="55"/>
      <c r="O215" s="39">
        <v>25000.0</v>
      </c>
      <c r="P215" s="39">
        <v>25000.0</v>
      </c>
      <c r="Q215" s="39">
        <v>320.0</v>
      </c>
      <c r="R215" s="46">
        <v>0.67</v>
      </c>
      <c r="S215" s="50">
        <f>IFERROR(__xludf.DUMMYFUNCTION("((IFERROR(MIN(FILTER({K215, N215, Q215}, ISNUMBER({K215, N215, Q215}), {K215, N215, Q215} &gt; 0)), """"))*R215)+IFERROR(MIN(FILTER({K215, N215, Q215}, ISNUMBER({K215, N215, Q215}), {K215, N215, Q215} &gt; 0)), """")"),534.4)</f>
        <v>534.4</v>
      </c>
      <c r="T215" s="53">
        <f>IFERROR(__xludf.DUMMYFUNCTION("(S215-(IFERROR(MIN(FILTER({K215, N215, Q215}, ISNUMBER({K215, N215, Q215}), {K215, N215, Q215} &gt; 0)), """")))/S215"),0.40119760479041916)</f>
        <v>0.4011976048</v>
      </c>
    </row>
    <row r="216" ht="22.5" customHeight="1">
      <c r="A216" s="34" t="s">
        <v>387</v>
      </c>
      <c r="B216" s="34" t="s">
        <v>50</v>
      </c>
      <c r="C216" s="37" t="s">
        <v>85</v>
      </c>
      <c r="D216" s="38" t="s">
        <v>724</v>
      </c>
      <c r="E216" s="49" t="s">
        <v>63</v>
      </c>
      <c r="F216" s="37" t="s">
        <v>67</v>
      </c>
      <c r="G216" s="49" t="s">
        <v>41</v>
      </c>
      <c r="H216" s="51" t="s">
        <v>49</v>
      </c>
      <c r="I216" s="39">
        <v>15000.0</v>
      </c>
      <c r="J216" s="39">
        <v>15000.0</v>
      </c>
      <c r="K216" s="41"/>
      <c r="L216" s="42">
        <v>15000.0</v>
      </c>
      <c r="M216" s="42">
        <v>15000.0</v>
      </c>
      <c r="N216" s="55"/>
      <c r="O216" s="39">
        <v>15000.0</v>
      </c>
      <c r="P216" s="39">
        <v>15000.0</v>
      </c>
      <c r="Q216" s="39">
        <v>440.0</v>
      </c>
      <c r="R216" s="46">
        <v>0.67</v>
      </c>
      <c r="S216" s="50">
        <f>IFERROR(__xludf.DUMMYFUNCTION("((IFERROR(MIN(FILTER({K216, N216, Q216}, ISNUMBER({K216, N216, Q216}), {K216, N216, Q216} &gt; 0)), """"))*R216)+IFERROR(MIN(FILTER({K216, N216, Q216}, ISNUMBER({K216, N216, Q216}), {K216, N216, Q216} &gt; 0)), """")"),734.8)</f>
        <v>734.8</v>
      </c>
      <c r="T216" s="53">
        <f>IFERROR(__xludf.DUMMYFUNCTION("(S216-(IFERROR(MIN(FILTER({K216, N216, Q216}, ISNUMBER({K216, N216, Q216}), {K216, N216, Q216} &gt; 0)), """")))/S216"),0.4011976047904191)</f>
        <v>0.4011976048</v>
      </c>
    </row>
    <row r="217" ht="22.5" customHeight="1">
      <c r="A217" s="34" t="s">
        <v>387</v>
      </c>
      <c r="B217" s="34" t="s">
        <v>50</v>
      </c>
      <c r="C217" s="37" t="s">
        <v>85</v>
      </c>
      <c r="D217" s="38" t="s">
        <v>724</v>
      </c>
      <c r="E217" s="49" t="s">
        <v>63</v>
      </c>
      <c r="F217" s="37" t="s">
        <v>67</v>
      </c>
      <c r="G217" s="49" t="s">
        <v>41</v>
      </c>
      <c r="H217" s="51" t="s">
        <v>49</v>
      </c>
      <c r="I217" s="39">
        <v>25000.0</v>
      </c>
      <c r="J217" s="39">
        <v>25000.0</v>
      </c>
      <c r="K217" s="41"/>
      <c r="L217" s="42">
        <v>25000.0</v>
      </c>
      <c r="M217" s="42">
        <v>25000.0</v>
      </c>
      <c r="N217" s="55"/>
      <c r="O217" s="39">
        <v>25000.0</v>
      </c>
      <c r="P217" s="39">
        <v>25000.0</v>
      </c>
      <c r="Q217" s="39">
        <v>350.0</v>
      </c>
      <c r="R217" s="46">
        <v>0.67</v>
      </c>
      <c r="S217" s="50">
        <f>IFERROR(__xludf.DUMMYFUNCTION("((IFERROR(MIN(FILTER({K217, N217, Q217}, ISNUMBER({K217, N217, Q217}), {K217, N217, Q217} &gt; 0)), """"))*R217)+IFERROR(MIN(FILTER({K217, N217, Q217}, ISNUMBER({K217, N217, Q217}), {K217, N217, Q217} &gt; 0)), """")"),584.5)</f>
        <v>584.5</v>
      </c>
      <c r="T217" s="53">
        <f>IFERROR(__xludf.DUMMYFUNCTION("(S217-(IFERROR(MIN(FILTER({K217, N217, Q217}, ISNUMBER({K217, N217, Q217}), {K217, N217, Q217} &gt; 0)), """")))/S217"),0.40119760479041916)</f>
        <v>0.4011976048</v>
      </c>
    </row>
    <row r="218" ht="22.5" customHeight="1">
      <c r="A218" s="34" t="s">
        <v>387</v>
      </c>
      <c r="B218" s="34" t="s">
        <v>50</v>
      </c>
      <c r="C218" s="37" t="s">
        <v>85</v>
      </c>
      <c r="D218" s="38" t="s">
        <v>730</v>
      </c>
      <c r="E218" s="49" t="s">
        <v>63</v>
      </c>
      <c r="F218" s="37" t="s">
        <v>67</v>
      </c>
      <c r="G218" s="49" t="s">
        <v>41</v>
      </c>
      <c r="H218" s="51" t="s">
        <v>49</v>
      </c>
      <c r="I218" s="39">
        <v>15000.0</v>
      </c>
      <c r="J218" s="39">
        <v>15000.0</v>
      </c>
      <c r="K218" s="41"/>
      <c r="L218" s="42">
        <v>15000.0</v>
      </c>
      <c r="M218" s="42">
        <v>15000.0</v>
      </c>
      <c r="N218" s="55"/>
      <c r="O218" s="39">
        <v>15000.0</v>
      </c>
      <c r="P218" s="39">
        <v>15000.0</v>
      </c>
      <c r="Q218" s="39">
        <v>470.0</v>
      </c>
      <c r="R218" s="46">
        <v>0.67</v>
      </c>
      <c r="S218" s="50">
        <f>IFERROR(__xludf.DUMMYFUNCTION("((IFERROR(MIN(FILTER({K218, N218, Q218}, ISNUMBER({K218, N218, Q218}), {K218, N218, Q218} &gt; 0)), """"))*R218)+IFERROR(MIN(FILTER({K218, N218, Q218}, ISNUMBER({K218, N218, Q218}), {K218, N218, Q218} &gt; 0)), """")"),784.9000000000001)</f>
        <v>784.9</v>
      </c>
      <c r="T218" s="53">
        <f>IFERROR(__xludf.DUMMYFUNCTION("(S218-(IFERROR(MIN(FILTER({K218, N218, Q218}, ISNUMBER({K218, N218, Q218}), {K218, N218, Q218} &gt; 0)), """")))/S218"),0.4011976047904192)</f>
        <v>0.4011976048</v>
      </c>
    </row>
    <row r="219" ht="22.5" customHeight="1">
      <c r="A219" s="34" t="s">
        <v>387</v>
      </c>
      <c r="B219" s="34" t="s">
        <v>50</v>
      </c>
      <c r="C219" s="37" t="s">
        <v>85</v>
      </c>
      <c r="D219" s="38" t="s">
        <v>730</v>
      </c>
      <c r="E219" s="49" t="s">
        <v>63</v>
      </c>
      <c r="F219" s="37" t="s">
        <v>67</v>
      </c>
      <c r="G219" s="49" t="s">
        <v>41</v>
      </c>
      <c r="H219" s="51" t="s">
        <v>49</v>
      </c>
      <c r="I219" s="39">
        <v>25000.0</v>
      </c>
      <c r="J219" s="39">
        <v>25000.0</v>
      </c>
      <c r="K219" s="41"/>
      <c r="L219" s="42">
        <v>25000.0</v>
      </c>
      <c r="M219" s="42">
        <v>25000.0</v>
      </c>
      <c r="N219" s="55"/>
      <c r="O219" s="39">
        <v>25000.0</v>
      </c>
      <c r="P219" s="39">
        <v>25000.0</v>
      </c>
      <c r="Q219" s="39">
        <v>370.0</v>
      </c>
      <c r="R219" s="46">
        <v>0.67</v>
      </c>
      <c r="S219" s="50">
        <f>IFERROR(__xludf.DUMMYFUNCTION("((IFERROR(MIN(FILTER({K219, N219, Q219}, ISNUMBER({K219, N219, Q219}), {K219, N219, Q219} &gt; 0)), """"))*R219)+IFERROR(MIN(FILTER({K219, N219, Q219}, ISNUMBER({K219, N219, Q219}), {K219, N219, Q219} &gt; 0)), """")"),617.9)</f>
        <v>617.9</v>
      </c>
      <c r="T219" s="53">
        <f>IFERROR(__xludf.DUMMYFUNCTION("(S219-(IFERROR(MIN(FILTER({K219, N219, Q219}, ISNUMBER({K219, N219, Q219}), {K219, N219, Q219} &gt; 0)), """")))/S219"),0.40119760479041916)</f>
        <v>0.4011976048</v>
      </c>
    </row>
    <row r="220" ht="22.5" customHeight="1">
      <c r="A220" s="34" t="s">
        <v>739</v>
      </c>
      <c r="B220" s="34" t="s">
        <v>50</v>
      </c>
      <c r="C220" s="37" t="s">
        <v>42</v>
      </c>
      <c r="D220" s="38" t="s">
        <v>740</v>
      </c>
      <c r="E220" s="49" t="s">
        <v>97</v>
      </c>
      <c r="F220" s="37"/>
      <c r="G220" s="49" t="s">
        <v>41</v>
      </c>
      <c r="H220" s="51" t="s">
        <v>49</v>
      </c>
      <c r="I220" s="39">
        <v>2000.0</v>
      </c>
      <c r="J220" s="39">
        <v>2000.0</v>
      </c>
      <c r="K220" s="41"/>
      <c r="L220" s="42">
        <v>2000.0</v>
      </c>
      <c r="M220" s="42">
        <v>2000.0</v>
      </c>
      <c r="N220" s="55"/>
      <c r="O220" s="39">
        <v>2000.0</v>
      </c>
      <c r="P220" s="39">
        <v>2000.0</v>
      </c>
      <c r="Q220" s="39">
        <v>1500.0</v>
      </c>
      <c r="R220" s="46">
        <v>0.67</v>
      </c>
      <c r="S220" s="50">
        <f>IFERROR(__xludf.DUMMYFUNCTION("((IFERROR(MIN(FILTER({K220, N220, Q220}, ISNUMBER({K220, N220, Q220}), {K220, N220, Q220} &gt; 0)), """"))*R220)+IFERROR(MIN(FILTER({K220, N220, Q220}, ISNUMBER({K220, N220, Q220}), {K220, N220, Q220} &gt; 0)), """")"),2505.0)</f>
        <v>2505</v>
      </c>
      <c r="T220" s="53">
        <f>IFERROR(__xludf.DUMMYFUNCTION("(S220-(IFERROR(MIN(FILTER({K220, N220, Q220}, ISNUMBER({K220, N220, Q220}), {K220, N220, Q220} &gt; 0)), """")))/S220"),0.40119760479041916)</f>
        <v>0.4011976048</v>
      </c>
    </row>
    <row r="221" ht="22.5" customHeight="1">
      <c r="A221" s="34" t="s">
        <v>739</v>
      </c>
      <c r="B221" s="34" t="s">
        <v>50</v>
      </c>
      <c r="C221" s="37" t="s">
        <v>42</v>
      </c>
      <c r="D221" s="38" t="s">
        <v>740</v>
      </c>
      <c r="E221" s="49" t="s">
        <v>55</v>
      </c>
      <c r="F221" s="37" t="s">
        <v>57</v>
      </c>
      <c r="G221" s="49" t="s">
        <v>41</v>
      </c>
      <c r="H221" s="51" t="s">
        <v>49</v>
      </c>
      <c r="I221" s="39">
        <v>2000.0</v>
      </c>
      <c r="J221" s="39">
        <v>2000.0</v>
      </c>
      <c r="K221" s="41"/>
      <c r="L221" s="42">
        <v>2000.0</v>
      </c>
      <c r="M221" s="42">
        <v>2000.0</v>
      </c>
      <c r="N221" s="55"/>
      <c r="O221" s="39">
        <v>2000.0</v>
      </c>
      <c r="P221" s="39">
        <v>2000.0</v>
      </c>
      <c r="Q221" s="39">
        <v>2200.0</v>
      </c>
      <c r="R221" s="46">
        <v>0.67</v>
      </c>
      <c r="S221" s="50">
        <f>IFERROR(__xludf.DUMMYFUNCTION("((IFERROR(MIN(FILTER({K221, N221, Q221}, ISNUMBER({K221, N221, Q221}), {K221, N221, Q221} &gt; 0)), """"))*R221)+IFERROR(MIN(FILTER({K221, N221, Q221}, ISNUMBER({K221, N221, Q221}), {K221, N221, Q221} &gt; 0)), """")"),3674.0)</f>
        <v>3674</v>
      </c>
      <c r="T221" s="53">
        <f>IFERROR(__xludf.DUMMYFUNCTION("(S221-(IFERROR(MIN(FILTER({K221, N221, Q221}, ISNUMBER({K221, N221, Q221}), {K221, N221, Q221} &gt; 0)), """")))/S221"),0.40119760479041916)</f>
        <v>0.4011976048</v>
      </c>
    </row>
    <row r="222" ht="22.5" customHeight="1">
      <c r="A222" s="34" t="s">
        <v>739</v>
      </c>
      <c r="B222" s="34" t="s">
        <v>50</v>
      </c>
      <c r="C222" s="37" t="s">
        <v>72</v>
      </c>
      <c r="D222" s="38" t="s">
        <v>740</v>
      </c>
      <c r="E222" s="49" t="s">
        <v>36</v>
      </c>
      <c r="F222" s="37" t="s">
        <v>743</v>
      </c>
      <c r="G222" s="49" t="s">
        <v>41</v>
      </c>
      <c r="H222" s="51" t="s">
        <v>49</v>
      </c>
      <c r="I222" s="39">
        <v>2000.0</v>
      </c>
      <c r="J222" s="39">
        <v>2000.0</v>
      </c>
      <c r="K222" s="41"/>
      <c r="L222" s="42">
        <v>2000.0</v>
      </c>
      <c r="M222" s="42">
        <v>2000.0</v>
      </c>
      <c r="N222" s="55"/>
      <c r="O222" s="39">
        <v>2000.0</v>
      </c>
      <c r="P222" s="39">
        <v>2000.0</v>
      </c>
      <c r="Q222" s="39">
        <v>2600.0</v>
      </c>
      <c r="R222" s="46">
        <v>0.67</v>
      </c>
      <c r="S222" s="50">
        <f>IFERROR(__xludf.DUMMYFUNCTION("((IFERROR(MIN(FILTER({K222, N222, Q222}, ISNUMBER({K222, N222, Q222}), {K222, N222, Q222} &gt; 0)), """"))*R222)+IFERROR(MIN(FILTER({K222, N222, Q222}, ISNUMBER({K222, N222, Q222}), {K222, N222, Q222} &gt; 0)), """")"),4342.0)</f>
        <v>4342</v>
      </c>
      <c r="T222" s="53">
        <f>IFERROR(__xludf.DUMMYFUNCTION("(S222-(IFERROR(MIN(FILTER({K222, N222, Q222}, ISNUMBER({K222, N222, Q222}), {K222, N222, Q222} &gt; 0)), """")))/S222"),0.40119760479041916)</f>
        <v>0.4011976048</v>
      </c>
    </row>
    <row r="223" ht="22.5" customHeight="1">
      <c r="A223" s="34" t="s">
        <v>739</v>
      </c>
      <c r="B223" s="34" t="s">
        <v>50</v>
      </c>
      <c r="C223" s="37" t="s">
        <v>85</v>
      </c>
      <c r="D223" s="38" t="s">
        <v>740</v>
      </c>
      <c r="E223" s="49" t="s">
        <v>97</v>
      </c>
      <c r="F223" s="37"/>
      <c r="G223" s="49" t="s">
        <v>41</v>
      </c>
      <c r="H223" s="51" t="s">
        <v>49</v>
      </c>
      <c r="I223" s="39">
        <v>2000.0</v>
      </c>
      <c r="J223" s="39">
        <v>2000.0</v>
      </c>
      <c r="K223" s="41"/>
      <c r="L223" s="42">
        <v>2000.0</v>
      </c>
      <c r="M223" s="42">
        <v>2000.0</v>
      </c>
      <c r="N223" s="55"/>
      <c r="O223" s="39">
        <v>2000.0</v>
      </c>
      <c r="P223" s="39">
        <v>2000.0</v>
      </c>
      <c r="Q223" s="39">
        <v>1800.0</v>
      </c>
      <c r="R223" s="46">
        <v>0.67</v>
      </c>
      <c r="S223" s="50">
        <f>IFERROR(__xludf.DUMMYFUNCTION("((IFERROR(MIN(FILTER({K223, N223, Q223}, ISNUMBER({K223, N223, Q223}), {K223, N223, Q223} &gt; 0)), """"))*R223)+IFERROR(MIN(FILTER({K223, N223, Q223}, ISNUMBER({K223, N223, Q223}), {K223, N223, Q223} &gt; 0)), """")"),3006.0)</f>
        <v>3006</v>
      </c>
      <c r="T223" s="53">
        <f>IFERROR(__xludf.DUMMYFUNCTION("(S223-(IFERROR(MIN(FILTER({K223, N223, Q223}, ISNUMBER({K223, N223, Q223}), {K223, N223, Q223} &gt; 0)), """")))/S223"),0.40119760479041916)</f>
        <v>0.4011976048</v>
      </c>
    </row>
    <row r="224" ht="22.5" customHeight="1">
      <c r="A224" s="34" t="s">
        <v>739</v>
      </c>
      <c r="B224" s="34" t="s">
        <v>50</v>
      </c>
      <c r="C224" s="37" t="s">
        <v>85</v>
      </c>
      <c r="D224" s="38" t="s">
        <v>740</v>
      </c>
      <c r="E224" s="49" t="s">
        <v>55</v>
      </c>
      <c r="F224" s="37" t="s">
        <v>57</v>
      </c>
      <c r="G224" s="49" t="s">
        <v>41</v>
      </c>
      <c r="H224" s="51" t="s">
        <v>49</v>
      </c>
      <c r="I224" s="39">
        <v>2000.0</v>
      </c>
      <c r="J224" s="39">
        <v>2000.0</v>
      </c>
      <c r="K224" s="41"/>
      <c r="L224" s="42">
        <v>2000.0</v>
      </c>
      <c r="M224" s="42">
        <v>2000.0</v>
      </c>
      <c r="N224" s="55"/>
      <c r="O224" s="39">
        <v>2000.0</v>
      </c>
      <c r="P224" s="39">
        <v>2000.0</v>
      </c>
      <c r="Q224" s="39">
        <v>2700.0</v>
      </c>
      <c r="R224" s="46">
        <v>0.67</v>
      </c>
      <c r="S224" s="50">
        <f>IFERROR(__xludf.DUMMYFUNCTION("((IFERROR(MIN(FILTER({K224, N224, Q224}, ISNUMBER({K224, N224, Q224}), {K224, N224, Q224} &gt; 0)), """"))*R224)+IFERROR(MIN(FILTER({K224, N224, Q224}, ISNUMBER({K224, N224, Q224}), {K224, N224, Q224} &gt; 0)), """")"),4509.0)</f>
        <v>4509</v>
      </c>
      <c r="T224" s="53">
        <f>IFERROR(__xludf.DUMMYFUNCTION("(S224-(IFERROR(MIN(FILTER({K224, N224, Q224}, ISNUMBER({K224, N224, Q224}), {K224, N224, Q224} &gt; 0)), """")))/S224"),0.40119760479041916)</f>
        <v>0.4011976048</v>
      </c>
    </row>
    <row r="225" ht="22.5" customHeight="1">
      <c r="A225" s="34" t="s">
        <v>739</v>
      </c>
      <c r="B225" s="34" t="s">
        <v>50</v>
      </c>
      <c r="C225" s="37" t="s">
        <v>364</v>
      </c>
      <c r="D225" s="38" t="s">
        <v>740</v>
      </c>
      <c r="E225" s="49" t="s">
        <v>36</v>
      </c>
      <c r="F225" s="37" t="s">
        <v>743</v>
      </c>
      <c r="G225" s="49" t="s">
        <v>41</v>
      </c>
      <c r="H225" s="51" t="s">
        <v>49</v>
      </c>
      <c r="I225" s="39">
        <v>2000.0</v>
      </c>
      <c r="J225" s="39">
        <v>2000.0</v>
      </c>
      <c r="K225" s="41"/>
      <c r="L225" s="42">
        <v>2000.0</v>
      </c>
      <c r="M225" s="42">
        <v>2000.0</v>
      </c>
      <c r="N225" s="55"/>
      <c r="O225" s="39">
        <v>2000.0</v>
      </c>
      <c r="P225" s="39">
        <v>2000.0</v>
      </c>
      <c r="Q225" s="39">
        <v>3000.0</v>
      </c>
      <c r="R225" s="46">
        <v>0.67</v>
      </c>
      <c r="S225" s="50">
        <f>IFERROR(__xludf.DUMMYFUNCTION("((IFERROR(MIN(FILTER({K225, N225, Q225}, ISNUMBER({K225, N225, Q225}), {K225, N225, Q225} &gt; 0)), """"))*R225)+IFERROR(MIN(FILTER({K225, N225, Q225}, ISNUMBER({K225, N225, Q225}), {K225, N225, Q225} &gt; 0)), """")"),5010.0)</f>
        <v>5010</v>
      </c>
      <c r="T225" s="53">
        <f>IFERROR(__xludf.DUMMYFUNCTION("(S225-(IFERROR(MIN(FILTER({K225, N225, Q225}, ISNUMBER({K225, N225, Q225}), {K225, N225, Q225} &gt; 0)), """")))/S225"),0.40119760479041916)</f>
        <v>0.4011976048</v>
      </c>
    </row>
    <row r="226" ht="22.5" customHeight="1">
      <c r="A226" s="34" t="s">
        <v>739</v>
      </c>
      <c r="B226" s="34" t="s">
        <v>50</v>
      </c>
      <c r="C226" s="37" t="s">
        <v>42</v>
      </c>
      <c r="D226" s="38" t="s">
        <v>752</v>
      </c>
      <c r="E226" s="49" t="s">
        <v>97</v>
      </c>
      <c r="F226" s="37"/>
      <c r="G226" s="49" t="s">
        <v>41</v>
      </c>
      <c r="H226" s="51" t="s">
        <v>49</v>
      </c>
      <c r="I226" s="39">
        <v>2000.0</v>
      </c>
      <c r="J226" s="39">
        <v>2000.0</v>
      </c>
      <c r="K226" s="41"/>
      <c r="L226" s="42">
        <v>2000.0</v>
      </c>
      <c r="M226" s="42">
        <v>2000.0</v>
      </c>
      <c r="N226" s="55"/>
      <c r="O226" s="39">
        <v>2000.0</v>
      </c>
      <c r="P226" s="39">
        <v>2000.0</v>
      </c>
      <c r="Q226" s="39">
        <v>800.0</v>
      </c>
      <c r="R226" s="46">
        <v>0.67</v>
      </c>
      <c r="S226" s="50">
        <f>IFERROR(__xludf.DUMMYFUNCTION("((IFERROR(MIN(FILTER({K226, N226, Q226}, ISNUMBER({K226, N226, Q226}), {K226, N226, Q226} &gt; 0)), """"))*R226)+IFERROR(MIN(FILTER({K226, N226, Q226}, ISNUMBER({K226, N226, Q226}), {K226, N226, Q226} &gt; 0)), """")"),1336.0)</f>
        <v>1336</v>
      </c>
      <c r="T226" s="53">
        <f>IFERROR(__xludf.DUMMYFUNCTION("(S226-(IFERROR(MIN(FILTER({K226, N226, Q226}, ISNUMBER({K226, N226, Q226}), {K226, N226, Q226} &gt; 0)), """")))/S226"),0.40119760479041916)</f>
        <v>0.4011976048</v>
      </c>
    </row>
    <row r="227" ht="22.5" customHeight="1">
      <c r="A227" s="34" t="s">
        <v>739</v>
      </c>
      <c r="B227" s="34" t="s">
        <v>50</v>
      </c>
      <c r="C227" s="37" t="s">
        <v>42</v>
      </c>
      <c r="D227" s="38" t="s">
        <v>752</v>
      </c>
      <c r="E227" s="49" t="s">
        <v>55</v>
      </c>
      <c r="F227" s="37" t="s">
        <v>57</v>
      </c>
      <c r="G227" s="49" t="s">
        <v>41</v>
      </c>
      <c r="H227" s="51" t="s">
        <v>49</v>
      </c>
      <c r="I227" s="39">
        <v>2000.0</v>
      </c>
      <c r="J227" s="39">
        <v>2000.0</v>
      </c>
      <c r="K227" s="41"/>
      <c r="L227" s="42">
        <v>2000.0</v>
      </c>
      <c r="M227" s="42">
        <v>2000.0</v>
      </c>
      <c r="N227" s="55"/>
      <c r="O227" s="39">
        <v>2000.0</v>
      </c>
      <c r="P227" s="39">
        <v>2000.0</v>
      </c>
      <c r="Q227" s="39">
        <v>1450.0</v>
      </c>
      <c r="R227" s="46">
        <v>0.67</v>
      </c>
      <c r="S227" s="50">
        <f>IFERROR(__xludf.DUMMYFUNCTION("((IFERROR(MIN(FILTER({K227, N227, Q227}, ISNUMBER({K227, N227, Q227}), {K227, N227, Q227} &gt; 0)), """"))*R227)+IFERROR(MIN(FILTER({K227, N227, Q227}, ISNUMBER({K227, N227, Q227}), {K227, N227, Q227} &gt; 0)), """")"),2421.5)</f>
        <v>2421.5</v>
      </c>
      <c r="T227" s="53">
        <f>IFERROR(__xludf.DUMMYFUNCTION("(S227-(IFERROR(MIN(FILTER({K227, N227, Q227}, ISNUMBER({K227, N227, Q227}), {K227, N227, Q227} &gt; 0)), """")))/S227"),0.40119760479041916)</f>
        <v>0.4011976048</v>
      </c>
    </row>
    <row r="228" ht="22.5" customHeight="1">
      <c r="A228" s="34" t="s">
        <v>739</v>
      </c>
      <c r="B228" s="34" t="s">
        <v>50</v>
      </c>
      <c r="C228" s="37" t="s">
        <v>72</v>
      </c>
      <c r="D228" s="38" t="s">
        <v>752</v>
      </c>
      <c r="E228" s="49" t="s">
        <v>36</v>
      </c>
      <c r="F228" s="37" t="s">
        <v>743</v>
      </c>
      <c r="G228" s="49" t="s">
        <v>41</v>
      </c>
      <c r="H228" s="51" t="s">
        <v>49</v>
      </c>
      <c r="I228" s="39">
        <v>2000.0</v>
      </c>
      <c r="J228" s="39">
        <v>2000.0</v>
      </c>
      <c r="K228" s="41"/>
      <c r="L228" s="42">
        <v>2000.0</v>
      </c>
      <c r="M228" s="42">
        <v>2000.0</v>
      </c>
      <c r="N228" s="55"/>
      <c r="O228" s="39">
        <v>2000.0</v>
      </c>
      <c r="P228" s="39">
        <v>2000.0</v>
      </c>
      <c r="Q228" s="39">
        <v>1550.0</v>
      </c>
      <c r="R228" s="46">
        <v>0.67</v>
      </c>
      <c r="S228" s="50">
        <f>IFERROR(__xludf.DUMMYFUNCTION("((IFERROR(MIN(FILTER({K228, N228, Q228}, ISNUMBER({K228, N228, Q228}), {K228, N228, Q228} &gt; 0)), """"))*R228)+IFERROR(MIN(FILTER({K228, N228, Q228}, ISNUMBER({K228, N228, Q228}), {K228, N228, Q228} &gt; 0)), """")"),2588.5)</f>
        <v>2588.5</v>
      </c>
      <c r="T228" s="53">
        <f>IFERROR(__xludf.DUMMYFUNCTION("(S228-(IFERROR(MIN(FILTER({K228, N228, Q228}, ISNUMBER({K228, N228, Q228}), {K228, N228, Q228} &gt; 0)), """")))/S228"),0.40119760479041916)</f>
        <v>0.4011976048</v>
      </c>
    </row>
    <row r="229" ht="22.5" customHeight="1">
      <c r="A229" s="34" t="s">
        <v>739</v>
      </c>
      <c r="B229" s="34" t="s">
        <v>50</v>
      </c>
      <c r="C229" s="37" t="s">
        <v>85</v>
      </c>
      <c r="D229" s="38" t="s">
        <v>752</v>
      </c>
      <c r="E229" s="49" t="s">
        <v>97</v>
      </c>
      <c r="F229" s="37"/>
      <c r="G229" s="49" t="s">
        <v>41</v>
      </c>
      <c r="H229" s="51" t="s">
        <v>49</v>
      </c>
      <c r="I229" s="39">
        <v>2000.0</v>
      </c>
      <c r="J229" s="39">
        <v>2000.0</v>
      </c>
      <c r="K229" s="39"/>
      <c r="L229" s="42">
        <v>2000.0</v>
      </c>
      <c r="M229" s="42">
        <v>2000.0</v>
      </c>
      <c r="N229" s="55"/>
      <c r="O229" s="39">
        <v>2000.0</v>
      </c>
      <c r="P229" s="39">
        <v>2000.0</v>
      </c>
      <c r="Q229" s="39">
        <v>950.0</v>
      </c>
      <c r="R229" s="46">
        <v>0.67</v>
      </c>
      <c r="S229" s="50">
        <f>IFERROR(__xludf.DUMMYFUNCTION("((IFERROR(MIN(FILTER({K229, N229, Q229}, ISNUMBER({K229, N229, Q229}), {K229, N229, Q229} &gt; 0)), """"))*R229)+IFERROR(MIN(FILTER({K229, N229, Q229}, ISNUMBER({K229, N229, Q229}), {K229, N229, Q229} &gt; 0)), """")"),1586.5)</f>
        <v>1586.5</v>
      </c>
      <c r="T229" s="53">
        <f>IFERROR(__xludf.DUMMYFUNCTION("(S229-(IFERROR(MIN(FILTER({K229, N229, Q229}, ISNUMBER({K229, N229, Q229}), {K229, N229, Q229} &gt; 0)), """")))/S229"),0.40119760479041916)</f>
        <v>0.4011976048</v>
      </c>
    </row>
    <row r="230" ht="22.5" customHeight="1">
      <c r="A230" s="34" t="s">
        <v>739</v>
      </c>
      <c r="B230" s="34" t="s">
        <v>50</v>
      </c>
      <c r="C230" s="37" t="s">
        <v>85</v>
      </c>
      <c r="D230" s="38" t="s">
        <v>752</v>
      </c>
      <c r="E230" s="49" t="s">
        <v>55</v>
      </c>
      <c r="F230" s="37" t="s">
        <v>760</v>
      </c>
      <c r="G230" s="49" t="s">
        <v>41</v>
      </c>
      <c r="H230" s="51" t="s">
        <v>49</v>
      </c>
      <c r="I230" s="39">
        <v>2000.0</v>
      </c>
      <c r="J230" s="39">
        <v>2000.0</v>
      </c>
      <c r="K230" s="41"/>
      <c r="L230" s="42">
        <v>2000.0</v>
      </c>
      <c r="M230" s="42">
        <v>2000.0</v>
      </c>
      <c r="N230" s="55"/>
      <c r="O230" s="39">
        <v>2000.0</v>
      </c>
      <c r="P230" s="39">
        <v>2000.0</v>
      </c>
      <c r="Q230" s="39">
        <v>1650.0</v>
      </c>
      <c r="R230" s="46">
        <v>0.67</v>
      </c>
      <c r="S230" s="50">
        <f>IFERROR(__xludf.DUMMYFUNCTION("((IFERROR(MIN(FILTER({K230, N230, Q230}, ISNUMBER({K230, N230, Q230}), {K230, N230, Q230} &gt; 0)), """"))*R230)+IFERROR(MIN(FILTER({K230, N230, Q230}, ISNUMBER({K230, N230, Q230}), {K230, N230, Q230} &gt; 0)), """")"),2755.5)</f>
        <v>2755.5</v>
      </c>
      <c r="T230" s="53">
        <f>IFERROR(__xludf.DUMMYFUNCTION("(S230-(IFERROR(MIN(FILTER({K230, N230, Q230}, ISNUMBER({K230, N230, Q230}), {K230, N230, Q230} &gt; 0)), """")))/S230"),0.40119760479041916)</f>
        <v>0.4011976048</v>
      </c>
    </row>
    <row r="231" ht="22.5" customHeight="1">
      <c r="A231" s="34" t="s">
        <v>739</v>
      </c>
      <c r="B231" s="34" t="s">
        <v>50</v>
      </c>
      <c r="C231" s="37" t="s">
        <v>364</v>
      </c>
      <c r="D231" s="38" t="s">
        <v>752</v>
      </c>
      <c r="E231" s="49" t="s">
        <v>36</v>
      </c>
      <c r="F231" s="37" t="s">
        <v>743</v>
      </c>
      <c r="G231" s="49" t="s">
        <v>41</v>
      </c>
      <c r="H231" s="51" t="s">
        <v>49</v>
      </c>
      <c r="I231" s="39">
        <v>2000.0</v>
      </c>
      <c r="J231" s="39">
        <v>2000.0</v>
      </c>
      <c r="K231" s="41"/>
      <c r="L231" s="42">
        <v>2000.0</v>
      </c>
      <c r="M231" s="42">
        <v>2000.0</v>
      </c>
      <c r="N231" s="55"/>
      <c r="O231" s="39">
        <v>2000.0</v>
      </c>
      <c r="P231" s="39">
        <v>2000.0</v>
      </c>
      <c r="Q231" s="39">
        <v>1750.0</v>
      </c>
      <c r="R231" s="46">
        <v>0.67</v>
      </c>
      <c r="S231" s="50">
        <f>IFERROR(__xludf.DUMMYFUNCTION("((IFERROR(MIN(FILTER({K231, N231, Q231}, ISNUMBER({K231, N231, Q231}), {K231, N231, Q231} &gt; 0)), """"))*R231)+IFERROR(MIN(FILTER({K231, N231, Q231}, ISNUMBER({K231, N231, Q231}), {K231, N231, Q231} &gt; 0)), """")"),2922.5)</f>
        <v>2922.5</v>
      </c>
      <c r="T231" s="53">
        <f>IFERROR(__xludf.DUMMYFUNCTION("(S231-(IFERROR(MIN(FILTER({K231, N231, Q231}, ISNUMBER({K231, N231, Q231}), {K231, N231, Q231} &gt; 0)), """")))/S231"),0.40119760479041916)</f>
        <v>0.4011976048</v>
      </c>
    </row>
    <row r="232" ht="22.5" customHeight="1">
      <c r="A232" s="34" t="s">
        <v>766</v>
      </c>
      <c r="B232" s="34" t="s">
        <v>50</v>
      </c>
      <c r="C232" s="37" t="s">
        <v>42</v>
      </c>
      <c r="D232" s="38" t="s">
        <v>114</v>
      </c>
      <c r="E232" s="49" t="s">
        <v>55</v>
      </c>
      <c r="F232" s="37" t="s">
        <v>100</v>
      </c>
      <c r="G232" s="49" t="s">
        <v>41</v>
      </c>
      <c r="H232" s="51" t="s">
        <v>49</v>
      </c>
      <c r="I232" s="39">
        <v>10000.0</v>
      </c>
      <c r="J232" s="39">
        <v>10000.0</v>
      </c>
      <c r="K232" s="41"/>
      <c r="L232" s="42">
        <v>10000.0</v>
      </c>
      <c r="M232" s="42">
        <v>10000.0</v>
      </c>
      <c r="N232" s="55"/>
      <c r="O232" s="39">
        <v>10000.0</v>
      </c>
      <c r="P232" s="39">
        <v>10000.0</v>
      </c>
      <c r="Q232" s="39">
        <v>270.0</v>
      </c>
      <c r="R232" s="46">
        <v>0.67</v>
      </c>
      <c r="S232" s="50">
        <f>IFERROR(__xludf.DUMMYFUNCTION("((IFERROR(MIN(FILTER({K232, N232, Q232}, ISNUMBER({K232, N232, Q232}), {K232, N232, Q232} &gt; 0)), """"))*R232)+IFERROR(MIN(FILTER({K232, N232, Q232}, ISNUMBER({K232, N232, Q232}), {K232, N232, Q232} &gt; 0)), """")"),450.9)</f>
        <v>450.9</v>
      </c>
      <c r="T232" s="53">
        <f>IFERROR(__xludf.DUMMYFUNCTION("(S232-(IFERROR(MIN(FILTER({K232, N232, Q232}, ISNUMBER({K232, N232, Q232}), {K232, N232, Q232} &gt; 0)), """")))/S232"),0.4011976047904191)</f>
        <v>0.4011976048</v>
      </c>
    </row>
    <row r="233" ht="22.5" customHeight="1">
      <c r="A233" s="34" t="s">
        <v>766</v>
      </c>
      <c r="B233" s="34" t="s">
        <v>50</v>
      </c>
      <c r="C233" s="37" t="s">
        <v>42</v>
      </c>
      <c r="D233" s="38" t="s">
        <v>114</v>
      </c>
      <c r="E233" s="49" t="s">
        <v>55</v>
      </c>
      <c r="F233" s="37" t="s">
        <v>100</v>
      </c>
      <c r="G233" s="49" t="s">
        <v>41</v>
      </c>
      <c r="H233" s="51" t="s">
        <v>49</v>
      </c>
      <c r="I233" s="39">
        <v>20000.0</v>
      </c>
      <c r="J233" s="39">
        <v>20000.0</v>
      </c>
      <c r="K233" s="39"/>
      <c r="L233" s="42">
        <v>20000.0</v>
      </c>
      <c r="M233" s="42">
        <v>20000.0</v>
      </c>
      <c r="N233" s="55"/>
      <c r="O233" s="39">
        <v>20000.0</v>
      </c>
      <c r="P233" s="39">
        <v>20000.0</v>
      </c>
      <c r="Q233" s="39">
        <v>250.0</v>
      </c>
      <c r="R233" s="46">
        <v>0.67</v>
      </c>
      <c r="S233" s="50">
        <f>IFERROR(__xludf.DUMMYFUNCTION("((IFERROR(MIN(FILTER({K233, N233, Q233}, ISNUMBER({K233, N233, Q233}), {K233, N233, Q233} &gt; 0)), """"))*R233)+IFERROR(MIN(FILTER({K233, N233, Q233}, ISNUMBER({K233, N233, Q233}), {K233, N233, Q233} &gt; 0)), """")"),417.5)</f>
        <v>417.5</v>
      </c>
      <c r="T233" s="53">
        <f>IFERROR(__xludf.DUMMYFUNCTION("(S233-(IFERROR(MIN(FILTER({K233, N233, Q233}, ISNUMBER({K233, N233, Q233}), {K233, N233, Q233} &gt; 0)), """")))/S233"),0.40119760479041916)</f>
        <v>0.4011976048</v>
      </c>
    </row>
    <row r="234" ht="22.5" customHeight="1">
      <c r="A234" s="34" t="s">
        <v>771</v>
      </c>
      <c r="B234" s="34" t="s">
        <v>50</v>
      </c>
      <c r="C234" s="37" t="s">
        <v>85</v>
      </c>
      <c r="D234" s="38" t="s">
        <v>486</v>
      </c>
      <c r="E234" s="49" t="s">
        <v>55</v>
      </c>
      <c r="F234" s="37" t="s">
        <v>58</v>
      </c>
      <c r="G234" s="49" t="s">
        <v>41</v>
      </c>
      <c r="H234" s="51" t="s">
        <v>49</v>
      </c>
      <c r="I234" s="39">
        <v>10000.0</v>
      </c>
      <c r="J234" s="39">
        <v>10000.0</v>
      </c>
      <c r="K234" s="41"/>
      <c r="L234" s="42">
        <v>10000.0</v>
      </c>
      <c r="M234" s="42">
        <v>10000.0</v>
      </c>
      <c r="N234" s="55"/>
      <c r="O234" s="39">
        <v>10000.0</v>
      </c>
      <c r="P234" s="39">
        <v>10000.0</v>
      </c>
      <c r="Q234" s="39">
        <v>450.0</v>
      </c>
      <c r="R234" s="46">
        <v>0.67</v>
      </c>
      <c r="S234" s="50">
        <f>IFERROR(__xludf.DUMMYFUNCTION("((IFERROR(MIN(FILTER({K234, N234, Q234}, ISNUMBER({K234, N234, Q234}), {K234, N234, Q234} &gt; 0)), """"))*R234)+IFERROR(MIN(FILTER({K234, N234, Q234}, ISNUMBER({K234, N234, Q234}), {K234, N234, Q234} &gt; 0)), """")"),751.5)</f>
        <v>751.5</v>
      </c>
      <c r="T234" s="53">
        <f>IFERROR(__xludf.DUMMYFUNCTION("(S234-(IFERROR(MIN(FILTER({K234, N234, Q234}, ISNUMBER({K234, N234, Q234}), {K234, N234, Q234} &gt; 0)), """")))/S234"),0.40119760479041916)</f>
        <v>0.4011976048</v>
      </c>
    </row>
    <row r="235" ht="22.5" customHeight="1">
      <c r="A235" s="34" t="s">
        <v>773</v>
      </c>
      <c r="B235" s="34" t="s">
        <v>50</v>
      </c>
      <c r="C235" s="37" t="s">
        <v>42</v>
      </c>
      <c r="D235" s="38" t="s">
        <v>413</v>
      </c>
      <c r="E235" s="49" t="s">
        <v>55</v>
      </c>
      <c r="F235" s="37"/>
      <c r="G235" s="49" t="s">
        <v>41</v>
      </c>
      <c r="H235" s="51" t="s">
        <v>49</v>
      </c>
      <c r="I235" s="39">
        <v>10000.0</v>
      </c>
      <c r="J235" s="39">
        <v>10000.0</v>
      </c>
      <c r="K235" s="41"/>
      <c r="L235" s="42">
        <v>10000.0</v>
      </c>
      <c r="M235" s="42">
        <v>10000.0</v>
      </c>
      <c r="N235" s="55"/>
      <c r="O235" s="39">
        <v>10000.0</v>
      </c>
      <c r="P235" s="39">
        <v>10000.0</v>
      </c>
      <c r="Q235" s="39">
        <v>170.0</v>
      </c>
      <c r="R235" s="46">
        <v>0.67</v>
      </c>
      <c r="S235" s="50">
        <f>IFERROR(__xludf.DUMMYFUNCTION("((IFERROR(MIN(FILTER({K235, N235, Q235}, ISNUMBER({K235, N235, Q235}), {K235, N235, Q235} &gt; 0)), """"))*R235)+IFERROR(MIN(FILTER({K235, N235, Q235}, ISNUMBER({K235, N235, Q235}), {K235, N235, Q235} &gt; 0)), """")"),283.9)</f>
        <v>283.9</v>
      </c>
      <c r="T235" s="53">
        <f>IFERROR(__xludf.DUMMYFUNCTION("(S235-(IFERROR(MIN(FILTER({K235, N235, Q235}, ISNUMBER({K235, N235, Q235}), {K235, N235, Q235} &gt; 0)), """")))/S235"),0.4011976047904191)</f>
        <v>0.4011976048</v>
      </c>
    </row>
    <row r="236" ht="22.5" customHeight="1">
      <c r="A236" s="34" t="s">
        <v>776</v>
      </c>
      <c r="B236" s="34" t="s">
        <v>50</v>
      </c>
      <c r="C236" s="37" t="s">
        <v>42</v>
      </c>
      <c r="D236" s="38" t="s">
        <v>270</v>
      </c>
      <c r="E236" s="49" t="s">
        <v>63</v>
      </c>
      <c r="F236" s="37" t="s">
        <v>67</v>
      </c>
      <c r="G236" s="49" t="s">
        <v>41</v>
      </c>
      <c r="H236" s="51" t="s">
        <v>49</v>
      </c>
      <c r="I236" s="39">
        <v>1000.0</v>
      </c>
      <c r="J236" s="39">
        <v>1000.0</v>
      </c>
      <c r="K236" s="41"/>
      <c r="L236" s="42">
        <v>1000.0</v>
      </c>
      <c r="M236" s="42">
        <v>1000.0</v>
      </c>
      <c r="N236" s="55"/>
      <c r="O236" s="39">
        <v>1000.0</v>
      </c>
      <c r="P236" s="39">
        <v>1000.0</v>
      </c>
      <c r="Q236" s="39">
        <v>1180.0</v>
      </c>
      <c r="R236" s="46">
        <v>0.67</v>
      </c>
      <c r="S236" s="50">
        <f>IFERROR(__xludf.DUMMYFUNCTION("((IFERROR(MIN(FILTER({K236, N236, Q236}, ISNUMBER({K236, N236, Q236}), {K236, N236, Q236} &gt; 0)), """"))*R236)+IFERROR(MIN(FILTER({K236, N236, Q236}, ISNUMBER({K236, N236, Q236}), {K236, N236, Q236} &gt; 0)), """")"),1970.6)</f>
        <v>1970.6</v>
      </c>
      <c r="T236" s="53">
        <f>IFERROR(__xludf.DUMMYFUNCTION("(S236-(IFERROR(MIN(FILTER({K236, N236, Q236}, ISNUMBER({K236, N236, Q236}), {K236, N236, Q236} &gt; 0)), """")))/S236"),0.40119760479041916)</f>
        <v>0.4011976048</v>
      </c>
    </row>
    <row r="237" ht="22.5" customHeight="1">
      <c r="A237" s="34" t="s">
        <v>143</v>
      </c>
      <c r="B237" s="34" t="s">
        <v>50</v>
      </c>
      <c r="C237" s="37" t="s">
        <v>42</v>
      </c>
      <c r="D237" s="38" t="s">
        <v>144</v>
      </c>
      <c r="E237" s="49" t="s">
        <v>97</v>
      </c>
      <c r="F237" s="37"/>
      <c r="G237" s="49" t="s">
        <v>41</v>
      </c>
      <c r="H237" s="51" t="s">
        <v>49</v>
      </c>
      <c r="I237" s="39">
        <v>1000.0</v>
      </c>
      <c r="J237" s="39">
        <v>1000.0</v>
      </c>
      <c r="K237" s="41"/>
      <c r="L237" s="42">
        <v>1000.0</v>
      </c>
      <c r="M237" s="42">
        <v>1000.0</v>
      </c>
      <c r="N237" s="55"/>
      <c r="O237" s="39">
        <v>1000.0</v>
      </c>
      <c r="P237" s="39">
        <v>1000.0</v>
      </c>
      <c r="Q237" s="39">
        <v>175.0</v>
      </c>
      <c r="R237" s="46">
        <v>0.67</v>
      </c>
      <c r="S237" s="50">
        <f>IFERROR(__xludf.DUMMYFUNCTION("((IFERROR(MIN(FILTER({K237, N237, Q237}, ISNUMBER({K237, N237, Q237}), {K237, N237, Q237} &gt; 0)), """"))*R237)+IFERROR(MIN(FILTER({K237, N237, Q237}, ISNUMBER({K237, N237, Q237}), {K237, N237, Q237} &gt; 0)), """")"),292.25)</f>
        <v>292.25</v>
      </c>
      <c r="T237" s="53">
        <f>IFERROR(__xludf.DUMMYFUNCTION("(S237-(IFERROR(MIN(FILTER({K237, N237, Q237}, ISNUMBER({K237, N237, Q237}), {K237, N237, Q237} &gt; 0)), """")))/S237"),0.40119760479041916)</f>
        <v>0.4011976048</v>
      </c>
    </row>
    <row r="238" ht="22.5" customHeight="1">
      <c r="A238" s="34" t="s">
        <v>785</v>
      </c>
      <c r="B238" s="34" t="s">
        <v>50</v>
      </c>
      <c r="C238" s="37" t="s">
        <v>42</v>
      </c>
      <c r="D238" s="38" t="s">
        <v>111</v>
      </c>
      <c r="E238" s="49" t="s">
        <v>55</v>
      </c>
      <c r="F238" s="37"/>
      <c r="G238" s="49" t="s">
        <v>41</v>
      </c>
      <c r="H238" s="51" t="s">
        <v>49</v>
      </c>
      <c r="I238" s="39">
        <v>2000.0</v>
      </c>
      <c r="J238" s="39">
        <v>2000.0</v>
      </c>
      <c r="K238" s="41"/>
      <c r="L238" s="42">
        <v>2000.0</v>
      </c>
      <c r="M238" s="42">
        <v>2000.0</v>
      </c>
      <c r="N238" s="55"/>
      <c r="O238" s="39">
        <v>2000.0</v>
      </c>
      <c r="P238" s="39">
        <v>2000.0</v>
      </c>
      <c r="Q238" s="39">
        <v>350.0</v>
      </c>
      <c r="R238" s="46">
        <v>0.67</v>
      </c>
      <c r="S238" s="50">
        <f>IFERROR(__xludf.DUMMYFUNCTION("((IFERROR(MIN(FILTER({K238, N238, Q238}, ISNUMBER({K238, N238, Q238}), {K238, N238, Q238} &gt; 0)), """"))*R238)+IFERROR(MIN(FILTER({K238, N238, Q238}, ISNUMBER({K238, N238, Q238}), {K238, N238, Q238} &gt; 0)), """")"),584.5)</f>
        <v>584.5</v>
      </c>
      <c r="T238" s="53">
        <f>IFERROR(__xludf.DUMMYFUNCTION("(S238-(IFERROR(MIN(FILTER({K238, N238, Q238}, ISNUMBER({K238, N238, Q238}), {K238, N238, Q238} &gt; 0)), """")))/S238"),0.40119760479041916)</f>
        <v>0.4011976048</v>
      </c>
    </row>
    <row r="239" ht="22.5" customHeight="1">
      <c r="A239" s="34" t="s">
        <v>188</v>
      </c>
      <c r="B239" s="34" t="s">
        <v>50</v>
      </c>
      <c r="C239" s="37" t="s">
        <v>72</v>
      </c>
      <c r="D239" s="38" t="s">
        <v>790</v>
      </c>
      <c r="E239" s="49" t="s">
        <v>55</v>
      </c>
      <c r="F239" s="37" t="s">
        <v>791</v>
      </c>
      <c r="G239" s="49" t="s">
        <v>41</v>
      </c>
      <c r="H239" s="51" t="s">
        <v>49</v>
      </c>
      <c r="I239" s="39">
        <v>10000.0</v>
      </c>
      <c r="J239" s="39">
        <v>10000.0</v>
      </c>
      <c r="K239" s="41"/>
      <c r="L239" s="42">
        <v>10000.0</v>
      </c>
      <c r="M239" s="42">
        <v>10000.0</v>
      </c>
      <c r="N239" s="55"/>
      <c r="O239" s="39">
        <v>10000.0</v>
      </c>
      <c r="P239" s="39">
        <v>10000.0</v>
      </c>
      <c r="Q239" s="39">
        <v>240.0</v>
      </c>
      <c r="R239" s="46">
        <v>0.67</v>
      </c>
      <c r="S239" s="50">
        <f>IFERROR(__xludf.DUMMYFUNCTION("((IFERROR(MIN(FILTER({K239, N239, Q239}, ISNUMBER({K239, N239, Q239}), {K239, N239, Q239} &gt; 0)), """"))*R239)+IFERROR(MIN(FILTER({K239, N239, Q239}, ISNUMBER({K239, N239, Q239}), {K239, N239, Q239} &gt; 0)), """")"),400.8)</f>
        <v>400.8</v>
      </c>
      <c r="T239" s="53">
        <f>IFERROR(__xludf.DUMMYFUNCTION("(S239-(IFERROR(MIN(FILTER({K239, N239, Q239}, ISNUMBER({K239, N239, Q239}), {K239, N239, Q239} &gt; 0)), """")))/S239"),0.40119760479041916)</f>
        <v>0.4011976048</v>
      </c>
    </row>
    <row r="240" ht="22.5" customHeight="1">
      <c r="A240" s="34" t="s">
        <v>188</v>
      </c>
      <c r="B240" s="34" t="s">
        <v>50</v>
      </c>
      <c r="C240" s="37" t="s">
        <v>72</v>
      </c>
      <c r="D240" s="38" t="s">
        <v>790</v>
      </c>
      <c r="E240" s="49" t="s">
        <v>55</v>
      </c>
      <c r="F240" s="37" t="s">
        <v>791</v>
      </c>
      <c r="G240" s="49" t="s">
        <v>41</v>
      </c>
      <c r="H240" s="51" t="s">
        <v>49</v>
      </c>
      <c r="I240" s="39">
        <v>20000.0</v>
      </c>
      <c r="J240" s="39">
        <v>20000.0</v>
      </c>
      <c r="K240" s="41"/>
      <c r="L240" s="42">
        <v>20000.0</v>
      </c>
      <c r="M240" s="42">
        <v>20000.0</v>
      </c>
      <c r="N240" s="55"/>
      <c r="O240" s="39">
        <v>20000.0</v>
      </c>
      <c r="P240" s="39">
        <v>20000.0</v>
      </c>
      <c r="Q240" s="39">
        <v>200.0</v>
      </c>
      <c r="R240" s="46">
        <v>0.67</v>
      </c>
      <c r="S240" s="50">
        <f>IFERROR(__xludf.DUMMYFUNCTION("((IFERROR(MIN(FILTER({K240, N240, Q240}, ISNUMBER({K240, N240, Q240}), {K240, N240, Q240} &gt; 0)), """"))*R240)+IFERROR(MIN(FILTER({K240, N240, Q240}, ISNUMBER({K240, N240, Q240}), {K240, N240, Q240} &gt; 0)), """")"),334.0)</f>
        <v>334</v>
      </c>
      <c r="T240" s="53">
        <f>IFERROR(__xludf.DUMMYFUNCTION("(S240-(IFERROR(MIN(FILTER({K240, N240, Q240}, ISNUMBER({K240, N240, Q240}), {K240, N240, Q240} &gt; 0)), """")))/S240"),0.40119760479041916)</f>
        <v>0.4011976048</v>
      </c>
    </row>
    <row r="241" ht="22.5" customHeight="1">
      <c r="A241" s="34" t="s">
        <v>188</v>
      </c>
      <c r="B241" s="34" t="s">
        <v>50</v>
      </c>
      <c r="C241" s="37" t="s">
        <v>72</v>
      </c>
      <c r="D241" s="38" t="s">
        <v>790</v>
      </c>
      <c r="E241" s="49" t="s">
        <v>55</v>
      </c>
      <c r="F241" s="37" t="s">
        <v>791</v>
      </c>
      <c r="G241" s="49" t="s">
        <v>41</v>
      </c>
      <c r="H241" s="51" t="s">
        <v>49</v>
      </c>
      <c r="I241" s="39">
        <v>30000.0</v>
      </c>
      <c r="J241" s="39">
        <v>30000.0</v>
      </c>
      <c r="K241" s="41"/>
      <c r="L241" s="42">
        <v>30000.0</v>
      </c>
      <c r="M241" s="42">
        <v>30000.0</v>
      </c>
      <c r="N241" s="55"/>
      <c r="O241" s="39">
        <v>30000.0</v>
      </c>
      <c r="P241" s="39">
        <v>30000.0</v>
      </c>
      <c r="Q241" s="39">
        <v>180.0</v>
      </c>
      <c r="R241" s="46">
        <v>0.67</v>
      </c>
      <c r="S241" s="50">
        <f>IFERROR(__xludf.DUMMYFUNCTION("((IFERROR(MIN(FILTER({K241, N241, Q241}, ISNUMBER({K241, N241, Q241}), {K241, N241, Q241} &gt; 0)), """"))*R241)+IFERROR(MIN(FILTER({K241, N241, Q241}, ISNUMBER({K241, N241, Q241}), {K241, N241, Q241} &gt; 0)), """")"),300.6)</f>
        <v>300.6</v>
      </c>
      <c r="T241" s="53">
        <f>IFERROR(__xludf.DUMMYFUNCTION("(S241-(IFERROR(MIN(FILTER({K241, N241, Q241}, ISNUMBER({K241, N241, Q241}), {K241, N241, Q241} &gt; 0)), """")))/S241"),0.4011976047904192)</f>
        <v>0.4011976048</v>
      </c>
    </row>
    <row r="242" ht="22.5" customHeight="1">
      <c r="A242" s="34" t="s">
        <v>188</v>
      </c>
      <c r="B242" s="34" t="s">
        <v>50</v>
      </c>
      <c r="C242" s="37" t="s">
        <v>72</v>
      </c>
      <c r="D242" s="38" t="s">
        <v>790</v>
      </c>
      <c r="E242" s="49" t="s">
        <v>55</v>
      </c>
      <c r="F242" s="37" t="s">
        <v>797</v>
      </c>
      <c r="G242" s="49" t="s">
        <v>41</v>
      </c>
      <c r="H242" s="51" t="s">
        <v>49</v>
      </c>
      <c r="I242" s="39">
        <v>10000.0</v>
      </c>
      <c r="J242" s="39">
        <v>10000.0</v>
      </c>
      <c r="K242" s="41"/>
      <c r="L242" s="42">
        <v>10000.0</v>
      </c>
      <c r="M242" s="42">
        <v>10000.0</v>
      </c>
      <c r="N242" s="55"/>
      <c r="O242" s="39">
        <v>10000.0</v>
      </c>
      <c r="P242" s="39">
        <v>10000.0</v>
      </c>
      <c r="Q242" s="39">
        <v>350.0</v>
      </c>
      <c r="R242" s="46">
        <v>0.67</v>
      </c>
      <c r="S242" s="50">
        <f>IFERROR(__xludf.DUMMYFUNCTION("((IFERROR(MIN(FILTER({K242, N242, Q242}, ISNUMBER({K242, N242, Q242}), {K242, N242, Q242} &gt; 0)), """"))*R242)+IFERROR(MIN(FILTER({K242, N242, Q242}, ISNUMBER({K242, N242, Q242}), {K242, N242, Q242} &gt; 0)), """")"),584.5)</f>
        <v>584.5</v>
      </c>
      <c r="T242" s="53">
        <f>IFERROR(__xludf.DUMMYFUNCTION("(S242-(IFERROR(MIN(FILTER({K242, N242, Q242}, ISNUMBER({K242, N242, Q242}), {K242, N242, Q242} &gt; 0)), """")))/S242"),0.40119760479041916)</f>
        <v>0.4011976048</v>
      </c>
    </row>
    <row r="243" ht="22.5" customHeight="1">
      <c r="A243" s="34" t="s">
        <v>188</v>
      </c>
      <c r="B243" s="34" t="s">
        <v>50</v>
      </c>
      <c r="C243" s="37" t="s">
        <v>72</v>
      </c>
      <c r="D243" s="38" t="s">
        <v>790</v>
      </c>
      <c r="E243" s="49" t="s">
        <v>55</v>
      </c>
      <c r="F243" s="37" t="s">
        <v>797</v>
      </c>
      <c r="G243" s="49" t="s">
        <v>41</v>
      </c>
      <c r="H243" s="51" t="s">
        <v>49</v>
      </c>
      <c r="I243" s="39">
        <v>20000.0</v>
      </c>
      <c r="J243" s="39">
        <v>20000.0</v>
      </c>
      <c r="K243" s="41"/>
      <c r="L243" s="42">
        <v>20000.0</v>
      </c>
      <c r="M243" s="42">
        <v>20000.0</v>
      </c>
      <c r="N243" s="55"/>
      <c r="O243" s="39">
        <v>20000.0</v>
      </c>
      <c r="P243" s="39">
        <v>20000.0</v>
      </c>
      <c r="Q243" s="39">
        <v>240.0</v>
      </c>
      <c r="R243" s="46">
        <v>0.67</v>
      </c>
      <c r="S243" s="50">
        <f>IFERROR(__xludf.DUMMYFUNCTION("((IFERROR(MIN(FILTER({K243, N243, Q243}, ISNUMBER({K243, N243, Q243}), {K243, N243, Q243} &gt; 0)), """"))*R243)+IFERROR(MIN(FILTER({K243, N243, Q243}, ISNUMBER({K243, N243, Q243}), {K243, N243, Q243} &gt; 0)), """")"),400.8)</f>
        <v>400.8</v>
      </c>
      <c r="T243" s="53">
        <f>IFERROR(__xludf.DUMMYFUNCTION("(S243-(IFERROR(MIN(FILTER({K243, N243, Q243}, ISNUMBER({K243, N243, Q243}), {K243, N243, Q243} &gt; 0)), """")))/S243"),0.40119760479041916)</f>
        <v>0.4011976048</v>
      </c>
    </row>
    <row r="244" ht="22.5" customHeight="1">
      <c r="A244" s="34" t="s">
        <v>188</v>
      </c>
      <c r="B244" s="34" t="s">
        <v>50</v>
      </c>
      <c r="C244" s="37" t="s">
        <v>72</v>
      </c>
      <c r="D244" s="38" t="s">
        <v>790</v>
      </c>
      <c r="E244" s="49" t="s">
        <v>55</v>
      </c>
      <c r="F244" s="37" t="s">
        <v>797</v>
      </c>
      <c r="G244" s="49" t="s">
        <v>41</v>
      </c>
      <c r="H244" s="51" t="s">
        <v>49</v>
      </c>
      <c r="I244" s="39">
        <v>30000.0</v>
      </c>
      <c r="J244" s="39">
        <v>30000.0</v>
      </c>
      <c r="K244" s="41"/>
      <c r="L244" s="42">
        <v>30000.0</v>
      </c>
      <c r="M244" s="42">
        <v>30000.0</v>
      </c>
      <c r="N244" s="55"/>
      <c r="O244" s="39">
        <v>30000.0</v>
      </c>
      <c r="P244" s="39">
        <v>30000.0</v>
      </c>
      <c r="Q244" s="39">
        <v>200.0</v>
      </c>
      <c r="R244" s="46">
        <v>0.67</v>
      </c>
      <c r="S244" s="50">
        <f>IFERROR(__xludf.DUMMYFUNCTION("((IFERROR(MIN(FILTER({K244, N244, Q244}, ISNUMBER({K244, N244, Q244}), {K244, N244, Q244} &gt; 0)), """"))*R244)+IFERROR(MIN(FILTER({K244, N244, Q244}, ISNUMBER({K244, N244, Q244}), {K244, N244, Q244} &gt; 0)), """")"),334.0)</f>
        <v>334</v>
      </c>
      <c r="T244" s="53">
        <f>IFERROR(__xludf.DUMMYFUNCTION("(S244-(IFERROR(MIN(FILTER({K244, N244, Q244}, ISNUMBER({K244, N244, Q244}), {K244, N244, Q244} &gt; 0)), """")))/S244"),0.40119760479041916)</f>
        <v>0.4011976048</v>
      </c>
    </row>
    <row r="245" ht="22.5" customHeight="1">
      <c r="A245" s="34" t="s">
        <v>188</v>
      </c>
      <c r="B245" s="34" t="s">
        <v>50</v>
      </c>
      <c r="C245" s="37" t="s">
        <v>72</v>
      </c>
      <c r="D245" s="38" t="s">
        <v>806</v>
      </c>
      <c r="E245" s="49" t="s">
        <v>55</v>
      </c>
      <c r="F245" s="37" t="s">
        <v>791</v>
      </c>
      <c r="G245" s="49" t="s">
        <v>41</v>
      </c>
      <c r="H245" s="51" t="s">
        <v>49</v>
      </c>
      <c r="I245" s="39">
        <v>10000.0</v>
      </c>
      <c r="J245" s="39">
        <v>10000.0</v>
      </c>
      <c r="K245" s="41"/>
      <c r="L245" s="42">
        <v>10000.0</v>
      </c>
      <c r="M245" s="42">
        <v>10000.0</v>
      </c>
      <c r="N245" s="55"/>
      <c r="O245" s="39">
        <v>10000.0</v>
      </c>
      <c r="P245" s="39">
        <v>10000.0</v>
      </c>
      <c r="Q245" s="39">
        <v>260.0</v>
      </c>
      <c r="R245" s="46">
        <v>0.67</v>
      </c>
      <c r="S245" s="50">
        <f>IFERROR(__xludf.DUMMYFUNCTION("((IFERROR(MIN(FILTER({K245, N245, Q245}, ISNUMBER({K245, N245, Q245}), {K245, N245, Q245} &gt; 0)), """"))*R245)+IFERROR(MIN(FILTER({K245, N245, Q245}, ISNUMBER({K245, N245, Q245}), {K245, N245, Q245} &gt; 0)), """")"),434.20000000000005)</f>
        <v>434.2</v>
      </c>
      <c r="T245" s="53">
        <f>IFERROR(__xludf.DUMMYFUNCTION("(S245-(IFERROR(MIN(FILTER({K245, N245, Q245}, ISNUMBER({K245, N245, Q245}), {K245, N245, Q245} &gt; 0)), """")))/S245"),0.4011976047904192)</f>
        <v>0.4011976048</v>
      </c>
    </row>
    <row r="246" ht="22.5" customHeight="1">
      <c r="A246" s="34" t="s">
        <v>188</v>
      </c>
      <c r="B246" s="34" t="s">
        <v>50</v>
      </c>
      <c r="C246" s="37" t="s">
        <v>72</v>
      </c>
      <c r="D246" s="38" t="s">
        <v>806</v>
      </c>
      <c r="E246" s="49" t="s">
        <v>55</v>
      </c>
      <c r="F246" s="37" t="s">
        <v>791</v>
      </c>
      <c r="G246" s="49" t="s">
        <v>41</v>
      </c>
      <c r="H246" s="51" t="s">
        <v>49</v>
      </c>
      <c r="I246" s="39">
        <v>20000.0</v>
      </c>
      <c r="J246" s="39">
        <v>20000.0</v>
      </c>
      <c r="K246" s="41"/>
      <c r="L246" s="42">
        <v>20000.0</v>
      </c>
      <c r="M246" s="42">
        <v>20000.0</v>
      </c>
      <c r="N246" s="55"/>
      <c r="O246" s="39">
        <v>20000.0</v>
      </c>
      <c r="P246" s="39">
        <v>20000.0</v>
      </c>
      <c r="Q246" s="39">
        <v>230.0</v>
      </c>
      <c r="R246" s="46">
        <v>0.67</v>
      </c>
      <c r="S246" s="50">
        <f>IFERROR(__xludf.DUMMYFUNCTION("((IFERROR(MIN(FILTER({K246, N246, Q246}, ISNUMBER({K246, N246, Q246}), {K246, N246, Q246} &gt; 0)), """"))*R246)+IFERROR(MIN(FILTER({K246, N246, Q246}, ISNUMBER({K246, N246, Q246}), {K246, N246, Q246} &gt; 0)), """")"),384.1)</f>
        <v>384.1</v>
      </c>
      <c r="T246" s="53">
        <f>IFERROR(__xludf.DUMMYFUNCTION("(S246-(IFERROR(MIN(FILTER({K246, N246, Q246}, ISNUMBER({K246, N246, Q246}), {K246, N246, Q246} &gt; 0)), """")))/S246"),0.4011976047904192)</f>
        <v>0.4011976048</v>
      </c>
    </row>
    <row r="247" ht="22.5" customHeight="1">
      <c r="A247" s="34" t="s">
        <v>188</v>
      </c>
      <c r="B247" s="34" t="s">
        <v>50</v>
      </c>
      <c r="C247" s="37" t="s">
        <v>72</v>
      </c>
      <c r="D247" s="38" t="s">
        <v>806</v>
      </c>
      <c r="E247" s="49" t="s">
        <v>55</v>
      </c>
      <c r="F247" s="37" t="s">
        <v>791</v>
      </c>
      <c r="G247" s="49" t="s">
        <v>41</v>
      </c>
      <c r="H247" s="51" t="s">
        <v>49</v>
      </c>
      <c r="I247" s="39">
        <v>30000.0</v>
      </c>
      <c r="J247" s="39">
        <v>30000.0</v>
      </c>
      <c r="K247" s="41"/>
      <c r="L247" s="42">
        <v>30000.0</v>
      </c>
      <c r="M247" s="42">
        <v>30000.0</v>
      </c>
      <c r="N247" s="55"/>
      <c r="O247" s="39">
        <v>30000.0</v>
      </c>
      <c r="P247" s="39">
        <v>30000.0</v>
      </c>
      <c r="Q247" s="39">
        <v>200.0</v>
      </c>
      <c r="R247" s="46">
        <v>0.67</v>
      </c>
      <c r="S247" s="50">
        <f>IFERROR(__xludf.DUMMYFUNCTION("((IFERROR(MIN(FILTER({K247, N247, Q247}, ISNUMBER({K247, N247, Q247}), {K247, N247, Q247} &gt; 0)), """"))*R247)+IFERROR(MIN(FILTER({K247, N247, Q247}, ISNUMBER({K247, N247, Q247}), {K247, N247, Q247} &gt; 0)), """")"),334.0)</f>
        <v>334</v>
      </c>
      <c r="T247" s="53">
        <f>IFERROR(__xludf.DUMMYFUNCTION("(S247-(IFERROR(MIN(FILTER({K247, N247, Q247}, ISNUMBER({K247, N247, Q247}), {K247, N247, Q247} &gt; 0)), """")))/S247"),0.40119760479041916)</f>
        <v>0.4011976048</v>
      </c>
    </row>
    <row r="248" ht="22.5" customHeight="1">
      <c r="A248" s="34" t="s">
        <v>188</v>
      </c>
      <c r="B248" s="34" t="s">
        <v>50</v>
      </c>
      <c r="C248" s="37" t="s">
        <v>72</v>
      </c>
      <c r="D248" s="38" t="s">
        <v>806</v>
      </c>
      <c r="E248" s="49" t="s">
        <v>55</v>
      </c>
      <c r="F248" s="37" t="s">
        <v>797</v>
      </c>
      <c r="G248" s="49" t="s">
        <v>41</v>
      </c>
      <c r="H248" s="51" t="s">
        <v>49</v>
      </c>
      <c r="I248" s="39">
        <v>10000.0</v>
      </c>
      <c r="J248" s="39">
        <v>10000.0</v>
      </c>
      <c r="K248" s="41"/>
      <c r="L248" s="42">
        <v>10000.0</v>
      </c>
      <c r="M248" s="42">
        <v>10000.0</v>
      </c>
      <c r="N248" s="55"/>
      <c r="O248" s="39">
        <v>10000.0</v>
      </c>
      <c r="P248" s="39">
        <v>10000.0</v>
      </c>
      <c r="Q248" s="39">
        <v>370.0</v>
      </c>
      <c r="R248" s="46">
        <v>0.67</v>
      </c>
      <c r="S248" s="50">
        <f>IFERROR(__xludf.DUMMYFUNCTION("((IFERROR(MIN(FILTER({K248, N248, Q248}, ISNUMBER({K248, N248, Q248}), {K248, N248, Q248} &gt; 0)), """"))*R248)+IFERROR(MIN(FILTER({K248, N248, Q248}, ISNUMBER({K248, N248, Q248}), {K248, N248, Q248} &gt; 0)), """")"),617.9)</f>
        <v>617.9</v>
      </c>
      <c r="T248" s="53">
        <f>IFERROR(__xludf.DUMMYFUNCTION("(S248-(IFERROR(MIN(FILTER({K248, N248, Q248}, ISNUMBER({K248, N248, Q248}), {K248, N248, Q248} &gt; 0)), """")))/S248"),0.40119760479041916)</f>
        <v>0.4011976048</v>
      </c>
    </row>
    <row r="249" ht="22.5" customHeight="1">
      <c r="A249" s="34" t="s">
        <v>188</v>
      </c>
      <c r="B249" s="34" t="s">
        <v>50</v>
      </c>
      <c r="C249" s="37" t="s">
        <v>72</v>
      </c>
      <c r="D249" s="38" t="s">
        <v>806</v>
      </c>
      <c r="E249" s="49" t="s">
        <v>55</v>
      </c>
      <c r="F249" s="37" t="s">
        <v>797</v>
      </c>
      <c r="G249" s="49" t="s">
        <v>41</v>
      </c>
      <c r="H249" s="51" t="s">
        <v>49</v>
      </c>
      <c r="I249" s="39">
        <v>20000.0</v>
      </c>
      <c r="J249" s="39">
        <v>20000.0</v>
      </c>
      <c r="K249" s="41"/>
      <c r="L249" s="42">
        <v>20000.0</v>
      </c>
      <c r="M249" s="42">
        <v>20000.0</v>
      </c>
      <c r="N249" s="55"/>
      <c r="O249" s="39">
        <v>20000.0</v>
      </c>
      <c r="P249" s="39">
        <v>20000.0</v>
      </c>
      <c r="Q249" s="39">
        <v>270.0</v>
      </c>
      <c r="R249" s="46">
        <v>0.67</v>
      </c>
      <c r="S249" s="50">
        <f>IFERROR(__xludf.DUMMYFUNCTION("((IFERROR(MIN(FILTER({K249, N249, Q249}, ISNUMBER({K249, N249, Q249}), {K249, N249, Q249} &gt; 0)), """"))*R249)+IFERROR(MIN(FILTER({K249, N249, Q249}, ISNUMBER({K249, N249, Q249}), {K249, N249, Q249} &gt; 0)), """")"),450.9)</f>
        <v>450.9</v>
      </c>
      <c r="T249" s="53">
        <f>IFERROR(__xludf.DUMMYFUNCTION("(S249-(IFERROR(MIN(FILTER({K249, N249, Q249}, ISNUMBER({K249, N249, Q249}), {K249, N249, Q249} &gt; 0)), """")))/S249"),0.4011976047904191)</f>
        <v>0.4011976048</v>
      </c>
    </row>
    <row r="250" ht="22.5" customHeight="1">
      <c r="A250" s="34" t="s">
        <v>188</v>
      </c>
      <c r="B250" s="34" t="s">
        <v>50</v>
      </c>
      <c r="C250" s="37" t="s">
        <v>72</v>
      </c>
      <c r="D250" s="38" t="s">
        <v>806</v>
      </c>
      <c r="E250" s="49" t="s">
        <v>55</v>
      </c>
      <c r="F250" s="37" t="s">
        <v>797</v>
      </c>
      <c r="G250" s="49" t="s">
        <v>41</v>
      </c>
      <c r="H250" s="51" t="s">
        <v>49</v>
      </c>
      <c r="I250" s="39">
        <v>30000.0</v>
      </c>
      <c r="J250" s="39">
        <v>30000.0</v>
      </c>
      <c r="K250" s="41"/>
      <c r="L250" s="42">
        <v>30000.0</v>
      </c>
      <c r="M250" s="42">
        <v>30000.0</v>
      </c>
      <c r="N250" s="55"/>
      <c r="O250" s="39">
        <v>30000.0</v>
      </c>
      <c r="P250" s="39">
        <v>30000.0</v>
      </c>
      <c r="Q250" s="39">
        <v>230.0</v>
      </c>
      <c r="R250" s="46">
        <v>0.67</v>
      </c>
      <c r="S250" s="50">
        <f>IFERROR(__xludf.DUMMYFUNCTION("((IFERROR(MIN(FILTER({K250, N250, Q250}, ISNUMBER({K250, N250, Q250}), {K250, N250, Q250} &gt; 0)), """"))*R250)+IFERROR(MIN(FILTER({K250, N250, Q250}, ISNUMBER({K250, N250, Q250}), {K250, N250, Q250} &gt; 0)), """")"),384.1)</f>
        <v>384.1</v>
      </c>
      <c r="T250" s="53">
        <f>IFERROR(__xludf.DUMMYFUNCTION("(S250-(IFERROR(MIN(FILTER({K250, N250, Q250}, ISNUMBER({K250, N250, Q250}), {K250, N250, Q250} &gt; 0)), """")))/S250"),0.4011976047904192)</f>
        <v>0.4011976048</v>
      </c>
    </row>
    <row r="251" ht="22.5" customHeight="1">
      <c r="A251" s="37" t="s">
        <v>188</v>
      </c>
      <c r="B251" s="37" t="s">
        <v>50</v>
      </c>
      <c r="C251" s="37" t="s">
        <v>85</v>
      </c>
      <c r="D251" s="38" t="s">
        <v>790</v>
      </c>
      <c r="E251" s="49" t="s">
        <v>55</v>
      </c>
      <c r="F251" s="37" t="s">
        <v>791</v>
      </c>
      <c r="G251" s="49" t="s">
        <v>41</v>
      </c>
      <c r="H251" s="51" t="s">
        <v>49</v>
      </c>
      <c r="I251" s="39">
        <v>10000.0</v>
      </c>
      <c r="J251" s="39">
        <v>10000.0</v>
      </c>
      <c r="K251" s="41"/>
      <c r="L251" s="42">
        <v>10000.0</v>
      </c>
      <c r="M251" s="42">
        <v>10000.0</v>
      </c>
      <c r="N251" s="55"/>
      <c r="O251" s="39">
        <v>10000.0</v>
      </c>
      <c r="P251" s="39">
        <v>10000.0</v>
      </c>
      <c r="Q251" s="39">
        <v>350.0</v>
      </c>
      <c r="R251" s="46">
        <v>0.67</v>
      </c>
      <c r="S251" s="50">
        <f>IFERROR(__xludf.DUMMYFUNCTION("((IFERROR(MIN(FILTER({K251, N251, Q251}, ISNUMBER({K251, N251, Q251}), {K251, N251, Q251} &gt; 0)), """"))*R251)+IFERROR(MIN(FILTER({K251, N251, Q251}, ISNUMBER({K251, N251, Q251}), {K251, N251, Q251} &gt; 0)), """")"),584.5)</f>
        <v>584.5</v>
      </c>
      <c r="T251" s="53">
        <f>IFERROR(__xludf.DUMMYFUNCTION("(S251-(IFERROR(MIN(FILTER({K251, N251, Q251}, ISNUMBER({K251, N251, Q251}), {K251, N251, Q251} &gt; 0)), """")))/S251"),0.40119760479041916)</f>
        <v>0.4011976048</v>
      </c>
    </row>
    <row r="252" ht="22.5" customHeight="1">
      <c r="A252" s="37" t="s">
        <v>188</v>
      </c>
      <c r="B252" s="37" t="s">
        <v>50</v>
      </c>
      <c r="C252" s="37" t="s">
        <v>85</v>
      </c>
      <c r="D252" s="38" t="s">
        <v>790</v>
      </c>
      <c r="E252" s="49" t="s">
        <v>55</v>
      </c>
      <c r="F252" s="37" t="s">
        <v>791</v>
      </c>
      <c r="G252" s="49" t="s">
        <v>41</v>
      </c>
      <c r="H252" s="51" t="s">
        <v>49</v>
      </c>
      <c r="I252" s="39">
        <v>20000.0</v>
      </c>
      <c r="J252" s="39">
        <v>20000.0</v>
      </c>
      <c r="K252" s="41"/>
      <c r="L252" s="42">
        <v>20000.0</v>
      </c>
      <c r="M252" s="42">
        <v>20000.0</v>
      </c>
      <c r="N252" s="55"/>
      <c r="O252" s="39">
        <v>20000.0</v>
      </c>
      <c r="P252" s="39">
        <v>20000.0</v>
      </c>
      <c r="Q252" s="39">
        <v>270.0</v>
      </c>
      <c r="R252" s="46">
        <v>0.67</v>
      </c>
      <c r="S252" s="50">
        <f>IFERROR(__xludf.DUMMYFUNCTION("((IFERROR(MIN(FILTER({K252, N252, Q252}, ISNUMBER({K252, N252, Q252}), {K252, N252, Q252} &gt; 0)), """"))*R252)+IFERROR(MIN(FILTER({K252, N252, Q252}, ISNUMBER({K252, N252, Q252}), {K252, N252, Q252} &gt; 0)), """")"),450.9)</f>
        <v>450.9</v>
      </c>
      <c r="T252" s="53">
        <f>IFERROR(__xludf.DUMMYFUNCTION("(S252-(IFERROR(MIN(FILTER({K252, N252, Q252}, ISNUMBER({K252, N252, Q252}), {K252, N252, Q252} &gt; 0)), """")))/S252"),0.4011976047904191)</f>
        <v>0.4011976048</v>
      </c>
    </row>
    <row r="253" ht="22.5" customHeight="1">
      <c r="A253" s="37" t="s">
        <v>188</v>
      </c>
      <c r="B253" s="37" t="s">
        <v>50</v>
      </c>
      <c r="C253" s="37" t="s">
        <v>85</v>
      </c>
      <c r="D253" s="38" t="s">
        <v>790</v>
      </c>
      <c r="E253" s="49" t="s">
        <v>55</v>
      </c>
      <c r="F253" s="37" t="s">
        <v>791</v>
      </c>
      <c r="G253" s="49" t="s">
        <v>41</v>
      </c>
      <c r="H253" s="51" t="s">
        <v>49</v>
      </c>
      <c r="I253" s="39">
        <v>30000.0</v>
      </c>
      <c r="J253" s="39">
        <v>30000.0</v>
      </c>
      <c r="K253" s="39"/>
      <c r="L253" s="42">
        <v>30000.0</v>
      </c>
      <c r="M253" s="42">
        <v>30000.0</v>
      </c>
      <c r="N253" s="55"/>
      <c r="O253" s="39">
        <v>30000.0</v>
      </c>
      <c r="P253" s="39">
        <v>30000.0</v>
      </c>
      <c r="Q253" s="39">
        <v>240.0</v>
      </c>
      <c r="R253" s="46">
        <v>0.67</v>
      </c>
      <c r="S253" s="50">
        <f>IFERROR(__xludf.DUMMYFUNCTION("((IFERROR(MIN(FILTER({K253, N253, Q253}, ISNUMBER({K253, N253, Q253}), {K253, N253, Q253} &gt; 0)), """"))*R253)+IFERROR(MIN(FILTER({K253, N253, Q253}, ISNUMBER({K253, N253, Q253}), {K253, N253, Q253} &gt; 0)), """")"),400.8)</f>
        <v>400.8</v>
      </c>
      <c r="T253" s="53">
        <f>IFERROR(__xludf.DUMMYFUNCTION("(S253-(IFERROR(MIN(FILTER({K253, N253, Q253}, ISNUMBER({K253, N253, Q253}), {K253, N253, Q253} &gt; 0)), """")))/S253"),0.40119760479041916)</f>
        <v>0.4011976048</v>
      </c>
    </row>
    <row r="254" ht="22.5" customHeight="1">
      <c r="A254" s="37" t="s">
        <v>188</v>
      </c>
      <c r="B254" s="37" t="s">
        <v>50</v>
      </c>
      <c r="C254" s="37" t="s">
        <v>85</v>
      </c>
      <c r="D254" s="38" t="s">
        <v>790</v>
      </c>
      <c r="E254" s="49" t="s">
        <v>55</v>
      </c>
      <c r="F254" s="37" t="s">
        <v>797</v>
      </c>
      <c r="G254" s="49" t="s">
        <v>41</v>
      </c>
      <c r="H254" s="51" t="s">
        <v>49</v>
      </c>
      <c r="I254" s="39">
        <v>10000.0</v>
      </c>
      <c r="J254" s="39">
        <v>10000.0</v>
      </c>
      <c r="K254" s="41"/>
      <c r="L254" s="42">
        <v>10000.0</v>
      </c>
      <c r="M254" s="42">
        <v>10000.0</v>
      </c>
      <c r="N254" s="55"/>
      <c r="O254" s="39">
        <v>10000.0</v>
      </c>
      <c r="P254" s="39">
        <v>10000.0</v>
      </c>
      <c r="Q254" s="39">
        <v>440.0</v>
      </c>
      <c r="R254" s="46">
        <v>0.67</v>
      </c>
      <c r="S254" s="50">
        <f>IFERROR(__xludf.DUMMYFUNCTION("((IFERROR(MIN(FILTER({K254, N254, Q254}, ISNUMBER({K254, N254, Q254}), {K254, N254, Q254} &gt; 0)), """"))*R254)+IFERROR(MIN(FILTER({K254, N254, Q254}, ISNUMBER({K254, N254, Q254}), {K254, N254, Q254} &gt; 0)), """")"),734.8)</f>
        <v>734.8</v>
      </c>
      <c r="T254" s="53">
        <f>IFERROR(__xludf.DUMMYFUNCTION("(S254-(IFERROR(MIN(FILTER({K254, N254, Q254}, ISNUMBER({K254, N254, Q254}), {K254, N254, Q254} &gt; 0)), """")))/S254"),0.4011976047904191)</f>
        <v>0.4011976048</v>
      </c>
    </row>
    <row r="255" ht="22.5" customHeight="1">
      <c r="A255" s="37" t="s">
        <v>188</v>
      </c>
      <c r="B255" s="37" t="s">
        <v>50</v>
      </c>
      <c r="C255" s="37" t="s">
        <v>85</v>
      </c>
      <c r="D255" s="38" t="s">
        <v>790</v>
      </c>
      <c r="E255" s="49" t="s">
        <v>55</v>
      </c>
      <c r="F255" s="37" t="s">
        <v>797</v>
      </c>
      <c r="G255" s="49" t="s">
        <v>41</v>
      </c>
      <c r="H255" s="51" t="s">
        <v>49</v>
      </c>
      <c r="I255" s="39">
        <v>20000.0</v>
      </c>
      <c r="J255" s="39">
        <v>20000.0</v>
      </c>
      <c r="K255" s="41"/>
      <c r="L255" s="42">
        <v>20000.0</v>
      </c>
      <c r="M255" s="42">
        <v>20000.0</v>
      </c>
      <c r="N255" s="55"/>
      <c r="O255" s="39">
        <v>20000.0</v>
      </c>
      <c r="P255" s="39">
        <v>20000.0</v>
      </c>
      <c r="Q255" s="39">
        <v>350.0</v>
      </c>
      <c r="R255" s="46">
        <v>0.67</v>
      </c>
      <c r="S255" s="50">
        <f>IFERROR(__xludf.DUMMYFUNCTION("((IFERROR(MIN(FILTER({K255, N255, Q255}, ISNUMBER({K255, N255, Q255}), {K255, N255, Q255} &gt; 0)), """"))*R255)+IFERROR(MIN(FILTER({K255, N255, Q255}, ISNUMBER({K255, N255, Q255}), {K255, N255, Q255} &gt; 0)), """")"),584.5)</f>
        <v>584.5</v>
      </c>
      <c r="T255" s="53">
        <f>IFERROR(__xludf.DUMMYFUNCTION("(S255-(IFERROR(MIN(FILTER({K255, N255, Q255}, ISNUMBER({K255, N255, Q255}), {K255, N255, Q255} &gt; 0)), """")))/S255"),0.40119760479041916)</f>
        <v>0.4011976048</v>
      </c>
    </row>
    <row r="256" ht="22.5" customHeight="1">
      <c r="A256" s="37" t="s">
        <v>188</v>
      </c>
      <c r="B256" s="37" t="s">
        <v>50</v>
      </c>
      <c r="C256" s="37" t="s">
        <v>85</v>
      </c>
      <c r="D256" s="38" t="s">
        <v>790</v>
      </c>
      <c r="E256" s="49" t="s">
        <v>55</v>
      </c>
      <c r="F256" s="37" t="s">
        <v>797</v>
      </c>
      <c r="G256" s="49" t="s">
        <v>41</v>
      </c>
      <c r="H256" s="51" t="s">
        <v>49</v>
      </c>
      <c r="I256" s="39">
        <v>30000.0</v>
      </c>
      <c r="J256" s="39">
        <v>30000.0</v>
      </c>
      <c r="K256" s="41"/>
      <c r="L256" s="42">
        <v>30000.0</v>
      </c>
      <c r="M256" s="42">
        <v>30000.0</v>
      </c>
      <c r="N256" s="55"/>
      <c r="O256" s="39">
        <v>30000.0</v>
      </c>
      <c r="P256" s="39">
        <v>30000.0</v>
      </c>
      <c r="Q256" s="39">
        <v>270.0</v>
      </c>
      <c r="R256" s="46">
        <v>0.67</v>
      </c>
      <c r="S256" s="50">
        <f>IFERROR(__xludf.DUMMYFUNCTION("((IFERROR(MIN(FILTER({K256, N256, Q256}, ISNUMBER({K256, N256, Q256}), {K256, N256, Q256} &gt; 0)), """"))*R256)+IFERROR(MIN(FILTER({K256, N256, Q256}, ISNUMBER({K256, N256, Q256}), {K256, N256, Q256} &gt; 0)), """")"),450.9)</f>
        <v>450.9</v>
      </c>
      <c r="T256" s="53">
        <f>IFERROR(__xludf.DUMMYFUNCTION("(S256-(IFERROR(MIN(FILTER({K256, N256, Q256}, ISNUMBER({K256, N256, Q256}), {K256, N256, Q256} &gt; 0)), """")))/S256"),0.4011976047904191)</f>
        <v>0.4011976048</v>
      </c>
    </row>
    <row r="257" ht="22.5" customHeight="1">
      <c r="A257" s="37" t="s">
        <v>188</v>
      </c>
      <c r="B257" s="37" t="s">
        <v>50</v>
      </c>
      <c r="C257" s="37" t="s">
        <v>85</v>
      </c>
      <c r="D257" s="38" t="s">
        <v>806</v>
      </c>
      <c r="E257" s="49" t="s">
        <v>55</v>
      </c>
      <c r="F257" s="37" t="s">
        <v>791</v>
      </c>
      <c r="G257" s="49" t="s">
        <v>41</v>
      </c>
      <c r="H257" s="51" t="s">
        <v>49</v>
      </c>
      <c r="I257" s="39">
        <v>10000.0</v>
      </c>
      <c r="J257" s="39">
        <v>10000.0</v>
      </c>
      <c r="K257" s="41"/>
      <c r="L257" s="42">
        <v>10000.0</v>
      </c>
      <c r="M257" s="42">
        <v>10000.0</v>
      </c>
      <c r="N257" s="55"/>
      <c r="O257" s="39">
        <v>10000.0</v>
      </c>
      <c r="P257" s="39">
        <v>10000.0</v>
      </c>
      <c r="Q257" s="39">
        <v>380.0</v>
      </c>
      <c r="R257" s="46">
        <v>0.67</v>
      </c>
      <c r="S257" s="50">
        <f>IFERROR(__xludf.DUMMYFUNCTION("((IFERROR(MIN(FILTER({K257, N257, Q257}, ISNUMBER({K257, N257, Q257}), {K257, N257, Q257} &gt; 0)), """"))*R257)+IFERROR(MIN(FILTER({K257, N257, Q257}, ISNUMBER({K257, N257, Q257}), {K257, N257, Q257} &gt; 0)), """")"),634.6)</f>
        <v>634.6</v>
      </c>
      <c r="T257" s="53">
        <f>IFERROR(__xludf.DUMMYFUNCTION("(S257-(IFERROR(MIN(FILTER({K257, N257, Q257}, ISNUMBER({K257, N257, Q257}), {K257, N257, Q257} &gt; 0)), """")))/S257"),0.40119760479041916)</f>
        <v>0.4011976048</v>
      </c>
    </row>
    <row r="258" ht="22.5" customHeight="1">
      <c r="A258" s="37" t="s">
        <v>188</v>
      </c>
      <c r="B258" s="37" t="s">
        <v>50</v>
      </c>
      <c r="C258" s="37" t="s">
        <v>85</v>
      </c>
      <c r="D258" s="38" t="s">
        <v>806</v>
      </c>
      <c r="E258" s="49" t="s">
        <v>55</v>
      </c>
      <c r="F258" s="37" t="s">
        <v>791</v>
      </c>
      <c r="G258" s="49" t="s">
        <v>41</v>
      </c>
      <c r="H258" s="51" t="s">
        <v>49</v>
      </c>
      <c r="I258" s="39">
        <v>20000.0</v>
      </c>
      <c r="J258" s="39">
        <v>20000.0</v>
      </c>
      <c r="K258" s="41"/>
      <c r="L258" s="42">
        <v>20000.0</v>
      </c>
      <c r="M258" s="42">
        <v>20000.0</v>
      </c>
      <c r="N258" s="55"/>
      <c r="O258" s="39">
        <v>20000.0</v>
      </c>
      <c r="P258" s="39">
        <v>20000.0</v>
      </c>
      <c r="Q258" s="39">
        <v>300.0</v>
      </c>
      <c r="R258" s="46">
        <v>0.67</v>
      </c>
      <c r="S258" s="50">
        <f>IFERROR(__xludf.DUMMYFUNCTION("((IFERROR(MIN(FILTER({K258, N258, Q258}, ISNUMBER({K258, N258, Q258}), {K258, N258, Q258} &gt; 0)), """"))*R258)+IFERROR(MIN(FILTER({K258, N258, Q258}, ISNUMBER({K258, N258, Q258}), {K258, N258, Q258} &gt; 0)), """")"),501.0)</f>
        <v>501</v>
      </c>
      <c r="T258" s="53">
        <f>IFERROR(__xludf.DUMMYFUNCTION("(S258-(IFERROR(MIN(FILTER({K258, N258, Q258}, ISNUMBER({K258, N258, Q258}), {K258, N258, Q258} &gt; 0)), """")))/S258"),0.40119760479041916)</f>
        <v>0.4011976048</v>
      </c>
    </row>
    <row r="259" ht="22.5" customHeight="1">
      <c r="A259" s="37" t="s">
        <v>188</v>
      </c>
      <c r="B259" s="37" t="s">
        <v>50</v>
      </c>
      <c r="C259" s="37" t="s">
        <v>85</v>
      </c>
      <c r="D259" s="38" t="s">
        <v>806</v>
      </c>
      <c r="E259" s="49" t="s">
        <v>55</v>
      </c>
      <c r="F259" s="37" t="s">
        <v>791</v>
      </c>
      <c r="G259" s="49" t="s">
        <v>41</v>
      </c>
      <c r="H259" s="51" t="s">
        <v>49</v>
      </c>
      <c r="I259" s="39">
        <v>30000.0</v>
      </c>
      <c r="J259" s="39">
        <v>30000.0</v>
      </c>
      <c r="K259" s="41"/>
      <c r="L259" s="42">
        <v>30000.0</v>
      </c>
      <c r="M259" s="42">
        <v>30000.0</v>
      </c>
      <c r="N259" s="55"/>
      <c r="O259" s="39">
        <v>30000.0</v>
      </c>
      <c r="P259" s="39">
        <v>30000.0</v>
      </c>
      <c r="Q259" s="39">
        <v>270.0</v>
      </c>
      <c r="R259" s="46">
        <v>0.67</v>
      </c>
      <c r="S259" s="50">
        <f>IFERROR(__xludf.DUMMYFUNCTION("((IFERROR(MIN(FILTER({K259, N259, Q259}, ISNUMBER({K259, N259, Q259}), {K259, N259, Q259} &gt; 0)), """"))*R259)+IFERROR(MIN(FILTER({K259, N259, Q259}, ISNUMBER({K259, N259, Q259}), {K259, N259, Q259} &gt; 0)), """")"),450.9)</f>
        <v>450.9</v>
      </c>
      <c r="T259" s="53">
        <f>IFERROR(__xludf.DUMMYFUNCTION("(S259-(IFERROR(MIN(FILTER({K259, N259, Q259}, ISNUMBER({K259, N259, Q259}), {K259, N259, Q259} &gt; 0)), """")))/S259"),0.4011976047904191)</f>
        <v>0.4011976048</v>
      </c>
    </row>
    <row r="260" ht="22.5" customHeight="1">
      <c r="A260" s="37" t="s">
        <v>188</v>
      </c>
      <c r="B260" s="37" t="s">
        <v>50</v>
      </c>
      <c r="C260" s="37" t="s">
        <v>85</v>
      </c>
      <c r="D260" s="38" t="s">
        <v>806</v>
      </c>
      <c r="E260" s="49" t="s">
        <v>55</v>
      </c>
      <c r="F260" s="37" t="s">
        <v>797</v>
      </c>
      <c r="G260" s="49" t="s">
        <v>41</v>
      </c>
      <c r="H260" s="51" t="s">
        <v>49</v>
      </c>
      <c r="I260" s="39">
        <v>10000.0</v>
      </c>
      <c r="J260" s="39">
        <v>10000.0</v>
      </c>
      <c r="K260" s="41"/>
      <c r="L260" s="42">
        <v>10000.0</v>
      </c>
      <c r="M260" s="42">
        <v>10000.0</v>
      </c>
      <c r="N260" s="55"/>
      <c r="O260" s="39">
        <v>10000.0</v>
      </c>
      <c r="P260" s="39">
        <v>10000.0</v>
      </c>
      <c r="Q260" s="39">
        <v>470.0</v>
      </c>
      <c r="R260" s="46">
        <v>0.67</v>
      </c>
      <c r="S260" s="50">
        <f>IFERROR(__xludf.DUMMYFUNCTION("((IFERROR(MIN(FILTER({K260, N260, Q260}, ISNUMBER({K260, N260, Q260}), {K260, N260, Q260} &gt; 0)), """"))*R260)+IFERROR(MIN(FILTER({K260, N260, Q260}, ISNUMBER({K260, N260, Q260}), {K260, N260, Q260} &gt; 0)), """")"),784.9000000000001)</f>
        <v>784.9</v>
      </c>
      <c r="T260" s="53">
        <f>IFERROR(__xludf.DUMMYFUNCTION("(S260-(IFERROR(MIN(FILTER({K260, N260, Q260}, ISNUMBER({K260, N260, Q260}), {K260, N260, Q260} &gt; 0)), """")))/S260"),0.4011976047904192)</f>
        <v>0.4011976048</v>
      </c>
    </row>
    <row r="261" ht="22.5" customHeight="1">
      <c r="A261" s="37" t="s">
        <v>188</v>
      </c>
      <c r="B261" s="37" t="s">
        <v>50</v>
      </c>
      <c r="C261" s="37" t="s">
        <v>85</v>
      </c>
      <c r="D261" s="38" t="s">
        <v>806</v>
      </c>
      <c r="E261" s="49" t="s">
        <v>55</v>
      </c>
      <c r="F261" s="37" t="s">
        <v>797</v>
      </c>
      <c r="G261" s="49" t="s">
        <v>41</v>
      </c>
      <c r="H261" s="51" t="s">
        <v>49</v>
      </c>
      <c r="I261" s="39">
        <v>20000.0</v>
      </c>
      <c r="J261" s="39">
        <v>20000.0</v>
      </c>
      <c r="K261" s="41"/>
      <c r="L261" s="42">
        <v>20000.0</v>
      </c>
      <c r="M261" s="42">
        <v>20000.0</v>
      </c>
      <c r="N261" s="55"/>
      <c r="O261" s="39">
        <v>20000.0</v>
      </c>
      <c r="P261" s="39">
        <v>20000.0</v>
      </c>
      <c r="Q261" s="39">
        <v>380.0</v>
      </c>
      <c r="R261" s="46">
        <v>0.67</v>
      </c>
      <c r="S261" s="50">
        <f>IFERROR(__xludf.DUMMYFUNCTION("((IFERROR(MIN(FILTER({K261, N261, Q261}, ISNUMBER({K261, N261, Q261}), {K261, N261, Q261} &gt; 0)), """"))*R261)+IFERROR(MIN(FILTER({K261, N261, Q261}, ISNUMBER({K261, N261, Q261}), {K261, N261, Q261} &gt; 0)), """")"),634.6)</f>
        <v>634.6</v>
      </c>
      <c r="T261" s="53">
        <f>IFERROR(__xludf.DUMMYFUNCTION("(S261-(IFERROR(MIN(FILTER({K261, N261, Q261}, ISNUMBER({K261, N261, Q261}), {K261, N261, Q261} &gt; 0)), """")))/S261"),0.40119760479041916)</f>
        <v>0.4011976048</v>
      </c>
    </row>
    <row r="262" ht="22.5" customHeight="1">
      <c r="A262" s="37" t="s">
        <v>188</v>
      </c>
      <c r="B262" s="37" t="s">
        <v>50</v>
      </c>
      <c r="C262" s="37" t="s">
        <v>85</v>
      </c>
      <c r="D262" s="38" t="s">
        <v>806</v>
      </c>
      <c r="E262" s="49" t="s">
        <v>55</v>
      </c>
      <c r="F262" s="37" t="s">
        <v>797</v>
      </c>
      <c r="G262" s="49" t="s">
        <v>41</v>
      </c>
      <c r="H262" s="51" t="s">
        <v>49</v>
      </c>
      <c r="I262" s="39">
        <v>30000.0</v>
      </c>
      <c r="J262" s="39">
        <v>30000.0</v>
      </c>
      <c r="K262" s="41"/>
      <c r="L262" s="42">
        <v>30000.0</v>
      </c>
      <c r="M262" s="42">
        <v>30000.0</v>
      </c>
      <c r="N262" s="55"/>
      <c r="O262" s="39">
        <v>30000.0</v>
      </c>
      <c r="P262" s="39">
        <v>30000.0</v>
      </c>
      <c r="Q262" s="39">
        <v>310.0</v>
      </c>
      <c r="R262" s="46">
        <v>0.67</v>
      </c>
      <c r="S262" s="50">
        <f>IFERROR(__xludf.DUMMYFUNCTION("((IFERROR(MIN(FILTER({K262, N262, Q262}, ISNUMBER({K262, N262, Q262}), {K262, N262, Q262} &gt; 0)), """"))*R262)+IFERROR(MIN(FILTER({K262, N262, Q262}, ISNUMBER({K262, N262, Q262}), {K262, N262, Q262} &gt; 0)), """")"),517.7)</f>
        <v>517.7</v>
      </c>
      <c r="T262" s="53">
        <f>IFERROR(__xludf.DUMMYFUNCTION("(S262-(IFERROR(MIN(FILTER({K262, N262, Q262}, ISNUMBER({K262, N262, Q262}), {K262, N262, Q262} &gt; 0)), """")))/S262"),0.4011976047904192)</f>
        <v>0.4011976048</v>
      </c>
    </row>
    <row r="263" ht="22.5" customHeight="1">
      <c r="A263" s="37" t="s">
        <v>841</v>
      </c>
      <c r="B263" s="37" t="s">
        <v>50</v>
      </c>
      <c r="C263" s="37" t="s">
        <v>42</v>
      </c>
      <c r="D263" s="38" t="s">
        <v>843</v>
      </c>
      <c r="E263" s="49" t="s">
        <v>55</v>
      </c>
      <c r="F263" s="37" t="s">
        <v>845</v>
      </c>
      <c r="G263" s="49" t="s">
        <v>41</v>
      </c>
      <c r="H263" s="51" t="s">
        <v>49</v>
      </c>
      <c r="I263" s="39">
        <v>2000.0</v>
      </c>
      <c r="J263" s="39">
        <v>2000.0</v>
      </c>
      <c r="K263" s="41"/>
      <c r="L263" s="42">
        <v>2000.0</v>
      </c>
      <c r="M263" s="42">
        <v>2000.0</v>
      </c>
      <c r="N263" s="55"/>
      <c r="O263" s="39">
        <v>2000.0</v>
      </c>
      <c r="P263" s="39">
        <v>2000.0</v>
      </c>
      <c r="Q263" s="39">
        <v>720.0</v>
      </c>
      <c r="R263" s="46">
        <v>0.67</v>
      </c>
      <c r="S263" s="50">
        <f>IFERROR(__xludf.DUMMYFUNCTION("((IFERROR(MIN(FILTER({K263, N263, Q263}, ISNUMBER({K263, N263, Q263}), {K263, N263, Q263} &gt; 0)), """"))*R263)+IFERROR(MIN(FILTER({K263, N263, Q263}, ISNUMBER({K263, N263, Q263}), {K263, N263, Q263} &gt; 0)), """")"),1202.4)</f>
        <v>1202.4</v>
      </c>
      <c r="T263" s="53">
        <f>IFERROR(__xludf.DUMMYFUNCTION("(S263-(IFERROR(MIN(FILTER({K263, N263, Q263}, ISNUMBER({K263, N263, Q263}), {K263, N263, Q263} &gt; 0)), """")))/S263"),0.4011976047904192)</f>
        <v>0.4011976048</v>
      </c>
    </row>
    <row r="264" ht="22.5" customHeight="1">
      <c r="A264" s="37" t="s">
        <v>841</v>
      </c>
      <c r="B264" s="37" t="s">
        <v>50</v>
      </c>
      <c r="C264" s="37" t="s">
        <v>42</v>
      </c>
      <c r="D264" s="38" t="s">
        <v>843</v>
      </c>
      <c r="E264" s="49" t="s">
        <v>55</v>
      </c>
      <c r="F264" s="37" t="s">
        <v>845</v>
      </c>
      <c r="G264" s="49" t="s">
        <v>41</v>
      </c>
      <c r="H264" s="51" t="s">
        <v>49</v>
      </c>
      <c r="I264" s="39">
        <v>5000.0</v>
      </c>
      <c r="J264" s="39">
        <v>5000.0</v>
      </c>
      <c r="K264" s="41"/>
      <c r="L264" s="42">
        <v>5000.0</v>
      </c>
      <c r="M264" s="42">
        <v>5000.0</v>
      </c>
      <c r="N264" s="55"/>
      <c r="O264" s="39">
        <v>5000.0</v>
      </c>
      <c r="P264" s="39">
        <v>5000.0</v>
      </c>
      <c r="Q264" s="39">
        <v>640.0</v>
      </c>
      <c r="R264" s="46">
        <v>0.67</v>
      </c>
      <c r="S264" s="50">
        <f>IFERROR(__xludf.DUMMYFUNCTION("((IFERROR(MIN(FILTER({K264, N264, Q264}, ISNUMBER({K264, N264, Q264}), {K264, N264, Q264} &gt; 0)), """"))*R264)+IFERROR(MIN(FILTER({K264, N264, Q264}, ISNUMBER({K264, N264, Q264}), {K264, N264, Q264} &gt; 0)), """")"),1068.8)</f>
        <v>1068.8</v>
      </c>
      <c r="T264" s="53">
        <f>IFERROR(__xludf.DUMMYFUNCTION("(S264-(IFERROR(MIN(FILTER({K264, N264, Q264}, ISNUMBER({K264, N264, Q264}), {K264, N264, Q264} &gt; 0)), """")))/S264"),0.40119760479041916)</f>
        <v>0.4011976048</v>
      </c>
    </row>
    <row r="265" ht="22.5" customHeight="1">
      <c r="A265" s="37" t="s">
        <v>841</v>
      </c>
      <c r="B265" s="37" t="s">
        <v>50</v>
      </c>
      <c r="C265" s="37" t="s">
        <v>42</v>
      </c>
      <c r="D265" s="38" t="s">
        <v>843</v>
      </c>
      <c r="E265" s="49" t="s">
        <v>55</v>
      </c>
      <c r="F265" s="37" t="s">
        <v>845</v>
      </c>
      <c r="G265" s="49" t="s">
        <v>41</v>
      </c>
      <c r="H265" s="51" t="s">
        <v>49</v>
      </c>
      <c r="I265" s="39">
        <v>10000.0</v>
      </c>
      <c r="J265" s="39">
        <v>10000.0</v>
      </c>
      <c r="K265" s="41"/>
      <c r="L265" s="42">
        <v>10000.0</v>
      </c>
      <c r="M265" s="42">
        <v>10000.0</v>
      </c>
      <c r="N265" s="55"/>
      <c r="O265" s="39">
        <v>10000.0</v>
      </c>
      <c r="P265" s="39">
        <v>10000.0</v>
      </c>
      <c r="Q265" s="39">
        <v>550.0</v>
      </c>
      <c r="R265" s="46">
        <v>0.67</v>
      </c>
      <c r="S265" s="50">
        <f>IFERROR(__xludf.DUMMYFUNCTION("((IFERROR(MIN(FILTER({K265, N265, Q265}, ISNUMBER({K265, N265, Q265}), {K265, N265, Q265} &gt; 0)), """"))*R265)+IFERROR(MIN(FILTER({K265, N265, Q265}, ISNUMBER({K265, N265, Q265}), {K265, N265, Q265} &gt; 0)), """")"),918.5)</f>
        <v>918.5</v>
      </c>
      <c r="T265" s="53">
        <f>IFERROR(__xludf.DUMMYFUNCTION("(S265-(IFERROR(MIN(FILTER({K265, N265, Q265}, ISNUMBER({K265, N265, Q265}), {K265, N265, Q265} &gt; 0)), """")))/S265"),0.40119760479041916)</f>
        <v>0.4011976048</v>
      </c>
    </row>
    <row r="266" ht="22.5" customHeight="1">
      <c r="A266" s="37" t="s">
        <v>841</v>
      </c>
      <c r="B266" s="37" t="s">
        <v>50</v>
      </c>
      <c r="C266" s="37" t="s">
        <v>42</v>
      </c>
      <c r="D266" s="38" t="s">
        <v>843</v>
      </c>
      <c r="E266" s="49" t="s">
        <v>55</v>
      </c>
      <c r="F266" s="37" t="s">
        <v>845</v>
      </c>
      <c r="G266" s="49" t="s">
        <v>41</v>
      </c>
      <c r="H266" s="51" t="s">
        <v>49</v>
      </c>
      <c r="I266" s="39">
        <v>2000.0</v>
      </c>
      <c r="J266" s="39">
        <v>2000.0</v>
      </c>
      <c r="K266" s="41"/>
      <c r="L266" s="42">
        <v>2000.0</v>
      </c>
      <c r="M266" s="42">
        <v>2000.0</v>
      </c>
      <c r="N266" s="55"/>
      <c r="O266" s="39">
        <v>2000.0</v>
      </c>
      <c r="P266" s="39">
        <v>2000.0</v>
      </c>
      <c r="Q266" s="39">
        <v>840.0</v>
      </c>
      <c r="R266" s="46">
        <v>0.67</v>
      </c>
      <c r="S266" s="50">
        <f>IFERROR(__xludf.DUMMYFUNCTION("((IFERROR(MIN(FILTER({K266, N266, Q266}, ISNUMBER({K266, N266, Q266}), {K266, N266, Q266} &gt; 0)), """"))*R266)+IFERROR(MIN(FILTER({K266, N266, Q266}, ISNUMBER({K266, N266, Q266}), {K266, N266, Q266} &gt; 0)), """")"),1402.8000000000002)</f>
        <v>1402.8</v>
      </c>
      <c r="T266" s="53">
        <f>IFERROR(__xludf.DUMMYFUNCTION("(S266-(IFERROR(MIN(FILTER({K266, N266, Q266}, ISNUMBER({K266, N266, Q266}), {K266, N266, Q266} &gt; 0)), """")))/S266"),0.4011976047904192)</f>
        <v>0.4011976048</v>
      </c>
    </row>
    <row r="267" ht="22.5" customHeight="1">
      <c r="A267" s="37" t="s">
        <v>841</v>
      </c>
      <c r="B267" s="37" t="s">
        <v>50</v>
      </c>
      <c r="C267" s="37" t="s">
        <v>42</v>
      </c>
      <c r="D267" s="38" t="s">
        <v>843</v>
      </c>
      <c r="E267" s="49" t="s">
        <v>55</v>
      </c>
      <c r="F267" s="37" t="s">
        <v>845</v>
      </c>
      <c r="G267" s="49" t="s">
        <v>41</v>
      </c>
      <c r="H267" s="51" t="s">
        <v>49</v>
      </c>
      <c r="I267" s="39">
        <v>5000.0</v>
      </c>
      <c r="J267" s="39">
        <v>5000.0</v>
      </c>
      <c r="K267" s="41"/>
      <c r="L267" s="42">
        <v>5000.0</v>
      </c>
      <c r="M267" s="42">
        <v>5000.0</v>
      </c>
      <c r="N267" s="55"/>
      <c r="O267" s="39">
        <v>5000.0</v>
      </c>
      <c r="P267" s="39">
        <v>5000.0</v>
      </c>
      <c r="Q267" s="39">
        <v>720.0</v>
      </c>
      <c r="R267" s="46">
        <v>0.67</v>
      </c>
      <c r="S267" s="50">
        <f>IFERROR(__xludf.DUMMYFUNCTION("((IFERROR(MIN(FILTER({K267, N267, Q267}, ISNUMBER({K267, N267, Q267}), {K267, N267, Q267} &gt; 0)), """"))*R267)+IFERROR(MIN(FILTER({K267, N267, Q267}, ISNUMBER({K267, N267, Q267}), {K267, N267, Q267} &gt; 0)), """")"),1202.4)</f>
        <v>1202.4</v>
      </c>
      <c r="T267" s="53">
        <f>IFERROR(__xludf.DUMMYFUNCTION("(S267-(IFERROR(MIN(FILTER({K267, N267, Q267}, ISNUMBER({K267, N267, Q267}), {K267, N267, Q267} &gt; 0)), """")))/S267"),0.4011976047904192)</f>
        <v>0.4011976048</v>
      </c>
    </row>
    <row r="268" ht="22.5" customHeight="1">
      <c r="A268" s="37" t="s">
        <v>841</v>
      </c>
      <c r="B268" s="37" t="s">
        <v>50</v>
      </c>
      <c r="C268" s="37" t="s">
        <v>42</v>
      </c>
      <c r="D268" s="38" t="s">
        <v>843</v>
      </c>
      <c r="E268" s="49" t="s">
        <v>55</v>
      </c>
      <c r="F268" s="37" t="s">
        <v>845</v>
      </c>
      <c r="G268" s="49" t="s">
        <v>41</v>
      </c>
      <c r="H268" s="51" t="s">
        <v>49</v>
      </c>
      <c r="I268" s="39">
        <v>10000.0</v>
      </c>
      <c r="J268" s="39">
        <v>10000.0</v>
      </c>
      <c r="K268" s="41"/>
      <c r="L268" s="42">
        <v>10000.0</v>
      </c>
      <c r="M268" s="42">
        <v>10000.0</v>
      </c>
      <c r="N268" s="55"/>
      <c r="O268" s="39">
        <v>10000.0</v>
      </c>
      <c r="P268" s="39">
        <v>10000.0</v>
      </c>
      <c r="Q268" s="39">
        <v>640.0</v>
      </c>
      <c r="R268" s="46">
        <v>0.67</v>
      </c>
      <c r="S268" s="50">
        <f>IFERROR(__xludf.DUMMYFUNCTION("((IFERROR(MIN(FILTER({K268, N268, Q268}, ISNUMBER({K268, N268, Q268}), {K268, N268, Q268} &gt; 0)), """"))*R268)+IFERROR(MIN(FILTER({K268, N268, Q268}, ISNUMBER({K268, N268, Q268}), {K268, N268, Q268} &gt; 0)), """")"),1068.8)</f>
        <v>1068.8</v>
      </c>
      <c r="T268" s="53">
        <f>IFERROR(__xludf.DUMMYFUNCTION("(S268-(IFERROR(MIN(FILTER({K268, N268, Q268}, ISNUMBER({K268, N268, Q268}), {K268, N268, Q268} &gt; 0)), """")))/S268"),0.40119760479041916)</f>
        <v>0.4011976048</v>
      </c>
    </row>
    <row r="269" ht="22.5" customHeight="1">
      <c r="A269" s="37" t="s">
        <v>841</v>
      </c>
      <c r="B269" s="37" t="s">
        <v>50</v>
      </c>
      <c r="C269" s="37" t="s">
        <v>42</v>
      </c>
      <c r="D269" s="38" t="s">
        <v>843</v>
      </c>
      <c r="E269" s="49" t="s">
        <v>55</v>
      </c>
      <c r="F269" s="37" t="s">
        <v>845</v>
      </c>
      <c r="G269" s="49" t="s">
        <v>41</v>
      </c>
      <c r="H269" s="51" t="s">
        <v>49</v>
      </c>
      <c r="I269" s="39">
        <v>2000.0</v>
      </c>
      <c r="J269" s="39">
        <v>2000.0</v>
      </c>
      <c r="K269" s="41"/>
      <c r="L269" s="42">
        <v>2000.0</v>
      </c>
      <c r="M269" s="42">
        <v>2000.0</v>
      </c>
      <c r="N269" s="55"/>
      <c r="O269" s="39">
        <v>2000.0</v>
      </c>
      <c r="P269" s="39">
        <v>2000.0</v>
      </c>
      <c r="Q269" s="39">
        <v>860.0</v>
      </c>
      <c r="R269" s="46">
        <v>0.67</v>
      </c>
      <c r="S269" s="50">
        <f>IFERROR(__xludf.DUMMYFUNCTION("((IFERROR(MIN(FILTER({K269, N269, Q269}, ISNUMBER({K269, N269, Q269}), {K269, N269, Q269} &gt; 0)), """"))*R269)+IFERROR(MIN(FILTER({K269, N269, Q269}, ISNUMBER({K269, N269, Q269}), {K269, N269, Q269} &gt; 0)), """")"),1436.2)</f>
        <v>1436.2</v>
      </c>
      <c r="T269" s="53">
        <f>IFERROR(__xludf.DUMMYFUNCTION("(S269-(IFERROR(MIN(FILTER({K269, N269, Q269}, ISNUMBER({K269, N269, Q269}), {K269, N269, Q269} &gt; 0)), """")))/S269"),0.40119760479041916)</f>
        <v>0.4011976048</v>
      </c>
    </row>
    <row r="270" ht="22.5" customHeight="1">
      <c r="A270" s="37" t="s">
        <v>841</v>
      </c>
      <c r="B270" s="37" t="s">
        <v>50</v>
      </c>
      <c r="C270" s="37" t="s">
        <v>42</v>
      </c>
      <c r="D270" s="38" t="s">
        <v>843</v>
      </c>
      <c r="E270" s="49" t="s">
        <v>55</v>
      </c>
      <c r="F270" s="37" t="s">
        <v>845</v>
      </c>
      <c r="G270" s="49" t="s">
        <v>41</v>
      </c>
      <c r="H270" s="51" t="s">
        <v>49</v>
      </c>
      <c r="I270" s="39">
        <v>5000.0</v>
      </c>
      <c r="J270" s="39">
        <v>5000.0</v>
      </c>
      <c r="K270" s="41"/>
      <c r="L270" s="42">
        <v>5000.0</v>
      </c>
      <c r="M270" s="42">
        <v>5000.0</v>
      </c>
      <c r="N270" s="55"/>
      <c r="O270" s="39">
        <v>5000.0</v>
      </c>
      <c r="P270" s="39">
        <v>5000.0</v>
      </c>
      <c r="Q270" s="39">
        <v>740.0</v>
      </c>
      <c r="R270" s="46">
        <v>0.67</v>
      </c>
      <c r="S270" s="50">
        <f>IFERROR(__xludf.DUMMYFUNCTION("((IFERROR(MIN(FILTER({K270, N270, Q270}, ISNUMBER({K270, N270, Q270}), {K270, N270, Q270} &gt; 0)), """"))*R270)+IFERROR(MIN(FILTER({K270, N270, Q270}, ISNUMBER({K270, N270, Q270}), {K270, N270, Q270} &gt; 0)), """")"),1235.8)</f>
        <v>1235.8</v>
      </c>
      <c r="T270" s="53">
        <f>IFERROR(__xludf.DUMMYFUNCTION("(S270-(IFERROR(MIN(FILTER({K270, N270, Q270}, ISNUMBER({K270, N270, Q270}), {K270, N270, Q270} &gt; 0)), """")))/S270"),0.40119760479041916)</f>
        <v>0.4011976048</v>
      </c>
    </row>
    <row r="271" ht="22.5" customHeight="1">
      <c r="A271" s="37" t="s">
        <v>841</v>
      </c>
      <c r="B271" s="37" t="s">
        <v>50</v>
      </c>
      <c r="C271" s="37" t="s">
        <v>85</v>
      </c>
      <c r="D271" s="38" t="s">
        <v>843</v>
      </c>
      <c r="E271" s="49" t="s">
        <v>55</v>
      </c>
      <c r="F271" s="37" t="s">
        <v>845</v>
      </c>
      <c r="G271" s="49" t="s">
        <v>41</v>
      </c>
      <c r="H271" s="51" t="s">
        <v>49</v>
      </c>
      <c r="I271" s="39">
        <v>10000.0</v>
      </c>
      <c r="J271" s="39">
        <v>10000.0</v>
      </c>
      <c r="K271" s="41"/>
      <c r="L271" s="42">
        <v>10000.0</v>
      </c>
      <c r="M271" s="42">
        <v>10000.0</v>
      </c>
      <c r="N271" s="55"/>
      <c r="O271" s="39">
        <v>10000.0</v>
      </c>
      <c r="P271" s="39">
        <v>10000.0</v>
      </c>
      <c r="Q271" s="39">
        <v>660.0</v>
      </c>
      <c r="R271" s="46">
        <v>0.67</v>
      </c>
      <c r="S271" s="50">
        <f>IFERROR(__xludf.DUMMYFUNCTION("((IFERROR(MIN(FILTER({K271, N271, Q271}, ISNUMBER({K271, N271, Q271}), {K271, N271, Q271} &gt; 0)), """"))*R271)+IFERROR(MIN(FILTER({K271, N271, Q271}, ISNUMBER({K271, N271, Q271}), {K271, N271, Q271} &gt; 0)), """")"),1102.2)</f>
        <v>1102.2</v>
      </c>
      <c r="T271" s="53">
        <f>IFERROR(__xludf.DUMMYFUNCTION("(S271-(IFERROR(MIN(FILTER({K271, N271, Q271}, ISNUMBER({K271, N271, Q271}), {K271, N271, Q271} &gt; 0)), """")))/S271"),0.40119760479041916)</f>
        <v>0.4011976048</v>
      </c>
    </row>
    <row r="272" ht="22.5" customHeight="1">
      <c r="A272" s="37" t="s">
        <v>256</v>
      </c>
      <c r="B272" s="37" t="s">
        <v>50</v>
      </c>
      <c r="C272" s="37" t="s">
        <v>72</v>
      </c>
      <c r="D272" s="38" t="s">
        <v>257</v>
      </c>
      <c r="E272" s="49" t="s">
        <v>36</v>
      </c>
      <c r="F272" s="37"/>
      <c r="G272" s="49" t="s">
        <v>41</v>
      </c>
      <c r="H272" s="51" t="s">
        <v>49</v>
      </c>
      <c r="I272" s="39">
        <v>20000.0</v>
      </c>
      <c r="J272" s="39">
        <v>20000.0</v>
      </c>
      <c r="K272" s="41"/>
      <c r="L272" s="42">
        <v>20000.0</v>
      </c>
      <c r="M272" s="42">
        <v>20000.0</v>
      </c>
      <c r="N272" s="55"/>
      <c r="O272" s="39">
        <v>20000.0</v>
      </c>
      <c r="P272" s="39">
        <v>20000.0</v>
      </c>
      <c r="Q272" s="39">
        <v>570.0</v>
      </c>
      <c r="R272" s="46">
        <v>0.67</v>
      </c>
      <c r="S272" s="50">
        <f>IFERROR(__xludf.DUMMYFUNCTION("((IFERROR(MIN(FILTER({K272, N272, Q272}, ISNUMBER({K272, N272, Q272}), {K272, N272, Q272} &gt; 0)), """"))*R272)+IFERROR(MIN(FILTER({K272, N272, Q272}, ISNUMBER({K272, N272, Q272}), {K272, N272, Q272} &gt; 0)), """")"),951.9000000000001)</f>
        <v>951.9</v>
      </c>
      <c r="T272" s="53">
        <f>IFERROR(__xludf.DUMMYFUNCTION("(S272-(IFERROR(MIN(FILTER({K272, N272, Q272}, ISNUMBER({K272, N272, Q272}), {K272, N272, Q272} &gt; 0)), """")))/S272"),0.4011976047904192)</f>
        <v>0.4011976048</v>
      </c>
    </row>
    <row r="273" ht="22.5" customHeight="1">
      <c r="A273" s="37" t="s">
        <v>256</v>
      </c>
      <c r="B273" s="37" t="s">
        <v>50</v>
      </c>
      <c r="C273" s="37" t="s">
        <v>72</v>
      </c>
      <c r="D273" s="38" t="s">
        <v>257</v>
      </c>
      <c r="E273" s="49" t="s">
        <v>36</v>
      </c>
      <c r="F273" s="37"/>
      <c r="G273" s="49" t="s">
        <v>41</v>
      </c>
      <c r="H273" s="51" t="s">
        <v>49</v>
      </c>
      <c r="I273" s="39">
        <v>50000.0</v>
      </c>
      <c r="J273" s="39">
        <v>50000.0</v>
      </c>
      <c r="K273" s="41"/>
      <c r="L273" s="42">
        <v>50000.0</v>
      </c>
      <c r="M273" s="42">
        <v>50000.0</v>
      </c>
      <c r="N273" s="55"/>
      <c r="O273" s="39">
        <v>50000.0</v>
      </c>
      <c r="P273" s="39">
        <v>50000.0</v>
      </c>
      <c r="Q273" s="39">
        <v>520.0</v>
      </c>
      <c r="R273" s="46">
        <v>0.67</v>
      </c>
      <c r="S273" s="50">
        <f>IFERROR(__xludf.DUMMYFUNCTION("((IFERROR(MIN(FILTER({K273, N273, Q273}, ISNUMBER({K273, N273, Q273}), {K273, N273, Q273} &gt; 0)), """"))*R273)+IFERROR(MIN(FILTER({K273, N273, Q273}, ISNUMBER({K273, N273, Q273}), {K273, N273, Q273} &gt; 0)), """")"),868.4000000000001)</f>
        <v>868.4</v>
      </c>
      <c r="T273" s="53">
        <f>IFERROR(__xludf.DUMMYFUNCTION("(S273-(IFERROR(MIN(FILTER({K273, N273, Q273}, ISNUMBER({K273, N273, Q273}), {K273, N273, Q273} &gt; 0)), """")))/S273"),0.4011976047904192)</f>
        <v>0.4011976048</v>
      </c>
    </row>
    <row r="274" ht="22.5" customHeight="1">
      <c r="A274" s="37" t="s">
        <v>860</v>
      </c>
      <c r="B274" s="37" t="s">
        <v>50</v>
      </c>
      <c r="C274" s="37" t="s">
        <v>42</v>
      </c>
      <c r="D274" s="38" t="s">
        <v>395</v>
      </c>
      <c r="E274" s="49" t="s">
        <v>55</v>
      </c>
      <c r="F274" s="37" t="s">
        <v>216</v>
      </c>
      <c r="G274" s="49" t="s">
        <v>41</v>
      </c>
      <c r="H274" s="51" t="s">
        <v>49</v>
      </c>
      <c r="I274" s="39">
        <v>4000.0</v>
      </c>
      <c r="J274" s="39">
        <v>4000.0</v>
      </c>
      <c r="K274" s="41"/>
      <c r="L274" s="42">
        <v>4000.0</v>
      </c>
      <c r="M274" s="42">
        <v>4000.0</v>
      </c>
      <c r="N274" s="55"/>
      <c r="O274" s="39">
        <v>4000.0</v>
      </c>
      <c r="P274" s="39">
        <v>4000.0</v>
      </c>
      <c r="Q274" s="39">
        <v>720.0</v>
      </c>
      <c r="R274" s="46">
        <v>0.67</v>
      </c>
      <c r="S274" s="50">
        <f>IFERROR(__xludf.DUMMYFUNCTION("((IFERROR(MIN(FILTER({K274, N274, Q274}, ISNUMBER({K274, N274, Q274}), {K274, N274, Q274} &gt; 0)), """"))*R274)+IFERROR(MIN(FILTER({K274, N274, Q274}, ISNUMBER({K274, N274, Q274}), {K274, N274, Q274} &gt; 0)), """")"),1202.4)</f>
        <v>1202.4</v>
      </c>
      <c r="T274" s="53">
        <f>IFERROR(__xludf.DUMMYFUNCTION("(S274-(IFERROR(MIN(FILTER({K274, N274, Q274}, ISNUMBER({K274, N274, Q274}), {K274, N274, Q274} &gt; 0)), """")))/S274"),0.4011976047904192)</f>
        <v>0.4011976048</v>
      </c>
    </row>
    <row r="275" ht="22.5" customHeight="1">
      <c r="A275" s="37" t="s">
        <v>579</v>
      </c>
      <c r="B275" s="37" t="s">
        <v>50</v>
      </c>
      <c r="C275" s="37" t="s">
        <v>42</v>
      </c>
      <c r="D275" s="38" t="s">
        <v>114</v>
      </c>
      <c r="E275" s="49" t="s">
        <v>36</v>
      </c>
      <c r="F275" s="37" t="s">
        <v>103</v>
      </c>
      <c r="G275" s="49" t="s">
        <v>41</v>
      </c>
      <c r="H275" s="51" t="s">
        <v>49</v>
      </c>
      <c r="I275" s="39">
        <v>2000.0</v>
      </c>
      <c r="J275" s="39">
        <v>2000.0</v>
      </c>
      <c r="K275" s="41"/>
      <c r="L275" s="42">
        <v>2000.0</v>
      </c>
      <c r="M275" s="42">
        <v>2000.0</v>
      </c>
      <c r="N275" s="55"/>
      <c r="O275" s="39">
        <v>2000.0</v>
      </c>
      <c r="P275" s="39">
        <v>2000.0</v>
      </c>
      <c r="Q275" s="39">
        <v>550.0</v>
      </c>
      <c r="R275" s="46">
        <v>0.67</v>
      </c>
      <c r="S275" s="50">
        <f>IFERROR(__xludf.DUMMYFUNCTION("((IFERROR(MIN(FILTER({K275, N275, Q275}, ISNUMBER({K275, N275, Q275}), {K275, N275, Q275} &gt; 0)), """"))*R275)+IFERROR(MIN(FILTER({K275, N275, Q275}, ISNUMBER({K275, N275, Q275}), {K275, N275, Q275} &gt; 0)), """")"),918.5)</f>
        <v>918.5</v>
      </c>
      <c r="T275" s="53">
        <f>IFERROR(__xludf.DUMMYFUNCTION("(S275-(IFERROR(MIN(FILTER({K275, N275, Q275}, ISNUMBER({K275, N275, Q275}), {K275, N275, Q275} &gt; 0)), """")))/S275"),0.40119760479041916)</f>
        <v>0.4011976048</v>
      </c>
    </row>
    <row r="276" ht="22.5" customHeight="1">
      <c r="A276" s="37" t="s">
        <v>864</v>
      </c>
      <c r="B276" s="37" t="s">
        <v>50</v>
      </c>
      <c r="C276" s="37" t="s">
        <v>42</v>
      </c>
      <c r="D276" s="38" t="s">
        <v>866</v>
      </c>
      <c r="E276" s="49" t="s">
        <v>36</v>
      </c>
      <c r="F276" s="37" t="s">
        <v>294</v>
      </c>
      <c r="G276" s="49" t="s">
        <v>41</v>
      </c>
      <c r="H276" s="51" t="s">
        <v>49</v>
      </c>
      <c r="I276" s="39">
        <v>2000.0</v>
      </c>
      <c r="J276" s="39">
        <v>2000.0</v>
      </c>
      <c r="K276" s="41"/>
      <c r="L276" s="42">
        <v>2000.0</v>
      </c>
      <c r="M276" s="42">
        <v>2000.0</v>
      </c>
      <c r="N276" s="55"/>
      <c r="O276" s="39">
        <v>2000.0</v>
      </c>
      <c r="P276" s="39">
        <v>2000.0</v>
      </c>
      <c r="Q276" s="39">
        <v>840.0</v>
      </c>
      <c r="R276" s="46">
        <v>0.67</v>
      </c>
      <c r="S276" s="50">
        <f>IFERROR(__xludf.DUMMYFUNCTION("((IFERROR(MIN(FILTER({K276, N276, Q276}, ISNUMBER({K276, N276, Q276}), {K276, N276, Q276} &gt; 0)), """"))*R276)+IFERROR(MIN(FILTER({K276, N276, Q276}, ISNUMBER({K276, N276, Q276}), {K276, N276, Q276} &gt; 0)), """")"),1402.8000000000002)</f>
        <v>1402.8</v>
      </c>
      <c r="T276" s="53">
        <f>IFERROR(__xludf.DUMMYFUNCTION("(S276-(IFERROR(MIN(FILTER({K276, N276, Q276}, ISNUMBER({K276, N276, Q276}), {K276, N276, Q276} &gt; 0)), """")))/S276"),0.4011976047904192)</f>
        <v>0.4011976048</v>
      </c>
    </row>
    <row r="277" ht="22.5" customHeight="1">
      <c r="A277" s="37" t="s">
        <v>868</v>
      </c>
      <c r="B277" s="37" t="s">
        <v>50</v>
      </c>
      <c r="C277" s="37" t="s">
        <v>42</v>
      </c>
      <c r="D277" s="38" t="s">
        <v>395</v>
      </c>
      <c r="E277" s="49" t="s">
        <v>55</v>
      </c>
      <c r="F277" s="37" t="s">
        <v>58</v>
      </c>
      <c r="G277" s="49" t="s">
        <v>41</v>
      </c>
      <c r="H277" s="51" t="s">
        <v>49</v>
      </c>
      <c r="I277" s="39">
        <v>5000.0</v>
      </c>
      <c r="J277" s="39">
        <v>5000.0</v>
      </c>
      <c r="K277" s="41"/>
      <c r="L277" s="42">
        <v>5000.0</v>
      </c>
      <c r="M277" s="42">
        <v>5000.0</v>
      </c>
      <c r="N277" s="55"/>
      <c r="O277" s="39">
        <v>5000.0</v>
      </c>
      <c r="P277" s="39">
        <v>5000.0</v>
      </c>
      <c r="Q277" s="39">
        <v>720.0</v>
      </c>
      <c r="R277" s="46">
        <v>0.67</v>
      </c>
      <c r="S277" s="50">
        <f>IFERROR(__xludf.DUMMYFUNCTION("((IFERROR(MIN(FILTER({K277, N277, Q277}, ISNUMBER({K277, N277, Q277}), {K277, N277, Q277} &gt; 0)), """"))*R277)+IFERROR(MIN(FILTER({K277, N277, Q277}, ISNUMBER({K277, N277, Q277}), {K277, N277, Q277} &gt; 0)), """")"),1202.4)</f>
        <v>1202.4</v>
      </c>
      <c r="T277" s="53">
        <f>IFERROR(__xludf.DUMMYFUNCTION("(S277-(IFERROR(MIN(FILTER({K277, N277, Q277}, ISNUMBER({K277, N277, Q277}), {K277, N277, Q277} &gt; 0)), """")))/S277"),0.4011976047904192)</f>
        <v>0.4011976048</v>
      </c>
    </row>
    <row r="278" ht="22.5" customHeight="1">
      <c r="A278" s="37" t="s">
        <v>868</v>
      </c>
      <c r="B278" s="37" t="s">
        <v>50</v>
      </c>
      <c r="C278" s="37" t="s">
        <v>42</v>
      </c>
      <c r="D278" s="38" t="s">
        <v>395</v>
      </c>
      <c r="E278" s="49" t="s">
        <v>55</v>
      </c>
      <c r="F278" s="37" t="s">
        <v>58</v>
      </c>
      <c r="G278" s="49" t="s">
        <v>41</v>
      </c>
      <c r="H278" s="51" t="s">
        <v>49</v>
      </c>
      <c r="I278" s="39">
        <v>10000.0</v>
      </c>
      <c r="J278" s="39">
        <v>10000.0</v>
      </c>
      <c r="K278" s="41"/>
      <c r="L278" s="42">
        <v>10000.0</v>
      </c>
      <c r="M278" s="42">
        <v>10000.0</v>
      </c>
      <c r="N278" s="55"/>
      <c r="O278" s="39">
        <v>10000.0</v>
      </c>
      <c r="P278" s="39">
        <v>10000.0</v>
      </c>
      <c r="Q278" s="39">
        <v>640.0</v>
      </c>
      <c r="R278" s="46">
        <v>0.67</v>
      </c>
      <c r="S278" s="50">
        <f>IFERROR(__xludf.DUMMYFUNCTION("((IFERROR(MIN(FILTER({K278, N278, Q278}, ISNUMBER({K278, N278, Q278}), {K278, N278, Q278} &gt; 0)), """"))*R278)+IFERROR(MIN(FILTER({K278, N278, Q278}, ISNUMBER({K278, N278, Q278}), {K278, N278, Q278} &gt; 0)), """")"),1068.8)</f>
        <v>1068.8</v>
      </c>
      <c r="T278" s="53">
        <f>IFERROR(__xludf.DUMMYFUNCTION("(S278-(IFERROR(MIN(FILTER({K278, N278, Q278}, ISNUMBER({K278, N278, Q278}), {K278, N278, Q278} &gt; 0)), """")))/S278"),0.40119760479041916)</f>
        <v>0.4011976048</v>
      </c>
    </row>
    <row r="279" ht="22.5" customHeight="1">
      <c r="A279" s="37" t="s">
        <v>868</v>
      </c>
      <c r="B279" s="37" t="s">
        <v>50</v>
      </c>
      <c r="C279" s="37" t="s">
        <v>42</v>
      </c>
      <c r="D279" s="38" t="s">
        <v>395</v>
      </c>
      <c r="E279" s="49" t="s">
        <v>55</v>
      </c>
      <c r="F279" s="37" t="s">
        <v>58</v>
      </c>
      <c r="G279" s="49" t="s">
        <v>41</v>
      </c>
      <c r="H279" s="51" t="s">
        <v>49</v>
      </c>
      <c r="I279" s="39">
        <v>5000.0</v>
      </c>
      <c r="J279" s="39">
        <v>5000.0</v>
      </c>
      <c r="K279" s="41"/>
      <c r="L279" s="42">
        <v>5000.0</v>
      </c>
      <c r="M279" s="42">
        <v>5000.0</v>
      </c>
      <c r="N279" s="55"/>
      <c r="O279" s="39">
        <v>5000.0</v>
      </c>
      <c r="P279" s="39">
        <v>5000.0</v>
      </c>
      <c r="Q279" s="39">
        <v>840.0</v>
      </c>
      <c r="R279" s="46">
        <v>0.67</v>
      </c>
      <c r="S279" s="50">
        <f>IFERROR(__xludf.DUMMYFUNCTION("((IFERROR(MIN(FILTER({K279, N279, Q279}, ISNUMBER({K279, N279, Q279}), {K279, N279, Q279} &gt; 0)), """"))*R279)+IFERROR(MIN(FILTER({K279, N279, Q279}, ISNUMBER({K279, N279, Q279}), {K279, N279, Q279} &gt; 0)), """")"),1402.8000000000002)</f>
        <v>1402.8</v>
      </c>
      <c r="T279" s="53">
        <f>IFERROR(__xludf.DUMMYFUNCTION("(S279-(IFERROR(MIN(FILTER({K279, N279, Q279}, ISNUMBER({K279, N279, Q279}), {K279, N279, Q279} &gt; 0)), """")))/S279"),0.4011976047904192)</f>
        <v>0.4011976048</v>
      </c>
    </row>
    <row r="280" ht="22.5" customHeight="1">
      <c r="A280" s="37" t="s">
        <v>868</v>
      </c>
      <c r="B280" s="37" t="s">
        <v>50</v>
      </c>
      <c r="C280" s="37" t="s">
        <v>42</v>
      </c>
      <c r="D280" s="38" t="s">
        <v>395</v>
      </c>
      <c r="E280" s="49" t="s">
        <v>55</v>
      </c>
      <c r="F280" s="37" t="s">
        <v>58</v>
      </c>
      <c r="G280" s="49" t="s">
        <v>41</v>
      </c>
      <c r="H280" s="51" t="s">
        <v>49</v>
      </c>
      <c r="I280" s="39">
        <v>10000.0</v>
      </c>
      <c r="J280" s="39">
        <v>10000.0</v>
      </c>
      <c r="K280" s="41"/>
      <c r="L280" s="42">
        <v>10000.0</v>
      </c>
      <c r="M280" s="42">
        <v>10000.0</v>
      </c>
      <c r="N280" s="55"/>
      <c r="O280" s="39">
        <v>10000.0</v>
      </c>
      <c r="P280" s="39">
        <v>10000.0</v>
      </c>
      <c r="Q280" s="39">
        <v>720.0</v>
      </c>
      <c r="R280" s="46">
        <v>0.67</v>
      </c>
      <c r="S280" s="50">
        <f>IFERROR(__xludf.DUMMYFUNCTION("((IFERROR(MIN(FILTER({K280, N280, Q280}, ISNUMBER({K280, N280, Q280}), {K280, N280, Q280} &gt; 0)), """"))*R280)+IFERROR(MIN(FILTER({K280, N280, Q280}, ISNUMBER({K280, N280, Q280}), {K280, N280, Q280} &gt; 0)), """")"),1202.4)</f>
        <v>1202.4</v>
      </c>
      <c r="T280" s="53">
        <f>IFERROR(__xludf.DUMMYFUNCTION("(S280-(IFERROR(MIN(FILTER({K280, N280, Q280}, ISNUMBER({K280, N280, Q280}), {K280, N280, Q280} &gt; 0)), """")))/S280"),0.4011976047904192)</f>
        <v>0.4011976048</v>
      </c>
    </row>
    <row r="281" ht="22.5" customHeight="1">
      <c r="A281" s="37" t="s">
        <v>878</v>
      </c>
      <c r="B281" s="37" t="s">
        <v>50</v>
      </c>
      <c r="C281" s="37" t="s">
        <v>42</v>
      </c>
      <c r="D281" s="38" t="s">
        <v>880</v>
      </c>
      <c r="E281" s="49" t="s">
        <v>55</v>
      </c>
      <c r="F281" s="37" t="s">
        <v>108</v>
      </c>
      <c r="G281" s="49" t="s">
        <v>41</v>
      </c>
      <c r="H281" s="51" t="s">
        <v>49</v>
      </c>
      <c r="I281" s="39">
        <v>2000.0</v>
      </c>
      <c r="J281" s="39">
        <v>2000.0</v>
      </c>
      <c r="K281" s="41"/>
      <c r="L281" s="42">
        <v>2000.0</v>
      </c>
      <c r="M281" s="42">
        <v>2000.0</v>
      </c>
      <c r="N281" s="55"/>
      <c r="O281" s="39">
        <v>2000.0</v>
      </c>
      <c r="P281" s="39">
        <v>2000.0</v>
      </c>
      <c r="Q281" s="39">
        <v>1900.0</v>
      </c>
      <c r="R281" s="46">
        <v>0.67</v>
      </c>
      <c r="S281" s="50">
        <f>IFERROR(__xludf.DUMMYFUNCTION("((IFERROR(MIN(FILTER({K281, N281, Q281}, ISNUMBER({K281, N281, Q281}), {K281, N281, Q281} &gt; 0)), """"))*R281)+IFERROR(MIN(FILTER({K281, N281, Q281}, ISNUMBER({K281, N281, Q281}), {K281, N281, Q281} &gt; 0)), """")"),3173.0)</f>
        <v>3173</v>
      </c>
      <c r="T281" s="53">
        <f>IFERROR(__xludf.DUMMYFUNCTION("(S281-(IFERROR(MIN(FILTER({K281, N281, Q281}, ISNUMBER({K281, N281, Q281}), {K281, N281, Q281} &gt; 0)), """")))/S281"),0.40119760479041916)</f>
        <v>0.4011976048</v>
      </c>
    </row>
    <row r="282" ht="22.5" customHeight="1">
      <c r="A282" s="37" t="s">
        <v>878</v>
      </c>
      <c r="B282" s="37" t="s">
        <v>50</v>
      </c>
      <c r="C282" s="37" t="s">
        <v>42</v>
      </c>
      <c r="D282" s="38" t="s">
        <v>880</v>
      </c>
      <c r="E282" s="49" t="s">
        <v>55</v>
      </c>
      <c r="F282" s="37" t="s">
        <v>108</v>
      </c>
      <c r="G282" s="49" t="s">
        <v>41</v>
      </c>
      <c r="H282" s="51" t="s">
        <v>49</v>
      </c>
      <c r="I282" s="39">
        <v>5000.0</v>
      </c>
      <c r="J282" s="39">
        <v>5000.0</v>
      </c>
      <c r="K282" s="41"/>
      <c r="L282" s="42">
        <v>5000.0</v>
      </c>
      <c r="M282" s="42">
        <v>5000.0</v>
      </c>
      <c r="N282" s="55"/>
      <c r="O282" s="39">
        <v>5000.0</v>
      </c>
      <c r="P282" s="39">
        <v>5000.0</v>
      </c>
      <c r="Q282" s="39">
        <v>1720.0</v>
      </c>
      <c r="R282" s="46">
        <v>0.67</v>
      </c>
      <c r="S282" s="50">
        <f>IFERROR(__xludf.DUMMYFUNCTION("((IFERROR(MIN(FILTER({K282, N282, Q282}, ISNUMBER({K282, N282, Q282}), {K282, N282, Q282} &gt; 0)), """"))*R282)+IFERROR(MIN(FILTER({K282, N282, Q282}, ISNUMBER({K282, N282, Q282}), {K282, N282, Q282} &gt; 0)), """")"),2872.4)</f>
        <v>2872.4</v>
      </c>
      <c r="T282" s="53">
        <f>IFERROR(__xludf.DUMMYFUNCTION("(S282-(IFERROR(MIN(FILTER({K282, N282, Q282}, ISNUMBER({K282, N282, Q282}), {K282, N282, Q282} &gt; 0)), """")))/S282"),0.40119760479041916)</f>
        <v>0.4011976048</v>
      </c>
    </row>
    <row r="283" ht="22.5" customHeight="1">
      <c r="A283" s="37" t="s">
        <v>878</v>
      </c>
      <c r="B283" s="37" t="s">
        <v>50</v>
      </c>
      <c r="C283" s="37" t="s">
        <v>42</v>
      </c>
      <c r="D283" s="38" t="s">
        <v>880</v>
      </c>
      <c r="E283" s="49" t="s">
        <v>55</v>
      </c>
      <c r="F283" s="37" t="s">
        <v>108</v>
      </c>
      <c r="G283" s="49" t="s">
        <v>41</v>
      </c>
      <c r="H283" s="51" t="s">
        <v>49</v>
      </c>
      <c r="I283" s="39">
        <v>10000.0</v>
      </c>
      <c r="J283" s="39">
        <v>10000.0</v>
      </c>
      <c r="K283" s="41"/>
      <c r="L283" s="42">
        <v>10000.0</v>
      </c>
      <c r="M283" s="42">
        <v>10000.0</v>
      </c>
      <c r="N283" s="55"/>
      <c r="O283" s="39">
        <v>10000.0</v>
      </c>
      <c r="P283" s="39">
        <v>10000.0</v>
      </c>
      <c r="Q283" s="39">
        <v>1580.0</v>
      </c>
      <c r="R283" s="46">
        <v>0.67</v>
      </c>
      <c r="S283" s="50">
        <f>IFERROR(__xludf.DUMMYFUNCTION("((IFERROR(MIN(FILTER({K283, N283, Q283}, ISNUMBER({K283, N283, Q283}), {K283, N283, Q283} &gt; 0)), """"))*R283)+IFERROR(MIN(FILTER({K283, N283, Q283}, ISNUMBER({K283, N283, Q283}), {K283, N283, Q283} &gt; 0)), """")"),2638.6000000000004)</f>
        <v>2638.6</v>
      </c>
      <c r="T283" s="53">
        <f>IFERROR(__xludf.DUMMYFUNCTION("(S283-(IFERROR(MIN(FILTER({K283, N283, Q283}, ISNUMBER({K283, N283, Q283}), {K283, N283, Q283} &gt; 0)), """")))/S283"),0.40119760479041927)</f>
        <v>0.4011976048</v>
      </c>
    </row>
    <row r="284" ht="22.5" customHeight="1">
      <c r="A284" s="37" t="s">
        <v>887</v>
      </c>
      <c r="B284" s="37" t="s">
        <v>50</v>
      </c>
      <c r="C284" s="37" t="s">
        <v>42</v>
      </c>
      <c r="D284" s="38" t="s">
        <v>270</v>
      </c>
      <c r="E284" s="49" t="s">
        <v>46</v>
      </c>
      <c r="F284" s="37" t="s">
        <v>889</v>
      </c>
      <c r="G284" s="49" t="s">
        <v>41</v>
      </c>
      <c r="H284" s="51" t="s">
        <v>49</v>
      </c>
      <c r="I284" s="39">
        <v>2000.0</v>
      </c>
      <c r="J284" s="39">
        <v>2000.0</v>
      </c>
      <c r="K284" s="41"/>
      <c r="L284" s="42">
        <v>2000.0</v>
      </c>
      <c r="M284" s="42">
        <v>2000.0</v>
      </c>
      <c r="N284" s="55"/>
      <c r="O284" s="39">
        <v>2000.0</v>
      </c>
      <c r="P284" s="39">
        <v>2000.0</v>
      </c>
      <c r="Q284" s="39">
        <v>720.0</v>
      </c>
      <c r="R284" s="46">
        <v>0.67</v>
      </c>
      <c r="S284" s="50">
        <f>IFERROR(__xludf.DUMMYFUNCTION("((IFERROR(MIN(FILTER({K284, N284, Q284}, ISNUMBER({K284, N284, Q284}), {K284, N284, Q284} &gt; 0)), """"))*R284)+IFERROR(MIN(FILTER({K284, N284, Q284}, ISNUMBER({K284, N284, Q284}), {K284, N284, Q284} &gt; 0)), """")"),1202.4)</f>
        <v>1202.4</v>
      </c>
      <c r="T284" s="53">
        <f>IFERROR(__xludf.DUMMYFUNCTION("(S284-(IFERROR(MIN(FILTER({K284, N284, Q284}, ISNUMBER({K284, N284, Q284}), {K284, N284, Q284} &gt; 0)), """")))/S284"),0.4011976047904192)</f>
        <v>0.4011976048</v>
      </c>
    </row>
    <row r="285" ht="22.5" customHeight="1">
      <c r="A285" s="37" t="s">
        <v>887</v>
      </c>
      <c r="B285" s="37" t="s">
        <v>50</v>
      </c>
      <c r="C285" s="37" t="s">
        <v>42</v>
      </c>
      <c r="D285" s="38" t="s">
        <v>890</v>
      </c>
      <c r="E285" s="49" t="s">
        <v>46</v>
      </c>
      <c r="F285" s="37" t="s">
        <v>889</v>
      </c>
      <c r="G285" s="49" t="s">
        <v>41</v>
      </c>
      <c r="H285" s="51" t="s">
        <v>49</v>
      </c>
      <c r="I285" s="39">
        <v>2000.0</v>
      </c>
      <c r="J285" s="39">
        <v>2000.0</v>
      </c>
      <c r="K285" s="41"/>
      <c r="L285" s="42">
        <v>2000.0</v>
      </c>
      <c r="M285" s="42">
        <v>2000.0</v>
      </c>
      <c r="N285" s="55"/>
      <c r="O285" s="39">
        <v>2000.0</v>
      </c>
      <c r="P285" s="39">
        <v>2000.0</v>
      </c>
      <c r="Q285" s="39">
        <v>960.0</v>
      </c>
      <c r="R285" s="46">
        <v>0.67</v>
      </c>
      <c r="S285" s="50">
        <f>IFERROR(__xludf.DUMMYFUNCTION("((IFERROR(MIN(FILTER({K285, N285, Q285}, ISNUMBER({K285, N285, Q285}), {K285, N285, Q285} &gt; 0)), """"))*R285)+IFERROR(MIN(FILTER({K285, N285, Q285}, ISNUMBER({K285, N285, Q285}), {K285, N285, Q285} &gt; 0)), """")"),1603.2)</f>
        <v>1603.2</v>
      </c>
      <c r="T285" s="53">
        <f>IFERROR(__xludf.DUMMYFUNCTION("(S285-(IFERROR(MIN(FILTER({K285, N285, Q285}, ISNUMBER({K285, N285, Q285}), {K285, N285, Q285} &gt; 0)), """")))/S285"),0.40119760479041916)</f>
        <v>0.4011976048</v>
      </c>
    </row>
    <row r="286" ht="22.5" customHeight="1">
      <c r="A286" s="37" t="s">
        <v>841</v>
      </c>
      <c r="B286" s="37" t="s">
        <v>50</v>
      </c>
      <c r="C286" s="37" t="s">
        <v>72</v>
      </c>
      <c r="D286" s="38" t="s">
        <v>893</v>
      </c>
      <c r="E286" s="49" t="s">
        <v>55</v>
      </c>
      <c r="F286" s="37" t="s">
        <v>108</v>
      </c>
      <c r="G286" s="49" t="s">
        <v>41</v>
      </c>
      <c r="H286" s="51" t="s">
        <v>49</v>
      </c>
      <c r="I286" s="39">
        <v>3000.0</v>
      </c>
      <c r="J286" s="39">
        <v>3000.0</v>
      </c>
      <c r="K286" s="41"/>
      <c r="L286" s="42">
        <v>3000.0</v>
      </c>
      <c r="M286" s="42">
        <v>3000.0</v>
      </c>
      <c r="N286" s="55"/>
      <c r="O286" s="39">
        <v>3000.0</v>
      </c>
      <c r="P286" s="39">
        <v>3000.0</v>
      </c>
      <c r="Q286" s="39">
        <v>440.0</v>
      </c>
      <c r="R286" s="46">
        <v>0.67</v>
      </c>
      <c r="S286" s="50">
        <f>IFERROR(__xludf.DUMMYFUNCTION("((IFERROR(MIN(FILTER({K286, N286, Q286}, ISNUMBER({K286, N286, Q286}), {K286, N286, Q286} &gt; 0)), """"))*R286)+IFERROR(MIN(FILTER({K286, N286, Q286}, ISNUMBER({K286, N286, Q286}), {K286, N286, Q286} &gt; 0)), """")"),734.8)</f>
        <v>734.8</v>
      </c>
      <c r="T286" s="53">
        <f>IFERROR(__xludf.DUMMYFUNCTION("(S286-(IFERROR(MIN(FILTER({K286, N286, Q286}, ISNUMBER({K286, N286, Q286}), {K286, N286, Q286} &gt; 0)), """")))/S286"),0.4011976047904191)</f>
        <v>0.4011976048</v>
      </c>
    </row>
    <row r="287" ht="22.5" customHeight="1">
      <c r="A287" s="37" t="s">
        <v>841</v>
      </c>
      <c r="B287" s="37" t="s">
        <v>50</v>
      </c>
      <c r="C287" s="37" t="s">
        <v>72</v>
      </c>
      <c r="D287" s="38" t="s">
        <v>893</v>
      </c>
      <c r="E287" s="49" t="s">
        <v>55</v>
      </c>
      <c r="F287" s="37" t="s">
        <v>108</v>
      </c>
      <c r="G287" s="49" t="s">
        <v>41</v>
      </c>
      <c r="H287" s="51" t="s">
        <v>49</v>
      </c>
      <c r="I287" s="39">
        <v>5000.0</v>
      </c>
      <c r="J287" s="39">
        <v>5000.0</v>
      </c>
      <c r="K287" s="41"/>
      <c r="L287" s="42">
        <v>5000.0</v>
      </c>
      <c r="M287" s="42">
        <v>5000.0</v>
      </c>
      <c r="N287" s="55"/>
      <c r="O287" s="39">
        <v>5000.0</v>
      </c>
      <c r="P287" s="39">
        <v>5000.0</v>
      </c>
      <c r="Q287" s="39">
        <v>350.0</v>
      </c>
      <c r="R287" s="46">
        <v>0.67</v>
      </c>
      <c r="S287" s="50">
        <f>IFERROR(__xludf.DUMMYFUNCTION("((IFERROR(MIN(FILTER({K287, N287, Q287}, ISNUMBER({K287, N287, Q287}), {K287, N287, Q287} &gt; 0)), """"))*R287)+IFERROR(MIN(FILTER({K287, N287, Q287}, ISNUMBER({K287, N287, Q287}), {K287, N287, Q287} &gt; 0)), """")"),584.5)</f>
        <v>584.5</v>
      </c>
      <c r="T287" s="53">
        <f>IFERROR(__xludf.DUMMYFUNCTION("(S287-(IFERROR(MIN(FILTER({K287, N287, Q287}, ISNUMBER({K287, N287, Q287}), {K287, N287, Q287} &gt; 0)), """")))/S287"),0.40119760479041916)</f>
        <v>0.4011976048</v>
      </c>
    </row>
    <row r="288" ht="22.5" customHeight="1">
      <c r="A288" s="37" t="s">
        <v>841</v>
      </c>
      <c r="B288" s="37" t="s">
        <v>50</v>
      </c>
      <c r="C288" s="37" t="s">
        <v>72</v>
      </c>
      <c r="D288" s="38" t="s">
        <v>893</v>
      </c>
      <c r="E288" s="49" t="s">
        <v>55</v>
      </c>
      <c r="F288" s="37" t="s">
        <v>108</v>
      </c>
      <c r="G288" s="49" t="s">
        <v>41</v>
      </c>
      <c r="H288" s="51" t="s">
        <v>49</v>
      </c>
      <c r="I288" s="39">
        <v>15000.0</v>
      </c>
      <c r="J288" s="39">
        <v>15000.0</v>
      </c>
      <c r="K288" s="41"/>
      <c r="L288" s="42">
        <v>15000.0</v>
      </c>
      <c r="M288" s="42">
        <v>15000.0</v>
      </c>
      <c r="N288" s="55"/>
      <c r="O288" s="39">
        <v>15000.0</v>
      </c>
      <c r="P288" s="39">
        <v>15000.0</v>
      </c>
      <c r="Q288" s="39">
        <v>270.0</v>
      </c>
      <c r="R288" s="46">
        <v>0.67</v>
      </c>
      <c r="S288" s="50">
        <f>IFERROR(__xludf.DUMMYFUNCTION("((IFERROR(MIN(FILTER({K288, N288, Q288}, ISNUMBER({K288, N288, Q288}), {K288, N288, Q288} &gt; 0)), """"))*R288)+IFERROR(MIN(FILTER({K288, N288, Q288}, ISNUMBER({K288, N288, Q288}), {K288, N288, Q288} &gt; 0)), """")"),450.9)</f>
        <v>450.9</v>
      </c>
      <c r="T288" s="53">
        <f>IFERROR(__xludf.DUMMYFUNCTION("(S288-(IFERROR(MIN(FILTER({K288, N288, Q288}, ISNUMBER({K288, N288, Q288}), {K288, N288, Q288} &gt; 0)), """")))/S288"),0.4011976047904191)</f>
        <v>0.4011976048</v>
      </c>
    </row>
    <row r="289" ht="22.5" customHeight="1">
      <c r="A289" s="37" t="s">
        <v>841</v>
      </c>
      <c r="B289" s="37" t="s">
        <v>50</v>
      </c>
      <c r="C289" s="37" t="s">
        <v>72</v>
      </c>
      <c r="D289" s="38" t="s">
        <v>895</v>
      </c>
      <c r="E289" s="49" t="s">
        <v>55</v>
      </c>
      <c r="F289" s="37" t="s">
        <v>108</v>
      </c>
      <c r="G289" s="49" t="s">
        <v>41</v>
      </c>
      <c r="H289" s="51" t="s">
        <v>49</v>
      </c>
      <c r="I289" s="39">
        <v>3000.0</v>
      </c>
      <c r="J289" s="39">
        <v>3000.0</v>
      </c>
      <c r="K289" s="41"/>
      <c r="L289" s="42">
        <v>3000.0</v>
      </c>
      <c r="M289" s="42">
        <v>3000.0</v>
      </c>
      <c r="N289" s="55"/>
      <c r="O289" s="39">
        <v>3000.0</v>
      </c>
      <c r="P289" s="39">
        <v>3000.0</v>
      </c>
      <c r="Q289" s="39">
        <v>550.0</v>
      </c>
      <c r="R289" s="46">
        <v>0.67</v>
      </c>
      <c r="S289" s="50">
        <f>IFERROR(__xludf.DUMMYFUNCTION("((IFERROR(MIN(FILTER({K289, N289, Q289}, ISNUMBER({K289, N289, Q289}), {K289, N289, Q289} &gt; 0)), """"))*R289)+IFERROR(MIN(FILTER({K289, N289, Q289}, ISNUMBER({K289, N289, Q289}), {K289, N289, Q289} &gt; 0)), """")"),918.5)</f>
        <v>918.5</v>
      </c>
      <c r="T289" s="53">
        <f>IFERROR(__xludf.DUMMYFUNCTION("(S289-(IFERROR(MIN(FILTER({K289, N289, Q289}, ISNUMBER({K289, N289, Q289}), {K289, N289, Q289} &gt; 0)), """")))/S289"),0.40119760479041916)</f>
        <v>0.4011976048</v>
      </c>
    </row>
    <row r="290" ht="22.5" customHeight="1">
      <c r="A290" s="37" t="s">
        <v>841</v>
      </c>
      <c r="B290" s="37" t="s">
        <v>50</v>
      </c>
      <c r="C290" s="37" t="s">
        <v>72</v>
      </c>
      <c r="D290" s="38" t="s">
        <v>895</v>
      </c>
      <c r="E290" s="49" t="s">
        <v>55</v>
      </c>
      <c r="F290" s="37" t="s">
        <v>108</v>
      </c>
      <c r="G290" s="49" t="s">
        <v>41</v>
      </c>
      <c r="H290" s="51" t="s">
        <v>49</v>
      </c>
      <c r="I290" s="39">
        <v>5000.0</v>
      </c>
      <c r="J290" s="39">
        <v>5000.0</v>
      </c>
      <c r="K290" s="41"/>
      <c r="L290" s="42">
        <v>5000.0</v>
      </c>
      <c r="M290" s="42">
        <v>5000.0</v>
      </c>
      <c r="N290" s="55"/>
      <c r="O290" s="39">
        <v>5000.0</v>
      </c>
      <c r="P290" s="39">
        <v>5000.0</v>
      </c>
      <c r="Q290" s="39">
        <v>440.0</v>
      </c>
      <c r="R290" s="46">
        <v>0.67</v>
      </c>
      <c r="S290" s="50">
        <f>IFERROR(__xludf.DUMMYFUNCTION("((IFERROR(MIN(FILTER({K290, N290, Q290}, ISNUMBER({K290, N290, Q290}), {K290, N290, Q290} &gt; 0)), """"))*R290)+IFERROR(MIN(FILTER({K290, N290, Q290}, ISNUMBER({K290, N290, Q290}), {K290, N290, Q290} &gt; 0)), """")"),734.8)</f>
        <v>734.8</v>
      </c>
      <c r="T290" s="53">
        <f>IFERROR(__xludf.DUMMYFUNCTION("(S290-(IFERROR(MIN(FILTER({K290, N290, Q290}, ISNUMBER({K290, N290, Q290}), {K290, N290, Q290} &gt; 0)), """")))/S290"),0.4011976047904191)</f>
        <v>0.4011976048</v>
      </c>
    </row>
    <row r="291" ht="22.5" customHeight="1">
      <c r="A291" s="37" t="s">
        <v>841</v>
      </c>
      <c r="B291" s="37" t="s">
        <v>50</v>
      </c>
      <c r="C291" s="37" t="s">
        <v>72</v>
      </c>
      <c r="D291" s="38" t="s">
        <v>895</v>
      </c>
      <c r="E291" s="49" t="s">
        <v>55</v>
      </c>
      <c r="F291" s="37" t="s">
        <v>108</v>
      </c>
      <c r="G291" s="49" t="s">
        <v>41</v>
      </c>
      <c r="H291" s="51" t="s">
        <v>49</v>
      </c>
      <c r="I291" s="39">
        <v>15000.0</v>
      </c>
      <c r="J291" s="39">
        <v>15000.0</v>
      </c>
      <c r="K291" s="41"/>
      <c r="L291" s="42">
        <v>15000.0</v>
      </c>
      <c r="M291" s="42">
        <v>15000.0</v>
      </c>
      <c r="N291" s="55"/>
      <c r="O291" s="39">
        <v>15000.0</v>
      </c>
      <c r="P291" s="39">
        <v>15000.0</v>
      </c>
      <c r="Q291" s="39">
        <v>350.0</v>
      </c>
      <c r="R291" s="46">
        <v>0.67</v>
      </c>
      <c r="S291" s="50">
        <f>IFERROR(__xludf.DUMMYFUNCTION("((IFERROR(MIN(FILTER({K291, N291, Q291}, ISNUMBER({K291, N291, Q291}), {K291, N291, Q291} &gt; 0)), """"))*R291)+IFERROR(MIN(FILTER({K291, N291, Q291}, ISNUMBER({K291, N291, Q291}), {K291, N291, Q291} &gt; 0)), """")"),584.5)</f>
        <v>584.5</v>
      </c>
      <c r="T291" s="53">
        <f>IFERROR(__xludf.DUMMYFUNCTION("(S291-(IFERROR(MIN(FILTER({K291, N291, Q291}, ISNUMBER({K291, N291, Q291}), {K291, N291, Q291} &gt; 0)), """")))/S291"),0.40119760479041916)</f>
        <v>0.4011976048</v>
      </c>
    </row>
    <row r="292" ht="22.5" customHeight="1">
      <c r="A292" s="37" t="s">
        <v>841</v>
      </c>
      <c r="B292" s="37" t="s">
        <v>50</v>
      </c>
      <c r="C292" s="37" t="s">
        <v>72</v>
      </c>
      <c r="D292" s="38" t="s">
        <v>897</v>
      </c>
      <c r="E292" s="49" t="s">
        <v>55</v>
      </c>
      <c r="F292" s="37" t="s">
        <v>108</v>
      </c>
      <c r="G292" s="49" t="s">
        <v>41</v>
      </c>
      <c r="H292" s="51" t="s">
        <v>49</v>
      </c>
      <c r="I292" s="39">
        <v>3000.0</v>
      </c>
      <c r="J292" s="39">
        <v>3000.0</v>
      </c>
      <c r="K292" s="41"/>
      <c r="L292" s="42">
        <v>3000.0</v>
      </c>
      <c r="M292" s="42">
        <v>3000.0</v>
      </c>
      <c r="N292" s="55"/>
      <c r="O292" s="39">
        <v>3000.0</v>
      </c>
      <c r="P292" s="39">
        <v>3000.0</v>
      </c>
      <c r="Q292" s="39">
        <v>960.0</v>
      </c>
      <c r="R292" s="46">
        <v>0.67</v>
      </c>
      <c r="S292" s="50">
        <f>IFERROR(__xludf.DUMMYFUNCTION("((IFERROR(MIN(FILTER({K292, N292, Q292}, ISNUMBER({K292, N292, Q292}), {K292, N292, Q292} &gt; 0)), """"))*R292)+IFERROR(MIN(FILTER({K292, N292, Q292}, ISNUMBER({K292, N292, Q292}), {K292, N292, Q292} &gt; 0)), """")"),1603.2)</f>
        <v>1603.2</v>
      </c>
      <c r="T292" s="53">
        <f>IFERROR(__xludf.DUMMYFUNCTION("(S292-(IFERROR(MIN(FILTER({K292, N292, Q292}, ISNUMBER({K292, N292, Q292}), {K292, N292, Q292} &gt; 0)), """")))/S292"),0.40119760479041916)</f>
        <v>0.4011976048</v>
      </c>
    </row>
    <row r="293" ht="22.5" customHeight="1">
      <c r="A293" s="37" t="s">
        <v>841</v>
      </c>
      <c r="B293" s="37" t="s">
        <v>50</v>
      </c>
      <c r="C293" s="37" t="s">
        <v>72</v>
      </c>
      <c r="D293" s="38" t="s">
        <v>897</v>
      </c>
      <c r="E293" s="49" t="s">
        <v>55</v>
      </c>
      <c r="F293" s="37" t="s">
        <v>108</v>
      </c>
      <c r="G293" s="49" t="s">
        <v>41</v>
      </c>
      <c r="H293" s="51" t="s">
        <v>49</v>
      </c>
      <c r="I293" s="39">
        <v>5000.0</v>
      </c>
      <c r="J293" s="39">
        <v>5000.0</v>
      </c>
      <c r="K293" s="41"/>
      <c r="L293" s="42">
        <v>5000.0</v>
      </c>
      <c r="M293" s="42">
        <v>5000.0</v>
      </c>
      <c r="N293" s="55"/>
      <c r="O293" s="39">
        <v>5000.0</v>
      </c>
      <c r="P293" s="39">
        <v>5000.0</v>
      </c>
      <c r="Q293" s="39">
        <v>840.0</v>
      </c>
      <c r="R293" s="46">
        <v>0.67</v>
      </c>
      <c r="S293" s="50">
        <f>IFERROR(__xludf.DUMMYFUNCTION("((IFERROR(MIN(FILTER({K293, N293, Q293}, ISNUMBER({K293, N293, Q293}), {K293, N293, Q293} &gt; 0)), """"))*R293)+IFERROR(MIN(FILTER({K293, N293, Q293}, ISNUMBER({K293, N293, Q293}), {K293, N293, Q293} &gt; 0)), """")"),1402.8000000000002)</f>
        <v>1402.8</v>
      </c>
      <c r="T293" s="53">
        <f>IFERROR(__xludf.DUMMYFUNCTION("(S293-(IFERROR(MIN(FILTER({K293, N293, Q293}, ISNUMBER({K293, N293, Q293}), {K293, N293, Q293} &gt; 0)), """")))/S293"),0.4011976047904192)</f>
        <v>0.4011976048</v>
      </c>
    </row>
    <row r="294" ht="22.5" customHeight="1">
      <c r="A294" s="37" t="s">
        <v>841</v>
      </c>
      <c r="B294" s="37" t="s">
        <v>50</v>
      </c>
      <c r="C294" s="37" t="s">
        <v>72</v>
      </c>
      <c r="D294" s="38" t="s">
        <v>897</v>
      </c>
      <c r="E294" s="49" t="s">
        <v>55</v>
      </c>
      <c r="F294" s="37" t="s">
        <v>108</v>
      </c>
      <c r="G294" s="49" t="s">
        <v>41</v>
      </c>
      <c r="H294" s="51" t="s">
        <v>49</v>
      </c>
      <c r="I294" s="39">
        <v>15000.0</v>
      </c>
      <c r="J294" s="39">
        <v>15000.0</v>
      </c>
      <c r="K294" s="41"/>
      <c r="L294" s="42">
        <v>15000.0</v>
      </c>
      <c r="M294" s="42">
        <v>15000.0</v>
      </c>
      <c r="N294" s="55"/>
      <c r="O294" s="39">
        <v>15000.0</v>
      </c>
      <c r="P294" s="39">
        <v>15000.0</v>
      </c>
      <c r="Q294" s="39">
        <v>720.0</v>
      </c>
      <c r="R294" s="46">
        <v>0.67</v>
      </c>
      <c r="S294" s="50">
        <f>IFERROR(__xludf.DUMMYFUNCTION("((IFERROR(MIN(FILTER({K294, N294, Q294}, ISNUMBER({K294, N294, Q294}), {K294, N294, Q294} &gt; 0)), """"))*R294)+IFERROR(MIN(FILTER({K294, N294, Q294}, ISNUMBER({K294, N294, Q294}), {K294, N294, Q294} &gt; 0)), """")"),1202.4)</f>
        <v>1202.4</v>
      </c>
      <c r="T294" s="53">
        <f>IFERROR(__xludf.DUMMYFUNCTION("(S294-(IFERROR(MIN(FILTER({K294, N294, Q294}, ISNUMBER({K294, N294, Q294}), {K294, N294, Q294} &gt; 0)), """")))/S294"),0.4011976047904192)</f>
        <v>0.4011976048</v>
      </c>
    </row>
    <row r="295" ht="22.5" customHeight="1">
      <c r="A295" s="37" t="s">
        <v>901</v>
      </c>
      <c r="B295" s="37" t="s">
        <v>50</v>
      </c>
      <c r="C295" s="37" t="s">
        <v>42</v>
      </c>
      <c r="D295" s="38" t="s">
        <v>395</v>
      </c>
      <c r="E295" s="49" t="s">
        <v>55</v>
      </c>
      <c r="F295" s="37" t="s">
        <v>58</v>
      </c>
      <c r="G295" s="49" t="s">
        <v>41</v>
      </c>
      <c r="H295" s="51" t="s">
        <v>49</v>
      </c>
      <c r="I295" s="39">
        <v>2000.0</v>
      </c>
      <c r="J295" s="39">
        <v>2000.0</v>
      </c>
      <c r="K295" s="41"/>
      <c r="L295" s="42">
        <v>2000.0</v>
      </c>
      <c r="M295" s="42">
        <v>2000.0</v>
      </c>
      <c r="N295" s="55"/>
      <c r="O295" s="39">
        <v>2000.0</v>
      </c>
      <c r="P295" s="39">
        <v>2000.0</v>
      </c>
      <c r="Q295" s="39">
        <v>840.0</v>
      </c>
      <c r="R295" s="46">
        <v>0.67</v>
      </c>
      <c r="S295" s="50">
        <f>IFERROR(__xludf.DUMMYFUNCTION("((IFERROR(MIN(FILTER({K295, N295, Q295}, ISNUMBER({K295, N295, Q295}), {K295, N295, Q295} &gt; 0)), """"))*R295)+IFERROR(MIN(FILTER({K295, N295, Q295}, ISNUMBER({K295, N295, Q295}), {K295, N295, Q295} &gt; 0)), """")"),1402.8000000000002)</f>
        <v>1402.8</v>
      </c>
      <c r="T295" s="53">
        <f>IFERROR(__xludf.DUMMYFUNCTION("(S295-(IFERROR(MIN(FILTER({K295, N295, Q295}, ISNUMBER({K295, N295, Q295}), {K295, N295, Q295} &gt; 0)), """")))/S295"),0.4011976047904192)</f>
        <v>0.4011976048</v>
      </c>
    </row>
    <row r="296" ht="22.5" customHeight="1">
      <c r="A296" s="37" t="s">
        <v>901</v>
      </c>
      <c r="B296" s="37" t="s">
        <v>50</v>
      </c>
      <c r="C296" s="37" t="s">
        <v>42</v>
      </c>
      <c r="D296" s="38" t="s">
        <v>395</v>
      </c>
      <c r="E296" s="49" t="s">
        <v>55</v>
      </c>
      <c r="F296" s="37" t="s">
        <v>58</v>
      </c>
      <c r="G296" s="49" t="s">
        <v>41</v>
      </c>
      <c r="H296" s="51" t="s">
        <v>49</v>
      </c>
      <c r="I296" s="39">
        <v>4000.0</v>
      </c>
      <c r="J296" s="39">
        <v>4000.0</v>
      </c>
      <c r="K296" s="41"/>
      <c r="L296" s="42">
        <v>4000.0</v>
      </c>
      <c r="M296" s="42">
        <v>4000.0</v>
      </c>
      <c r="N296" s="55"/>
      <c r="O296" s="39">
        <v>4000.0</v>
      </c>
      <c r="P296" s="39">
        <v>4000.0</v>
      </c>
      <c r="Q296" s="39">
        <v>740.0</v>
      </c>
      <c r="R296" s="46">
        <v>0.67</v>
      </c>
      <c r="S296" s="50">
        <f>IFERROR(__xludf.DUMMYFUNCTION("((IFERROR(MIN(FILTER({K296, N296, Q296}, ISNUMBER({K296, N296, Q296}), {K296, N296, Q296} &gt; 0)), """"))*R296)+IFERROR(MIN(FILTER({K296, N296, Q296}, ISNUMBER({K296, N296, Q296}), {K296, N296, Q296} &gt; 0)), """")"),1235.8)</f>
        <v>1235.8</v>
      </c>
      <c r="T296" s="53">
        <f>IFERROR(__xludf.DUMMYFUNCTION("(S296-(IFERROR(MIN(FILTER({K296, N296, Q296}, ISNUMBER({K296, N296, Q296}), {K296, N296, Q296} &gt; 0)), """")))/S296"),0.40119760479041916)</f>
        <v>0.4011976048</v>
      </c>
    </row>
    <row r="297" ht="22.5" customHeight="1">
      <c r="A297" s="37" t="s">
        <v>901</v>
      </c>
      <c r="B297" s="37" t="s">
        <v>50</v>
      </c>
      <c r="C297" s="37" t="s">
        <v>42</v>
      </c>
      <c r="D297" s="38" t="s">
        <v>114</v>
      </c>
      <c r="E297" s="49" t="s">
        <v>55</v>
      </c>
      <c r="F297" s="37" t="s">
        <v>58</v>
      </c>
      <c r="G297" s="49" t="s">
        <v>41</v>
      </c>
      <c r="H297" s="51" t="s">
        <v>49</v>
      </c>
      <c r="I297" s="39">
        <v>2000.0</v>
      </c>
      <c r="J297" s="39">
        <v>2000.0</v>
      </c>
      <c r="K297" s="41"/>
      <c r="L297" s="42">
        <v>2000.0</v>
      </c>
      <c r="M297" s="42">
        <v>2000.0</v>
      </c>
      <c r="N297" s="55"/>
      <c r="O297" s="39">
        <v>2000.0</v>
      </c>
      <c r="P297" s="39">
        <v>2000.0</v>
      </c>
      <c r="Q297" s="39">
        <v>660.0</v>
      </c>
      <c r="R297" s="46">
        <v>0.67</v>
      </c>
      <c r="S297" s="50">
        <f>IFERROR(__xludf.DUMMYFUNCTION("((IFERROR(MIN(FILTER({K297, N297, Q297}, ISNUMBER({K297, N297, Q297}), {K297, N297, Q297} &gt; 0)), """"))*R297)+IFERROR(MIN(FILTER({K297, N297, Q297}, ISNUMBER({K297, N297, Q297}), {K297, N297, Q297} &gt; 0)), """")"),1102.2)</f>
        <v>1102.2</v>
      </c>
      <c r="T297" s="53">
        <f>IFERROR(__xludf.DUMMYFUNCTION("(S297-(IFERROR(MIN(FILTER({K297, N297, Q297}, ISNUMBER({K297, N297, Q297}), {K297, N297, Q297} &gt; 0)), """")))/S297"),0.40119760479041916)</f>
        <v>0.4011976048</v>
      </c>
    </row>
    <row r="298" ht="22.5" customHeight="1">
      <c r="A298" s="37" t="s">
        <v>901</v>
      </c>
      <c r="B298" s="37" t="s">
        <v>50</v>
      </c>
      <c r="C298" s="37" t="s">
        <v>42</v>
      </c>
      <c r="D298" s="38" t="s">
        <v>114</v>
      </c>
      <c r="E298" s="49" t="s">
        <v>55</v>
      </c>
      <c r="F298" s="37" t="s">
        <v>58</v>
      </c>
      <c r="G298" s="49" t="s">
        <v>41</v>
      </c>
      <c r="H298" s="51" t="s">
        <v>49</v>
      </c>
      <c r="I298" s="39">
        <v>4000.0</v>
      </c>
      <c r="J298" s="39">
        <v>4000.0</v>
      </c>
      <c r="K298" s="41"/>
      <c r="L298" s="42">
        <v>4000.0</v>
      </c>
      <c r="M298" s="42">
        <v>4000.0</v>
      </c>
      <c r="N298" s="55"/>
      <c r="O298" s="39">
        <v>4000.0</v>
      </c>
      <c r="P298" s="39">
        <v>4000.0</v>
      </c>
      <c r="Q298" s="39">
        <v>570.0</v>
      </c>
      <c r="R298" s="46">
        <v>0.67</v>
      </c>
      <c r="S298" s="50">
        <f>IFERROR(__xludf.DUMMYFUNCTION("((IFERROR(MIN(FILTER({K298, N298, Q298}, ISNUMBER({K298, N298, Q298}), {K298, N298, Q298} &gt; 0)), """"))*R298)+IFERROR(MIN(FILTER({K298, N298, Q298}, ISNUMBER({K298, N298, Q298}), {K298, N298, Q298} &gt; 0)), """")"),951.9000000000001)</f>
        <v>951.9</v>
      </c>
      <c r="T298" s="53">
        <f>IFERROR(__xludf.DUMMYFUNCTION("(S298-(IFERROR(MIN(FILTER({K298, N298, Q298}, ISNUMBER({K298, N298, Q298}), {K298, N298, Q298} &gt; 0)), """")))/S298"),0.4011976047904192)</f>
        <v>0.4011976048</v>
      </c>
    </row>
    <row r="299" ht="22.5" customHeight="1">
      <c r="A299" s="37" t="s">
        <v>299</v>
      </c>
      <c r="B299" s="37" t="s">
        <v>50</v>
      </c>
      <c r="C299" s="37" t="s">
        <v>72</v>
      </c>
      <c r="D299" s="38" t="s">
        <v>363</v>
      </c>
      <c r="E299" s="49" t="s">
        <v>36</v>
      </c>
      <c r="F299" s="37" t="s">
        <v>125</v>
      </c>
      <c r="G299" s="49" t="s">
        <v>41</v>
      </c>
      <c r="H299" s="51" t="s">
        <v>49</v>
      </c>
      <c r="I299" s="39">
        <v>5000.0</v>
      </c>
      <c r="J299" s="39">
        <v>5000.0</v>
      </c>
      <c r="K299" s="41"/>
      <c r="L299" s="42">
        <v>5000.0</v>
      </c>
      <c r="M299" s="42">
        <v>5000.0</v>
      </c>
      <c r="N299" s="55"/>
      <c r="O299" s="39">
        <v>5000.0</v>
      </c>
      <c r="P299" s="39">
        <v>5000.0</v>
      </c>
      <c r="Q299" s="39">
        <v>720.0</v>
      </c>
      <c r="R299" s="46">
        <v>0.67</v>
      </c>
      <c r="S299" s="50">
        <f>IFERROR(__xludf.DUMMYFUNCTION("((IFERROR(MIN(FILTER({K299, N299, Q299}, ISNUMBER({K299, N299, Q299}), {K299, N299, Q299} &gt; 0)), """"))*R299)+IFERROR(MIN(FILTER({K299, N299, Q299}, ISNUMBER({K299, N299, Q299}), {K299, N299, Q299} &gt; 0)), """")"),1202.4)</f>
        <v>1202.4</v>
      </c>
      <c r="T299" s="53">
        <f>IFERROR(__xludf.DUMMYFUNCTION("(S299-(IFERROR(MIN(FILTER({K299, N299, Q299}, ISNUMBER({K299, N299, Q299}), {K299, N299, Q299} &gt; 0)), """")))/S299"),0.4011976047904192)</f>
        <v>0.4011976048</v>
      </c>
    </row>
    <row r="300" ht="22.5" customHeight="1">
      <c r="A300" s="37" t="s">
        <v>299</v>
      </c>
      <c r="B300" s="37" t="s">
        <v>50</v>
      </c>
      <c r="C300" s="37" t="s">
        <v>72</v>
      </c>
      <c r="D300" s="38" t="s">
        <v>363</v>
      </c>
      <c r="E300" s="49" t="s">
        <v>36</v>
      </c>
      <c r="F300" s="37" t="s">
        <v>125</v>
      </c>
      <c r="G300" s="49" t="s">
        <v>41</v>
      </c>
      <c r="H300" s="51" t="s">
        <v>49</v>
      </c>
      <c r="I300" s="39">
        <v>10000.0</v>
      </c>
      <c r="J300" s="39">
        <v>10000.0</v>
      </c>
      <c r="K300" s="41"/>
      <c r="L300" s="42">
        <v>10000.0</v>
      </c>
      <c r="M300" s="42">
        <v>10000.0</v>
      </c>
      <c r="N300" s="55"/>
      <c r="O300" s="39">
        <v>10000.0</v>
      </c>
      <c r="P300" s="39">
        <v>10000.0</v>
      </c>
      <c r="Q300" s="39">
        <v>640.0</v>
      </c>
      <c r="R300" s="46">
        <v>0.67</v>
      </c>
      <c r="S300" s="50">
        <f>IFERROR(__xludf.DUMMYFUNCTION("((IFERROR(MIN(FILTER({K300, N300, Q300}, ISNUMBER({K300, N300, Q300}), {K300, N300, Q300} &gt; 0)), """"))*R300)+IFERROR(MIN(FILTER({K300, N300, Q300}, ISNUMBER({K300, N300, Q300}), {K300, N300, Q300} &gt; 0)), """")"),1068.8)</f>
        <v>1068.8</v>
      </c>
      <c r="T300" s="53">
        <f>IFERROR(__xludf.DUMMYFUNCTION("(S300-(IFERROR(MIN(FILTER({K300, N300, Q300}, ISNUMBER({K300, N300, Q300}), {K300, N300, Q300} &gt; 0)), """")))/S300"),0.40119760479041916)</f>
        <v>0.4011976048</v>
      </c>
    </row>
    <row r="301" ht="22.5" customHeight="1">
      <c r="A301" s="37" t="s">
        <v>299</v>
      </c>
      <c r="B301" s="37" t="s">
        <v>50</v>
      </c>
      <c r="C301" s="37" t="s">
        <v>85</v>
      </c>
      <c r="D301" s="38" t="s">
        <v>363</v>
      </c>
      <c r="E301" s="49" t="s">
        <v>36</v>
      </c>
      <c r="F301" s="37" t="s">
        <v>125</v>
      </c>
      <c r="G301" s="49" t="s">
        <v>41</v>
      </c>
      <c r="H301" s="51" t="s">
        <v>49</v>
      </c>
      <c r="I301" s="39">
        <v>5000.0</v>
      </c>
      <c r="J301" s="39">
        <v>5000.0</v>
      </c>
      <c r="K301" s="41"/>
      <c r="L301" s="42">
        <v>5000.0</v>
      </c>
      <c r="M301" s="42">
        <v>5000.0</v>
      </c>
      <c r="N301" s="55"/>
      <c r="O301" s="39">
        <v>5000.0</v>
      </c>
      <c r="P301" s="39">
        <v>5000.0</v>
      </c>
      <c r="Q301" s="39">
        <v>740.0</v>
      </c>
      <c r="R301" s="46">
        <v>0.67</v>
      </c>
      <c r="S301" s="50">
        <f>IFERROR(__xludf.DUMMYFUNCTION("((IFERROR(MIN(FILTER({K301, N301, Q301}, ISNUMBER({K301, N301, Q301}), {K301, N301, Q301} &gt; 0)), """"))*R301)+IFERROR(MIN(FILTER({K301, N301, Q301}, ISNUMBER({K301, N301, Q301}), {K301, N301, Q301} &gt; 0)), """")"),1235.8)</f>
        <v>1235.8</v>
      </c>
      <c r="T301" s="53">
        <f>IFERROR(__xludf.DUMMYFUNCTION("(S301-(IFERROR(MIN(FILTER({K301, N301, Q301}, ISNUMBER({K301, N301, Q301}), {K301, N301, Q301} &gt; 0)), """")))/S301"),0.40119760479041916)</f>
        <v>0.4011976048</v>
      </c>
    </row>
    <row r="302" ht="22.5" customHeight="1">
      <c r="A302" s="37" t="s">
        <v>299</v>
      </c>
      <c r="B302" s="37" t="s">
        <v>50</v>
      </c>
      <c r="C302" s="37" t="s">
        <v>85</v>
      </c>
      <c r="D302" s="38" t="s">
        <v>363</v>
      </c>
      <c r="E302" s="49" t="s">
        <v>36</v>
      </c>
      <c r="F302" s="37" t="s">
        <v>125</v>
      </c>
      <c r="G302" s="49" t="s">
        <v>41</v>
      </c>
      <c r="H302" s="51" t="s">
        <v>49</v>
      </c>
      <c r="I302" s="39">
        <v>10000.0</v>
      </c>
      <c r="J302" s="39">
        <v>10000.0</v>
      </c>
      <c r="K302" s="41"/>
      <c r="L302" s="42">
        <v>10000.0</v>
      </c>
      <c r="M302" s="42">
        <v>10000.0</v>
      </c>
      <c r="N302" s="55"/>
      <c r="O302" s="39">
        <v>10000.0</v>
      </c>
      <c r="P302" s="39">
        <v>10000.0</v>
      </c>
      <c r="Q302" s="39">
        <v>660.0</v>
      </c>
      <c r="R302" s="46">
        <v>0.67</v>
      </c>
      <c r="S302" s="50">
        <f>IFERROR(__xludf.DUMMYFUNCTION("((IFERROR(MIN(FILTER({K302, N302, Q302}, ISNUMBER({K302, N302, Q302}), {K302, N302, Q302} &gt; 0)), """"))*R302)+IFERROR(MIN(FILTER({K302, N302, Q302}, ISNUMBER({K302, N302, Q302}), {K302, N302, Q302} &gt; 0)), """")"),1102.2)</f>
        <v>1102.2</v>
      </c>
      <c r="T302" s="53">
        <f>IFERROR(__xludf.DUMMYFUNCTION("(S302-(IFERROR(MIN(FILTER({K302, N302, Q302}, ISNUMBER({K302, N302, Q302}), {K302, N302, Q302} &gt; 0)), """")))/S302"),0.40119760479041916)</f>
        <v>0.4011976048</v>
      </c>
    </row>
    <row r="303" ht="22.5" customHeight="1">
      <c r="A303" s="37" t="s">
        <v>918</v>
      </c>
      <c r="B303" s="37" t="s">
        <v>50</v>
      </c>
      <c r="C303" s="37" t="s">
        <v>85</v>
      </c>
      <c r="D303" s="38" t="s">
        <v>114</v>
      </c>
      <c r="E303" s="49" t="s">
        <v>36</v>
      </c>
      <c r="F303" s="37" t="s">
        <v>919</v>
      </c>
      <c r="G303" s="49" t="s">
        <v>41</v>
      </c>
      <c r="H303" s="51" t="s">
        <v>49</v>
      </c>
      <c r="I303" s="39">
        <v>300000.0</v>
      </c>
      <c r="J303" s="39">
        <v>300000.0</v>
      </c>
      <c r="K303" s="41"/>
      <c r="L303" s="42">
        <v>300000.0</v>
      </c>
      <c r="M303" s="42">
        <v>300000.0</v>
      </c>
      <c r="N303" s="55"/>
      <c r="O303" s="39">
        <v>300000.0</v>
      </c>
      <c r="P303" s="39">
        <v>300000.0</v>
      </c>
      <c r="Q303" s="39">
        <v>210.0</v>
      </c>
      <c r="R303" s="46">
        <v>0.67</v>
      </c>
      <c r="S303" s="50">
        <f>IFERROR(__xludf.DUMMYFUNCTION("((IFERROR(MIN(FILTER({K303, N303, Q303}, ISNUMBER({K303, N303, Q303}), {K303, N303, Q303} &gt; 0)), """"))*R303)+IFERROR(MIN(FILTER({K303, N303, Q303}, ISNUMBER({K303, N303, Q303}), {K303, N303, Q303} &gt; 0)), """")"),350.70000000000005)</f>
        <v>350.7</v>
      </c>
      <c r="T303" s="53">
        <f>IFERROR(__xludf.DUMMYFUNCTION("(S303-(IFERROR(MIN(FILTER({K303, N303, Q303}, ISNUMBER({K303, N303, Q303}), {K303, N303, Q303} &gt; 0)), """")))/S303"),0.4011976047904192)</f>
        <v>0.4011976048</v>
      </c>
    </row>
    <row r="304" ht="22.5" customHeight="1">
      <c r="A304" s="37" t="s">
        <v>918</v>
      </c>
      <c r="B304" s="37" t="s">
        <v>50</v>
      </c>
      <c r="C304" s="37" t="s">
        <v>85</v>
      </c>
      <c r="D304" s="38" t="s">
        <v>923</v>
      </c>
      <c r="E304" s="49" t="s">
        <v>36</v>
      </c>
      <c r="F304" s="37" t="s">
        <v>919</v>
      </c>
      <c r="G304" s="49" t="s">
        <v>41</v>
      </c>
      <c r="H304" s="51" t="s">
        <v>49</v>
      </c>
      <c r="I304" s="39">
        <v>300000.0</v>
      </c>
      <c r="J304" s="39">
        <v>300000.0</v>
      </c>
      <c r="K304" s="41"/>
      <c r="L304" s="42">
        <v>300000.0</v>
      </c>
      <c r="M304" s="42">
        <v>300000.0</v>
      </c>
      <c r="N304" s="55"/>
      <c r="O304" s="39">
        <v>300000.0</v>
      </c>
      <c r="P304" s="39">
        <v>300000.0</v>
      </c>
      <c r="Q304" s="39">
        <v>840.0</v>
      </c>
      <c r="R304" s="46">
        <v>0.67</v>
      </c>
      <c r="S304" s="50">
        <f>IFERROR(__xludf.DUMMYFUNCTION("((IFERROR(MIN(FILTER({K304, N304, Q304}, ISNUMBER({K304, N304, Q304}), {K304, N304, Q304} &gt; 0)), """"))*R304)+IFERROR(MIN(FILTER({K304, N304, Q304}, ISNUMBER({K304, N304, Q304}), {K304, N304, Q304} &gt; 0)), """")"),1402.8000000000002)</f>
        <v>1402.8</v>
      </c>
      <c r="T304" s="53">
        <f>IFERROR(__xludf.DUMMYFUNCTION("(S304-(IFERROR(MIN(FILTER({K304, N304, Q304}, ISNUMBER({K304, N304, Q304}), {K304, N304, Q304} &gt; 0)), """")))/S304"),0.4011976047904192)</f>
        <v>0.4011976048</v>
      </c>
    </row>
    <row r="305" ht="22.5" customHeight="1">
      <c r="A305" s="37" t="s">
        <v>925</v>
      </c>
      <c r="B305" s="37" t="s">
        <v>50</v>
      </c>
      <c r="C305" s="37" t="s">
        <v>42</v>
      </c>
      <c r="D305" s="38" t="s">
        <v>114</v>
      </c>
      <c r="E305" s="111">
        <v>46055.0</v>
      </c>
      <c r="F305" s="37" t="s">
        <v>112</v>
      </c>
      <c r="G305" s="49" t="s">
        <v>41</v>
      </c>
      <c r="H305" s="51" t="s">
        <v>49</v>
      </c>
      <c r="I305" s="39">
        <v>2000.0</v>
      </c>
      <c r="J305" s="39">
        <v>2000.0</v>
      </c>
      <c r="K305" s="41"/>
      <c r="L305" s="42">
        <v>2000.0</v>
      </c>
      <c r="M305" s="42">
        <v>2000.0</v>
      </c>
      <c r="N305" s="55"/>
      <c r="O305" s="39">
        <v>2000.0</v>
      </c>
      <c r="P305" s="39">
        <v>2000.0</v>
      </c>
      <c r="Q305" s="39">
        <v>550.0</v>
      </c>
      <c r="R305" s="46">
        <v>0.67</v>
      </c>
      <c r="S305" s="50">
        <f>IFERROR(__xludf.DUMMYFUNCTION("((IFERROR(MIN(FILTER({K305, N305, Q305}, ISNUMBER({K305, N305, Q305}), {K305, N305, Q305} &gt; 0)), """"))*R305)+IFERROR(MIN(FILTER({K305, N305, Q305}, ISNUMBER({K305, N305, Q305}), {K305, N305, Q305} &gt; 0)), """")"),918.5)</f>
        <v>918.5</v>
      </c>
      <c r="T305" s="53">
        <f>IFERROR(__xludf.DUMMYFUNCTION("(S305-(IFERROR(MIN(FILTER({K305, N305, Q305}, ISNUMBER({K305, N305, Q305}), {K305, N305, Q305} &gt; 0)), """")))/S305"),0.40119760479041916)</f>
        <v>0.4011976048</v>
      </c>
    </row>
    <row r="306" ht="22.5" customHeight="1">
      <c r="A306" s="37" t="s">
        <v>927</v>
      </c>
      <c r="B306" s="37" t="s">
        <v>50</v>
      </c>
      <c r="C306" s="37" t="s">
        <v>42</v>
      </c>
      <c r="D306" s="38" t="s">
        <v>928</v>
      </c>
      <c r="E306" s="49" t="s">
        <v>63</v>
      </c>
      <c r="F306" s="37" t="s">
        <v>67</v>
      </c>
      <c r="G306" s="49" t="s">
        <v>41</v>
      </c>
      <c r="H306" s="51" t="s">
        <v>49</v>
      </c>
      <c r="I306" s="39">
        <v>2000.0</v>
      </c>
      <c r="J306" s="39">
        <v>2000.0</v>
      </c>
      <c r="K306" s="41"/>
      <c r="L306" s="42">
        <v>2000.0</v>
      </c>
      <c r="M306" s="42">
        <v>2000.0</v>
      </c>
      <c r="N306" s="55"/>
      <c r="O306" s="39">
        <v>2000.0</v>
      </c>
      <c r="P306" s="39">
        <v>2000.0</v>
      </c>
      <c r="Q306" s="39">
        <v>840.0</v>
      </c>
      <c r="R306" s="46">
        <v>0.67</v>
      </c>
      <c r="S306" s="50">
        <f>IFERROR(__xludf.DUMMYFUNCTION("((IFERROR(MIN(FILTER({K306, N306, Q306}, ISNUMBER({K306, N306, Q306}), {K306, N306, Q306} &gt; 0)), """"))*R306)+IFERROR(MIN(FILTER({K306, N306, Q306}, ISNUMBER({K306, N306, Q306}), {K306, N306, Q306} &gt; 0)), """")"),1402.8000000000002)</f>
        <v>1402.8</v>
      </c>
      <c r="T306" s="53">
        <f>IFERROR(__xludf.DUMMYFUNCTION("(S306-(IFERROR(MIN(FILTER({K306, N306, Q306}, ISNUMBER({K306, N306, Q306}), {K306, N306, Q306} &gt; 0)), """")))/S306"),0.4011976047904192)</f>
        <v>0.4011976048</v>
      </c>
    </row>
    <row r="307" ht="22.5" customHeight="1">
      <c r="A307" s="37" t="s">
        <v>451</v>
      </c>
      <c r="B307" s="37" t="s">
        <v>50</v>
      </c>
      <c r="C307" s="37" t="s">
        <v>72</v>
      </c>
      <c r="D307" s="38" t="s">
        <v>62</v>
      </c>
      <c r="E307" s="49" t="s">
        <v>55</v>
      </c>
      <c r="F307" s="37" t="s">
        <v>121</v>
      </c>
      <c r="G307" s="49" t="s">
        <v>41</v>
      </c>
      <c r="H307" s="51" t="s">
        <v>49</v>
      </c>
      <c r="I307" s="39">
        <v>5000.0</v>
      </c>
      <c r="J307" s="39">
        <v>5000.0</v>
      </c>
      <c r="K307" s="41"/>
      <c r="L307" s="42">
        <v>5000.0</v>
      </c>
      <c r="M307" s="42">
        <v>5000.0</v>
      </c>
      <c r="N307" s="55"/>
      <c r="O307" s="39">
        <v>5000.0</v>
      </c>
      <c r="P307" s="39">
        <v>5000.0</v>
      </c>
      <c r="Q307" s="39">
        <v>550.0</v>
      </c>
      <c r="R307" s="46">
        <v>0.67</v>
      </c>
      <c r="S307" s="50">
        <f>IFERROR(__xludf.DUMMYFUNCTION("((IFERROR(MIN(FILTER({K307, N307, Q307}, ISNUMBER({K307, N307, Q307}), {K307, N307, Q307} &gt; 0)), """"))*R307)+IFERROR(MIN(FILTER({K307, N307, Q307}, ISNUMBER({K307, N307, Q307}), {K307, N307, Q307} &gt; 0)), """")"),918.5)</f>
        <v>918.5</v>
      </c>
      <c r="T307" s="53">
        <f>IFERROR(__xludf.DUMMYFUNCTION("(S307-(IFERROR(MIN(FILTER({K307, N307, Q307}, ISNUMBER({K307, N307, Q307}), {K307, N307, Q307} &gt; 0)), """")))/S307"),0.40119760479041916)</f>
        <v>0.4011976048</v>
      </c>
    </row>
    <row r="308" ht="22.5" customHeight="1">
      <c r="A308" s="37" t="s">
        <v>934</v>
      </c>
      <c r="B308" s="37" t="s">
        <v>50</v>
      </c>
      <c r="C308" s="37" t="s">
        <v>935</v>
      </c>
      <c r="D308" s="38" t="s">
        <v>120</v>
      </c>
      <c r="E308" s="49" t="s">
        <v>63</v>
      </c>
      <c r="F308" s="37" t="s">
        <v>67</v>
      </c>
      <c r="G308" s="49" t="s">
        <v>41</v>
      </c>
      <c r="H308" s="51" t="s">
        <v>49</v>
      </c>
      <c r="I308" s="39">
        <v>2000.0</v>
      </c>
      <c r="J308" s="39">
        <v>2000.0</v>
      </c>
      <c r="K308" s="41"/>
      <c r="L308" s="42">
        <v>2000.0</v>
      </c>
      <c r="M308" s="42">
        <v>2000.0</v>
      </c>
      <c r="N308" s="55"/>
      <c r="O308" s="39">
        <v>2000.0</v>
      </c>
      <c r="P308" s="39">
        <v>2000.0</v>
      </c>
      <c r="Q308" s="39">
        <v>960.0</v>
      </c>
      <c r="R308" s="46">
        <v>0.67</v>
      </c>
      <c r="S308" s="50">
        <f>IFERROR(__xludf.DUMMYFUNCTION("((IFERROR(MIN(FILTER({K308, N308, Q308}, ISNUMBER({K308, N308, Q308}), {K308, N308, Q308} &gt; 0)), """"))*R308)+IFERROR(MIN(FILTER({K308, N308, Q308}, ISNUMBER({K308, N308, Q308}), {K308, N308, Q308} &gt; 0)), """")"),1603.2)</f>
        <v>1603.2</v>
      </c>
      <c r="T308" s="53">
        <f>IFERROR(__xludf.DUMMYFUNCTION("(S308-(IFERROR(MIN(FILTER({K308, N308, Q308}, ISNUMBER({K308, N308, Q308}), {K308, N308, Q308} &gt; 0)), """")))/S308"),0.40119760479041916)</f>
        <v>0.4011976048</v>
      </c>
    </row>
    <row r="309" ht="22.5" customHeight="1">
      <c r="A309" s="37" t="s">
        <v>936</v>
      </c>
      <c r="B309" s="37" t="s">
        <v>50</v>
      </c>
      <c r="C309" s="37" t="s">
        <v>42</v>
      </c>
      <c r="D309" s="38" t="s">
        <v>937</v>
      </c>
      <c r="E309" s="49" t="s">
        <v>55</v>
      </c>
      <c r="F309" s="37"/>
      <c r="G309" s="49" t="s">
        <v>41</v>
      </c>
      <c r="H309" s="51" t="s">
        <v>49</v>
      </c>
      <c r="I309" s="39">
        <v>2000.0</v>
      </c>
      <c r="J309" s="39">
        <v>2000.0</v>
      </c>
      <c r="K309" s="41"/>
      <c r="L309" s="42">
        <v>2000.0</v>
      </c>
      <c r="M309" s="42">
        <v>2000.0</v>
      </c>
      <c r="N309" s="55"/>
      <c r="O309" s="39">
        <v>2000.0</v>
      </c>
      <c r="P309" s="39">
        <v>2000.0</v>
      </c>
      <c r="Q309" s="39">
        <v>440.0</v>
      </c>
      <c r="R309" s="46">
        <v>0.67</v>
      </c>
      <c r="S309" s="50">
        <f>IFERROR(__xludf.DUMMYFUNCTION("((IFERROR(MIN(FILTER({K309, N309, Q309}, ISNUMBER({K309, N309, Q309}), {K309, N309, Q309} &gt; 0)), """"))*R309)+IFERROR(MIN(FILTER({K309, N309, Q309}, ISNUMBER({K309, N309, Q309}), {K309, N309, Q309} &gt; 0)), """")"),734.8)</f>
        <v>734.8</v>
      </c>
      <c r="T309" s="53">
        <f>IFERROR(__xludf.DUMMYFUNCTION("(S309-(IFERROR(MIN(FILTER({K309, N309, Q309}, ISNUMBER({K309, N309, Q309}), {K309, N309, Q309} &gt; 0)), """")))/S309"),0.4011976047904191)</f>
        <v>0.4011976048</v>
      </c>
    </row>
    <row r="310" ht="22.5" customHeight="1">
      <c r="A310" s="37" t="s">
        <v>936</v>
      </c>
      <c r="B310" s="37" t="s">
        <v>50</v>
      </c>
      <c r="C310" s="37" t="s">
        <v>42</v>
      </c>
      <c r="D310" s="38" t="s">
        <v>939</v>
      </c>
      <c r="E310" s="49" t="s">
        <v>55</v>
      </c>
      <c r="F310" s="37"/>
      <c r="G310" s="49" t="s">
        <v>41</v>
      </c>
      <c r="H310" s="51" t="s">
        <v>49</v>
      </c>
      <c r="I310" s="39">
        <v>2000.0</v>
      </c>
      <c r="J310" s="39">
        <v>2000.0</v>
      </c>
      <c r="K310" s="41"/>
      <c r="L310" s="42">
        <v>2000.0</v>
      </c>
      <c r="M310" s="42">
        <v>2000.0</v>
      </c>
      <c r="N310" s="55"/>
      <c r="O310" s="39">
        <v>2000.0</v>
      </c>
      <c r="P310" s="39">
        <v>2000.0</v>
      </c>
      <c r="Q310" s="39">
        <v>420.0</v>
      </c>
      <c r="R310" s="46">
        <v>0.67</v>
      </c>
      <c r="S310" s="50">
        <f>IFERROR(__xludf.DUMMYFUNCTION("((IFERROR(MIN(FILTER({K310, N310, Q310}, ISNUMBER({K310, N310, Q310}), {K310, N310, Q310} &gt; 0)), """"))*R310)+IFERROR(MIN(FILTER({K310, N310, Q310}, ISNUMBER({K310, N310, Q310}), {K310, N310, Q310} &gt; 0)), """")"),701.4000000000001)</f>
        <v>701.4</v>
      </c>
      <c r="T310" s="53">
        <f>IFERROR(__xludf.DUMMYFUNCTION("(S310-(IFERROR(MIN(FILTER({K310, N310, Q310}, ISNUMBER({K310, N310, Q310}), {K310, N310, Q310} &gt; 0)), """")))/S310"),0.4011976047904192)</f>
        <v>0.4011976048</v>
      </c>
    </row>
    <row r="311" ht="22.5" customHeight="1">
      <c r="A311" s="37" t="s">
        <v>941</v>
      </c>
      <c r="B311" s="37" t="s">
        <v>50</v>
      </c>
      <c r="C311" s="37" t="s">
        <v>85</v>
      </c>
      <c r="D311" s="38" t="s">
        <v>114</v>
      </c>
      <c r="E311" s="49" t="s">
        <v>63</v>
      </c>
      <c r="F311" s="37" t="s">
        <v>67</v>
      </c>
      <c r="G311" s="49" t="s">
        <v>41</v>
      </c>
      <c r="H311" s="51" t="s">
        <v>49</v>
      </c>
      <c r="I311" s="39">
        <v>2000.0</v>
      </c>
      <c r="J311" s="39">
        <v>2000.0</v>
      </c>
      <c r="K311" s="41"/>
      <c r="L311" s="42">
        <v>2000.0</v>
      </c>
      <c r="M311" s="42">
        <v>2000.0</v>
      </c>
      <c r="N311" s="55"/>
      <c r="O311" s="39">
        <v>2000.0</v>
      </c>
      <c r="P311" s="39">
        <v>2000.0</v>
      </c>
      <c r="Q311" s="39">
        <v>960.0</v>
      </c>
      <c r="R311" s="46">
        <v>0.67</v>
      </c>
      <c r="S311" s="50">
        <f>IFERROR(__xludf.DUMMYFUNCTION("((IFERROR(MIN(FILTER({K311, N311, Q311}, ISNUMBER({K311, N311, Q311}), {K311, N311, Q311} &gt; 0)), """"))*R311)+IFERROR(MIN(FILTER({K311, N311, Q311}, ISNUMBER({K311, N311, Q311}), {K311, N311, Q311} &gt; 0)), """")"),1603.2)</f>
        <v>1603.2</v>
      </c>
      <c r="T311" s="53">
        <f>IFERROR(__xludf.DUMMYFUNCTION("(S311-(IFERROR(MIN(FILTER({K311, N311, Q311}, ISNUMBER({K311, N311, Q311}), {K311, N311, Q311} &gt; 0)), """")))/S311"),0.40119760479041916)</f>
        <v>0.4011976048</v>
      </c>
    </row>
    <row r="312" ht="22.5" customHeight="1">
      <c r="A312" s="37" t="s">
        <v>256</v>
      </c>
      <c r="B312" s="37" t="s">
        <v>50</v>
      </c>
      <c r="C312" s="37" t="s">
        <v>72</v>
      </c>
      <c r="D312" s="38" t="s">
        <v>257</v>
      </c>
      <c r="E312" s="49" t="s">
        <v>36</v>
      </c>
      <c r="F312" s="37"/>
      <c r="G312" s="49" t="s">
        <v>41</v>
      </c>
      <c r="H312" s="51" t="s">
        <v>49</v>
      </c>
      <c r="I312" s="39">
        <v>25000.0</v>
      </c>
      <c r="J312" s="39">
        <v>25000.0</v>
      </c>
      <c r="K312" s="41"/>
      <c r="L312" s="42">
        <v>25000.0</v>
      </c>
      <c r="M312" s="42">
        <v>25000.0</v>
      </c>
      <c r="N312" s="55"/>
      <c r="O312" s="39">
        <v>25000.0</v>
      </c>
      <c r="P312" s="39">
        <v>25000.0</v>
      </c>
      <c r="Q312" s="39"/>
      <c r="R312" s="46">
        <v>0.67</v>
      </c>
      <c r="S312" s="50">
        <f>IFERROR(__xludf.DUMMYFUNCTION("((IFERROR(MIN(FILTER({K312, N312, Q312}, ISNUMBER({K312, N312, Q312}), {K312, N312, Q312} &gt; 0)), """"))*R312)+IFERROR(MIN(FILTER({K312, N312, Q312}, ISNUMBER({K312, N312, Q312}), {K312, N312, Q312} &gt; 0)), """")"),0.0)</f>
        <v>0</v>
      </c>
      <c r="T312" s="53" t="str">
        <f>IFERROR(__xludf.DUMMYFUNCTION("(S312-(IFERROR(MIN(FILTER({K312, N312, Q312}, ISNUMBER({K312, N312, Q312}), {K312, N312, Q312} &gt; 0)), """")))/S312"),"#DIV/0!")</f>
        <v>#DIV/0!</v>
      </c>
    </row>
    <row r="313" ht="22.5" customHeight="1">
      <c r="A313" s="37" t="s">
        <v>467</v>
      </c>
      <c r="B313" s="37" t="s">
        <v>50</v>
      </c>
      <c r="C313" s="37" t="s">
        <v>85</v>
      </c>
      <c r="D313" s="38" t="s">
        <v>607</v>
      </c>
      <c r="E313" s="49" t="s">
        <v>36</v>
      </c>
      <c r="F313" s="37"/>
      <c r="G313" s="49" t="s">
        <v>41</v>
      </c>
      <c r="H313" s="51" t="s">
        <v>49</v>
      </c>
      <c r="I313" s="39">
        <v>100000.0</v>
      </c>
      <c r="J313" s="39">
        <v>100000.0</v>
      </c>
      <c r="K313" s="41"/>
      <c r="L313" s="42">
        <v>100000.0</v>
      </c>
      <c r="M313" s="42">
        <v>100000.0</v>
      </c>
      <c r="N313" s="55"/>
      <c r="O313" s="39">
        <v>100000.0</v>
      </c>
      <c r="P313" s="39">
        <v>100000.0</v>
      </c>
      <c r="Q313" s="39"/>
      <c r="R313" s="46">
        <v>0.67</v>
      </c>
      <c r="S313" s="50">
        <f>IFERROR(__xludf.DUMMYFUNCTION("((IFERROR(MIN(FILTER({K313, N313, Q313}, ISNUMBER({K313, N313, Q313}), {K313, N313, Q313} &gt; 0)), """"))*R313)+IFERROR(MIN(FILTER({K313, N313, Q313}, ISNUMBER({K313, N313, Q313}), {K313, N313, Q313} &gt; 0)), """")"),0.0)</f>
        <v>0</v>
      </c>
      <c r="T313" s="53" t="str">
        <f>IFERROR(__xludf.DUMMYFUNCTION("(S313-(IFERROR(MIN(FILTER({K313, N313, Q313}, ISNUMBER({K313, N313, Q313}), {K313, N313, Q313} &gt; 0)), """")))/S313"),"#DIV/0!")</f>
        <v>#DIV/0!</v>
      </c>
    </row>
    <row r="314" ht="22.5" customHeight="1">
      <c r="A314" s="37" t="s">
        <v>467</v>
      </c>
      <c r="B314" s="37" t="s">
        <v>50</v>
      </c>
      <c r="C314" s="37" t="s">
        <v>85</v>
      </c>
      <c r="D314" s="38" t="s">
        <v>615</v>
      </c>
      <c r="E314" s="49" t="s">
        <v>55</v>
      </c>
      <c r="F314" s="37"/>
      <c r="G314" s="49" t="s">
        <v>41</v>
      </c>
      <c r="H314" s="51" t="s">
        <v>49</v>
      </c>
      <c r="I314" s="39">
        <v>100000.0</v>
      </c>
      <c r="J314" s="39">
        <v>100000.0</v>
      </c>
      <c r="K314" s="41"/>
      <c r="L314" s="42">
        <v>100000.0</v>
      </c>
      <c r="M314" s="42">
        <v>100000.0</v>
      </c>
      <c r="N314" s="55"/>
      <c r="O314" s="39">
        <v>100000.0</v>
      </c>
      <c r="P314" s="39">
        <v>100000.0</v>
      </c>
      <c r="Q314" s="39"/>
      <c r="R314" s="46">
        <v>0.67</v>
      </c>
      <c r="S314" s="50">
        <f>IFERROR(__xludf.DUMMYFUNCTION("((IFERROR(MIN(FILTER({K314, N314, Q314}, ISNUMBER({K314, N314, Q314}), {K314, N314, Q314} &gt; 0)), """"))*R314)+IFERROR(MIN(FILTER({K314, N314, Q314}, ISNUMBER({K314, N314, Q314}), {K314, N314, Q314} &gt; 0)), """")"),0.0)</f>
        <v>0</v>
      </c>
      <c r="T314" s="53" t="str">
        <f>IFERROR(__xludf.DUMMYFUNCTION("(S314-(IFERROR(MIN(FILTER({K314, N314, Q314}, ISNUMBER({K314, N314, Q314}), {K314, N314, Q314} &gt; 0)), """")))/S314"),"#DIV/0!")</f>
        <v>#DIV/0!</v>
      </c>
    </row>
    <row r="315" ht="22.5" customHeight="1">
      <c r="A315" s="37" t="s">
        <v>409</v>
      </c>
      <c r="B315" s="37" t="s">
        <v>50</v>
      </c>
      <c r="C315" s="37" t="s">
        <v>947</v>
      </c>
      <c r="D315" s="38" t="s">
        <v>948</v>
      </c>
      <c r="E315" s="49" t="s">
        <v>55</v>
      </c>
      <c r="F315" s="37"/>
      <c r="G315" s="49" t="s">
        <v>41</v>
      </c>
      <c r="H315" s="51" t="s">
        <v>49</v>
      </c>
      <c r="I315" s="39">
        <v>100000.0</v>
      </c>
      <c r="J315" s="39">
        <v>100000.0</v>
      </c>
      <c r="K315" s="39">
        <v>120.0</v>
      </c>
      <c r="L315" s="42">
        <v>100000.0</v>
      </c>
      <c r="M315" s="42">
        <v>100000.0</v>
      </c>
      <c r="N315" s="96"/>
      <c r="O315" s="39">
        <v>100000.0</v>
      </c>
      <c r="P315" s="39">
        <v>100000.0</v>
      </c>
      <c r="Q315" s="41"/>
      <c r="R315" s="46">
        <v>0.67</v>
      </c>
      <c r="S315" s="50">
        <f>IFERROR(__xludf.DUMMYFUNCTION("((IFERROR(MIN(FILTER({K315, N315, Q315}, ISNUMBER({K315, N315, Q315}), {K315, N315, Q315} &gt; 0)), """"))*R315)+IFERROR(MIN(FILTER({K315, N315, Q315}, ISNUMBER({K315, N315, Q315}), {K315, N315, Q315} &gt; 0)), """")"),200.4)</f>
        <v>200.4</v>
      </c>
      <c r="T315" s="53">
        <f>IFERROR(__xludf.DUMMYFUNCTION("(S315-(IFERROR(MIN(FILTER({K315, N315, Q315}, ISNUMBER({K315, N315, Q315}), {K315, N315, Q315} &gt; 0)), """")))/S315"),0.40119760479041916)</f>
        <v>0.4011976048</v>
      </c>
    </row>
    <row r="316" ht="22.5" customHeight="1">
      <c r="A316" s="37" t="s">
        <v>409</v>
      </c>
      <c r="B316" s="37" t="s">
        <v>50</v>
      </c>
      <c r="C316" s="37" t="s">
        <v>947</v>
      </c>
      <c r="D316" s="38" t="s">
        <v>948</v>
      </c>
      <c r="E316" s="49" t="s">
        <v>55</v>
      </c>
      <c r="F316" s="37"/>
      <c r="G316" s="49" t="s">
        <v>41</v>
      </c>
      <c r="H316" s="51" t="s">
        <v>49</v>
      </c>
      <c r="I316" s="39">
        <v>200000.0</v>
      </c>
      <c r="J316" s="39">
        <v>200000.0</v>
      </c>
      <c r="K316" s="39">
        <v>110.0</v>
      </c>
      <c r="L316" s="42">
        <v>200000.0</v>
      </c>
      <c r="M316" s="42">
        <v>200000.0</v>
      </c>
      <c r="N316" s="96"/>
      <c r="O316" s="39">
        <v>200000.0</v>
      </c>
      <c r="P316" s="39">
        <v>200000.0</v>
      </c>
      <c r="Q316" s="41"/>
      <c r="R316" s="46">
        <v>0.67</v>
      </c>
      <c r="S316" s="50">
        <f>IFERROR(__xludf.DUMMYFUNCTION("((IFERROR(MIN(FILTER({K316, N316, Q316}, ISNUMBER({K316, N316, Q316}), {K316, N316, Q316} &gt; 0)), """"))*R316)+IFERROR(MIN(FILTER({K316, N316, Q316}, ISNUMBER({K316, N316, Q316}), {K316, N316, Q316} &gt; 0)), """")"),183.7)</f>
        <v>183.7</v>
      </c>
      <c r="T316" s="53">
        <f>IFERROR(__xludf.DUMMYFUNCTION("(S316-(IFERROR(MIN(FILTER({K316, N316, Q316}, ISNUMBER({K316, N316, Q316}), {K316, N316, Q316} &gt; 0)), """")))/S316"),0.4011976047904191)</f>
        <v>0.4011976048</v>
      </c>
    </row>
    <row r="317" ht="22.5" customHeight="1">
      <c r="A317" s="37" t="s">
        <v>188</v>
      </c>
      <c r="B317" s="37" t="s">
        <v>50</v>
      </c>
      <c r="C317" s="37" t="s">
        <v>72</v>
      </c>
      <c r="D317" s="38" t="s">
        <v>953</v>
      </c>
      <c r="E317" s="49" t="s">
        <v>55</v>
      </c>
      <c r="F317" s="37" t="s">
        <v>100</v>
      </c>
      <c r="G317" s="49" t="s">
        <v>41</v>
      </c>
      <c r="H317" s="51" t="s">
        <v>49</v>
      </c>
      <c r="I317" s="39">
        <v>100000.0</v>
      </c>
      <c r="J317" s="39">
        <v>100000.0</v>
      </c>
      <c r="K317" s="39">
        <v>95.0</v>
      </c>
      <c r="L317" s="42">
        <v>100000.0</v>
      </c>
      <c r="M317" s="42">
        <v>100000.0</v>
      </c>
      <c r="N317" s="55"/>
      <c r="O317" s="39">
        <v>100000.0</v>
      </c>
      <c r="P317" s="39">
        <v>100000.0</v>
      </c>
      <c r="Q317" s="39"/>
      <c r="R317" s="46">
        <v>0.67</v>
      </c>
      <c r="S317" s="50">
        <f>IFERROR(__xludf.DUMMYFUNCTION("((IFERROR(MIN(FILTER({K317, N317, Q317}, ISNUMBER({K317, N317, Q317}), {K317, N317, Q317} &gt; 0)), """"))*R317)+IFERROR(MIN(FILTER({K317, N317, Q317}, ISNUMBER({K317, N317, Q317}), {K317, N317, Q317} &gt; 0)), """")"),158.65)</f>
        <v>158.65</v>
      </c>
      <c r="T317" s="53">
        <f>IFERROR(__xludf.DUMMYFUNCTION("(S317-(IFERROR(MIN(FILTER({K317, N317, Q317}, ISNUMBER({K317, N317, Q317}), {K317, N317, Q317} &gt; 0)), """")))/S317"),0.40119760479041916)</f>
        <v>0.4011976048</v>
      </c>
    </row>
    <row r="318" ht="22.5" customHeight="1">
      <c r="A318" s="37" t="s">
        <v>188</v>
      </c>
      <c r="B318" s="37" t="s">
        <v>50</v>
      </c>
      <c r="C318" s="37" t="s">
        <v>72</v>
      </c>
      <c r="D318" s="38" t="s">
        <v>956</v>
      </c>
      <c r="E318" s="49" t="s">
        <v>55</v>
      </c>
      <c r="F318" s="37" t="s">
        <v>100</v>
      </c>
      <c r="G318" s="49" t="s">
        <v>41</v>
      </c>
      <c r="H318" s="51" t="s">
        <v>49</v>
      </c>
      <c r="I318" s="39">
        <v>100000.0</v>
      </c>
      <c r="J318" s="39">
        <v>100000.0</v>
      </c>
      <c r="K318" s="39">
        <v>135.0</v>
      </c>
      <c r="L318" s="42">
        <v>100000.0</v>
      </c>
      <c r="M318" s="42">
        <v>100000.0</v>
      </c>
      <c r="N318" s="55"/>
      <c r="O318" s="39">
        <v>100000.0</v>
      </c>
      <c r="P318" s="39">
        <v>100000.0</v>
      </c>
      <c r="Q318" s="39"/>
      <c r="R318" s="46">
        <v>0.67</v>
      </c>
      <c r="S318" s="50">
        <f>IFERROR(__xludf.DUMMYFUNCTION("((IFERROR(MIN(FILTER({K318, N318, Q318}, ISNUMBER({K318, N318, Q318}), {K318, N318, Q318} &gt; 0)), """"))*R318)+IFERROR(MIN(FILTER({K318, N318, Q318}, ISNUMBER({K318, N318, Q318}), {K318, N318, Q318} &gt; 0)), """")"),225.45)</f>
        <v>225.45</v>
      </c>
      <c r="T318" s="53">
        <f>IFERROR(__xludf.DUMMYFUNCTION("(S318-(IFERROR(MIN(FILTER({K318, N318, Q318}, ISNUMBER({K318, N318, Q318}), {K318, N318, Q318} &gt; 0)), """")))/S318"),0.4011976047904191)</f>
        <v>0.4011976048</v>
      </c>
    </row>
    <row r="319" ht="22.5" customHeight="1">
      <c r="A319" s="37" t="s">
        <v>188</v>
      </c>
      <c r="B319" s="37" t="s">
        <v>50</v>
      </c>
      <c r="C319" s="37" t="s">
        <v>72</v>
      </c>
      <c r="D319" s="38" t="s">
        <v>960</v>
      </c>
      <c r="E319" s="49" t="s">
        <v>55</v>
      </c>
      <c r="F319" s="37" t="s">
        <v>100</v>
      </c>
      <c r="G319" s="49" t="s">
        <v>41</v>
      </c>
      <c r="H319" s="51" t="s">
        <v>49</v>
      </c>
      <c r="I319" s="39">
        <v>100000.0</v>
      </c>
      <c r="J319" s="39">
        <v>100000.0</v>
      </c>
      <c r="K319" s="39">
        <v>195.0</v>
      </c>
      <c r="L319" s="42">
        <v>100000.0</v>
      </c>
      <c r="M319" s="42">
        <v>100000.0</v>
      </c>
      <c r="N319" s="96"/>
      <c r="O319" s="39">
        <v>100000.0</v>
      </c>
      <c r="P319" s="39">
        <v>100000.0</v>
      </c>
      <c r="Q319" s="41"/>
      <c r="R319" s="46">
        <v>0.67</v>
      </c>
      <c r="S319" s="50">
        <f>IFERROR(__xludf.DUMMYFUNCTION("((IFERROR(MIN(FILTER({K319, N319, Q319}, ISNUMBER({K319, N319, Q319}), {K319, N319, Q319} &gt; 0)), """"))*R319)+IFERROR(MIN(FILTER({K319, N319, Q319}, ISNUMBER({K319, N319, Q319}), {K319, N319, Q319} &gt; 0)), """")"),325.65)</f>
        <v>325.65</v>
      </c>
      <c r="T319" s="53">
        <f>IFERROR(__xludf.DUMMYFUNCTION("(S319-(IFERROR(MIN(FILTER({K319, N319, Q319}, ISNUMBER({K319, N319, Q319}), {K319, N319, Q319} &gt; 0)), """")))/S319"),0.4011976047904191)</f>
        <v>0.4011976048</v>
      </c>
    </row>
    <row r="320" ht="22.5" customHeight="1">
      <c r="A320" s="37" t="s">
        <v>188</v>
      </c>
      <c r="B320" s="37" t="s">
        <v>50</v>
      </c>
      <c r="C320" s="37" t="s">
        <v>72</v>
      </c>
      <c r="D320" s="38" t="s">
        <v>961</v>
      </c>
      <c r="E320" s="49" t="s">
        <v>55</v>
      </c>
      <c r="F320" s="37" t="s">
        <v>100</v>
      </c>
      <c r="G320" s="49" t="s">
        <v>41</v>
      </c>
      <c r="H320" s="51" t="s">
        <v>49</v>
      </c>
      <c r="I320" s="39">
        <v>100000.0</v>
      </c>
      <c r="J320" s="39">
        <v>100000.0</v>
      </c>
      <c r="K320" s="39">
        <v>445.0</v>
      </c>
      <c r="L320" s="42">
        <v>100000.0</v>
      </c>
      <c r="M320" s="42">
        <v>100000.0</v>
      </c>
      <c r="N320" s="55"/>
      <c r="O320" s="39">
        <v>100000.0</v>
      </c>
      <c r="P320" s="39">
        <v>100000.0</v>
      </c>
      <c r="Q320" s="39"/>
      <c r="R320" s="46">
        <v>0.67</v>
      </c>
      <c r="S320" s="50">
        <f>IFERROR(__xludf.DUMMYFUNCTION("((IFERROR(MIN(FILTER({K320, N320, Q320}, ISNUMBER({K320, N320, Q320}), {K320, N320, Q320} &gt; 0)), """"))*R320)+IFERROR(MIN(FILTER({K320, N320, Q320}, ISNUMBER({K320, N320, Q320}), {K320, N320, Q320} &gt; 0)), """")"),743.1500000000001)</f>
        <v>743.15</v>
      </c>
      <c r="T320" s="53">
        <f>IFERROR(__xludf.DUMMYFUNCTION("(S320-(IFERROR(MIN(FILTER({K320, N320, Q320}, ISNUMBER({K320, N320, Q320}), {K320, N320, Q320} &gt; 0)), """")))/S320"),0.4011976047904192)</f>
        <v>0.4011976048</v>
      </c>
    </row>
    <row r="321" ht="22.5" customHeight="1">
      <c r="A321" s="37" t="s">
        <v>188</v>
      </c>
      <c r="B321" s="37" t="s">
        <v>50</v>
      </c>
      <c r="C321" s="37" t="s">
        <v>72</v>
      </c>
      <c r="D321" s="38" t="s">
        <v>963</v>
      </c>
      <c r="E321" s="49" t="s">
        <v>55</v>
      </c>
      <c r="F321" s="37" t="s">
        <v>100</v>
      </c>
      <c r="G321" s="49" t="s">
        <v>41</v>
      </c>
      <c r="H321" s="51" t="s">
        <v>49</v>
      </c>
      <c r="I321" s="39">
        <v>100000.0</v>
      </c>
      <c r="J321" s="39">
        <v>100000.0</v>
      </c>
      <c r="K321" s="39">
        <v>115.0</v>
      </c>
      <c r="L321" s="42">
        <v>100000.0</v>
      </c>
      <c r="M321" s="42">
        <v>100000.0</v>
      </c>
      <c r="N321" s="96"/>
      <c r="O321" s="39">
        <v>100000.0</v>
      </c>
      <c r="P321" s="39">
        <v>100000.0</v>
      </c>
      <c r="Q321" s="41"/>
      <c r="R321" s="46">
        <v>0.67</v>
      </c>
      <c r="S321" s="50">
        <f>IFERROR(__xludf.DUMMYFUNCTION("((IFERROR(MIN(FILTER({K321, N321, Q321}, ISNUMBER({K321, N321, Q321}), {K321, N321, Q321} &gt; 0)), """"))*R321)+IFERROR(MIN(FILTER({K321, N321, Q321}, ISNUMBER({K321, N321, Q321}), {K321, N321, Q321} &gt; 0)), """")"),192.05)</f>
        <v>192.05</v>
      </c>
      <c r="T321" s="53">
        <f>IFERROR(__xludf.DUMMYFUNCTION("(S321-(IFERROR(MIN(FILTER({K321, N321, Q321}, ISNUMBER({K321, N321, Q321}), {K321, N321, Q321} &gt; 0)), """")))/S321"),0.4011976047904192)</f>
        <v>0.4011976048</v>
      </c>
    </row>
    <row r="322" ht="22.5" customHeight="1">
      <c r="A322" s="37" t="s">
        <v>493</v>
      </c>
      <c r="B322" s="37" t="s">
        <v>50</v>
      </c>
      <c r="C322" s="37" t="s">
        <v>42</v>
      </c>
      <c r="D322" s="38" t="s">
        <v>62</v>
      </c>
      <c r="E322" s="49" t="s">
        <v>55</v>
      </c>
      <c r="F322" s="37" t="s">
        <v>964</v>
      </c>
      <c r="G322" s="49" t="s">
        <v>41</v>
      </c>
      <c r="H322" s="51" t="s">
        <v>49</v>
      </c>
      <c r="I322" s="39">
        <v>2000.0</v>
      </c>
      <c r="J322" s="39">
        <v>2000.0</v>
      </c>
      <c r="K322" s="41"/>
      <c r="L322" s="42">
        <v>2000.0</v>
      </c>
      <c r="M322" s="42">
        <v>2000.0</v>
      </c>
      <c r="N322" s="55"/>
      <c r="O322" s="39">
        <v>2000.0</v>
      </c>
      <c r="P322" s="39">
        <v>2000.0</v>
      </c>
      <c r="Q322" s="39">
        <v>550.0</v>
      </c>
      <c r="R322" s="46">
        <v>0.67</v>
      </c>
      <c r="S322" s="50">
        <f>IFERROR(__xludf.DUMMYFUNCTION("((IFERROR(MIN(FILTER({K322, N322, Q322}, ISNUMBER({K322, N322, Q322}), {K322, N322, Q322} &gt; 0)), """"))*R322)+IFERROR(MIN(FILTER({K322, N322, Q322}, ISNUMBER({K322, N322, Q322}), {K322, N322, Q322} &gt; 0)), """")"),918.5)</f>
        <v>918.5</v>
      </c>
      <c r="T322" s="53">
        <f>IFERROR(__xludf.DUMMYFUNCTION("(S322-(IFERROR(MIN(FILTER({K322, N322, Q322}, ISNUMBER({K322, N322, Q322}), {K322, N322, Q322} &gt; 0)), """")))/S322"),0.40119760479041916)</f>
        <v>0.4011976048</v>
      </c>
    </row>
    <row r="323" ht="22.5" customHeight="1">
      <c r="A323" s="37" t="s">
        <v>493</v>
      </c>
      <c r="B323" s="37" t="s">
        <v>50</v>
      </c>
      <c r="C323" s="37" t="s">
        <v>42</v>
      </c>
      <c r="D323" s="38" t="s">
        <v>270</v>
      </c>
      <c r="E323" s="49" t="s">
        <v>55</v>
      </c>
      <c r="F323" s="37" t="s">
        <v>964</v>
      </c>
      <c r="G323" s="49" t="s">
        <v>41</v>
      </c>
      <c r="H323" s="51" t="s">
        <v>49</v>
      </c>
      <c r="I323" s="39">
        <v>2000.0</v>
      </c>
      <c r="J323" s="39">
        <v>2000.0</v>
      </c>
      <c r="K323" s="41"/>
      <c r="L323" s="42">
        <v>2000.0</v>
      </c>
      <c r="M323" s="42">
        <v>2000.0</v>
      </c>
      <c r="N323" s="55"/>
      <c r="O323" s="39">
        <v>2000.0</v>
      </c>
      <c r="P323" s="39">
        <v>2000.0</v>
      </c>
      <c r="Q323" s="39">
        <v>440.0</v>
      </c>
      <c r="R323" s="46">
        <v>0.67</v>
      </c>
      <c r="S323" s="50">
        <f>IFERROR(__xludf.DUMMYFUNCTION("((IFERROR(MIN(FILTER({K323, N323, Q323}, ISNUMBER({K323, N323, Q323}), {K323, N323, Q323} &gt; 0)), """"))*R323)+IFERROR(MIN(FILTER({K323, N323, Q323}, ISNUMBER({K323, N323, Q323}), {K323, N323, Q323} &gt; 0)), """")"),734.8)</f>
        <v>734.8</v>
      </c>
      <c r="T323" s="53">
        <f>IFERROR(__xludf.DUMMYFUNCTION("(S323-(IFERROR(MIN(FILTER({K323, N323, Q323}, ISNUMBER({K323, N323, Q323}), {K323, N323, Q323} &gt; 0)), """")))/S323"),0.4011976047904191)</f>
        <v>0.4011976048</v>
      </c>
    </row>
    <row r="324" ht="22.5" customHeight="1">
      <c r="A324" s="37" t="s">
        <v>493</v>
      </c>
      <c r="B324" s="37" t="s">
        <v>50</v>
      </c>
      <c r="C324" s="37" t="s">
        <v>42</v>
      </c>
      <c r="D324" s="38" t="s">
        <v>324</v>
      </c>
      <c r="E324" s="49" t="s">
        <v>55</v>
      </c>
      <c r="F324" s="37" t="s">
        <v>964</v>
      </c>
      <c r="G324" s="49" t="s">
        <v>41</v>
      </c>
      <c r="H324" s="51" t="s">
        <v>49</v>
      </c>
      <c r="I324" s="39">
        <v>2000.0</v>
      </c>
      <c r="J324" s="39">
        <v>2000.0</v>
      </c>
      <c r="K324" s="41"/>
      <c r="L324" s="42">
        <v>2000.0</v>
      </c>
      <c r="M324" s="42">
        <v>2000.0</v>
      </c>
      <c r="N324" s="55"/>
      <c r="O324" s="39">
        <v>2000.0</v>
      </c>
      <c r="P324" s="39">
        <v>2000.0</v>
      </c>
      <c r="Q324" s="39">
        <v>350.0</v>
      </c>
      <c r="R324" s="46">
        <v>0.67</v>
      </c>
      <c r="S324" s="50">
        <f>IFERROR(__xludf.DUMMYFUNCTION("((IFERROR(MIN(FILTER({K324, N324, Q324}, ISNUMBER({K324, N324, Q324}), {K324, N324, Q324} &gt; 0)), """"))*R324)+IFERROR(MIN(FILTER({K324, N324, Q324}, ISNUMBER({K324, N324, Q324}), {K324, N324, Q324} &gt; 0)), """")"),584.5)</f>
        <v>584.5</v>
      </c>
      <c r="T324" s="53">
        <f>IFERROR(__xludf.DUMMYFUNCTION("(S324-(IFERROR(MIN(FILTER({K324, N324, Q324}, ISNUMBER({K324, N324, Q324}), {K324, N324, Q324} &gt; 0)), """")))/S324"),0.40119760479041916)</f>
        <v>0.4011976048</v>
      </c>
    </row>
    <row r="325" ht="22.5" customHeight="1">
      <c r="A325" s="37" t="s">
        <v>969</v>
      </c>
      <c r="B325" s="37" t="s">
        <v>50</v>
      </c>
      <c r="C325" s="37" t="s">
        <v>72</v>
      </c>
      <c r="D325" s="38" t="s">
        <v>923</v>
      </c>
      <c r="E325" s="49" t="s">
        <v>55</v>
      </c>
      <c r="F325" s="37" t="s">
        <v>74</v>
      </c>
      <c r="G325" s="49" t="s">
        <v>41</v>
      </c>
      <c r="H325" s="51" t="s">
        <v>49</v>
      </c>
      <c r="I325" s="39">
        <v>25000.0</v>
      </c>
      <c r="J325" s="39">
        <v>25000.0</v>
      </c>
      <c r="K325" s="39">
        <v>380.0</v>
      </c>
      <c r="L325" s="42">
        <v>25000.0</v>
      </c>
      <c r="M325" s="42">
        <v>25000.0</v>
      </c>
      <c r="N325" s="55"/>
      <c r="O325" s="39">
        <v>25000.0</v>
      </c>
      <c r="P325" s="39">
        <v>25000.0</v>
      </c>
      <c r="Q325" s="39"/>
      <c r="R325" s="46">
        <v>0.67</v>
      </c>
      <c r="S325" s="50">
        <f>IFERROR(__xludf.DUMMYFUNCTION("((IFERROR(MIN(FILTER({K325, N325, Q325}, ISNUMBER({K325, N325, Q325}), {K325, N325, Q325} &gt; 0)), """"))*R325)+IFERROR(MIN(FILTER({K325, N325, Q325}, ISNUMBER({K325, N325, Q325}), {K325, N325, Q325} &gt; 0)), """")"),634.6)</f>
        <v>634.6</v>
      </c>
      <c r="T325" s="53">
        <f>IFERROR(__xludf.DUMMYFUNCTION("(S325-(IFERROR(MIN(FILTER({K325, N325, Q325}, ISNUMBER({K325, N325, Q325}), {K325, N325, Q325} &gt; 0)), """")))/S325"),0.40119760479041916)</f>
        <v>0.4011976048</v>
      </c>
    </row>
    <row r="326" ht="22.5" customHeight="1">
      <c r="A326" s="37" t="s">
        <v>340</v>
      </c>
      <c r="B326" s="37" t="s">
        <v>50</v>
      </c>
      <c r="C326" s="37" t="s">
        <v>234</v>
      </c>
      <c r="D326" s="38" t="s">
        <v>144</v>
      </c>
      <c r="E326" s="49" t="s">
        <v>55</v>
      </c>
      <c r="F326" s="37" t="s">
        <v>74</v>
      </c>
      <c r="G326" s="49" t="s">
        <v>41</v>
      </c>
      <c r="H326" s="51" t="s">
        <v>49</v>
      </c>
      <c r="I326" s="39">
        <v>5000.0</v>
      </c>
      <c r="J326" s="39">
        <v>5000.0</v>
      </c>
      <c r="K326" s="39">
        <v>440.0</v>
      </c>
      <c r="L326" s="42">
        <v>5000.0</v>
      </c>
      <c r="M326" s="42">
        <v>5000.0</v>
      </c>
      <c r="N326" s="96"/>
      <c r="O326" s="39">
        <v>5000.0</v>
      </c>
      <c r="P326" s="39">
        <v>5000.0</v>
      </c>
      <c r="Q326" s="41"/>
      <c r="R326" s="46">
        <v>0.67</v>
      </c>
      <c r="S326" s="50">
        <f>IFERROR(__xludf.DUMMYFUNCTION("((IFERROR(MIN(FILTER({K326, N326, Q326}, ISNUMBER({K326, N326, Q326}), {K326, N326, Q326} &gt; 0)), """"))*R326)+IFERROR(MIN(FILTER({K326, N326, Q326}, ISNUMBER({K326, N326, Q326}), {K326, N326, Q326} &gt; 0)), """")"),734.8)</f>
        <v>734.8</v>
      </c>
      <c r="T326" s="53">
        <f>IFERROR(__xludf.DUMMYFUNCTION("(S326-(IFERROR(MIN(FILTER({K326, N326, Q326}, ISNUMBER({K326, N326, Q326}), {K326, N326, Q326} &gt; 0)), """")))/S326"),0.4011976047904191)</f>
        <v>0.4011976048</v>
      </c>
    </row>
    <row r="327" ht="22.5" customHeight="1">
      <c r="A327" s="37" t="s">
        <v>340</v>
      </c>
      <c r="B327" s="37" t="s">
        <v>50</v>
      </c>
      <c r="C327" s="37" t="s">
        <v>971</v>
      </c>
      <c r="D327" s="38" t="s">
        <v>144</v>
      </c>
      <c r="E327" s="49" t="s">
        <v>55</v>
      </c>
      <c r="F327" s="37" t="s">
        <v>74</v>
      </c>
      <c r="G327" s="49" t="s">
        <v>41</v>
      </c>
      <c r="H327" s="51" t="s">
        <v>49</v>
      </c>
      <c r="I327" s="39">
        <v>2000.0</v>
      </c>
      <c r="J327" s="39">
        <v>2000.0</v>
      </c>
      <c r="K327" s="39">
        <v>640.0</v>
      </c>
      <c r="L327" s="42">
        <v>2000.0</v>
      </c>
      <c r="M327" s="42">
        <v>2000.0</v>
      </c>
      <c r="N327" s="55"/>
      <c r="O327" s="39">
        <v>2000.0</v>
      </c>
      <c r="P327" s="39">
        <v>2000.0</v>
      </c>
      <c r="Q327" s="39"/>
      <c r="R327" s="46">
        <v>0.67</v>
      </c>
      <c r="S327" s="50">
        <f>IFERROR(__xludf.DUMMYFUNCTION("((IFERROR(MIN(FILTER({K327, N327, Q327}, ISNUMBER({K327, N327, Q327}), {K327, N327, Q327} &gt; 0)), """"))*R327)+IFERROR(MIN(FILTER({K327, N327, Q327}, ISNUMBER({K327, N327, Q327}), {K327, N327, Q327} &gt; 0)), """")"),1068.8)</f>
        <v>1068.8</v>
      </c>
      <c r="T327" s="53">
        <f>IFERROR(__xludf.DUMMYFUNCTION("(S327-(IFERROR(MIN(FILTER({K327, N327, Q327}, ISNUMBER({K327, N327, Q327}), {K327, N327, Q327} &gt; 0)), """")))/S327"),0.40119760479041916)</f>
        <v>0.4011976048</v>
      </c>
    </row>
    <row r="328" ht="22.5" customHeight="1">
      <c r="A328" s="37" t="s">
        <v>340</v>
      </c>
      <c r="B328" s="37" t="s">
        <v>50</v>
      </c>
      <c r="C328" s="37" t="s">
        <v>234</v>
      </c>
      <c r="D328" s="38" t="s">
        <v>114</v>
      </c>
      <c r="E328" s="49" t="s">
        <v>55</v>
      </c>
      <c r="F328" s="37" t="s">
        <v>74</v>
      </c>
      <c r="G328" s="49" t="s">
        <v>41</v>
      </c>
      <c r="H328" s="51" t="s">
        <v>49</v>
      </c>
      <c r="I328" s="39">
        <v>2000.0</v>
      </c>
      <c r="J328" s="39">
        <v>2000.0</v>
      </c>
      <c r="K328" s="39">
        <v>440.0</v>
      </c>
      <c r="L328" s="42">
        <v>2000.0</v>
      </c>
      <c r="M328" s="42">
        <v>2000.0</v>
      </c>
      <c r="N328" s="55"/>
      <c r="O328" s="39">
        <v>2000.0</v>
      </c>
      <c r="P328" s="39">
        <v>2000.0</v>
      </c>
      <c r="Q328" s="39"/>
      <c r="R328" s="46">
        <v>0.67</v>
      </c>
      <c r="S328" s="50">
        <f>IFERROR(__xludf.DUMMYFUNCTION("((IFERROR(MIN(FILTER({K328, N328, Q328}, ISNUMBER({K328, N328, Q328}), {K328, N328, Q328} &gt; 0)), """"))*R328)+IFERROR(MIN(FILTER({K328, N328, Q328}, ISNUMBER({K328, N328, Q328}), {K328, N328, Q328} &gt; 0)), """")"),734.8)</f>
        <v>734.8</v>
      </c>
      <c r="T328" s="53">
        <f>IFERROR(__xludf.DUMMYFUNCTION("(S328-(IFERROR(MIN(FILTER({K328, N328, Q328}, ISNUMBER({K328, N328, Q328}), {K328, N328, Q328} &gt; 0)), """")))/S328"),0.4011976047904191)</f>
        <v>0.4011976048</v>
      </c>
    </row>
    <row r="329" ht="22.5" customHeight="1">
      <c r="A329" s="37" t="s">
        <v>976</v>
      </c>
      <c r="B329" s="37" t="s">
        <v>977</v>
      </c>
      <c r="C329" s="37" t="s">
        <v>251</v>
      </c>
      <c r="D329" s="38" t="s">
        <v>62</v>
      </c>
      <c r="E329" s="49" t="s">
        <v>36</v>
      </c>
      <c r="F329" s="37" t="s">
        <v>978</v>
      </c>
      <c r="G329" s="49" t="s">
        <v>41</v>
      </c>
      <c r="H329" s="51" t="s">
        <v>49</v>
      </c>
      <c r="I329" s="39">
        <v>2000.0</v>
      </c>
      <c r="J329" s="39">
        <v>2000.0</v>
      </c>
      <c r="K329" s="39">
        <v>840.0</v>
      </c>
      <c r="L329" s="42">
        <v>2000.0</v>
      </c>
      <c r="M329" s="42">
        <v>2000.0</v>
      </c>
      <c r="N329" s="55"/>
      <c r="O329" s="39">
        <v>2000.0</v>
      </c>
      <c r="P329" s="39">
        <v>2000.0</v>
      </c>
      <c r="Q329" s="39"/>
      <c r="R329" s="46">
        <v>0.67</v>
      </c>
      <c r="S329" s="50">
        <f>IFERROR(__xludf.DUMMYFUNCTION("((IFERROR(MIN(FILTER({K329, N329, Q329}, ISNUMBER({K329, N329, Q329}), {K329, N329, Q329} &gt; 0)), """"))*R329)+IFERROR(MIN(FILTER({K329, N329, Q329}, ISNUMBER({K329, N329, Q329}), {K329, N329, Q329} &gt; 0)), """")"),1402.8000000000002)</f>
        <v>1402.8</v>
      </c>
      <c r="T329" s="53">
        <f>IFERROR(__xludf.DUMMYFUNCTION("(S329-(IFERROR(MIN(FILTER({K329, N329, Q329}, ISNUMBER({K329, N329, Q329}), {K329, N329, Q329} &gt; 0)), """")))/S329"),0.4011976047904192)</f>
        <v>0.4011976048</v>
      </c>
    </row>
    <row r="330" ht="22.5" customHeight="1">
      <c r="A330" s="37" t="s">
        <v>980</v>
      </c>
      <c r="B330" s="37" t="s">
        <v>977</v>
      </c>
      <c r="C330" s="37" t="s">
        <v>971</v>
      </c>
      <c r="D330" s="38" t="s">
        <v>486</v>
      </c>
      <c r="E330" s="49" t="s">
        <v>55</v>
      </c>
      <c r="F330" s="37" t="s">
        <v>100</v>
      </c>
      <c r="G330" s="49" t="s">
        <v>41</v>
      </c>
      <c r="H330" s="51" t="s">
        <v>49</v>
      </c>
      <c r="I330" s="39">
        <v>10000.0</v>
      </c>
      <c r="J330" s="39">
        <v>10000.0</v>
      </c>
      <c r="K330" s="39">
        <v>440.0</v>
      </c>
      <c r="L330" s="42">
        <v>10000.0</v>
      </c>
      <c r="M330" s="42">
        <v>10000.0</v>
      </c>
      <c r="N330" s="55"/>
      <c r="O330" s="39">
        <v>10000.0</v>
      </c>
      <c r="P330" s="39">
        <v>10000.0</v>
      </c>
      <c r="Q330" s="39"/>
      <c r="R330" s="46">
        <v>0.67</v>
      </c>
      <c r="S330" s="50">
        <f>IFERROR(__xludf.DUMMYFUNCTION("((IFERROR(MIN(FILTER({K330, N330, Q330}, ISNUMBER({K330, N330, Q330}), {K330, N330, Q330} &gt; 0)), """"))*R330)+IFERROR(MIN(FILTER({K330, N330, Q330}, ISNUMBER({K330, N330, Q330}), {K330, N330, Q330} &gt; 0)), """")"),734.8)</f>
        <v>734.8</v>
      </c>
      <c r="T330" s="53">
        <f>IFERROR(__xludf.DUMMYFUNCTION("(S330-(IFERROR(MIN(FILTER({K330, N330, Q330}, ISNUMBER({K330, N330, Q330}), {K330, N330, Q330} &gt; 0)), """")))/S330"),0.4011976047904191)</f>
        <v>0.4011976048</v>
      </c>
    </row>
    <row r="331" ht="22.5" customHeight="1">
      <c r="A331" s="37" t="s">
        <v>985</v>
      </c>
      <c r="B331" s="37" t="s">
        <v>50</v>
      </c>
      <c r="C331" s="37" t="s">
        <v>234</v>
      </c>
      <c r="D331" s="38" t="s">
        <v>193</v>
      </c>
      <c r="E331" s="49" t="s">
        <v>55</v>
      </c>
      <c r="F331" s="37" t="s">
        <v>108</v>
      </c>
      <c r="G331" s="49" t="s">
        <v>41</v>
      </c>
      <c r="H331" s="51" t="s">
        <v>49</v>
      </c>
      <c r="I331" s="39">
        <v>2000.0</v>
      </c>
      <c r="J331" s="39">
        <v>2000.0</v>
      </c>
      <c r="K331" s="39">
        <v>840.0</v>
      </c>
      <c r="L331" s="42">
        <v>2000.0</v>
      </c>
      <c r="M331" s="42">
        <v>2000.0</v>
      </c>
      <c r="N331" s="55"/>
      <c r="O331" s="39">
        <v>2000.0</v>
      </c>
      <c r="P331" s="39">
        <v>2000.0</v>
      </c>
      <c r="Q331" s="39"/>
      <c r="R331" s="46">
        <v>0.67</v>
      </c>
      <c r="S331" s="50">
        <f>IFERROR(__xludf.DUMMYFUNCTION("((IFERROR(MIN(FILTER({K331, N331, Q331}, ISNUMBER({K331, N331, Q331}), {K331, N331, Q331} &gt; 0)), """"))*R331)+IFERROR(MIN(FILTER({K331, N331, Q331}, ISNUMBER({K331, N331, Q331}), {K331, N331, Q331} &gt; 0)), """")"),1402.8000000000002)</f>
        <v>1402.8</v>
      </c>
      <c r="T331" s="53">
        <f>IFERROR(__xludf.DUMMYFUNCTION("(S331-(IFERROR(MIN(FILTER({K331, N331, Q331}, ISNUMBER({K331, N331, Q331}), {K331, N331, Q331} &gt; 0)), """")))/S331"),0.4011976047904192)</f>
        <v>0.4011976048</v>
      </c>
    </row>
    <row r="332" ht="22.5" customHeight="1">
      <c r="A332" s="37" t="s">
        <v>987</v>
      </c>
      <c r="B332" s="37" t="s">
        <v>977</v>
      </c>
      <c r="C332" s="37" t="s">
        <v>251</v>
      </c>
      <c r="D332" s="38" t="s">
        <v>111</v>
      </c>
      <c r="E332" s="49" t="s">
        <v>46</v>
      </c>
      <c r="F332" s="37" t="s">
        <v>988</v>
      </c>
      <c r="G332" s="49" t="s">
        <v>41</v>
      </c>
      <c r="H332" s="51" t="s">
        <v>49</v>
      </c>
      <c r="I332" s="39">
        <v>2000.0</v>
      </c>
      <c r="J332" s="39">
        <v>2000.0</v>
      </c>
      <c r="K332" s="39">
        <v>960.0</v>
      </c>
      <c r="L332" s="42">
        <v>2000.0</v>
      </c>
      <c r="M332" s="42">
        <v>2000.0</v>
      </c>
      <c r="N332" s="55"/>
      <c r="O332" s="39">
        <v>2000.0</v>
      </c>
      <c r="P332" s="39">
        <v>2000.0</v>
      </c>
      <c r="Q332" s="39"/>
      <c r="R332" s="46">
        <v>0.67</v>
      </c>
      <c r="S332" s="50">
        <f>IFERROR(__xludf.DUMMYFUNCTION("((IFERROR(MIN(FILTER({K332, N332, Q332}, ISNUMBER({K332, N332, Q332}), {K332, N332, Q332} &gt; 0)), """"))*R332)+IFERROR(MIN(FILTER({K332, N332, Q332}, ISNUMBER({K332, N332, Q332}), {K332, N332, Q332} &gt; 0)), """")"),1603.2)</f>
        <v>1603.2</v>
      </c>
      <c r="T332" s="53">
        <f>IFERROR(__xludf.DUMMYFUNCTION("(S332-(IFERROR(MIN(FILTER({K332, N332, Q332}, ISNUMBER({K332, N332, Q332}), {K332, N332, Q332} &gt; 0)), """")))/S332"),0.40119760479041916)</f>
        <v>0.4011976048</v>
      </c>
    </row>
    <row r="333" ht="22.5" customHeight="1">
      <c r="A333" s="37" t="s">
        <v>969</v>
      </c>
      <c r="B333" s="37" t="s">
        <v>977</v>
      </c>
      <c r="C333" s="37" t="s">
        <v>251</v>
      </c>
      <c r="D333" s="38" t="s">
        <v>992</v>
      </c>
      <c r="E333" s="49" t="s">
        <v>55</v>
      </c>
      <c r="F333" s="37" t="s">
        <v>74</v>
      </c>
      <c r="G333" s="49" t="s">
        <v>41</v>
      </c>
      <c r="H333" s="51" t="s">
        <v>49</v>
      </c>
      <c r="I333" s="39">
        <v>25000.0</v>
      </c>
      <c r="J333" s="39">
        <v>25000.0</v>
      </c>
      <c r="K333" s="39">
        <v>1400.0</v>
      </c>
      <c r="L333" s="42">
        <v>25000.0</v>
      </c>
      <c r="M333" s="42">
        <v>25000.0</v>
      </c>
      <c r="N333" s="55"/>
      <c r="O333" s="39">
        <v>25000.0</v>
      </c>
      <c r="P333" s="39">
        <v>25000.0</v>
      </c>
      <c r="Q333" s="39"/>
      <c r="R333" s="46">
        <v>0.67</v>
      </c>
      <c r="S333" s="50">
        <f>IFERROR(__xludf.DUMMYFUNCTION("((IFERROR(MIN(FILTER({K333, N333, Q333}, ISNUMBER({K333, N333, Q333}), {K333, N333, Q333} &gt; 0)), """"))*R333)+IFERROR(MIN(FILTER({K333, N333, Q333}, ISNUMBER({K333, N333, Q333}), {K333, N333, Q333} &gt; 0)), """")"),2338.0)</f>
        <v>2338</v>
      </c>
      <c r="T333" s="53">
        <f>IFERROR(__xludf.DUMMYFUNCTION("(S333-(IFERROR(MIN(FILTER({K333, N333, Q333}, ISNUMBER({K333, N333, Q333}), {K333, N333, Q333} &gt; 0)), """")))/S333"),0.40119760479041916)</f>
        <v>0.4011976048</v>
      </c>
    </row>
    <row r="334" ht="22.5" customHeight="1">
      <c r="A334" s="37" t="s">
        <v>996</v>
      </c>
      <c r="B334" s="37" t="s">
        <v>997</v>
      </c>
      <c r="C334" s="37" t="s">
        <v>234</v>
      </c>
      <c r="D334" s="38" t="s">
        <v>998</v>
      </c>
      <c r="E334" s="49" t="s">
        <v>55</v>
      </c>
      <c r="F334" s="37" t="s">
        <v>999</v>
      </c>
      <c r="G334" s="49" t="s">
        <v>41</v>
      </c>
      <c r="H334" s="51" t="s">
        <v>49</v>
      </c>
      <c r="I334" s="39">
        <v>2000.0</v>
      </c>
      <c r="J334" s="39">
        <v>2000.0</v>
      </c>
      <c r="K334" s="39">
        <v>1400.0</v>
      </c>
      <c r="L334" s="42">
        <v>2000.0</v>
      </c>
      <c r="M334" s="42">
        <v>2000.0</v>
      </c>
      <c r="N334" s="55"/>
      <c r="O334" s="39">
        <v>2000.0</v>
      </c>
      <c r="P334" s="39">
        <v>2000.0</v>
      </c>
      <c r="Q334" s="39">
        <v>940.0</v>
      </c>
      <c r="R334" s="46">
        <v>0.67</v>
      </c>
      <c r="S334" s="50">
        <f>IFERROR(__xludf.DUMMYFUNCTION("((IFERROR(MIN(FILTER({K334, N334, Q334}, ISNUMBER({K334, N334, Q334}), {K334, N334, Q334} &gt; 0)), """"))*R334)+IFERROR(MIN(FILTER({K334, N334, Q334}, ISNUMBER({K334, N334, Q334}), {K334, N334, Q334} &gt; 0)), """")"),1569.8000000000002)</f>
        <v>1569.8</v>
      </c>
      <c r="T334" s="53">
        <f>IFERROR(__xludf.DUMMYFUNCTION("(S334-(IFERROR(MIN(FILTER({K334, N334, Q334}, ISNUMBER({K334, N334, Q334}), {K334, N334, Q334} &gt; 0)), """")))/S334"),0.4011976047904192)</f>
        <v>0.4011976048</v>
      </c>
    </row>
    <row r="335" ht="22.5" customHeight="1">
      <c r="A335" s="37" t="s">
        <v>996</v>
      </c>
      <c r="B335" s="37" t="s">
        <v>997</v>
      </c>
      <c r="C335" s="37" t="s">
        <v>234</v>
      </c>
      <c r="D335" s="38" t="s">
        <v>1005</v>
      </c>
      <c r="E335" s="49" t="s">
        <v>55</v>
      </c>
      <c r="F335" s="37" t="s">
        <v>999</v>
      </c>
      <c r="G335" s="49" t="s">
        <v>41</v>
      </c>
      <c r="H335" s="51" t="s">
        <v>49</v>
      </c>
      <c r="I335" s="39">
        <v>2000.0</v>
      </c>
      <c r="J335" s="39">
        <v>2000.0</v>
      </c>
      <c r="K335" s="41"/>
      <c r="L335" s="42">
        <v>2000.0</v>
      </c>
      <c r="M335" s="42">
        <v>2000.0</v>
      </c>
      <c r="N335" s="55"/>
      <c r="O335" s="39">
        <v>2000.0</v>
      </c>
      <c r="P335" s="39">
        <v>2000.0</v>
      </c>
      <c r="Q335" s="39">
        <v>820.0</v>
      </c>
      <c r="R335" s="46">
        <v>0.67</v>
      </c>
      <c r="S335" s="50">
        <f>IFERROR(__xludf.DUMMYFUNCTION("((IFERROR(MIN(FILTER({K335, N335, Q335}, ISNUMBER({K335, N335, Q335}), {K335, N335, Q335} &gt; 0)), """"))*R335)+IFERROR(MIN(FILTER({K335, N335, Q335}, ISNUMBER({K335, N335, Q335}), {K335, N335, Q335} &gt; 0)), """")"),1369.4)</f>
        <v>1369.4</v>
      </c>
      <c r="T335" s="53">
        <f>IFERROR(__xludf.DUMMYFUNCTION("(S335-(IFERROR(MIN(FILTER({K335, N335, Q335}, ISNUMBER({K335, N335, Q335}), {K335, N335, Q335} &gt; 0)), """")))/S335"),0.4011976047904192)</f>
        <v>0.4011976048</v>
      </c>
    </row>
    <row r="336" ht="22.5" customHeight="1">
      <c r="A336" s="37" t="s">
        <v>1009</v>
      </c>
      <c r="B336" s="37" t="s">
        <v>1010</v>
      </c>
      <c r="C336" s="37" t="s">
        <v>971</v>
      </c>
      <c r="D336" s="38" t="s">
        <v>1011</v>
      </c>
      <c r="E336" s="49" t="s">
        <v>55</v>
      </c>
      <c r="F336" s="37" t="s">
        <v>171</v>
      </c>
      <c r="G336" s="49" t="s">
        <v>41</v>
      </c>
      <c r="H336" s="51" t="s">
        <v>1012</v>
      </c>
      <c r="I336" s="39">
        <v>500000.0</v>
      </c>
      <c r="J336" s="39">
        <v>500000.0</v>
      </c>
      <c r="K336" s="41"/>
      <c r="L336" s="42">
        <v>500000.0</v>
      </c>
      <c r="M336" s="42">
        <v>500000.0</v>
      </c>
      <c r="N336" s="55"/>
      <c r="O336" s="39">
        <v>500000.0</v>
      </c>
      <c r="P336" s="39">
        <v>500000.0</v>
      </c>
      <c r="Q336" s="39">
        <v>85.0</v>
      </c>
      <c r="R336" s="46">
        <v>0.67</v>
      </c>
      <c r="S336" s="50">
        <f>IFERROR(__xludf.DUMMYFUNCTION("((IFERROR(MIN(FILTER({K336, N336, Q336}, ISNUMBER({K336, N336, Q336}), {K336, N336, Q336} &gt; 0)), """"))*R336)+IFERROR(MIN(FILTER({K336, N336, Q336}, ISNUMBER({K336, N336, Q336}), {K336, N336, Q336} &gt; 0)), """")"),141.95)</f>
        <v>141.95</v>
      </c>
      <c r="T336" s="53">
        <f>IFERROR(__xludf.DUMMYFUNCTION("(S336-(IFERROR(MIN(FILTER({K336, N336, Q336}, ISNUMBER({K336, N336, Q336}), {K336, N336, Q336} &gt; 0)), """")))/S336"),0.4011976047904191)</f>
        <v>0.4011976048</v>
      </c>
    </row>
    <row r="337" ht="22.5" customHeight="1">
      <c r="A337" s="37" t="s">
        <v>1009</v>
      </c>
      <c r="B337" s="37" t="s">
        <v>1010</v>
      </c>
      <c r="C337" s="37" t="s">
        <v>971</v>
      </c>
      <c r="D337" s="38" t="s">
        <v>1011</v>
      </c>
      <c r="E337" s="49" t="s">
        <v>55</v>
      </c>
      <c r="F337" s="37" t="s">
        <v>171</v>
      </c>
      <c r="G337" s="49" t="s">
        <v>41</v>
      </c>
      <c r="H337" s="51" t="s">
        <v>1012</v>
      </c>
      <c r="I337" s="39">
        <v>500000.0</v>
      </c>
      <c r="J337" s="39">
        <v>500000.0</v>
      </c>
      <c r="K337" s="41"/>
      <c r="L337" s="42">
        <v>500000.0</v>
      </c>
      <c r="M337" s="42">
        <v>500000.0</v>
      </c>
      <c r="N337" s="55"/>
      <c r="O337" s="39">
        <v>500000.0</v>
      </c>
      <c r="P337" s="39">
        <v>500000.0</v>
      </c>
      <c r="Q337" s="39">
        <v>94.0</v>
      </c>
      <c r="R337" s="46">
        <v>0.67</v>
      </c>
      <c r="S337" s="50">
        <f>IFERROR(__xludf.DUMMYFUNCTION("((IFERROR(MIN(FILTER({K337, N337, Q337}, ISNUMBER({K337, N337, Q337}), {K337, N337, Q337} &gt; 0)), """"))*R337)+IFERROR(MIN(FILTER({K337, N337, Q337}, ISNUMBER({K337, N337, Q337}), {K337, N337, Q337} &gt; 0)), """")"),156.98000000000002)</f>
        <v>156.98</v>
      </c>
      <c r="T337" s="53">
        <f>IFERROR(__xludf.DUMMYFUNCTION("(S337-(IFERROR(MIN(FILTER({K337, N337, Q337}, ISNUMBER({K337, N337, Q337}), {K337, N337, Q337} &gt; 0)), """")))/S337"),0.4011976047904192)</f>
        <v>0.4011976048</v>
      </c>
    </row>
    <row r="338" ht="22.5" customHeight="1">
      <c r="A338" s="37" t="s">
        <v>1019</v>
      </c>
      <c r="B338" s="37" t="s">
        <v>1010</v>
      </c>
      <c r="C338" s="37" t="s">
        <v>971</v>
      </c>
      <c r="D338" s="38" t="s">
        <v>1020</v>
      </c>
      <c r="E338" s="49" t="s">
        <v>55</v>
      </c>
      <c r="F338" s="37" t="s">
        <v>108</v>
      </c>
      <c r="G338" s="49" t="s">
        <v>41</v>
      </c>
      <c r="H338" s="51" t="s">
        <v>1012</v>
      </c>
      <c r="I338" s="39">
        <v>10000.0</v>
      </c>
      <c r="J338" s="39">
        <v>10000.0</v>
      </c>
      <c r="K338" s="41"/>
      <c r="L338" s="42">
        <v>10000.0</v>
      </c>
      <c r="M338" s="42">
        <v>10000.0</v>
      </c>
      <c r="N338" s="55"/>
      <c r="O338" s="39">
        <v>10000.0</v>
      </c>
      <c r="P338" s="39">
        <v>10000.0</v>
      </c>
      <c r="Q338" s="39">
        <v>204.0</v>
      </c>
      <c r="R338" s="46">
        <v>0.67</v>
      </c>
      <c r="S338" s="50">
        <f>IFERROR(__xludf.DUMMYFUNCTION("((IFERROR(MIN(FILTER({K338, N338, Q338}, ISNUMBER({K338, N338, Q338}), {K338, N338, Q338} &gt; 0)), """"))*R338)+IFERROR(MIN(FILTER({K338, N338, Q338}, ISNUMBER({K338, N338, Q338}), {K338, N338, Q338} &gt; 0)), """")"),340.68)</f>
        <v>340.68</v>
      </c>
      <c r="T338" s="53">
        <f>IFERROR(__xludf.DUMMYFUNCTION("(S338-(IFERROR(MIN(FILTER({K338, N338, Q338}, ISNUMBER({K338, N338, Q338}), {K338, N338, Q338} &gt; 0)), """")))/S338"),0.40119760479041916)</f>
        <v>0.4011976048</v>
      </c>
    </row>
    <row r="339" ht="22.5" customHeight="1">
      <c r="A339" s="37" t="s">
        <v>1019</v>
      </c>
      <c r="B339" s="37" t="s">
        <v>1010</v>
      </c>
      <c r="C339" s="37" t="s">
        <v>971</v>
      </c>
      <c r="D339" s="38" t="s">
        <v>1020</v>
      </c>
      <c r="E339" s="49" t="s">
        <v>55</v>
      </c>
      <c r="F339" s="37" t="s">
        <v>108</v>
      </c>
      <c r="G339" s="49" t="s">
        <v>41</v>
      </c>
      <c r="H339" s="51" t="s">
        <v>1012</v>
      </c>
      <c r="I339" s="39">
        <v>15000.0</v>
      </c>
      <c r="J339" s="39">
        <v>15000.0</v>
      </c>
      <c r="K339" s="41"/>
      <c r="L339" s="42">
        <v>15000.0</v>
      </c>
      <c r="M339" s="42">
        <v>15000.0</v>
      </c>
      <c r="N339" s="55"/>
      <c r="O339" s="39">
        <v>15000.0</v>
      </c>
      <c r="P339" s="39">
        <v>15000.0</v>
      </c>
      <c r="Q339" s="39">
        <v>175.0</v>
      </c>
      <c r="R339" s="46">
        <v>0.67</v>
      </c>
      <c r="S339" s="50">
        <f>IFERROR(__xludf.DUMMYFUNCTION("((IFERROR(MIN(FILTER({K339, N339, Q339}, ISNUMBER({K339, N339, Q339}), {K339, N339, Q339} &gt; 0)), """"))*R339)+IFERROR(MIN(FILTER({K339, N339, Q339}, ISNUMBER({K339, N339, Q339}), {K339, N339, Q339} &gt; 0)), """")"),292.25)</f>
        <v>292.25</v>
      </c>
      <c r="T339" s="53">
        <f>IFERROR(__xludf.DUMMYFUNCTION("(S339-(IFERROR(MIN(FILTER({K339, N339, Q339}, ISNUMBER({K339, N339, Q339}), {K339, N339, Q339} &gt; 0)), """")))/S339"),0.40119760479041916)</f>
        <v>0.4011976048</v>
      </c>
    </row>
    <row r="340" ht="22.5" customHeight="1">
      <c r="A340" s="37" t="s">
        <v>1019</v>
      </c>
      <c r="B340" s="37" t="s">
        <v>1010</v>
      </c>
      <c r="C340" s="37" t="s">
        <v>971</v>
      </c>
      <c r="D340" s="38" t="s">
        <v>1020</v>
      </c>
      <c r="E340" s="49" t="s">
        <v>55</v>
      </c>
      <c r="F340" s="37" t="s">
        <v>108</v>
      </c>
      <c r="G340" s="49" t="s">
        <v>41</v>
      </c>
      <c r="H340" s="51" t="s">
        <v>1012</v>
      </c>
      <c r="I340" s="39">
        <v>25000.0</v>
      </c>
      <c r="J340" s="39">
        <v>25000.0</v>
      </c>
      <c r="K340" s="41"/>
      <c r="L340" s="42">
        <v>25000.0</v>
      </c>
      <c r="M340" s="42">
        <v>25000.0</v>
      </c>
      <c r="N340" s="55"/>
      <c r="O340" s="39">
        <v>25000.0</v>
      </c>
      <c r="P340" s="39">
        <v>25000.0</v>
      </c>
      <c r="Q340" s="39">
        <v>150.0</v>
      </c>
      <c r="R340" s="46">
        <v>0.67</v>
      </c>
      <c r="S340" s="50">
        <f>IFERROR(__xludf.DUMMYFUNCTION("((IFERROR(MIN(FILTER({K340, N340, Q340}, ISNUMBER({K340, N340, Q340}), {K340, N340, Q340} &gt; 0)), """"))*R340)+IFERROR(MIN(FILTER({K340, N340, Q340}, ISNUMBER({K340, N340, Q340}), {K340, N340, Q340} &gt; 0)), """")"),250.5)</f>
        <v>250.5</v>
      </c>
      <c r="T340" s="53">
        <f>IFERROR(__xludf.DUMMYFUNCTION("(S340-(IFERROR(MIN(FILTER({K340, N340, Q340}, ISNUMBER({K340, N340, Q340}), {K340, N340, Q340} &gt; 0)), """")))/S340"),0.40119760479041916)</f>
        <v>0.4011976048</v>
      </c>
    </row>
    <row r="341" ht="22.5" customHeight="1">
      <c r="A341" s="37" t="s">
        <v>1019</v>
      </c>
      <c r="B341" s="37" t="s">
        <v>1010</v>
      </c>
      <c r="C341" s="37" t="s">
        <v>971</v>
      </c>
      <c r="D341" s="38" t="s">
        <v>1020</v>
      </c>
      <c r="E341" s="49" t="s">
        <v>55</v>
      </c>
      <c r="F341" s="37" t="s">
        <v>108</v>
      </c>
      <c r="G341" s="49" t="s">
        <v>41</v>
      </c>
      <c r="H341" s="51" t="s">
        <v>1012</v>
      </c>
      <c r="I341" s="39">
        <v>30000.0</v>
      </c>
      <c r="J341" s="39">
        <v>30000.0</v>
      </c>
      <c r="K341" s="41"/>
      <c r="L341" s="42">
        <v>30000.0</v>
      </c>
      <c r="M341" s="42">
        <v>30000.0</v>
      </c>
      <c r="N341" s="55"/>
      <c r="O341" s="39">
        <v>30000.0</v>
      </c>
      <c r="P341" s="39">
        <v>30000.0</v>
      </c>
      <c r="Q341" s="39">
        <v>145.0</v>
      </c>
      <c r="R341" s="46">
        <v>0.67</v>
      </c>
      <c r="S341" s="50">
        <f>IFERROR(__xludf.DUMMYFUNCTION("((IFERROR(MIN(FILTER({K341, N341, Q341}, ISNUMBER({K341, N341, Q341}), {K341, N341, Q341} &gt; 0)), """"))*R341)+IFERROR(MIN(FILTER({K341, N341, Q341}, ISNUMBER({K341, N341, Q341}), {K341, N341, Q341} &gt; 0)), """")"),242.15)</f>
        <v>242.15</v>
      </c>
      <c r="T341" s="53">
        <f>IFERROR(__xludf.DUMMYFUNCTION("(S341-(IFERROR(MIN(FILTER({K341, N341, Q341}, ISNUMBER({K341, N341, Q341}), {K341, N341, Q341} &gt; 0)), """")))/S341"),0.40119760479041916)</f>
        <v>0.4011976048</v>
      </c>
    </row>
    <row r="342" ht="22.5" customHeight="1">
      <c r="A342" s="37" t="s">
        <v>1019</v>
      </c>
      <c r="B342" s="37" t="s">
        <v>1010</v>
      </c>
      <c r="C342" s="37" t="s">
        <v>971</v>
      </c>
      <c r="D342" s="38" t="s">
        <v>1020</v>
      </c>
      <c r="E342" s="49" t="s">
        <v>55</v>
      </c>
      <c r="F342" s="37" t="s">
        <v>108</v>
      </c>
      <c r="G342" s="49" t="s">
        <v>41</v>
      </c>
      <c r="H342" s="51" t="s">
        <v>1012</v>
      </c>
      <c r="I342" s="39">
        <v>100000.0</v>
      </c>
      <c r="J342" s="39">
        <v>100000.0</v>
      </c>
      <c r="K342" s="41"/>
      <c r="L342" s="42">
        <v>100000.0</v>
      </c>
      <c r="M342" s="42">
        <v>100000.0</v>
      </c>
      <c r="N342" s="55"/>
      <c r="O342" s="39">
        <v>100000.0</v>
      </c>
      <c r="P342" s="39">
        <v>100000.0</v>
      </c>
      <c r="Q342" s="39">
        <v>130.0</v>
      </c>
      <c r="R342" s="46">
        <v>0.67</v>
      </c>
      <c r="S342" s="50">
        <f>IFERROR(__xludf.DUMMYFUNCTION("((IFERROR(MIN(FILTER({K342, N342, Q342}, ISNUMBER({K342, N342, Q342}), {K342, N342, Q342} &gt; 0)), """"))*R342)+IFERROR(MIN(FILTER({K342, N342, Q342}, ISNUMBER({K342, N342, Q342}), {K342, N342, Q342} &gt; 0)), """")"),217.10000000000002)</f>
        <v>217.1</v>
      </c>
      <c r="T342" s="53">
        <f>IFERROR(__xludf.DUMMYFUNCTION("(S342-(IFERROR(MIN(FILTER({K342, N342, Q342}, ISNUMBER({K342, N342, Q342}), {K342, N342, Q342} &gt; 0)), """")))/S342"),0.4011976047904192)</f>
        <v>0.4011976048</v>
      </c>
    </row>
    <row r="343" ht="22.5" customHeight="1">
      <c r="A343" s="37" t="s">
        <v>1033</v>
      </c>
      <c r="B343" s="37" t="s">
        <v>977</v>
      </c>
      <c r="C343" s="37" t="s">
        <v>1034</v>
      </c>
      <c r="D343" s="38" t="s">
        <v>1035</v>
      </c>
      <c r="E343" s="49" t="s">
        <v>55</v>
      </c>
      <c r="F343" s="37" t="s">
        <v>58</v>
      </c>
      <c r="G343" s="49" t="s">
        <v>41</v>
      </c>
      <c r="H343" s="51" t="s">
        <v>49</v>
      </c>
      <c r="I343" s="39">
        <v>2000.0</v>
      </c>
      <c r="J343" s="39">
        <v>2000.0</v>
      </c>
      <c r="K343" s="41"/>
      <c r="L343" s="42">
        <v>2000.0</v>
      </c>
      <c r="M343" s="42">
        <v>2000.0</v>
      </c>
      <c r="N343" s="55"/>
      <c r="O343" s="39">
        <v>2000.0</v>
      </c>
      <c r="P343" s="39">
        <v>2000.0</v>
      </c>
      <c r="Q343" s="39">
        <v>440.0</v>
      </c>
      <c r="R343" s="46">
        <v>0.67</v>
      </c>
      <c r="S343" s="50">
        <f>IFERROR(__xludf.DUMMYFUNCTION("((IFERROR(MIN(FILTER({K343, N343, Q343}, ISNUMBER({K343, N343, Q343}), {K343, N343, Q343} &gt; 0)), """"))*R343)+IFERROR(MIN(FILTER({K343, N343, Q343}, ISNUMBER({K343, N343, Q343}), {K343, N343, Q343} &gt; 0)), """")"),734.8)</f>
        <v>734.8</v>
      </c>
      <c r="T343" s="53">
        <f>IFERROR(__xludf.DUMMYFUNCTION("(S343-(IFERROR(MIN(FILTER({K343, N343, Q343}, ISNUMBER({K343, N343, Q343}), {K343, N343, Q343} &gt; 0)), """")))/S343"),0.4011976047904191)</f>
        <v>0.4011976048</v>
      </c>
    </row>
    <row r="344" ht="22.5" customHeight="1">
      <c r="A344" s="37" t="s">
        <v>1036</v>
      </c>
      <c r="B344" s="37" t="s">
        <v>1010</v>
      </c>
      <c r="C344" s="37" t="s">
        <v>1037</v>
      </c>
      <c r="D344" s="38" t="s">
        <v>1038</v>
      </c>
      <c r="E344" s="49" t="s">
        <v>55</v>
      </c>
      <c r="F344" s="37"/>
      <c r="G344" s="49" t="s">
        <v>41</v>
      </c>
      <c r="H344" s="51" t="s">
        <v>49</v>
      </c>
      <c r="I344" s="39">
        <v>2000.0</v>
      </c>
      <c r="J344" s="39">
        <v>2000.0</v>
      </c>
      <c r="K344" s="41"/>
      <c r="L344" s="42">
        <v>2000.0</v>
      </c>
      <c r="M344" s="42">
        <v>2000.0</v>
      </c>
      <c r="N344" s="55"/>
      <c r="O344" s="39">
        <v>2000.0</v>
      </c>
      <c r="P344" s="39">
        <v>2000.0</v>
      </c>
      <c r="Q344" s="39">
        <v>720.0</v>
      </c>
      <c r="R344" s="46">
        <v>0.67</v>
      </c>
      <c r="S344" s="50">
        <f>IFERROR(__xludf.DUMMYFUNCTION("((IFERROR(MIN(FILTER({K344, N344, Q344}, ISNUMBER({K344, N344, Q344}), {K344, N344, Q344} &gt; 0)), """"))*R344)+IFERROR(MIN(FILTER({K344, N344, Q344}, ISNUMBER({K344, N344, Q344}), {K344, N344, Q344} &gt; 0)), """")"),1202.4)</f>
        <v>1202.4</v>
      </c>
      <c r="T344" s="53">
        <f>IFERROR(__xludf.DUMMYFUNCTION("(S344-(IFERROR(MIN(FILTER({K344, N344, Q344}, ISNUMBER({K344, N344, Q344}), {K344, N344, Q344} &gt; 0)), """")))/S344"),0.4011976047904192)</f>
        <v>0.4011976048</v>
      </c>
    </row>
    <row r="345" ht="22.5" customHeight="1">
      <c r="A345" s="37" t="s">
        <v>1019</v>
      </c>
      <c r="B345" s="37" t="s">
        <v>1010</v>
      </c>
      <c r="C345" s="37" t="s">
        <v>971</v>
      </c>
      <c r="D345" s="38" t="s">
        <v>1020</v>
      </c>
      <c r="E345" s="49" t="s">
        <v>55</v>
      </c>
      <c r="F345" s="37" t="s">
        <v>108</v>
      </c>
      <c r="G345" s="49" t="s">
        <v>41</v>
      </c>
      <c r="H345" s="51" t="s">
        <v>1012</v>
      </c>
      <c r="I345" s="39">
        <v>1000.0</v>
      </c>
      <c r="J345" s="39">
        <v>1000.0</v>
      </c>
      <c r="K345" s="41"/>
      <c r="L345" s="42">
        <v>1000.0</v>
      </c>
      <c r="M345" s="42">
        <v>1000.0</v>
      </c>
      <c r="N345" s="55"/>
      <c r="O345" s="39">
        <v>1000.0</v>
      </c>
      <c r="P345" s="39">
        <v>1000.0</v>
      </c>
      <c r="Q345" s="39">
        <v>204.0</v>
      </c>
      <c r="R345" s="46">
        <v>0.67</v>
      </c>
      <c r="S345" s="50">
        <f>IFERROR(__xludf.DUMMYFUNCTION("((IFERROR(MIN(FILTER({K345, N345, Q345}, ISNUMBER({K345, N345, Q345}), {K345, N345, Q345} &gt; 0)), """"))*R345)+IFERROR(MIN(FILTER({K345, N345, Q345}, ISNUMBER({K345, N345, Q345}), {K345, N345, Q345} &gt; 0)), """")"),340.68)</f>
        <v>340.68</v>
      </c>
      <c r="T345" s="53">
        <f>IFERROR(__xludf.DUMMYFUNCTION("(S345-(IFERROR(MIN(FILTER({K345, N345, Q345}, ISNUMBER({K345, N345, Q345}), {K345, N345, Q345} &gt; 0)), """")))/S345"),0.40119760479041916)</f>
        <v>0.4011976048</v>
      </c>
    </row>
    <row r="346" ht="22.5" customHeight="1">
      <c r="A346" s="37" t="s">
        <v>1019</v>
      </c>
      <c r="B346" s="37" t="s">
        <v>1010</v>
      </c>
      <c r="C346" s="37" t="s">
        <v>971</v>
      </c>
      <c r="D346" s="38" t="s">
        <v>1020</v>
      </c>
      <c r="E346" s="49" t="s">
        <v>55</v>
      </c>
      <c r="F346" s="37" t="s">
        <v>108</v>
      </c>
      <c r="G346" s="49" t="s">
        <v>41</v>
      </c>
      <c r="H346" s="51" t="s">
        <v>1012</v>
      </c>
      <c r="I346" s="39">
        <v>1500.0</v>
      </c>
      <c r="J346" s="39">
        <v>1500.0</v>
      </c>
      <c r="K346" s="41"/>
      <c r="L346" s="42">
        <v>1500.0</v>
      </c>
      <c r="M346" s="42">
        <v>1500.0</v>
      </c>
      <c r="N346" s="55"/>
      <c r="O346" s="39">
        <v>1500.0</v>
      </c>
      <c r="P346" s="39">
        <v>1500.0</v>
      </c>
      <c r="Q346" s="39">
        <v>175.0</v>
      </c>
      <c r="R346" s="46">
        <v>0.67</v>
      </c>
      <c r="S346" s="50">
        <f>IFERROR(__xludf.DUMMYFUNCTION("((IFERROR(MIN(FILTER({K346, N346, Q346}, ISNUMBER({K346, N346, Q346}), {K346, N346, Q346} &gt; 0)), """"))*R346)+IFERROR(MIN(FILTER({K346, N346, Q346}, ISNUMBER({K346, N346, Q346}), {K346, N346, Q346} &gt; 0)), """")"),292.25)</f>
        <v>292.25</v>
      </c>
      <c r="T346" s="53">
        <f>IFERROR(__xludf.DUMMYFUNCTION("(S346-(IFERROR(MIN(FILTER({K346, N346, Q346}, ISNUMBER({K346, N346, Q346}), {K346, N346, Q346} &gt; 0)), """")))/S346"),0.40119760479041916)</f>
        <v>0.4011976048</v>
      </c>
    </row>
    <row r="347" ht="22.5" customHeight="1">
      <c r="A347" s="37" t="s">
        <v>1019</v>
      </c>
      <c r="B347" s="37" t="s">
        <v>1010</v>
      </c>
      <c r="C347" s="37" t="s">
        <v>971</v>
      </c>
      <c r="D347" s="38" t="s">
        <v>1020</v>
      </c>
      <c r="E347" s="49" t="s">
        <v>55</v>
      </c>
      <c r="F347" s="37" t="s">
        <v>108</v>
      </c>
      <c r="G347" s="49" t="s">
        <v>41</v>
      </c>
      <c r="H347" s="51" t="s">
        <v>1012</v>
      </c>
      <c r="I347" s="39">
        <v>2500.0</v>
      </c>
      <c r="J347" s="39">
        <v>2500.0</v>
      </c>
      <c r="K347" s="41"/>
      <c r="L347" s="42">
        <v>2500.0</v>
      </c>
      <c r="M347" s="42">
        <v>2500.0</v>
      </c>
      <c r="N347" s="55"/>
      <c r="O347" s="39">
        <v>2500.0</v>
      </c>
      <c r="P347" s="39">
        <v>2500.0</v>
      </c>
      <c r="Q347" s="39">
        <v>150.0</v>
      </c>
      <c r="R347" s="46">
        <v>0.67</v>
      </c>
      <c r="S347" s="50">
        <f>IFERROR(__xludf.DUMMYFUNCTION("((IFERROR(MIN(FILTER({K347, N347, Q347}, ISNUMBER({K347, N347, Q347}), {K347, N347, Q347} &gt; 0)), """"))*R347)+IFERROR(MIN(FILTER({K347, N347, Q347}, ISNUMBER({K347, N347, Q347}), {K347, N347, Q347} &gt; 0)), """")"),250.5)</f>
        <v>250.5</v>
      </c>
      <c r="T347" s="53">
        <f>IFERROR(__xludf.DUMMYFUNCTION("(S347-(IFERROR(MIN(FILTER({K347, N347, Q347}, ISNUMBER({K347, N347, Q347}), {K347, N347, Q347} &gt; 0)), """")))/S347"),0.40119760479041916)</f>
        <v>0.4011976048</v>
      </c>
    </row>
    <row r="348" ht="22.5" customHeight="1">
      <c r="A348" s="37" t="s">
        <v>1019</v>
      </c>
      <c r="B348" s="37" t="s">
        <v>1010</v>
      </c>
      <c r="C348" s="37" t="s">
        <v>971</v>
      </c>
      <c r="D348" s="38" t="s">
        <v>1020</v>
      </c>
      <c r="E348" s="49" t="s">
        <v>55</v>
      </c>
      <c r="F348" s="37" t="s">
        <v>108</v>
      </c>
      <c r="G348" s="49" t="s">
        <v>41</v>
      </c>
      <c r="H348" s="51" t="s">
        <v>1012</v>
      </c>
      <c r="I348" s="39">
        <v>3000.0</v>
      </c>
      <c r="J348" s="39">
        <v>3000.0</v>
      </c>
      <c r="K348" s="41"/>
      <c r="L348" s="42">
        <v>3000.0</v>
      </c>
      <c r="M348" s="42">
        <v>3000.0</v>
      </c>
      <c r="N348" s="55"/>
      <c r="O348" s="39">
        <v>3000.0</v>
      </c>
      <c r="P348" s="39">
        <v>3000.0</v>
      </c>
      <c r="Q348" s="39">
        <v>145.0</v>
      </c>
      <c r="R348" s="46">
        <v>0.67</v>
      </c>
      <c r="S348" s="50">
        <f>IFERROR(__xludf.DUMMYFUNCTION("((IFERROR(MIN(FILTER({K348, N348, Q348}, ISNUMBER({K348, N348, Q348}), {K348, N348, Q348} &gt; 0)), """"))*R348)+IFERROR(MIN(FILTER({K348, N348, Q348}, ISNUMBER({K348, N348, Q348}), {K348, N348, Q348} &gt; 0)), """")"),242.15)</f>
        <v>242.15</v>
      </c>
      <c r="T348" s="53">
        <f>IFERROR(__xludf.DUMMYFUNCTION("(S348-(IFERROR(MIN(FILTER({K348, N348, Q348}, ISNUMBER({K348, N348, Q348}), {K348, N348, Q348} &gt; 0)), """")))/S348"),0.40119760479041916)</f>
        <v>0.4011976048</v>
      </c>
    </row>
    <row r="349" ht="22.5" customHeight="1">
      <c r="A349" s="37" t="s">
        <v>1019</v>
      </c>
      <c r="B349" s="37" t="s">
        <v>1010</v>
      </c>
      <c r="C349" s="37" t="s">
        <v>971</v>
      </c>
      <c r="D349" s="38" t="s">
        <v>1020</v>
      </c>
      <c r="E349" s="49" t="s">
        <v>55</v>
      </c>
      <c r="F349" s="37" t="s">
        <v>108</v>
      </c>
      <c r="G349" s="49" t="s">
        <v>41</v>
      </c>
      <c r="H349" s="51" t="s">
        <v>1012</v>
      </c>
      <c r="I349" s="39">
        <v>1000.0</v>
      </c>
      <c r="J349" s="39">
        <v>1000.0</v>
      </c>
      <c r="K349" s="41"/>
      <c r="L349" s="42">
        <v>1000.0</v>
      </c>
      <c r="M349" s="42">
        <v>1000.0</v>
      </c>
      <c r="N349" s="55"/>
      <c r="O349" s="39">
        <v>1000.0</v>
      </c>
      <c r="P349" s="39">
        <v>1000.0</v>
      </c>
      <c r="Q349" s="39">
        <v>130.0</v>
      </c>
      <c r="R349" s="46">
        <v>0.67</v>
      </c>
      <c r="S349" s="50">
        <f>IFERROR(__xludf.DUMMYFUNCTION("((IFERROR(MIN(FILTER({K349, N349, Q349}, ISNUMBER({K349, N349, Q349}), {K349, N349, Q349} &gt; 0)), """"))*R349)+IFERROR(MIN(FILTER({K349, N349, Q349}, ISNUMBER({K349, N349, Q349}), {K349, N349, Q349} &gt; 0)), """")"),217.10000000000002)</f>
        <v>217.1</v>
      </c>
      <c r="T349" s="53">
        <f>IFERROR(__xludf.DUMMYFUNCTION("(S349-(IFERROR(MIN(FILTER({K349, N349, Q349}, ISNUMBER({K349, N349, Q349}), {K349, N349, Q349} &gt; 0)), """")))/S349"),0.4011976047904192)</f>
        <v>0.4011976048</v>
      </c>
    </row>
    <row r="350" ht="22.5" customHeight="1">
      <c r="A350" s="37" t="s">
        <v>996</v>
      </c>
      <c r="B350" s="37" t="s">
        <v>977</v>
      </c>
      <c r="C350" s="37" t="s">
        <v>234</v>
      </c>
      <c r="D350" s="38" t="s">
        <v>1052</v>
      </c>
      <c r="E350" s="49" t="s">
        <v>55</v>
      </c>
      <c r="F350" s="37" t="s">
        <v>999</v>
      </c>
      <c r="G350" s="49" t="s">
        <v>41</v>
      </c>
      <c r="H350" s="51" t="s">
        <v>1012</v>
      </c>
      <c r="I350" s="39">
        <v>2000.0</v>
      </c>
      <c r="J350" s="39">
        <v>2000.0</v>
      </c>
      <c r="K350" s="41"/>
      <c r="L350" s="42">
        <v>2000.0</v>
      </c>
      <c r="M350" s="42">
        <v>2000.0</v>
      </c>
      <c r="N350" s="55"/>
      <c r="O350" s="39">
        <v>2000.0</v>
      </c>
      <c r="P350" s="39">
        <v>2000.0</v>
      </c>
      <c r="Q350" s="39">
        <v>440.0</v>
      </c>
      <c r="R350" s="46">
        <v>0.67</v>
      </c>
      <c r="S350" s="50">
        <f>IFERROR(__xludf.DUMMYFUNCTION("((IFERROR(MIN(FILTER({K350, N350, Q350}, ISNUMBER({K350, N350, Q350}), {K350, N350, Q350} &gt; 0)), """"))*R350)+IFERROR(MIN(FILTER({K350, N350, Q350}, ISNUMBER({K350, N350, Q350}), {K350, N350, Q350} &gt; 0)), """")"),734.8)</f>
        <v>734.8</v>
      </c>
      <c r="T350" s="53">
        <f>IFERROR(__xludf.DUMMYFUNCTION("(S350-(IFERROR(MIN(FILTER({K350, N350, Q350}, ISNUMBER({K350, N350, Q350}), {K350, N350, Q350} &gt; 0)), """")))/S350"),0.4011976047904191)</f>
        <v>0.4011976048</v>
      </c>
    </row>
    <row r="351" ht="22.5" customHeight="1">
      <c r="A351" s="37" t="s">
        <v>1055</v>
      </c>
      <c r="B351" s="37" t="s">
        <v>977</v>
      </c>
      <c r="C351" s="37" t="s">
        <v>234</v>
      </c>
      <c r="D351" s="38" t="s">
        <v>1056</v>
      </c>
      <c r="E351" s="49" t="s">
        <v>55</v>
      </c>
      <c r="F351" s="37" t="s">
        <v>1057</v>
      </c>
      <c r="G351" s="49" t="s">
        <v>41</v>
      </c>
      <c r="H351" s="51" t="s">
        <v>49</v>
      </c>
      <c r="I351" s="39">
        <v>2000.0</v>
      </c>
      <c r="J351" s="39">
        <v>2000.0</v>
      </c>
      <c r="K351" s="41"/>
      <c r="L351" s="42">
        <v>2000.0</v>
      </c>
      <c r="M351" s="42">
        <v>2000.0</v>
      </c>
      <c r="N351" s="55"/>
      <c r="O351" s="39">
        <v>2000.0</v>
      </c>
      <c r="P351" s="39">
        <v>2000.0</v>
      </c>
      <c r="Q351" s="39">
        <v>440.0</v>
      </c>
      <c r="R351" s="46">
        <v>0.67</v>
      </c>
      <c r="S351" s="50">
        <f>IFERROR(__xludf.DUMMYFUNCTION("((IFERROR(MIN(FILTER({K351, N351, Q351}, ISNUMBER({K351, N351, Q351}), {K351, N351, Q351} &gt; 0)), """"))*R351)+IFERROR(MIN(FILTER({K351, N351, Q351}, ISNUMBER({K351, N351, Q351}), {K351, N351, Q351} &gt; 0)), """")"),734.8)</f>
        <v>734.8</v>
      </c>
      <c r="T351" s="53">
        <f>IFERROR(__xludf.DUMMYFUNCTION("(S351-(IFERROR(MIN(FILTER({K351, N351, Q351}, ISNUMBER({K351, N351, Q351}), {K351, N351, Q351} &gt; 0)), """")))/S351"),0.4011976047904191)</f>
        <v>0.4011976048</v>
      </c>
    </row>
    <row r="352" ht="22.5" customHeight="1">
      <c r="A352" s="37" t="s">
        <v>1062</v>
      </c>
      <c r="B352" s="37" t="s">
        <v>50</v>
      </c>
      <c r="C352" s="37" t="s">
        <v>971</v>
      </c>
      <c r="D352" s="38" t="s">
        <v>1063</v>
      </c>
      <c r="E352" s="49" t="s">
        <v>63</v>
      </c>
      <c r="F352" s="37" t="s">
        <v>67</v>
      </c>
      <c r="G352" s="49" t="s">
        <v>41</v>
      </c>
      <c r="H352" s="51" t="s">
        <v>49</v>
      </c>
      <c r="I352" s="39">
        <v>2000.0</v>
      </c>
      <c r="J352" s="39">
        <v>2000.0</v>
      </c>
      <c r="K352" s="41"/>
      <c r="L352" s="42">
        <v>2000.0</v>
      </c>
      <c r="M352" s="42">
        <v>2000.0</v>
      </c>
      <c r="N352" s="55"/>
      <c r="O352" s="39">
        <v>2000.0</v>
      </c>
      <c r="P352" s="39">
        <v>2000.0</v>
      </c>
      <c r="Q352" s="39">
        <v>1080.0</v>
      </c>
      <c r="R352" s="46">
        <v>0.67</v>
      </c>
      <c r="S352" s="50">
        <f>IFERROR(__xludf.DUMMYFUNCTION("((IFERROR(MIN(FILTER({K352, N352, Q352}, ISNUMBER({K352, N352, Q352}), {K352, N352, Q352} &gt; 0)), """"))*R352)+IFERROR(MIN(FILTER({K352, N352, Q352}, ISNUMBER({K352, N352, Q352}), {K352, N352, Q352} &gt; 0)), """")"),1803.6)</f>
        <v>1803.6</v>
      </c>
      <c r="T352" s="53">
        <f>IFERROR(__xludf.DUMMYFUNCTION("(S352-(IFERROR(MIN(FILTER({K352, N352, Q352}, ISNUMBER({K352, N352, Q352}), {K352, N352, Q352} &gt; 0)), """")))/S352"),0.4011976047904191)</f>
        <v>0.4011976048</v>
      </c>
    </row>
    <row r="353" ht="22.5" customHeight="1">
      <c r="A353" s="37" t="s">
        <v>1069</v>
      </c>
      <c r="B353" s="37" t="s">
        <v>50</v>
      </c>
      <c r="C353" s="37" t="s">
        <v>234</v>
      </c>
      <c r="D353" s="38" t="s">
        <v>1070</v>
      </c>
      <c r="E353" s="49" t="s">
        <v>36</v>
      </c>
      <c r="F353" s="37" t="s">
        <v>1071</v>
      </c>
      <c r="G353" s="49" t="s">
        <v>41</v>
      </c>
      <c r="H353" s="51" t="s">
        <v>49</v>
      </c>
      <c r="I353" s="39">
        <v>2000.0</v>
      </c>
      <c r="J353" s="39">
        <v>2000.0</v>
      </c>
      <c r="K353" s="41"/>
      <c r="L353" s="42">
        <v>2000.0</v>
      </c>
      <c r="M353" s="42">
        <v>2000.0</v>
      </c>
      <c r="N353" s="55"/>
      <c r="O353" s="39">
        <v>2000.0</v>
      </c>
      <c r="P353" s="39">
        <v>2000.0</v>
      </c>
      <c r="Q353" s="39">
        <v>1080.0</v>
      </c>
      <c r="R353" s="46">
        <v>0.67</v>
      </c>
      <c r="S353" s="50">
        <f>IFERROR(__xludf.DUMMYFUNCTION("((IFERROR(MIN(FILTER({K353, N353, Q353}, ISNUMBER({K353, N353, Q353}), {K353, N353, Q353} &gt; 0)), """"))*R353)+IFERROR(MIN(FILTER({K353, N353, Q353}, ISNUMBER({K353, N353, Q353}), {K353, N353, Q353} &gt; 0)), """")"),1803.6)</f>
        <v>1803.6</v>
      </c>
      <c r="T353" s="53">
        <f>IFERROR(__xludf.DUMMYFUNCTION("(S353-(IFERROR(MIN(FILTER({K353, N353, Q353}, ISNUMBER({K353, N353, Q353}), {K353, N353, Q353} &gt; 0)), """")))/S353"),0.4011976047904191)</f>
        <v>0.4011976048</v>
      </c>
    </row>
    <row r="354" ht="22.5" customHeight="1">
      <c r="A354" s="37" t="s">
        <v>1069</v>
      </c>
      <c r="B354" s="37" t="s">
        <v>50</v>
      </c>
      <c r="C354" s="37" t="s">
        <v>234</v>
      </c>
      <c r="D354" s="38" t="s">
        <v>1070</v>
      </c>
      <c r="E354" s="49" t="s">
        <v>36</v>
      </c>
      <c r="F354" s="37" t="s">
        <v>1071</v>
      </c>
      <c r="G354" s="49" t="s">
        <v>41</v>
      </c>
      <c r="H354" s="51" t="s">
        <v>49</v>
      </c>
      <c r="I354" s="39">
        <v>5000.0</v>
      </c>
      <c r="J354" s="39">
        <v>5000.0</v>
      </c>
      <c r="K354" s="41"/>
      <c r="L354" s="42">
        <v>5000.0</v>
      </c>
      <c r="M354" s="42">
        <v>5000.0</v>
      </c>
      <c r="N354" s="55"/>
      <c r="O354" s="39">
        <v>5000.0</v>
      </c>
      <c r="P354" s="39">
        <v>5000.0</v>
      </c>
      <c r="Q354" s="39">
        <v>960.0</v>
      </c>
      <c r="R354" s="46">
        <v>0.67</v>
      </c>
      <c r="S354" s="50">
        <f>IFERROR(__xludf.DUMMYFUNCTION("((IFERROR(MIN(FILTER({K354, N354, Q354}, ISNUMBER({K354, N354, Q354}), {K354, N354, Q354} &gt; 0)), """"))*R354)+IFERROR(MIN(FILTER({K354, N354, Q354}, ISNUMBER({K354, N354, Q354}), {K354, N354, Q354} &gt; 0)), """")"),1603.2)</f>
        <v>1603.2</v>
      </c>
      <c r="T354" s="53">
        <f>IFERROR(__xludf.DUMMYFUNCTION("(S354-(IFERROR(MIN(FILTER({K354, N354, Q354}, ISNUMBER({K354, N354, Q354}), {K354, N354, Q354} &gt; 0)), """")))/S354"),0.40119760479041916)</f>
        <v>0.4011976048</v>
      </c>
    </row>
    <row r="355" ht="22.5" customHeight="1">
      <c r="A355" s="37" t="s">
        <v>1075</v>
      </c>
      <c r="B355" s="37" t="s">
        <v>1076</v>
      </c>
      <c r="C355" s="37" t="s">
        <v>234</v>
      </c>
      <c r="D355" s="38" t="s">
        <v>1077</v>
      </c>
      <c r="E355" s="49" t="s">
        <v>55</v>
      </c>
      <c r="F355" s="37" t="s">
        <v>58</v>
      </c>
      <c r="G355" s="49" t="s">
        <v>41</v>
      </c>
      <c r="H355" s="51" t="s">
        <v>49</v>
      </c>
      <c r="I355" s="39">
        <v>2000.0</v>
      </c>
      <c r="J355" s="39">
        <v>2000.0</v>
      </c>
      <c r="K355" s="41"/>
      <c r="L355" s="42">
        <v>2000.0</v>
      </c>
      <c r="M355" s="42">
        <v>2000.0</v>
      </c>
      <c r="N355" s="55"/>
      <c r="O355" s="39">
        <v>2000.0</v>
      </c>
      <c r="P355" s="39">
        <v>2000.0</v>
      </c>
      <c r="Q355" s="39">
        <v>550.0</v>
      </c>
      <c r="R355" s="46">
        <v>0.67</v>
      </c>
      <c r="S355" s="50">
        <f>IFERROR(__xludf.DUMMYFUNCTION("((IFERROR(MIN(FILTER({K355, N355, Q355}, ISNUMBER({K355, N355, Q355}), {K355, N355, Q355} &gt; 0)), """"))*R355)+IFERROR(MIN(FILTER({K355, N355, Q355}, ISNUMBER({K355, N355, Q355}), {K355, N355, Q355} &gt; 0)), """")"),918.5)</f>
        <v>918.5</v>
      </c>
      <c r="T355" s="53">
        <f>IFERROR(__xludf.DUMMYFUNCTION("(S355-(IFERROR(MIN(FILTER({K355, N355, Q355}, ISNUMBER({K355, N355, Q355}), {K355, N355, Q355} &gt; 0)), """")))/S355"),0.40119760479041916)</f>
        <v>0.4011976048</v>
      </c>
    </row>
    <row r="356" ht="22.5" customHeight="1">
      <c r="A356" s="37" t="s">
        <v>1075</v>
      </c>
      <c r="B356" s="37" t="s">
        <v>1076</v>
      </c>
      <c r="C356" s="37" t="s">
        <v>251</v>
      </c>
      <c r="D356" s="38" t="s">
        <v>1077</v>
      </c>
      <c r="E356" s="49" t="s">
        <v>55</v>
      </c>
      <c r="F356" s="37" t="s">
        <v>58</v>
      </c>
      <c r="G356" s="49" t="s">
        <v>41</v>
      </c>
      <c r="H356" s="51" t="s">
        <v>49</v>
      </c>
      <c r="I356" s="39">
        <v>2000.0</v>
      </c>
      <c r="J356" s="39">
        <v>2000.0</v>
      </c>
      <c r="K356" s="41"/>
      <c r="L356" s="42">
        <v>2000.0</v>
      </c>
      <c r="M356" s="42">
        <v>2000.0</v>
      </c>
      <c r="N356" s="55"/>
      <c r="O356" s="39">
        <v>2000.0</v>
      </c>
      <c r="P356" s="39">
        <v>2000.0</v>
      </c>
      <c r="Q356" s="39">
        <v>720.0</v>
      </c>
      <c r="R356" s="46">
        <v>0.67</v>
      </c>
      <c r="S356" s="50">
        <f>IFERROR(__xludf.DUMMYFUNCTION("((IFERROR(MIN(FILTER({K356, N356, Q356}, ISNUMBER({K356, N356, Q356}), {K356, N356, Q356} &gt; 0)), """"))*R356)+IFERROR(MIN(FILTER({K356, N356, Q356}, ISNUMBER({K356, N356, Q356}), {K356, N356, Q356} &gt; 0)), """")"),1202.4)</f>
        <v>1202.4</v>
      </c>
      <c r="T356" s="53">
        <f>IFERROR(__xludf.DUMMYFUNCTION("(S356-(IFERROR(MIN(FILTER({K356, N356, Q356}, ISNUMBER({K356, N356, Q356}), {K356, N356, Q356} &gt; 0)), """")))/S356"),0.4011976047904192)</f>
        <v>0.4011976048</v>
      </c>
    </row>
    <row r="357" ht="22.5" customHeight="1">
      <c r="A357" s="37" t="s">
        <v>1081</v>
      </c>
      <c r="B357" s="37" t="s">
        <v>977</v>
      </c>
      <c r="C357" s="37" t="s">
        <v>251</v>
      </c>
      <c r="D357" s="38" t="s">
        <v>1083</v>
      </c>
      <c r="E357" s="49" t="s">
        <v>55</v>
      </c>
      <c r="F357" s="37" t="s">
        <v>74</v>
      </c>
      <c r="G357" s="49" t="s">
        <v>41</v>
      </c>
      <c r="H357" s="51" t="s">
        <v>49</v>
      </c>
      <c r="I357" s="39">
        <v>2000.0</v>
      </c>
      <c r="J357" s="39">
        <v>2000.0</v>
      </c>
      <c r="K357" s="41"/>
      <c r="L357" s="42">
        <v>2000.0</v>
      </c>
      <c r="M357" s="42">
        <v>2000.0</v>
      </c>
      <c r="N357" s="55"/>
      <c r="O357" s="39">
        <v>2000.0</v>
      </c>
      <c r="P357" s="39">
        <v>2000.0</v>
      </c>
      <c r="Q357" s="39">
        <v>840.0</v>
      </c>
      <c r="R357" s="46">
        <v>0.67</v>
      </c>
      <c r="S357" s="50">
        <f>IFERROR(__xludf.DUMMYFUNCTION("((IFERROR(MIN(FILTER({K357, N357, Q357}, ISNUMBER({K357, N357, Q357}), {K357, N357, Q357} &gt; 0)), """"))*R357)+IFERROR(MIN(FILTER({K357, N357, Q357}, ISNUMBER({K357, N357, Q357}), {K357, N357, Q357} &gt; 0)), """")"),1402.8000000000002)</f>
        <v>1402.8</v>
      </c>
      <c r="T357" s="53">
        <f>IFERROR(__xludf.DUMMYFUNCTION("(S357-(IFERROR(MIN(FILTER({K357, N357, Q357}, ISNUMBER({K357, N357, Q357}), {K357, N357, Q357} &gt; 0)), """")))/S357"),0.4011976047904192)</f>
        <v>0.4011976048</v>
      </c>
    </row>
    <row r="358" ht="22.5" customHeight="1">
      <c r="A358" s="37" t="s">
        <v>1081</v>
      </c>
      <c r="B358" s="37" t="s">
        <v>977</v>
      </c>
      <c r="C358" s="37" t="s">
        <v>234</v>
      </c>
      <c r="D358" s="38" t="s">
        <v>1083</v>
      </c>
      <c r="E358" s="49" t="s">
        <v>55</v>
      </c>
      <c r="F358" s="37" t="s">
        <v>74</v>
      </c>
      <c r="G358" s="49" t="s">
        <v>41</v>
      </c>
      <c r="H358" s="51" t="s">
        <v>49</v>
      </c>
      <c r="I358" s="39">
        <v>2000.0</v>
      </c>
      <c r="J358" s="39">
        <v>2000.0</v>
      </c>
      <c r="K358" s="41"/>
      <c r="L358" s="42">
        <v>2000.0</v>
      </c>
      <c r="M358" s="42">
        <v>2000.0</v>
      </c>
      <c r="N358" s="55"/>
      <c r="O358" s="39">
        <v>2000.0</v>
      </c>
      <c r="P358" s="39">
        <v>2000.0</v>
      </c>
      <c r="Q358" s="39">
        <v>720.0</v>
      </c>
      <c r="R358" s="46">
        <v>0.67</v>
      </c>
      <c r="S358" s="50">
        <f>IFERROR(__xludf.DUMMYFUNCTION("((IFERROR(MIN(FILTER({K358, N358, Q358}, ISNUMBER({K358, N358, Q358}), {K358, N358, Q358} &gt; 0)), """"))*R358)+IFERROR(MIN(FILTER({K358, N358, Q358}, ISNUMBER({K358, N358, Q358}), {K358, N358, Q358} &gt; 0)), """")"),1202.4)</f>
        <v>1202.4</v>
      </c>
      <c r="T358" s="53">
        <f>IFERROR(__xludf.DUMMYFUNCTION("(S358-(IFERROR(MIN(FILTER({K358, N358, Q358}, ISNUMBER({K358, N358, Q358}), {K358, N358, Q358} &gt; 0)), """")))/S358"),0.4011976047904192)</f>
        <v>0.4011976048</v>
      </c>
    </row>
    <row r="359" ht="22.5" customHeight="1">
      <c r="A359" s="37" t="s">
        <v>1094</v>
      </c>
      <c r="B359" s="37" t="s">
        <v>1095</v>
      </c>
      <c r="C359" s="37" t="s">
        <v>234</v>
      </c>
      <c r="D359" s="38" t="s">
        <v>1096</v>
      </c>
      <c r="E359" s="49" t="s">
        <v>55</v>
      </c>
      <c r="F359" s="37" t="s">
        <v>58</v>
      </c>
      <c r="G359" s="49" t="s">
        <v>41</v>
      </c>
      <c r="H359" s="51" t="s">
        <v>49</v>
      </c>
      <c r="I359" s="39">
        <v>4000.0</v>
      </c>
      <c r="J359" s="39">
        <v>4000.0</v>
      </c>
      <c r="K359" s="41"/>
      <c r="L359" s="42">
        <v>4000.0</v>
      </c>
      <c r="M359" s="42">
        <v>4000.0</v>
      </c>
      <c r="N359" s="55"/>
      <c r="O359" s="39">
        <v>4000.0</v>
      </c>
      <c r="P359" s="39">
        <v>4000.0</v>
      </c>
      <c r="Q359" s="39">
        <v>400.0</v>
      </c>
      <c r="R359" s="46">
        <v>0.67</v>
      </c>
      <c r="S359" s="50">
        <f>IFERROR(__xludf.DUMMYFUNCTION("((IFERROR(MIN(FILTER({K359, N359, Q359}, ISNUMBER({K359, N359, Q359}), {K359, N359, Q359} &gt; 0)), """"))*R359)+IFERROR(MIN(FILTER({K359, N359, Q359}, ISNUMBER({K359, N359, Q359}), {K359, N359, Q359} &gt; 0)), """")"),668.0)</f>
        <v>668</v>
      </c>
      <c r="T359" s="53">
        <f>IFERROR(__xludf.DUMMYFUNCTION("(S359-(IFERROR(MIN(FILTER({K359, N359, Q359}, ISNUMBER({K359, N359, Q359}), {K359, N359, Q359} &gt; 0)), """")))/S359"),0.40119760479041916)</f>
        <v>0.4011976048</v>
      </c>
    </row>
    <row r="360" ht="22.5" customHeight="1">
      <c r="A360" s="37" t="s">
        <v>1094</v>
      </c>
      <c r="B360" s="37" t="s">
        <v>1095</v>
      </c>
      <c r="C360" s="37" t="s">
        <v>234</v>
      </c>
      <c r="D360" s="38" t="s">
        <v>1096</v>
      </c>
      <c r="E360" s="49" t="s">
        <v>55</v>
      </c>
      <c r="F360" s="37" t="s">
        <v>58</v>
      </c>
      <c r="G360" s="49" t="s">
        <v>41</v>
      </c>
      <c r="H360" s="51" t="s">
        <v>49</v>
      </c>
      <c r="I360" s="39">
        <v>6000.0</v>
      </c>
      <c r="J360" s="39">
        <v>6000.0</v>
      </c>
      <c r="K360" s="41"/>
      <c r="L360" s="42">
        <v>6000.0</v>
      </c>
      <c r="M360" s="42">
        <v>6000.0</v>
      </c>
      <c r="N360" s="55"/>
      <c r="O360" s="39">
        <v>6000.0</v>
      </c>
      <c r="P360" s="39">
        <v>6000.0</v>
      </c>
      <c r="Q360" s="39">
        <v>350.0</v>
      </c>
      <c r="R360" s="46">
        <v>0.67</v>
      </c>
      <c r="S360" s="50">
        <f>IFERROR(__xludf.DUMMYFUNCTION("((IFERROR(MIN(FILTER({K360, N360, Q360}, ISNUMBER({K360, N360, Q360}), {K360, N360, Q360} &gt; 0)), """"))*R360)+IFERROR(MIN(FILTER({K360, N360, Q360}, ISNUMBER({K360, N360, Q360}), {K360, N360, Q360} &gt; 0)), """")"),584.5)</f>
        <v>584.5</v>
      </c>
      <c r="T360" s="53">
        <f>IFERROR(__xludf.DUMMYFUNCTION("(S360-(IFERROR(MIN(FILTER({K360, N360, Q360}, ISNUMBER({K360, N360, Q360}), {K360, N360, Q360} &gt; 0)), """")))/S360"),0.40119760479041916)</f>
        <v>0.4011976048</v>
      </c>
    </row>
    <row r="361" ht="22.5" customHeight="1">
      <c r="A361" s="37" t="s">
        <v>1094</v>
      </c>
      <c r="B361" s="37" t="s">
        <v>1098</v>
      </c>
      <c r="C361" s="37" t="s">
        <v>234</v>
      </c>
      <c r="D361" s="38" t="s">
        <v>1099</v>
      </c>
      <c r="E361" s="49" t="s">
        <v>55</v>
      </c>
      <c r="F361" s="37" t="s">
        <v>58</v>
      </c>
      <c r="G361" s="49" t="s">
        <v>41</v>
      </c>
      <c r="H361" s="51" t="s">
        <v>49</v>
      </c>
      <c r="I361" s="39">
        <v>4000.0</v>
      </c>
      <c r="J361" s="39">
        <v>4000.0</v>
      </c>
      <c r="K361" s="41"/>
      <c r="L361" s="42">
        <v>4000.0</v>
      </c>
      <c r="M361" s="42">
        <v>4000.0</v>
      </c>
      <c r="N361" s="55"/>
      <c r="O361" s="39">
        <v>4000.0</v>
      </c>
      <c r="P361" s="39">
        <v>4000.0</v>
      </c>
      <c r="Q361" s="39">
        <v>500.0</v>
      </c>
      <c r="R361" s="46">
        <v>0.67</v>
      </c>
      <c r="S361" s="50">
        <f>IFERROR(__xludf.DUMMYFUNCTION("((IFERROR(MIN(FILTER({K361, N361, Q361}, ISNUMBER({K361, N361, Q361}), {K361, N361, Q361} &gt; 0)), """"))*R361)+IFERROR(MIN(FILTER({K361, N361, Q361}, ISNUMBER({K361, N361, Q361}), {K361, N361, Q361} &gt; 0)), """")"),835.0)</f>
        <v>835</v>
      </c>
      <c r="T361" s="53">
        <f>IFERROR(__xludf.DUMMYFUNCTION("(S361-(IFERROR(MIN(FILTER({K361, N361, Q361}, ISNUMBER({K361, N361, Q361}), {K361, N361, Q361} &gt; 0)), """")))/S361"),0.40119760479041916)</f>
        <v>0.4011976048</v>
      </c>
    </row>
    <row r="362" ht="22.5" customHeight="1">
      <c r="A362" s="37" t="s">
        <v>1094</v>
      </c>
      <c r="B362" s="37" t="s">
        <v>1098</v>
      </c>
      <c r="C362" s="37" t="s">
        <v>234</v>
      </c>
      <c r="D362" s="38" t="s">
        <v>1099</v>
      </c>
      <c r="E362" s="49" t="s">
        <v>55</v>
      </c>
      <c r="F362" s="37" t="s">
        <v>58</v>
      </c>
      <c r="G362" s="49" t="s">
        <v>41</v>
      </c>
      <c r="H362" s="51" t="s">
        <v>49</v>
      </c>
      <c r="I362" s="39">
        <v>2000.0</v>
      </c>
      <c r="J362" s="39">
        <v>2000.0</v>
      </c>
      <c r="K362" s="41"/>
      <c r="L362" s="42">
        <v>2000.0</v>
      </c>
      <c r="M362" s="42">
        <v>2000.0</v>
      </c>
      <c r="N362" s="55"/>
      <c r="O362" s="39">
        <v>2000.0</v>
      </c>
      <c r="P362" s="39">
        <v>2000.0</v>
      </c>
      <c r="Q362" s="39">
        <v>440.0</v>
      </c>
      <c r="R362" s="46">
        <v>0.67</v>
      </c>
      <c r="S362" s="50">
        <f>IFERROR(__xludf.DUMMYFUNCTION("((IFERROR(MIN(FILTER({K362, N362, Q362}, ISNUMBER({K362, N362, Q362}), {K362, N362, Q362} &gt; 0)), """"))*R362)+IFERROR(MIN(FILTER({K362, N362, Q362}, ISNUMBER({K362, N362, Q362}), {K362, N362, Q362} &gt; 0)), """")"),734.8)</f>
        <v>734.8</v>
      </c>
      <c r="T362" s="53">
        <f>IFERROR(__xludf.DUMMYFUNCTION("(S362-(IFERROR(MIN(FILTER({K362, N362, Q362}, ISNUMBER({K362, N362, Q362}), {K362, N362, Q362} &gt; 0)), """")))/S362"),0.4011976047904191)</f>
        <v>0.4011976048</v>
      </c>
    </row>
    <row r="363" ht="22.5" customHeight="1">
      <c r="A363" s="37" t="s">
        <v>1103</v>
      </c>
      <c r="B363" s="37" t="s">
        <v>50</v>
      </c>
      <c r="C363" s="37" t="s">
        <v>234</v>
      </c>
      <c r="D363" s="38" t="s">
        <v>1104</v>
      </c>
      <c r="E363" s="49" t="s">
        <v>55</v>
      </c>
      <c r="F363" s="37" t="s">
        <v>108</v>
      </c>
      <c r="G363" s="49" t="s">
        <v>41</v>
      </c>
      <c r="H363" s="51" t="s">
        <v>49</v>
      </c>
      <c r="I363" s="39">
        <v>50000.0</v>
      </c>
      <c r="J363" s="39">
        <v>50000.0</v>
      </c>
      <c r="K363" s="39">
        <v>205.0</v>
      </c>
      <c r="L363" s="42">
        <v>50000.0</v>
      </c>
      <c r="M363" s="42">
        <v>50000.0</v>
      </c>
      <c r="N363" s="55"/>
      <c r="O363" s="39">
        <v>50000.0</v>
      </c>
      <c r="P363" s="39">
        <v>50000.0</v>
      </c>
      <c r="Q363" s="39"/>
      <c r="R363" s="46">
        <v>0.67</v>
      </c>
      <c r="S363" s="50">
        <f>IFERROR(__xludf.DUMMYFUNCTION("((IFERROR(MIN(FILTER({K363, N363, Q363}, ISNUMBER({K363, N363, Q363}), {K363, N363, Q363} &gt; 0)), """"))*R363)+IFERROR(MIN(FILTER({K363, N363, Q363}, ISNUMBER({K363, N363, Q363}), {K363, N363, Q363} &gt; 0)), """")"),342.35)</f>
        <v>342.35</v>
      </c>
      <c r="T363" s="53">
        <f>IFERROR(__xludf.DUMMYFUNCTION("(S363-(IFERROR(MIN(FILTER({K363, N363, Q363}, ISNUMBER({K363, N363, Q363}), {K363, N363, Q363} &gt; 0)), """")))/S363"),0.4011976047904192)</f>
        <v>0.4011976048</v>
      </c>
    </row>
    <row r="364" ht="22.5" customHeight="1">
      <c r="A364" s="37" t="s">
        <v>1110</v>
      </c>
      <c r="B364" s="37" t="s">
        <v>997</v>
      </c>
      <c r="C364" s="37" t="s">
        <v>971</v>
      </c>
      <c r="D364" s="38" t="s">
        <v>1011</v>
      </c>
      <c r="E364" s="49" t="s">
        <v>55</v>
      </c>
      <c r="F364" s="37" t="s">
        <v>585</v>
      </c>
      <c r="G364" s="49" t="s">
        <v>41</v>
      </c>
      <c r="H364" s="51" t="s">
        <v>1012</v>
      </c>
      <c r="I364" s="39">
        <v>2000.0</v>
      </c>
      <c r="J364" s="39">
        <v>2000.0</v>
      </c>
      <c r="K364" s="41"/>
      <c r="L364" s="42">
        <v>2000.0</v>
      </c>
      <c r="M364" s="42">
        <v>2000.0</v>
      </c>
      <c r="N364" s="55"/>
      <c r="O364" s="39">
        <v>2000.0</v>
      </c>
      <c r="P364" s="39">
        <v>2000.0</v>
      </c>
      <c r="Q364" s="39">
        <v>720.0</v>
      </c>
      <c r="R364" s="46">
        <v>0.67</v>
      </c>
      <c r="S364" s="50">
        <f>IFERROR(__xludf.DUMMYFUNCTION("((IFERROR(MIN(FILTER({K364, N364, Q364}, ISNUMBER({K364, N364, Q364}), {K364, N364, Q364} &gt; 0)), """"))*R364)+IFERROR(MIN(FILTER({K364, N364, Q364}, ISNUMBER({K364, N364, Q364}), {K364, N364, Q364} &gt; 0)), """")"),1202.4)</f>
        <v>1202.4</v>
      </c>
      <c r="T364" s="53">
        <f>IFERROR(__xludf.DUMMYFUNCTION("(S364-(IFERROR(MIN(FILTER({K364, N364, Q364}, ISNUMBER({K364, N364, Q364}), {K364, N364, Q364} &gt; 0)), """")))/S364"),0.4011976047904192)</f>
        <v>0.4011976048</v>
      </c>
    </row>
    <row r="365" ht="22.5" customHeight="1">
      <c r="A365" s="37"/>
      <c r="B365" s="37"/>
      <c r="C365" s="37"/>
      <c r="D365" s="38"/>
      <c r="E365" s="49"/>
      <c r="F365" s="37"/>
      <c r="G365" s="112"/>
      <c r="H365" s="34"/>
      <c r="I365" s="41" t="s">
        <v>261</v>
      </c>
      <c r="J365" s="41" t="s">
        <v>261</v>
      </c>
      <c r="K365" s="41"/>
      <c r="L365" s="60"/>
      <c r="M365" s="60"/>
      <c r="N365" s="96"/>
      <c r="O365" s="41"/>
      <c r="P365" s="41"/>
      <c r="Q365" s="41"/>
      <c r="R365" s="46">
        <v>0.67</v>
      </c>
      <c r="S365" s="50">
        <f>IFERROR(__xludf.DUMMYFUNCTION("((IFERROR(MIN(FILTER({K365, N365, Q365}, ISNUMBER({K365, N365, Q365}), {K365, N365, Q365} &gt; 0)), """"))*R365)+IFERROR(MIN(FILTER({K365, N365, Q365}, ISNUMBER({K365, N365, Q365}), {K365, N365, Q365} &gt; 0)), """")"),0.0)</f>
        <v>0</v>
      </c>
      <c r="T365" s="53" t="str">
        <f>IFERROR(__xludf.DUMMYFUNCTION("(S365-(IFERROR(MIN(FILTER({K365, N365, Q365}, ISNUMBER({K365, N365, Q365}), {K365, N365, Q365} &gt; 0)), """")))/S365"),"#DIV/0!")</f>
        <v>#DIV/0!</v>
      </c>
    </row>
    <row r="366" ht="22.5" customHeight="1">
      <c r="A366" s="37"/>
      <c r="B366" s="37"/>
      <c r="C366" s="37"/>
      <c r="D366" s="38"/>
      <c r="E366" s="49"/>
      <c r="F366" s="37"/>
      <c r="G366" s="112"/>
      <c r="H366" s="34"/>
      <c r="I366" s="41" t="s">
        <v>261</v>
      </c>
      <c r="J366" s="41" t="s">
        <v>261</v>
      </c>
      <c r="K366" s="41"/>
      <c r="L366" s="60"/>
      <c r="M366" s="60"/>
      <c r="N366" s="96"/>
      <c r="O366" s="41"/>
      <c r="P366" s="41"/>
      <c r="Q366" s="41"/>
      <c r="R366" s="46">
        <v>0.67</v>
      </c>
      <c r="S366" s="50">
        <f>IFERROR(__xludf.DUMMYFUNCTION("((IFERROR(MIN(FILTER({K366, N366, Q366}, ISNUMBER({K366, N366, Q366}), {K366, N366, Q366} &gt; 0)), """"))*R366)+IFERROR(MIN(FILTER({K366, N366, Q366}, ISNUMBER({K366, N366, Q366}), {K366, N366, Q366} &gt; 0)), """")"),0.0)</f>
        <v>0</v>
      </c>
      <c r="T366" s="53" t="str">
        <f>IFERROR(__xludf.DUMMYFUNCTION("(S366-(IFERROR(MIN(FILTER({K366, N366, Q366}, ISNUMBER({K366, N366, Q366}), {K366, N366, Q366} &gt; 0)), """")))/S366"),"#DIV/0!")</f>
        <v>#DIV/0!</v>
      </c>
    </row>
    <row r="367" ht="22.5" customHeight="1">
      <c r="A367" s="37"/>
      <c r="B367" s="37"/>
      <c r="C367" s="37"/>
      <c r="D367" s="38"/>
      <c r="E367" s="49"/>
      <c r="F367" s="37"/>
      <c r="G367" s="112"/>
      <c r="H367" s="34"/>
      <c r="I367" s="41" t="s">
        <v>261</v>
      </c>
      <c r="J367" s="41" t="s">
        <v>261</v>
      </c>
      <c r="K367" s="41"/>
      <c r="L367" s="60"/>
      <c r="M367" s="60"/>
      <c r="N367" s="96"/>
      <c r="O367" s="41"/>
      <c r="P367" s="41"/>
      <c r="Q367" s="41"/>
      <c r="R367" s="46">
        <v>0.67</v>
      </c>
      <c r="S367" s="50">
        <f>IFERROR(__xludf.DUMMYFUNCTION("((IFERROR(MIN(FILTER({K367, N367, Q367}, ISNUMBER({K367, N367, Q367}), {K367, N367, Q367} &gt; 0)), """"))*R367)+IFERROR(MIN(FILTER({K367, N367, Q367}, ISNUMBER({K367, N367, Q367}), {K367, N367, Q367} &gt; 0)), """")"),0.0)</f>
        <v>0</v>
      </c>
      <c r="T367" s="53" t="str">
        <f>IFERROR(__xludf.DUMMYFUNCTION("(S367-(IFERROR(MIN(FILTER({K367, N367, Q367}, ISNUMBER({K367, N367, Q367}), {K367, N367, Q367} &gt; 0)), """")))/S367"),"#DIV/0!")</f>
        <v>#DIV/0!</v>
      </c>
    </row>
    <row r="368" ht="22.5" customHeight="1">
      <c r="A368" s="37"/>
      <c r="B368" s="37"/>
      <c r="C368" s="37"/>
      <c r="D368" s="38"/>
      <c r="E368" s="49"/>
      <c r="F368" s="37"/>
      <c r="G368" s="112"/>
      <c r="H368" s="34"/>
      <c r="I368" s="41" t="s">
        <v>261</v>
      </c>
      <c r="J368" s="41" t="s">
        <v>261</v>
      </c>
      <c r="K368" s="39"/>
      <c r="L368" s="42"/>
      <c r="M368" s="42"/>
      <c r="N368" s="55"/>
      <c r="O368" s="39"/>
      <c r="P368" s="39"/>
      <c r="Q368" s="39"/>
      <c r="R368" s="46">
        <v>0.67</v>
      </c>
      <c r="S368" s="50">
        <f>IFERROR(__xludf.DUMMYFUNCTION("((IFERROR(MIN(FILTER({K368, N368, Q368}, ISNUMBER({K368, N368, Q368}), {K368, N368, Q368} &gt; 0)), """"))*R368)+IFERROR(MIN(FILTER({K368, N368, Q368}, ISNUMBER({K368, N368, Q368}), {K368, N368, Q368} &gt; 0)), """")"),0.0)</f>
        <v>0</v>
      </c>
      <c r="T368" s="53" t="str">
        <f>IFERROR(__xludf.DUMMYFUNCTION("(S368-(IFERROR(MIN(FILTER({K368, N368, Q368}, ISNUMBER({K368, N368, Q368}), {K368, N368, Q368} &gt; 0)), """")))/S368"),"#DIV/0!")</f>
        <v>#DIV/0!</v>
      </c>
    </row>
    <row r="369" ht="22.5" customHeight="1">
      <c r="A369" s="37"/>
      <c r="B369" s="37"/>
      <c r="C369" s="37"/>
      <c r="D369" s="38"/>
      <c r="E369" s="49"/>
      <c r="F369" s="37"/>
      <c r="G369" s="112"/>
      <c r="H369" s="34"/>
      <c r="I369" s="41" t="s">
        <v>261</v>
      </c>
      <c r="J369" s="41" t="s">
        <v>261</v>
      </c>
      <c r="K369" s="39"/>
      <c r="L369" s="42"/>
      <c r="M369" s="42"/>
      <c r="N369" s="55"/>
      <c r="O369" s="39"/>
      <c r="P369" s="39"/>
      <c r="Q369" s="39"/>
      <c r="R369" s="46">
        <v>0.67</v>
      </c>
      <c r="S369" s="50">
        <f>IFERROR(__xludf.DUMMYFUNCTION("((IFERROR(MIN(FILTER({K369, N369, Q369}, ISNUMBER({K369, N369, Q369}), {K369, N369, Q369} &gt; 0)), """"))*R369)+IFERROR(MIN(FILTER({K369, N369, Q369}, ISNUMBER({K369, N369, Q369}), {K369, N369, Q369} &gt; 0)), """")"),0.0)</f>
        <v>0</v>
      </c>
      <c r="T369" s="53" t="str">
        <f>IFERROR(__xludf.DUMMYFUNCTION("(S369-(IFERROR(MIN(FILTER({K369, N369, Q369}, ISNUMBER({K369, N369, Q369}), {K369, N369, Q369} &gt; 0)), """")))/S369"),"#DIV/0!")</f>
        <v>#DIV/0!</v>
      </c>
    </row>
    <row r="370">
      <c r="A370" s="113"/>
      <c r="B370" s="113"/>
      <c r="C370" s="113"/>
      <c r="D370" s="114"/>
      <c r="E370" s="113"/>
      <c r="F370" s="113"/>
      <c r="G370" s="115"/>
      <c r="H370" s="116"/>
      <c r="I370" s="117" t="s">
        <v>261</v>
      </c>
      <c r="J370" s="117" t="s">
        <v>261</v>
      </c>
      <c r="K370" s="118"/>
      <c r="L370" s="119"/>
      <c r="M370" s="119"/>
      <c r="N370" s="120"/>
      <c r="O370" s="118"/>
      <c r="P370" s="118"/>
      <c r="Q370" s="118"/>
      <c r="R370" s="121">
        <v>0.67</v>
      </c>
      <c r="S370" s="122">
        <f>IFERROR(__xludf.DUMMYFUNCTION("((IFERROR(MIN(FILTER({K370, N370, Q370}, ISNUMBER({K370, N370, Q370}), {K370, N370, Q370} &gt; 0)), """"))*R370)+IFERROR(MIN(FILTER({K370, N370, Q370}, ISNUMBER({K370, N370, Q370}), {K370, N370, Q370} &gt; 0)), """")"),0.0)</f>
        <v>0</v>
      </c>
      <c r="T370" s="123" t="str">
        <f t="shared" ref="T370:T965" si="1">(S370-K370)/S370</f>
        <v>#DIV/0!</v>
      </c>
    </row>
    <row r="371">
      <c r="A371" s="113"/>
      <c r="B371" s="113"/>
      <c r="C371" s="113"/>
      <c r="D371" s="114"/>
      <c r="E371" s="113"/>
      <c r="F371" s="113"/>
      <c r="G371" s="115"/>
      <c r="H371" s="116"/>
      <c r="I371" s="117" t="s">
        <v>261</v>
      </c>
      <c r="J371" s="117" t="s">
        <v>261</v>
      </c>
      <c r="K371" s="118"/>
      <c r="L371" s="119"/>
      <c r="M371" s="119"/>
      <c r="N371" s="120"/>
      <c r="O371" s="118"/>
      <c r="P371" s="118"/>
      <c r="Q371" s="118"/>
      <c r="R371" s="121">
        <v>0.67</v>
      </c>
      <c r="S371" s="122">
        <f>IFERROR(__xludf.DUMMYFUNCTION("((IFERROR(MIN(FILTER({K371, N371, Q371}, ISNUMBER({K371, N371, Q371}), {K371, N371, Q371} &gt; 0)), """"))*R371)+IFERROR(MIN(FILTER({K371, N371, Q371}, ISNUMBER({K371, N371, Q371}), {K371, N371, Q371} &gt; 0)), """")"),0.0)</f>
        <v>0</v>
      </c>
      <c r="T371" s="123" t="str">
        <f t="shared" si="1"/>
        <v>#DIV/0!</v>
      </c>
    </row>
    <row r="372">
      <c r="A372" s="113"/>
      <c r="B372" s="113"/>
      <c r="C372" s="113"/>
      <c r="D372" s="114"/>
      <c r="E372" s="113"/>
      <c r="F372" s="113"/>
      <c r="G372" s="115"/>
      <c r="H372" s="116"/>
      <c r="I372" s="117" t="s">
        <v>261</v>
      </c>
      <c r="J372" s="117" t="s">
        <v>261</v>
      </c>
      <c r="K372" s="118"/>
      <c r="L372" s="119"/>
      <c r="M372" s="119"/>
      <c r="N372" s="120"/>
      <c r="O372" s="118"/>
      <c r="P372" s="118"/>
      <c r="Q372" s="118"/>
      <c r="R372" s="121">
        <v>0.67</v>
      </c>
      <c r="S372" s="122">
        <f>IFERROR(__xludf.DUMMYFUNCTION("((IFERROR(MIN(FILTER({K372, N372, Q372}, ISNUMBER({K372, N372, Q372}), {K372, N372, Q372} &gt; 0)), """"))*R372)+IFERROR(MIN(FILTER({K372, N372, Q372}, ISNUMBER({K372, N372, Q372}), {K372, N372, Q372} &gt; 0)), """")"),0.0)</f>
        <v>0</v>
      </c>
      <c r="T372" s="123" t="str">
        <f t="shared" si="1"/>
        <v>#DIV/0!</v>
      </c>
    </row>
    <row r="373">
      <c r="A373" s="113"/>
      <c r="B373" s="113"/>
      <c r="C373" s="113"/>
      <c r="D373" s="114"/>
      <c r="E373" s="113"/>
      <c r="F373" s="113"/>
      <c r="G373" s="115"/>
      <c r="H373" s="116"/>
      <c r="I373" s="117" t="s">
        <v>261</v>
      </c>
      <c r="J373" s="117" t="s">
        <v>261</v>
      </c>
      <c r="K373" s="118"/>
      <c r="L373" s="119"/>
      <c r="M373" s="119"/>
      <c r="N373" s="120"/>
      <c r="O373" s="118"/>
      <c r="P373" s="118"/>
      <c r="Q373" s="118"/>
      <c r="R373" s="121">
        <v>0.67</v>
      </c>
      <c r="S373" s="122">
        <f>IFERROR(__xludf.DUMMYFUNCTION("((IFERROR(MIN(FILTER({K373, N373, Q373}, ISNUMBER({K373, N373, Q373}), {K373, N373, Q373} &gt; 0)), """"))*R373)+IFERROR(MIN(FILTER({K373, N373, Q373}, ISNUMBER({K373, N373, Q373}), {K373, N373, Q373} &gt; 0)), """")"),0.0)</f>
        <v>0</v>
      </c>
      <c r="T373" s="123" t="str">
        <f t="shared" si="1"/>
        <v>#DIV/0!</v>
      </c>
    </row>
    <row r="374">
      <c r="A374" s="113"/>
      <c r="B374" s="113"/>
      <c r="C374" s="113"/>
      <c r="D374" s="114"/>
      <c r="E374" s="113"/>
      <c r="F374" s="113"/>
      <c r="G374" s="115"/>
      <c r="H374" s="116"/>
      <c r="I374" s="117" t="s">
        <v>261</v>
      </c>
      <c r="J374" s="117" t="s">
        <v>261</v>
      </c>
      <c r="K374" s="118"/>
      <c r="L374" s="119"/>
      <c r="M374" s="119"/>
      <c r="N374" s="120"/>
      <c r="O374" s="118"/>
      <c r="P374" s="118"/>
      <c r="Q374" s="118"/>
      <c r="R374" s="121">
        <v>0.67</v>
      </c>
      <c r="S374" s="122">
        <f>IFERROR(__xludf.DUMMYFUNCTION("((IFERROR(MIN(FILTER({K374, N374, Q374}, ISNUMBER({K374, N374, Q374}), {K374, N374, Q374} &gt; 0)), """"))*R374)+IFERROR(MIN(FILTER({K374, N374, Q374}, ISNUMBER({K374, N374, Q374}), {K374, N374, Q374} &gt; 0)), """")"),0.0)</f>
        <v>0</v>
      </c>
      <c r="T374" s="123" t="str">
        <f t="shared" si="1"/>
        <v>#DIV/0!</v>
      </c>
    </row>
    <row r="375">
      <c r="A375" s="113"/>
      <c r="B375" s="113"/>
      <c r="C375" s="113"/>
      <c r="D375" s="114"/>
      <c r="E375" s="113"/>
      <c r="F375" s="113"/>
      <c r="G375" s="115"/>
      <c r="H375" s="116"/>
      <c r="I375" s="117" t="s">
        <v>261</v>
      </c>
      <c r="J375" s="117" t="s">
        <v>261</v>
      </c>
      <c r="K375" s="118"/>
      <c r="L375" s="119"/>
      <c r="M375" s="119"/>
      <c r="N375" s="120"/>
      <c r="O375" s="118"/>
      <c r="P375" s="118"/>
      <c r="Q375" s="118"/>
      <c r="R375" s="121">
        <v>0.67</v>
      </c>
      <c r="S375" s="122">
        <f>IFERROR(__xludf.DUMMYFUNCTION("((IFERROR(MIN(FILTER({K375, N375, Q375}, ISNUMBER({K375, N375, Q375}), {K375, N375, Q375} &gt; 0)), """"))*R375)+IFERROR(MIN(FILTER({K375, N375, Q375}, ISNUMBER({K375, N375, Q375}), {K375, N375, Q375} &gt; 0)), """")"),0.0)</f>
        <v>0</v>
      </c>
      <c r="T375" s="123" t="str">
        <f t="shared" si="1"/>
        <v>#DIV/0!</v>
      </c>
    </row>
    <row r="376">
      <c r="A376" s="113"/>
      <c r="B376" s="113"/>
      <c r="C376" s="113"/>
      <c r="D376" s="114"/>
      <c r="E376" s="113"/>
      <c r="F376" s="113"/>
      <c r="G376" s="115"/>
      <c r="H376" s="116"/>
      <c r="I376" s="117" t="s">
        <v>261</v>
      </c>
      <c r="J376" s="117" t="s">
        <v>261</v>
      </c>
      <c r="K376" s="118"/>
      <c r="L376" s="119"/>
      <c r="M376" s="119"/>
      <c r="N376" s="120"/>
      <c r="O376" s="118"/>
      <c r="P376" s="118"/>
      <c r="Q376" s="118"/>
      <c r="R376" s="121">
        <v>0.67</v>
      </c>
      <c r="S376" s="122">
        <f>IFERROR(__xludf.DUMMYFUNCTION("((IFERROR(MIN(FILTER({K376, N376, Q376}, ISNUMBER({K376, N376, Q376}), {K376, N376, Q376} &gt; 0)), """"))*R376)+IFERROR(MIN(FILTER({K376, N376, Q376}, ISNUMBER({K376, N376, Q376}), {K376, N376, Q376} &gt; 0)), """")"),0.0)</f>
        <v>0</v>
      </c>
      <c r="T376" s="123" t="str">
        <f t="shared" si="1"/>
        <v>#DIV/0!</v>
      </c>
    </row>
    <row r="377">
      <c r="A377" s="113"/>
      <c r="B377" s="113"/>
      <c r="C377" s="113"/>
      <c r="D377" s="114"/>
      <c r="E377" s="113"/>
      <c r="F377" s="113"/>
      <c r="G377" s="115"/>
      <c r="H377" s="116"/>
      <c r="I377" s="117" t="s">
        <v>261</v>
      </c>
      <c r="J377" s="117" t="s">
        <v>261</v>
      </c>
      <c r="K377" s="118"/>
      <c r="L377" s="119"/>
      <c r="M377" s="119"/>
      <c r="N377" s="120"/>
      <c r="O377" s="118"/>
      <c r="P377" s="118"/>
      <c r="Q377" s="118"/>
      <c r="R377" s="121">
        <v>0.67</v>
      </c>
      <c r="S377" s="122">
        <f>IFERROR(__xludf.DUMMYFUNCTION("((IFERROR(MIN(FILTER({K377, N377, Q377}, ISNUMBER({K377, N377, Q377}), {K377, N377, Q377} &gt; 0)), """"))*R377)+IFERROR(MIN(FILTER({K377, N377, Q377}, ISNUMBER({K377, N377, Q377}), {K377, N377, Q377} &gt; 0)), """")"),0.0)</f>
        <v>0</v>
      </c>
      <c r="T377" s="123" t="str">
        <f t="shared" si="1"/>
        <v>#DIV/0!</v>
      </c>
    </row>
    <row r="378">
      <c r="A378" s="113"/>
      <c r="B378" s="113"/>
      <c r="C378" s="113"/>
      <c r="D378" s="114"/>
      <c r="E378" s="113"/>
      <c r="F378" s="113"/>
      <c r="G378" s="115"/>
      <c r="H378" s="116"/>
      <c r="I378" s="117" t="s">
        <v>261</v>
      </c>
      <c r="J378" s="117" t="s">
        <v>261</v>
      </c>
      <c r="K378" s="118"/>
      <c r="L378" s="119"/>
      <c r="M378" s="119"/>
      <c r="N378" s="120"/>
      <c r="O378" s="118"/>
      <c r="P378" s="118"/>
      <c r="Q378" s="118"/>
      <c r="R378" s="121">
        <v>0.67</v>
      </c>
      <c r="S378" s="122">
        <f>IFERROR(__xludf.DUMMYFUNCTION("((IFERROR(MIN(FILTER({K378, N378, Q378}, ISNUMBER({K378, N378, Q378}), {K378, N378, Q378} &gt; 0)), """"))*R378)+IFERROR(MIN(FILTER({K378, N378, Q378}, ISNUMBER({K378, N378, Q378}), {K378, N378, Q378} &gt; 0)), """")"),0.0)</f>
        <v>0</v>
      </c>
      <c r="T378" s="123" t="str">
        <f t="shared" si="1"/>
        <v>#DIV/0!</v>
      </c>
    </row>
    <row r="379">
      <c r="A379" s="113"/>
      <c r="B379" s="113"/>
      <c r="C379" s="113"/>
      <c r="D379" s="114"/>
      <c r="E379" s="113"/>
      <c r="F379" s="113"/>
      <c r="G379" s="115"/>
      <c r="H379" s="116"/>
      <c r="I379" s="117" t="s">
        <v>261</v>
      </c>
      <c r="J379" s="117" t="s">
        <v>261</v>
      </c>
      <c r="K379" s="118"/>
      <c r="L379" s="119"/>
      <c r="M379" s="119"/>
      <c r="N379" s="120"/>
      <c r="O379" s="118"/>
      <c r="P379" s="118"/>
      <c r="Q379" s="118"/>
      <c r="R379" s="121">
        <v>0.67</v>
      </c>
      <c r="S379" s="122">
        <f>IFERROR(__xludf.DUMMYFUNCTION("((IFERROR(MIN(FILTER({K379, N379, Q379}, ISNUMBER({K379, N379, Q379}), {K379, N379, Q379} &gt; 0)), """"))*R379)+IFERROR(MIN(FILTER({K379, N379, Q379}, ISNUMBER({K379, N379, Q379}), {K379, N379, Q379} &gt; 0)), """")"),0.0)</f>
        <v>0</v>
      </c>
      <c r="T379" s="123" t="str">
        <f t="shared" si="1"/>
        <v>#DIV/0!</v>
      </c>
    </row>
    <row r="380">
      <c r="A380" s="113"/>
      <c r="B380" s="113"/>
      <c r="C380" s="113"/>
      <c r="D380" s="114"/>
      <c r="E380" s="113"/>
      <c r="F380" s="113"/>
      <c r="G380" s="115"/>
      <c r="H380" s="116"/>
      <c r="I380" s="117" t="s">
        <v>261</v>
      </c>
      <c r="J380" s="117" t="s">
        <v>261</v>
      </c>
      <c r="K380" s="118"/>
      <c r="L380" s="119"/>
      <c r="M380" s="119"/>
      <c r="N380" s="120"/>
      <c r="O380" s="118"/>
      <c r="P380" s="118"/>
      <c r="Q380" s="118"/>
      <c r="R380" s="121">
        <v>0.67</v>
      </c>
      <c r="S380" s="122">
        <f>IFERROR(__xludf.DUMMYFUNCTION("((IFERROR(MIN(FILTER({K380, N380, Q380}, ISNUMBER({K380, N380, Q380}), {K380, N380, Q380} &gt; 0)), """"))*R380)+IFERROR(MIN(FILTER({K380, N380, Q380}, ISNUMBER({K380, N380, Q380}), {K380, N380, Q380} &gt; 0)), """")"),0.0)</f>
        <v>0</v>
      </c>
      <c r="T380" s="123" t="str">
        <f t="shared" si="1"/>
        <v>#DIV/0!</v>
      </c>
    </row>
    <row r="381">
      <c r="A381" s="113"/>
      <c r="B381" s="113"/>
      <c r="C381" s="113"/>
      <c r="D381" s="114"/>
      <c r="E381" s="113"/>
      <c r="F381" s="113"/>
      <c r="G381" s="115"/>
      <c r="H381" s="116"/>
      <c r="I381" s="117" t="s">
        <v>261</v>
      </c>
      <c r="J381" s="117" t="s">
        <v>261</v>
      </c>
      <c r="K381" s="118"/>
      <c r="L381" s="119"/>
      <c r="M381" s="119"/>
      <c r="N381" s="120"/>
      <c r="O381" s="118"/>
      <c r="P381" s="118"/>
      <c r="Q381" s="118"/>
      <c r="R381" s="121">
        <v>0.67</v>
      </c>
      <c r="S381" s="122">
        <f>IFERROR(__xludf.DUMMYFUNCTION("((IFERROR(MIN(FILTER({K381, N381, Q381}, ISNUMBER({K381, N381, Q381}), {K381, N381, Q381} &gt; 0)), """"))*R381)+IFERROR(MIN(FILTER({K381, N381, Q381}, ISNUMBER({K381, N381, Q381}), {K381, N381, Q381} &gt; 0)), """")"),0.0)</f>
        <v>0</v>
      </c>
      <c r="T381" s="123" t="str">
        <f t="shared" si="1"/>
        <v>#DIV/0!</v>
      </c>
    </row>
    <row r="382">
      <c r="A382" s="113"/>
      <c r="B382" s="113"/>
      <c r="C382" s="113"/>
      <c r="D382" s="114"/>
      <c r="E382" s="113"/>
      <c r="F382" s="113"/>
      <c r="G382" s="115"/>
      <c r="H382" s="116"/>
      <c r="I382" s="117" t="s">
        <v>261</v>
      </c>
      <c r="J382" s="117" t="s">
        <v>261</v>
      </c>
      <c r="K382" s="118"/>
      <c r="L382" s="119"/>
      <c r="M382" s="119"/>
      <c r="N382" s="120"/>
      <c r="O382" s="118"/>
      <c r="P382" s="118"/>
      <c r="Q382" s="118"/>
      <c r="R382" s="121">
        <v>0.67</v>
      </c>
      <c r="S382" s="122">
        <f>IFERROR(__xludf.DUMMYFUNCTION("((IFERROR(MIN(FILTER({K382, N382, Q382}, ISNUMBER({K382, N382, Q382}), {K382, N382, Q382} &gt; 0)), """"))*R382)+IFERROR(MIN(FILTER({K382, N382, Q382}, ISNUMBER({K382, N382, Q382}), {K382, N382, Q382} &gt; 0)), """")"),0.0)</f>
        <v>0</v>
      </c>
      <c r="T382" s="123" t="str">
        <f t="shared" si="1"/>
        <v>#DIV/0!</v>
      </c>
    </row>
    <row r="383">
      <c r="A383" s="113"/>
      <c r="B383" s="113"/>
      <c r="C383" s="113"/>
      <c r="D383" s="114"/>
      <c r="E383" s="113"/>
      <c r="F383" s="113"/>
      <c r="G383" s="115"/>
      <c r="H383" s="116"/>
      <c r="I383" s="117" t="s">
        <v>261</v>
      </c>
      <c r="J383" s="117" t="s">
        <v>261</v>
      </c>
      <c r="K383" s="118"/>
      <c r="L383" s="119"/>
      <c r="M383" s="119"/>
      <c r="N383" s="120"/>
      <c r="O383" s="118"/>
      <c r="P383" s="118"/>
      <c r="Q383" s="118"/>
      <c r="R383" s="121">
        <v>0.67</v>
      </c>
      <c r="S383" s="122">
        <f>IFERROR(__xludf.DUMMYFUNCTION("((IFERROR(MIN(FILTER({K383, N383, Q383}, ISNUMBER({K383, N383, Q383}), {K383, N383, Q383} &gt; 0)), """"))*R383)+IFERROR(MIN(FILTER({K383, N383, Q383}, ISNUMBER({K383, N383, Q383}), {K383, N383, Q383} &gt; 0)), """")"),0.0)</f>
        <v>0</v>
      </c>
      <c r="T383" s="123" t="str">
        <f t="shared" si="1"/>
        <v>#DIV/0!</v>
      </c>
    </row>
    <row r="384">
      <c r="A384" s="113"/>
      <c r="B384" s="113"/>
      <c r="C384" s="113"/>
      <c r="D384" s="114"/>
      <c r="E384" s="113"/>
      <c r="F384" s="113"/>
      <c r="G384" s="115"/>
      <c r="H384" s="116"/>
      <c r="I384" s="117" t="s">
        <v>261</v>
      </c>
      <c r="J384" s="117" t="s">
        <v>261</v>
      </c>
      <c r="K384" s="118"/>
      <c r="L384" s="119"/>
      <c r="M384" s="119"/>
      <c r="N384" s="120"/>
      <c r="O384" s="118"/>
      <c r="P384" s="118"/>
      <c r="Q384" s="118"/>
      <c r="R384" s="121">
        <v>0.67</v>
      </c>
      <c r="S384" s="122">
        <f>IFERROR(__xludf.DUMMYFUNCTION("((IFERROR(MIN(FILTER({K384, N384, Q384}, ISNUMBER({K384, N384, Q384}), {K384, N384, Q384} &gt; 0)), """"))*R384)+IFERROR(MIN(FILTER({K384, N384, Q384}, ISNUMBER({K384, N384, Q384}), {K384, N384, Q384} &gt; 0)), """")"),0.0)</f>
        <v>0</v>
      </c>
      <c r="T384" s="123" t="str">
        <f t="shared" si="1"/>
        <v>#DIV/0!</v>
      </c>
    </row>
    <row r="385">
      <c r="A385" s="113"/>
      <c r="B385" s="113"/>
      <c r="C385" s="113"/>
      <c r="D385" s="114"/>
      <c r="E385" s="113"/>
      <c r="F385" s="113"/>
      <c r="G385" s="115"/>
      <c r="H385" s="116"/>
      <c r="I385" s="117" t="s">
        <v>261</v>
      </c>
      <c r="J385" s="117" t="s">
        <v>261</v>
      </c>
      <c r="K385" s="118"/>
      <c r="L385" s="119"/>
      <c r="M385" s="119"/>
      <c r="N385" s="120"/>
      <c r="O385" s="118"/>
      <c r="P385" s="118"/>
      <c r="Q385" s="118"/>
      <c r="R385" s="121">
        <v>0.67</v>
      </c>
      <c r="S385" s="122">
        <f>IFERROR(__xludf.DUMMYFUNCTION("((IFERROR(MIN(FILTER({K385, N385, Q385}, ISNUMBER({K385, N385, Q385}), {K385, N385, Q385} &gt; 0)), """"))*R385)+IFERROR(MIN(FILTER({K385, N385, Q385}, ISNUMBER({K385, N385, Q385}), {K385, N385, Q385} &gt; 0)), """")"),0.0)</f>
        <v>0</v>
      </c>
      <c r="T385" s="123" t="str">
        <f t="shared" si="1"/>
        <v>#DIV/0!</v>
      </c>
    </row>
    <row r="386">
      <c r="A386" s="113"/>
      <c r="B386" s="113"/>
      <c r="C386" s="113"/>
      <c r="D386" s="114"/>
      <c r="E386" s="113"/>
      <c r="F386" s="113"/>
      <c r="G386" s="115"/>
      <c r="H386" s="116"/>
      <c r="I386" s="117" t="s">
        <v>261</v>
      </c>
      <c r="J386" s="117" t="s">
        <v>261</v>
      </c>
      <c r="K386" s="118"/>
      <c r="L386" s="119"/>
      <c r="M386" s="119"/>
      <c r="N386" s="120"/>
      <c r="O386" s="118"/>
      <c r="P386" s="118"/>
      <c r="Q386" s="118"/>
      <c r="R386" s="121">
        <v>0.67</v>
      </c>
      <c r="S386" s="122">
        <f>IFERROR(__xludf.DUMMYFUNCTION("((IFERROR(MIN(FILTER({K386, N386, Q386}, ISNUMBER({K386, N386, Q386}), {K386, N386, Q386} &gt; 0)), """"))*R386)+IFERROR(MIN(FILTER({K386, N386, Q386}, ISNUMBER({K386, N386, Q386}), {K386, N386, Q386} &gt; 0)), """")"),0.0)</f>
        <v>0</v>
      </c>
      <c r="T386" s="123" t="str">
        <f t="shared" si="1"/>
        <v>#DIV/0!</v>
      </c>
    </row>
    <row r="387">
      <c r="A387" s="113"/>
      <c r="B387" s="113"/>
      <c r="C387" s="113"/>
      <c r="D387" s="114"/>
      <c r="E387" s="113"/>
      <c r="F387" s="113"/>
      <c r="G387" s="115"/>
      <c r="H387" s="116"/>
      <c r="I387" s="117" t="s">
        <v>261</v>
      </c>
      <c r="J387" s="117" t="s">
        <v>261</v>
      </c>
      <c r="K387" s="118"/>
      <c r="L387" s="119"/>
      <c r="M387" s="119"/>
      <c r="N387" s="120"/>
      <c r="O387" s="118"/>
      <c r="P387" s="118"/>
      <c r="Q387" s="118"/>
      <c r="R387" s="121">
        <v>0.67</v>
      </c>
      <c r="S387" s="122">
        <f>IFERROR(__xludf.DUMMYFUNCTION("((IFERROR(MIN(FILTER({K387, N387, Q387}, ISNUMBER({K387, N387, Q387}), {K387, N387, Q387} &gt; 0)), """"))*R387)+IFERROR(MIN(FILTER({K387, N387, Q387}, ISNUMBER({K387, N387, Q387}), {K387, N387, Q387} &gt; 0)), """")"),0.0)</f>
        <v>0</v>
      </c>
      <c r="T387" s="123" t="str">
        <f t="shared" si="1"/>
        <v>#DIV/0!</v>
      </c>
    </row>
    <row r="388">
      <c r="A388" s="113"/>
      <c r="B388" s="113"/>
      <c r="C388" s="113"/>
      <c r="D388" s="114"/>
      <c r="E388" s="113"/>
      <c r="F388" s="113"/>
      <c r="G388" s="115"/>
      <c r="H388" s="116"/>
      <c r="I388" s="117" t="s">
        <v>261</v>
      </c>
      <c r="J388" s="117" t="s">
        <v>261</v>
      </c>
      <c r="K388" s="118"/>
      <c r="L388" s="119"/>
      <c r="M388" s="119"/>
      <c r="N388" s="120"/>
      <c r="O388" s="118"/>
      <c r="P388" s="118"/>
      <c r="Q388" s="118"/>
      <c r="R388" s="121">
        <v>0.67</v>
      </c>
      <c r="S388" s="122">
        <f>IFERROR(__xludf.DUMMYFUNCTION("((IFERROR(MIN(FILTER({K388, N388, Q388}, ISNUMBER({K388, N388, Q388}), {K388, N388, Q388} &gt; 0)), """"))*R388)+IFERROR(MIN(FILTER({K388, N388, Q388}, ISNUMBER({K388, N388, Q388}), {K388, N388, Q388} &gt; 0)), """")"),0.0)</f>
        <v>0</v>
      </c>
      <c r="T388" s="123" t="str">
        <f t="shared" si="1"/>
        <v>#DIV/0!</v>
      </c>
    </row>
    <row r="389">
      <c r="A389" s="113"/>
      <c r="B389" s="113"/>
      <c r="C389" s="113"/>
      <c r="D389" s="114"/>
      <c r="E389" s="113"/>
      <c r="F389" s="113"/>
      <c r="G389" s="115"/>
      <c r="H389" s="116"/>
      <c r="I389" s="117" t="s">
        <v>261</v>
      </c>
      <c r="J389" s="117" t="s">
        <v>261</v>
      </c>
      <c r="K389" s="118"/>
      <c r="L389" s="119"/>
      <c r="M389" s="119"/>
      <c r="N389" s="120"/>
      <c r="O389" s="118"/>
      <c r="P389" s="118"/>
      <c r="Q389" s="118"/>
      <c r="R389" s="121">
        <v>0.67</v>
      </c>
      <c r="S389" s="122">
        <f>IFERROR(__xludf.DUMMYFUNCTION("((IFERROR(MIN(FILTER({K389, N389, Q389}, ISNUMBER({K389, N389, Q389}), {K389, N389, Q389} &gt; 0)), """"))*R389)+IFERROR(MIN(FILTER({K389, N389, Q389}, ISNUMBER({K389, N389, Q389}), {K389, N389, Q389} &gt; 0)), """")"),0.0)</f>
        <v>0</v>
      </c>
      <c r="T389" s="123" t="str">
        <f t="shared" si="1"/>
        <v>#DIV/0!</v>
      </c>
    </row>
    <row r="390">
      <c r="A390" s="113"/>
      <c r="B390" s="113"/>
      <c r="C390" s="113"/>
      <c r="D390" s="114"/>
      <c r="E390" s="113"/>
      <c r="F390" s="113"/>
      <c r="G390" s="115"/>
      <c r="H390" s="116"/>
      <c r="I390" s="117" t="s">
        <v>261</v>
      </c>
      <c r="J390" s="117" t="s">
        <v>261</v>
      </c>
      <c r="K390" s="118"/>
      <c r="L390" s="119"/>
      <c r="M390" s="119"/>
      <c r="N390" s="120"/>
      <c r="O390" s="118"/>
      <c r="P390" s="118"/>
      <c r="Q390" s="118"/>
      <c r="R390" s="121">
        <v>0.67</v>
      </c>
      <c r="S390" s="122">
        <f>IFERROR(__xludf.DUMMYFUNCTION("((IFERROR(MIN(FILTER({K390, N390, Q390}, ISNUMBER({K390, N390, Q390}), {K390, N390, Q390} &gt; 0)), """"))*R390)+IFERROR(MIN(FILTER({K390, N390, Q390}, ISNUMBER({K390, N390, Q390}), {K390, N390, Q390} &gt; 0)), """")"),0.0)</f>
        <v>0</v>
      </c>
      <c r="T390" s="123" t="str">
        <f t="shared" si="1"/>
        <v>#DIV/0!</v>
      </c>
    </row>
    <row r="391">
      <c r="A391" s="113"/>
      <c r="B391" s="113"/>
      <c r="C391" s="113"/>
      <c r="D391" s="114"/>
      <c r="E391" s="113"/>
      <c r="F391" s="113"/>
      <c r="G391" s="115"/>
      <c r="H391" s="116"/>
      <c r="I391" s="117" t="s">
        <v>261</v>
      </c>
      <c r="J391" s="117" t="s">
        <v>261</v>
      </c>
      <c r="K391" s="118"/>
      <c r="L391" s="119"/>
      <c r="M391" s="119"/>
      <c r="N391" s="120"/>
      <c r="O391" s="118"/>
      <c r="P391" s="118"/>
      <c r="Q391" s="118"/>
      <c r="R391" s="121">
        <v>0.67</v>
      </c>
      <c r="S391" s="122">
        <f>IFERROR(__xludf.DUMMYFUNCTION("((IFERROR(MIN(FILTER({K391, N391, Q391}, ISNUMBER({K391, N391, Q391}), {K391, N391, Q391} &gt; 0)), """"))*R391)+IFERROR(MIN(FILTER({K391, N391, Q391}, ISNUMBER({K391, N391, Q391}), {K391, N391, Q391} &gt; 0)), """")"),0.0)</f>
        <v>0</v>
      </c>
      <c r="T391" s="123" t="str">
        <f t="shared" si="1"/>
        <v>#DIV/0!</v>
      </c>
    </row>
    <row r="392">
      <c r="A392" s="113"/>
      <c r="B392" s="113"/>
      <c r="C392" s="113"/>
      <c r="D392" s="114"/>
      <c r="E392" s="113"/>
      <c r="F392" s="113"/>
      <c r="G392" s="115"/>
      <c r="H392" s="116"/>
      <c r="I392" s="117" t="s">
        <v>261</v>
      </c>
      <c r="J392" s="117" t="s">
        <v>261</v>
      </c>
      <c r="K392" s="118"/>
      <c r="L392" s="119"/>
      <c r="M392" s="119"/>
      <c r="N392" s="120"/>
      <c r="O392" s="118"/>
      <c r="P392" s="118"/>
      <c r="Q392" s="118"/>
      <c r="R392" s="121">
        <v>0.67</v>
      </c>
      <c r="S392" s="122">
        <f>IFERROR(__xludf.DUMMYFUNCTION("((IFERROR(MIN(FILTER({K392, N392, Q392}, ISNUMBER({K392, N392, Q392}), {K392, N392, Q392} &gt; 0)), """"))*R392)+IFERROR(MIN(FILTER({K392, N392, Q392}, ISNUMBER({K392, N392, Q392}), {K392, N392, Q392} &gt; 0)), """")"),0.0)</f>
        <v>0</v>
      </c>
      <c r="T392" s="123" t="str">
        <f t="shared" si="1"/>
        <v>#DIV/0!</v>
      </c>
    </row>
    <row r="393">
      <c r="A393" s="113"/>
      <c r="B393" s="113"/>
      <c r="C393" s="113"/>
      <c r="D393" s="114"/>
      <c r="E393" s="113"/>
      <c r="F393" s="113"/>
      <c r="G393" s="115"/>
      <c r="H393" s="116"/>
      <c r="I393" s="117" t="s">
        <v>261</v>
      </c>
      <c r="J393" s="117" t="s">
        <v>261</v>
      </c>
      <c r="K393" s="118"/>
      <c r="L393" s="119"/>
      <c r="M393" s="119"/>
      <c r="N393" s="120"/>
      <c r="O393" s="118"/>
      <c r="P393" s="118"/>
      <c r="Q393" s="118"/>
      <c r="R393" s="121">
        <v>0.67</v>
      </c>
      <c r="S393" s="122">
        <f>IFERROR(__xludf.DUMMYFUNCTION("((IFERROR(MIN(FILTER({K393, N393, Q393}, ISNUMBER({K393, N393, Q393}), {K393, N393, Q393} &gt; 0)), """"))*R393)+IFERROR(MIN(FILTER({K393, N393, Q393}, ISNUMBER({K393, N393, Q393}), {K393, N393, Q393} &gt; 0)), """")"),0.0)</f>
        <v>0</v>
      </c>
      <c r="T393" s="123" t="str">
        <f t="shared" si="1"/>
        <v>#DIV/0!</v>
      </c>
    </row>
    <row r="394">
      <c r="A394" s="113"/>
      <c r="B394" s="113"/>
      <c r="C394" s="113"/>
      <c r="D394" s="114"/>
      <c r="E394" s="113"/>
      <c r="F394" s="113"/>
      <c r="G394" s="115"/>
      <c r="H394" s="116"/>
      <c r="I394" s="117" t="s">
        <v>261</v>
      </c>
      <c r="J394" s="117" t="s">
        <v>261</v>
      </c>
      <c r="K394" s="118"/>
      <c r="L394" s="119"/>
      <c r="M394" s="119"/>
      <c r="N394" s="120"/>
      <c r="O394" s="118"/>
      <c r="P394" s="118"/>
      <c r="Q394" s="118"/>
      <c r="R394" s="121">
        <v>0.67</v>
      </c>
      <c r="S394" s="122">
        <f>IFERROR(__xludf.DUMMYFUNCTION("((IFERROR(MIN(FILTER({K394, N394, Q394}, ISNUMBER({K394, N394, Q394}), {K394, N394, Q394} &gt; 0)), """"))*R394)+IFERROR(MIN(FILTER({K394, N394, Q394}, ISNUMBER({K394, N394, Q394}), {K394, N394, Q394} &gt; 0)), """")"),0.0)</f>
        <v>0</v>
      </c>
      <c r="T394" s="123" t="str">
        <f t="shared" si="1"/>
        <v>#DIV/0!</v>
      </c>
    </row>
    <row r="395">
      <c r="A395" s="113"/>
      <c r="B395" s="113"/>
      <c r="C395" s="113"/>
      <c r="D395" s="114"/>
      <c r="E395" s="113"/>
      <c r="F395" s="113"/>
      <c r="G395" s="115"/>
      <c r="H395" s="116"/>
      <c r="I395" s="117" t="s">
        <v>261</v>
      </c>
      <c r="J395" s="117" t="s">
        <v>261</v>
      </c>
      <c r="K395" s="118"/>
      <c r="L395" s="119"/>
      <c r="M395" s="119"/>
      <c r="N395" s="120"/>
      <c r="O395" s="118"/>
      <c r="P395" s="118"/>
      <c r="Q395" s="118"/>
      <c r="R395" s="121">
        <v>0.67</v>
      </c>
      <c r="S395" s="122">
        <f>IFERROR(__xludf.DUMMYFUNCTION("((IFERROR(MIN(FILTER({K395, N395, Q395}, ISNUMBER({K395, N395, Q395}), {K395, N395, Q395} &gt; 0)), """"))*R395)+IFERROR(MIN(FILTER({K395, N395, Q395}, ISNUMBER({K395, N395, Q395}), {K395, N395, Q395} &gt; 0)), """")"),0.0)</f>
        <v>0</v>
      </c>
      <c r="T395" s="123" t="str">
        <f t="shared" si="1"/>
        <v>#DIV/0!</v>
      </c>
    </row>
    <row r="396">
      <c r="A396" s="113"/>
      <c r="B396" s="113"/>
      <c r="C396" s="113"/>
      <c r="D396" s="114"/>
      <c r="E396" s="113"/>
      <c r="F396" s="113"/>
      <c r="G396" s="115"/>
      <c r="H396" s="116"/>
      <c r="I396" s="117" t="s">
        <v>261</v>
      </c>
      <c r="J396" s="117" t="s">
        <v>261</v>
      </c>
      <c r="K396" s="118"/>
      <c r="L396" s="119"/>
      <c r="M396" s="119"/>
      <c r="N396" s="120"/>
      <c r="O396" s="118"/>
      <c r="P396" s="118"/>
      <c r="Q396" s="118"/>
      <c r="R396" s="121">
        <v>0.67</v>
      </c>
      <c r="S396" s="122">
        <f>IFERROR(__xludf.DUMMYFUNCTION("((IFERROR(MIN(FILTER({K396, N396, Q396}, ISNUMBER({K396, N396, Q396}), {K396, N396, Q396} &gt; 0)), """"))*R396)+IFERROR(MIN(FILTER({K396, N396, Q396}, ISNUMBER({K396, N396, Q396}), {K396, N396, Q396} &gt; 0)), """")"),0.0)</f>
        <v>0</v>
      </c>
      <c r="T396" s="123" t="str">
        <f t="shared" si="1"/>
        <v>#DIV/0!</v>
      </c>
    </row>
    <row r="397">
      <c r="A397" s="113"/>
      <c r="B397" s="113"/>
      <c r="C397" s="113"/>
      <c r="D397" s="114"/>
      <c r="E397" s="113"/>
      <c r="F397" s="113"/>
      <c r="G397" s="115"/>
      <c r="H397" s="116"/>
      <c r="I397" s="117" t="s">
        <v>261</v>
      </c>
      <c r="J397" s="117" t="s">
        <v>261</v>
      </c>
      <c r="K397" s="118"/>
      <c r="L397" s="119"/>
      <c r="M397" s="119"/>
      <c r="N397" s="120"/>
      <c r="O397" s="118"/>
      <c r="P397" s="118"/>
      <c r="Q397" s="118"/>
      <c r="R397" s="121">
        <v>0.67</v>
      </c>
      <c r="S397" s="122">
        <f>IFERROR(__xludf.DUMMYFUNCTION("((IFERROR(MIN(FILTER({K397, N397, Q397}, ISNUMBER({K397, N397, Q397}), {K397, N397, Q397} &gt; 0)), """"))*R397)+IFERROR(MIN(FILTER({K397, N397, Q397}, ISNUMBER({K397, N397, Q397}), {K397, N397, Q397} &gt; 0)), """")"),0.0)</f>
        <v>0</v>
      </c>
      <c r="T397" s="123" t="str">
        <f t="shared" si="1"/>
        <v>#DIV/0!</v>
      </c>
    </row>
    <row r="398">
      <c r="A398" s="113"/>
      <c r="B398" s="113"/>
      <c r="C398" s="113"/>
      <c r="D398" s="114"/>
      <c r="E398" s="113"/>
      <c r="F398" s="113"/>
      <c r="G398" s="115"/>
      <c r="H398" s="116"/>
      <c r="I398" s="117" t="s">
        <v>261</v>
      </c>
      <c r="J398" s="117" t="s">
        <v>261</v>
      </c>
      <c r="K398" s="118"/>
      <c r="L398" s="119"/>
      <c r="M398" s="119"/>
      <c r="N398" s="120"/>
      <c r="O398" s="118"/>
      <c r="P398" s="118"/>
      <c r="Q398" s="118"/>
      <c r="R398" s="121">
        <v>0.67</v>
      </c>
      <c r="S398" s="122">
        <f>IFERROR(__xludf.DUMMYFUNCTION("((IFERROR(MIN(FILTER({K398, N398, Q398}, ISNUMBER({K398, N398, Q398}), {K398, N398, Q398} &gt; 0)), """"))*R398)+IFERROR(MIN(FILTER({K398, N398, Q398}, ISNUMBER({K398, N398, Q398}), {K398, N398, Q398} &gt; 0)), """")"),0.0)</f>
        <v>0</v>
      </c>
      <c r="T398" s="123" t="str">
        <f t="shared" si="1"/>
        <v>#DIV/0!</v>
      </c>
    </row>
    <row r="399">
      <c r="A399" s="113"/>
      <c r="B399" s="113"/>
      <c r="C399" s="113"/>
      <c r="D399" s="114"/>
      <c r="E399" s="113"/>
      <c r="F399" s="113"/>
      <c r="G399" s="115"/>
      <c r="H399" s="116"/>
      <c r="I399" s="117" t="s">
        <v>261</v>
      </c>
      <c r="J399" s="117" t="s">
        <v>261</v>
      </c>
      <c r="K399" s="118"/>
      <c r="L399" s="119"/>
      <c r="M399" s="119"/>
      <c r="N399" s="120"/>
      <c r="O399" s="118"/>
      <c r="P399" s="118"/>
      <c r="Q399" s="118"/>
      <c r="R399" s="121">
        <v>0.67</v>
      </c>
      <c r="S399" s="122">
        <f>IFERROR(__xludf.DUMMYFUNCTION("((IFERROR(MIN(FILTER({K399, N399, Q399}, ISNUMBER({K399, N399, Q399}), {K399, N399, Q399} &gt; 0)), """"))*R399)+IFERROR(MIN(FILTER({K399, N399, Q399}, ISNUMBER({K399, N399, Q399}), {K399, N399, Q399} &gt; 0)), """")"),0.0)</f>
        <v>0</v>
      </c>
      <c r="T399" s="123" t="str">
        <f t="shared" si="1"/>
        <v>#DIV/0!</v>
      </c>
    </row>
    <row r="400">
      <c r="A400" s="113"/>
      <c r="B400" s="113"/>
      <c r="C400" s="113"/>
      <c r="D400" s="114"/>
      <c r="E400" s="113"/>
      <c r="F400" s="113"/>
      <c r="G400" s="115"/>
      <c r="H400" s="116"/>
      <c r="I400" s="117" t="s">
        <v>261</v>
      </c>
      <c r="J400" s="117" t="s">
        <v>261</v>
      </c>
      <c r="K400" s="118"/>
      <c r="L400" s="119"/>
      <c r="M400" s="119"/>
      <c r="N400" s="120"/>
      <c r="O400" s="118"/>
      <c r="P400" s="118"/>
      <c r="Q400" s="118"/>
      <c r="R400" s="121">
        <v>0.67</v>
      </c>
      <c r="S400" s="122">
        <f>IFERROR(__xludf.DUMMYFUNCTION("((IFERROR(MIN(FILTER({K400, N400, Q400}, ISNUMBER({K400, N400, Q400}), {K400, N400, Q400} &gt; 0)), """"))*R400)+IFERROR(MIN(FILTER({K400, N400, Q400}, ISNUMBER({K400, N400, Q400}), {K400, N400, Q400} &gt; 0)), """")"),0.0)</f>
        <v>0</v>
      </c>
      <c r="T400" s="123" t="str">
        <f t="shared" si="1"/>
        <v>#DIV/0!</v>
      </c>
    </row>
    <row r="401">
      <c r="A401" s="113"/>
      <c r="B401" s="113"/>
      <c r="C401" s="113"/>
      <c r="D401" s="114"/>
      <c r="E401" s="113"/>
      <c r="F401" s="113"/>
      <c r="G401" s="115"/>
      <c r="H401" s="116"/>
      <c r="I401" s="117" t="s">
        <v>261</v>
      </c>
      <c r="J401" s="117" t="s">
        <v>261</v>
      </c>
      <c r="K401" s="118"/>
      <c r="L401" s="119"/>
      <c r="M401" s="119"/>
      <c r="N401" s="120"/>
      <c r="O401" s="118"/>
      <c r="P401" s="118"/>
      <c r="Q401" s="118"/>
      <c r="R401" s="121">
        <v>0.67</v>
      </c>
      <c r="S401" s="122">
        <f>IFERROR(__xludf.DUMMYFUNCTION("((IFERROR(MIN(FILTER({K401, N401, Q401}, ISNUMBER({K401, N401, Q401}), {K401, N401, Q401} &gt; 0)), """"))*R401)+IFERROR(MIN(FILTER({K401, N401, Q401}, ISNUMBER({K401, N401, Q401}), {K401, N401, Q401} &gt; 0)), """")"),0.0)</f>
        <v>0</v>
      </c>
      <c r="T401" s="123" t="str">
        <f t="shared" si="1"/>
        <v>#DIV/0!</v>
      </c>
    </row>
    <row r="402">
      <c r="A402" s="113"/>
      <c r="B402" s="113"/>
      <c r="C402" s="113"/>
      <c r="D402" s="114"/>
      <c r="E402" s="113"/>
      <c r="F402" s="113"/>
      <c r="G402" s="115"/>
      <c r="H402" s="116"/>
      <c r="I402" s="117" t="s">
        <v>261</v>
      </c>
      <c r="J402" s="117" t="s">
        <v>261</v>
      </c>
      <c r="K402" s="118"/>
      <c r="L402" s="119"/>
      <c r="M402" s="119"/>
      <c r="N402" s="120"/>
      <c r="O402" s="118"/>
      <c r="P402" s="118"/>
      <c r="Q402" s="118"/>
      <c r="R402" s="121">
        <v>0.67</v>
      </c>
      <c r="S402" s="122">
        <f>IFERROR(__xludf.DUMMYFUNCTION("((IFERROR(MIN(FILTER({K402, N402, Q402}, ISNUMBER({K402, N402, Q402}), {K402, N402, Q402} &gt; 0)), """"))*R402)+IFERROR(MIN(FILTER({K402, N402, Q402}, ISNUMBER({K402, N402, Q402}), {K402, N402, Q402} &gt; 0)), """")"),0.0)</f>
        <v>0</v>
      </c>
      <c r="T402" s="123" t="str">
        <f t="shared" si="1"/>
        <v>#DIV/0!</v>
      </c>
    </row>
    <row r="403">
      <c r="A403" s="113"/>
      <c r="B403" s="113"/>
      <c r="C403" s="113"/>
      <c r="D403" s="114"/>
      <c r="E403" s="113"/>
      <c r="F403" s="113"/>
      <c r="G403" s="115"/>
      <c r="H403" s="116"/>
      <c r="I403" s="117" t="s">
        <v>261</v>
      </c>
      <c r="J403" s="117" t="s">
        <v>261</v>
      </c>
      <c r="K403" s="118"/>
      <c r="L403" s="119"/>
      <c r="M403" s="119"/>
      <c r="N403" s="120"/>
      <c r="O403" s="118"/>
      <c r="P403" s="118"/>
      <c r="Q403" s="118"/>
      <c r="R403" s="121">
        <v>0.67</v>
      </c>
      <c r="S403" s="122">
        <f>IFERROR(__xludf.DUMMYFUNCTION("((IFERROR(MIN(FILTER({K403, N403, Q403}, ISNUMBER({K403, N403, Q403}), {K403, N403, Q403} &gt; 0)), """"))*R403)+IFERROR(MIN(FILTER({K403, N403, Q403}, ISNUMBER({K403, N403, Q403}), {K403, N403, Q403} &gt; 0)), """")"),0.0)</f>
        <v>0</v>
      </c>
      <c r="T403" s="123" t="str">
        <f t="shared" si="1"/>
        <v>#DIV/0!</v>
      </c>
    </row>
    <row r="404">
      <c r="A404" s="113"/>
      <c r="B404" s="113"/>
      <c r="C404" s="113"/>
      <c r="D404" s="114"/>
      <c r="E404" s="113"/>
      <c r="F404" s="113"/>
      <c r="G404" s="115"/>
      <c r="H404" s="116"/>
      <c r="I404" s="117" t="s">
        <v>261</v>
      </c>
      <c r="J404" s="117" t="s">
        <v>261</v>
      </c>
      <c r="K404" s="118"/>
      <c r="L404" s="119"/>
      <c r="M404" s="119"/>
      <c r="N404" s="120"/>
      <c r="O404" s="118"/>
      <c r="P404" s="118"/>
      <c r="Q404" s="118"/>
      <c r="R404" s="121">
        <v>0.67</v>
      </c>
      <c r="S404" s="122">
        <f>IFERROR(__xludf.DUMMYFUNCTION("((IFERROR(MIN(FILTER({K404, N404, Q404}, ISNUMBER({K404, N404, Q404}), {K404, N404, Q404} &gt; 0)), """"))*R404)+IFERROR(MIN(FILTER({K404, N404, Q404}, ISNUMBER({K404, N404, Q404}), {K404, N404, Q404} &gt; 0)), """")"),0.0)</f>
        <v>0</v>
      </c>
      <c r="T404" s="123" t="str">
        <f t="shared" si="1"/>
        <v>#DIV/0!</v>
      </c>
    </row>
    <row r="405">
      <c r="A405" s="113"/>
      <c r="B405" s="113"/>
      <c r="C405" s="113"/>
      <c r="D405" s="114"/>
      <c r="E405" s="113"/>
      <c r="F405" s="113"/>
      <c r="G405" s="115"/>
      <c r="H405" s="116"/>
      <c r="I405" s="117" t="s">
        <v>261</v>
      </c>
      <c r="J405" s="117" t="s">
        <v>261</v>
      </c>
      <c r="K405" s="118"/>
      <c r="L405" s="119"/>
      <c r="M405" s="119"/>
      <c r="N405" s="120"/>
      <c r="O405" s="118"/>
      <c r="P405" s="118"/>
      <c r="Q405" s="118"/>
      <c r="R405" s="121">
        <v>0.67</v>
      </c>
      <c r="S405" s="122">
        <f>IFERROR(__xludf.DUMMYFUNCTION("((IFERROR(MIN(FILTER({K405, N405, Q405}, ISNUMBER({K405, N405, Q405}), {K405, N405, Q405} &gt; 0)), """"))*R405)+IFERROR(MIN(FILTER({K405, N405, Q405}, ISNUMBER({K405, N405, Q405}), {K405, N405, Q405} &gt; 0)), """")"),0.0)</f>
        <v>0</v>
      </c>
      <c r="T405" s="123" t="str">
        <f t="shared" si="1"/>
        <v>#DIV/0!</v>
      </c>
    </row>
    <row r="406">
      <c r="A406" s="113"/>
      <c r="B406" s="113"/>
      <c r="C406" s="113"/>
      <c r="D406" s="114"/>
      <c r="E406" s="113"/>
      <c r="F406" s="113"/>
      <c r="G406" s="115"/>
      <c r="H406" s="116"/>
      <c r="I406" s="117" t="s">
        <v>261</v>
      </c>
      <c r="J406" s="117" t="s">
        <v>261</v>
      </c>
      <c r="K406" s="118"/>
      <c r="L406" s="119"/>
      <c r="M406" s="119"/>
      <c r="N406" s="120"/>
      <c r="O406" s="118"/>
      <c r="P406" s="118"/>
      <c r="Q406" s="118"/>
      <c r="R406" s="121">
        <v>0.67</v>
      </c>
      <c r="S406" s="122">
        <f>IFERROR(__xludf.DUMMYFUNCTION("((IFERROR(MIN(FILTER({K406, N406, Q406}, ISNUMBER({K406, N406, Q406}), {K406, N406, Q406} &gt; 0)), """"))*R406)+IFERROR(MIN(FILTER({K406, N406, Q406}, ISNUMBER({K406, N406, Q406}), {K406, N406, Q406} &gt; 0)), """")"),0.0)</f>
        <v>0</v>
      </c>
      <c r="T406" s="123" t="str">
        <f t="shared" si="1"/>
        <v>#DIV/0!</v>
      </c>
    </row>
    <row r="407">
      <c r="A407" s="113"/>
      <c r="B407" s="113"/>
      <c r="C407" s="113"/>
      <c r="D407" s="114"/>
      <c r="E407" s="113"/>
      <c r="F407" s="113"/>
      <c r="G407" s="115"/>
      <c r="H407" s="116"/>
      <c r="I407" s="117" t="s">
        <v>261</v>
      </c>
      <c r="J407" s="117" t="s">
        <v>261</v>
      </c>
      <c r="K407" s="118"/>
      <c r="L407" s="119"/>
      <c r="M407" s="119"/>
      <c r="N407" s="120"/>
      <c r="O407" s="118"/>
      <c r="P407" s="118"/>
      <c r="Q407" s="118"/>
      <c r="R407" s="121">
        <v>0.67</v>
      </c>
      <c r="S407" s="122">
        <f>IFERROR(__xludf.DUMMYFUNCTION("((IFERROR(MIN(FILTER({K407, N407, Q407}, ISNUMBER({K407, N407, Q407}), {K407, N407, Q407} &gt; 0)), """"))*R407)+IFERROR(MIN(FILTER({K407, N407, Q407}, ISNUMBER({K407, N407, Q407}), {K407, N407, Q407} &gt; 0)), """")"),0.0)</f>
        <v>0</v>
      </c>
      <c r="T407" s="123" t="str">
        <f t="shared" si="1"/>
        <v>#DIV/0!</v>
      </c>
    </row>
    <row r="408">
      <c r="A408" s="113"/>
      <c r="B408" s="113"/>
      <c r="C408" s="113"/>
      <c r="D408" s="114"/>
      <c r="E408" s="113"/>
      <c r="F408" s="113"/>
      <c r="G408" s="115"/>
      <c r="H408" s="116"/>
      <c r="I408" s="117" t="s">
        <v>261</v>
      </c>
      <c r="J408" s="117" t="s">
        <v>261</v>
      </c>
      <c r="K408" s="118"/>
      <c r="L408" s="119"/>
      <c r="M408" s="119"/>
      <c r="N408" s="120"/>
      <c r="O408" s="118"/>
      <c r="P408" s="118"/>
      <c r="Q408" s="118"/>
      <c r="R408" s="121">
        <v>0.67</v>
      </c>
      <c r="S408" s="122">
        <f>IFERROR(__xludf.DUMMYFUNCTION("((IFERROR(MIN(FILTER({K408, N408, Q408}, ISNUMBER({K408, N408, Q408}), {K408, N408, Q408} &gt; 0)), """"))*R408)+IFERROR(MIN(FILTER({K408, N408, Q408}, ISNUMBER({K408, N408, Q408}), {K408, N408, Q408} &gt; 0)), """")"),0.0)</f>
        <v>0</v>
      </c>
      <c r="T408" s="123" t="str">
        <f t="shared" si="1"/>
        <v>#DIV/0!</v>
      </c>
    </row>
    <row r="409">
      <c r="A409" s="113"/>
      <c r="B409" s="113"/>
      <c r="C409" s="113"/>
      <c r="D409" s="114"/>
      <c r="E409" s="113"/>
      <c r="F409" s="113"/>
      <c r="G409" s="115"/>
      <c r="H409" s="116"/>
      <c r="I409" s="117" t="s">
        <v>261</v>
      </c>
      <c r="J409" s="117" t="s">
        <v>261</v>
      </c>
      <c r="K409" s="118"/>
      <c r="L409" s="119"/>
      <c r="M409" s="119"/>
      <c r="N409" s="120"/>
      <c r="O409" s="118"/>
      <c r="P409" s="118"/>
      <c r="Q409" s="118"/>
      <c r="R409" s="121">
        <v>0.67</v>
      </c>
      <c r="S409" s="122">
        <f>IFERROR(__xludf.DUMMYFUNCTION("((IFERROR(MIN(FILTER({K409, N409, Q409}, ISNUMBER({K409, N409, Q409}), {K409, N409, Q409} &gt; 0)), """"))*R409)+IFERROR(MIN(FILTER({K409, N409, Q409}, ISNUMBER({K409, N409, Q409}), {K409, N409, Q409} &gt; 0)), """")"),0.0)</f>
        <v>0</v>
      </c>
      <c r="T409" s="123" t="str">
        <f t="shared" si="1"/>
        <v>#DIV/0!</v>
      </c>
    </row>
    <row r="410">
      <c r="A410" s="113"/>
      <c r="B410" s="113"/>
      <c r="C410" s="113"/>
      <c r="D410" s="114"/>
      <c r="E410" s="113"/>
      <c r="F410" s="113"/>
      <c r="G410" s="115"/>
      <c r="H410" s="116"/>
      <c r="I410" s="117" t="s">
        <v>261</v>
      </c>
      <c r="J410" s="117" t="s">
        <v>261</v>
      </c>
      <c r="K410" s="118"/>
      <c r="L410" s="119"/>
      <c r="M410" s="119"/>
      <c r="N410" s="120"/>
      <c r="O410" s="118"/>
      <c r="P410" s="118"/>
      <c r="Q410" s="118"/>
      <c r="R410" s="121">
        <v>0.67</v>
      </c>
      <c r="S410" s="122">
        <f>IFERROR(__xludf.DUMMYFUNCTION("((IFERROR(MIN(FILTER({K410, N410, Q410}, ISNUMBER({K410, N410, Q410}), {K410, N410, Q410} &gt; 0)), """"))*R410)+IFERROR(MIN(FILTER({K410, N410, Q410}, ISNUMBER({K410, N410, Q410}), {K410, N410, Q410} &gt; 0)), """")"),0.0)</f>
        <v>0</v>
      </c>
      <c r="T410" s="123" t="str">
        <f t="shared" si="1"/>
        <v>#DIV/0!</v>
      </c>
    </row>
    <row r="411">
      <c r="A411" s="113"/>
      <c r="B411" s="113"/>
      <c r="C411" s="113"/>
      <c r="D411" s="114"/>
      <c r="E411" s="113"/>
      <c r="F411" s="113"/>
      <c r="G411" s="115"/>
      <c r="H411" s="116"/>
      <c r="I411" s="117" t="s">
        <v>261</v>
      </c>
      <c r="J411" s="117" t="s">
        <v>261</v>
      </c>
      <c r="K411" s="118"/>
      <c r="L411" s="119"/>
      <c r="M411" s="119"/>
      <c r="N411" s="120"/>
      <c r="O411" s="118"/>
      <c r="P411" s="118"/>
      <c r="Q411" s="118"/>
      <c r="R411" s="121">
        <v>0.67</v>
      </c>
      <c r="S411" s="122">
        <f>IFERROR(__xludf.DUMMYFUNCTION("((IFERROR(MIN(FILTER({K411, N411, Q411}, ISNUMBER({K411, N411, Q411}), {K411, N411, Q411} &gt; 0)), """"))*R411)+IFERROR(MIN(FILTER({K411, N411, Q411}, ISNUMBER({K411, N411, Q411}), {K411, N411, Q411} &gt; 0)), """")"),0.0)</f>
        <v>0</v>
      </c>
      <c r="T411" s="123" t="str">
        <f t="shared" si="1"/>
        <v>#DIV/0!</v>
      </c>
    </row>
    <row r="412">
      <c r="A412" s="113"/>
      <c r="B412" s="113"/>
      <c r="C412" s="113"/>
      <c r="D412" s="114"/>
      <c r="E412" s="113"/>
      <c r="F412" s="113"/>
      <c r="G412" s="115"/>
      <c r="H412" s="116"/>
      <c r="I412" s="117" t="s">
        <v>261</v>
      </c>
      <c r="J412" s="117" t="s">
        <v>261</v>
      </c>
      <c r="K412" s="118"/>
      <c r="L412" s="119"/>
      <c r="M412" s="119"/>
      <c r="N412" s="120"/>
      <c r="O412" s="118"/>
      <c r="P412" s="118"/>
      <c r="Q412" s="118"/>
      <c r="R412" s="121">
        <v>0.67</v>
      </c>
      <c r="S412" s="122">
        <f>IFERROR(__xludf.DUMMYFUNCTION("((IFERROR(MIN(FILTER({K412, N412, Q412}, ISNUMBER({K412, N412, Q412}), {K412, N412, Q412} &gt; 0)), """"))*R412)+IFERROR(MIN(FILTER({K412, N412, Q412}, ISNUMBER({K412, N412, Q412}), {K412, N412, Q412} &gt; 0)), """")"),0.0)</f>
        <v>0</v>
      </c>
      <c r="T412" s="123" t="str">
        <f t="shared" si="1"/>
        <v>#DIV/0!</v>
      </c>
    </row>
    <row r="413">
      <c r="A413" s="113"/>
      <c r="B413" s="113"/>
      <c r="C413" s="113"/>
      <c r="D413" s="114"/>
      <c r="E413" s="113"/>
      <c r="F413" s="113"/>
      <c r="G413" s="115"/>
      <c r="H413" s="116"/>
      <c r="I413" s="117" t="s">
        <v>261</v>
      </c>
      <c r="J413" s="117" t="s">
        <v>261</v>
      </c>
      <c r="K413" s="118"/>
      <c r="L413" s="119"/>
      <c r="M413" s="119"/>
      <c r="N413" s="120"/>
      <c r="O413" s="118"/>
      <c r="P413" s="118"/>
      <c r="Q413" s="118"/>
      <c r="R413" s="121">
        <v>0.67</v>
      </c>
      <c r="S413" s="122">
        <f>IFERROR(__xludf.DUMMYFUNCTION("((IFERROR(MIN(FILTER({K413, N413, Q413}, ISNUMBER({K413, N413, Q413}), {K413, N413, Q413} &gt; 0)), """"))*R413)+IFERROR(MIN(FILTER({K413, N413, Q413}, ISNUMBER({K413, N413, Q413}), {K413, N413, Q413} &gt; 0)), """")"),0.0)</f>
        <v>0</v>
      </c>
      <c r="T413" s="123" t="str">
        <f t="shared" si="1"/>
        <v>#DIV/0!</v>
      </c>
    </row>
    <row r="414">
      <c r="A414" s="113"/>
      <c r="B414" s="113"/>
      <c r="C414" s="113"/>
      <c r="D414" s="114"/>
      <c r="E414" s="113"/>
      <c r="F414" s="113"/>
      <c r="G414" s="115"/>
      <c r="H414" s="116"/>
      <c r="I414" s="117" t="s">
        <v>261</v>
      </c>
      <c r="J414" s="117" t="s">
        <v>261</v>
      </c>
      <c r="K414" s="118"/>
      <c r="L414" s="119"/>
      <c r="M414" s="119"/>
      <c r="N414" s="120"/>
      <c r="O414" s="118"/>
      <c r="P414" s="118"/>
      <c r="Q414" s="118"/>
      <c r="R414" s="121">
        <v>0.67</v>
      </c>
      <c r="S414" s="122">
        <f>IFERROR(__xludf.DUMMYFUNCTION("((IFERROR(MIN(FILTER({K414, N414, Q414}, ISNUMBER({K414, N414, Q414}), {K414, N414, Q414} &gt; 0)), """"))*R414)+IFERROR(MIN(FILTER({K414, N414, Q414}, ISNUMBER({K414, N414, Q414}), {K414, N414, Q414} &gt; 0)), """")"),0.0)</f>
        <v>0</v>
      </c>
      <c r="T414" s="123" t="str">
        <f t="shared" si="1"/>
        <v>#DIV/0!</v>
      </c>
    </row>
    <row r="415">
      <c r="A415" s="113"/>
      <c r="B415" s="113"/>
      <c r="C415" s="113"/>
      <c r="D415" s="114"/>
      <c r="E415" s="113"/>
      <c r="F415" s="113"/>
      <c r="G415" s="115"/>
      <c r="H415" s="116"/>
      <c r="I415" s="117" t="s">
        <v>261</v>
      </c>
      <c r="J415" s="117" t="s">
        <v>261</v>
      </c>
      <c r="K415" s="118"/>
      <c r="L415" s="119"/>
      <c r="M415" s="119"/>
      <c r="N415" s="120"/>
      <c r="O415" s="118"/>
      <c r="P415" s="118"/>
      <c r="Q415" s="118"/>
      <c r="R415" s="121">
        <v>0.67</v>
      </c>
      <c r="S415" s="122">
        <f>IFERROR(__xludf.DUMMYFUNCTION("((IFERROR(MIN(FILTER({K415, N415, Q415}, ISNUMBER({K415, N415, Q415}), {K415, N415, Q415} &gt; 0)), """"))*R415)+IFERROR(MIN(FILTER({K415, N415, Q415}, ISNUMBER({K415, N415, Q415}), {K415, N415, Q415} &gt; 0)), """")"),0.0)</f>
        <v>0</v>
      </c>
      <c r="T415" s="123" t="str">
        <f t="shared" si="1"/>
        <v>#DIV/0!</v>
      </c>
    </row>
    <row r="416">
      <c r="A416" s="113"/>
      <c r="B416" s="113"/>
      <c r="C416" s="113"/>
      <c r="D416" s="114"/>
      <c r="E416" s="113"/>
      <c r="F416" s="113"/>
      <c r="G416" s="115"/>
      <c r="H416" s="116"/>
      <c r="I416" s="117" t="s">
        <v>261</v>
      </c>
      <c r="J416" s="117" t="s">
        <v>261</v>
      </c>
      <c r="K416" s="118"/>
      <c r="L416" s="119"/>
      <c r="M416" s="119"/>
      <c r="N416" s="120"/>
      <c r="O416" s="118"/>
      <c r="P416" s="118"/>
      <c r="Q416" s="118"/>
      <c r="R416" s="121">
        <v>0.67</v>
      </c>
      <c r="S416" s="122">
        <f>IFERROR(__xludf.DUMMYFUNCTION("((IFERROR(MIN(FILTER({K416, N416, Q416}, ISNUMBER({K416, N416, Q416}), {K416, N416, Q416} &gt; 0)), """"))*R416)+IFERROR(MIN(FILTER({K416, N416, Q416}, ISNUMBER({K416, N416, Q416}), {K416, N416, Q416} &gt; 0)), """")"),0.0)</f>
        <v>0</v>
      </c>
      <c r="T416" s="123" t="str">
        <f t="shared" si="1"/>
        <v>#DIV/0!</v>
      </c>
    </row>
    <row r="417">
      <c r="A417" s="113"/>
      <c r="B417" s="113"/>
      <c r="C417" s="113"/>
      <c r="D417" s="114"/>
      <c r="E417" s="113"/>
      <c r="F417" s="113"/>
      <c r="G417" s="115"/>
      <c r="H417" s="116"/>
      <c r="I417" s="117" t="s">
        <v>261</v>
      </c>
      <c r="J417" s="117" t="s">
        <v>261</v>
      </c>
      <c r="K417" s="118"/>
      <c r="L417" s="119"/>
      <c r="M417" s="119"/>
      <c r="N417" s="120"/>
      <c r="O417" s="118"/>
      <c r="P417" s="118"/>
      <c r="Q417" s="118"/>
      <c r="R417" s="121">
        <v>0.67</v>
      </c>
      <c r="S417" s="122">
        <f>IFERROR(__xludf.DUMMYFUNCTION("((IFERROR(MIN(FILTER({K417, N417, Q417}, ISNUMBER({K417, N417, Q417}), {K417, N417, Q417} &gt; 0)), """"))*R417)+IFERROR(MIN(FILTER({K417, N417, Q417}, ISNUMBER({K417, N417, Q417}), {K417, N417, Q417} &gt; 0)), """")"),0.0)</f>
        <v>0</v>
      </c>
      <c r="T417" s="123" t="str">
        <f t="shared" si="1"/>
        <v>#DIV/0!</v>
      </c>
    </row>
    <row r="418">
      <c r="A418" s="113"/>
      <c r="B418" s="113"/>
      <c r="C418" s="113"/>
      <c r="D418" s="114"/>
      <c r="E418" s="113"/>
      <c r="F418" s="113"/>
      <c r="G418" s="115"/>
      <c r="H418" s="116"/>
      <c r="I418" s="117" t="s">
        <v>261</v>
      </c>
      <c r="J418" s="117" t="s">
        <v>261</v>
      </c>
      <c r="K418" s="118"/>
      <c r="L418" s="119"/>
      <c r="M418" s="119"/>
      <c r="N418" s="120"/>
      <c r="O418" s="118"/>
      <c r="P418" s="118"/>
      <c r="Q418" s="118"/>
      <c r="R418" s="121">
        <v>0.67</v>
      </c>
      <c r="S418" s="122">
        <f>IFERROR(__xludf.DUMMYFUNCTION("((IFERROR(MIN(FILTER({K418, N418, Q418}, ISNUMBER({K418, N418, Q418}), {K418, N418, Q418} &gt; 0)), """"))*R418)+IFERROR(MIN(FILTER({K418, N418, Q418}, ISNUMBER({K418, N418, Q418}), {K418, N418, Q418} &gt; 0)), """")"),0.0)</f>
        <v>0</v>
      </c>
      <c r="T418" s="123" t="str">
        <f t="shared" si="1"/>
        <v>#DIV/0!</v>
      </c>
    </row>
    <row r="419">
      <c r="A419" s="113"/>
      <c r="B419" s="113"/>
      <c r="C419" s="113"/>
      <c r="D419" s="114"/>
      <c r="E419" s="113"/>
      <c r="F419" s="113"/>
      <c r="G419" s="115"/>
      <c r="H419" s="116"/>
      <c r="I419" s="117" t="s">
        <v>261</v>
      </c>
      <c r="J419" s="117" t="s">
        <v>261</v>
      </c>
      <c r="K419" s="118"/>
      <c r="L419" s="119"/>
      <c r="M419" s="119"/>
      <c r="N419" s="120"/>
      <c r="O419" s="118"/>
      <c r="P419" s="118"/>
      <c r="Q419" s="118"/>
      <c r="R419" s="121">
        <v>0.67</v>
      </c>
      <c r="S419" s="122">
        <f>IFERROR(__xludf.DUMMYFUNCTION("((IFERROR(MIN(FILTER({K419, N419, Q419}, ISNUMBER({K419, N419, Q419}), {K419, N419, Q419} &gt; 0)), """"))*R419)+IFERROR(MIN(FILTER({K419, N419, Q419}, ISNUMBER({K419, N419, Q419}), {K419, N419, Q419} &gt; 0)), """")"),0.0)</f>
        <v>0</v>
      </c>
      <c r="T419" s="123" t="str">
        <f t="shared" si="1"/>
        <v>#DIV/0!</v>
      </c>
    </row>
    <row r="420">
      <c r="A420" s="113"/>
      <c r="B420" s="113"/>
      <c r="C420" s="113"/>
      <c r="D420" s="114"/>
      <c r="E420" s="113"/>
      <c r="F420" s="113"/>
      <c r="G420" s="115"/>
      <c r="H420" s="116"/>
      <c r="I420" s="117" t="s">
        <v>261</v>
      </c>
      <c r="J420" s="117" t="s">
        <v>261</v>
      </c>
      <c r="K420" s="118"/>
      <c r="L420" s="119"/>
      <c r="M420" s="119"/>
      <c r="N420" s="120"/>
      <c r="O420" s="118"/>
      <c r="P420" s="118"/>
      <c r="Q420" s="118"/>
      <c r="R420" s="121">
        <v>0.67</v>
      </c>
      <c r="S420" s="122">
        <f>IFERROR(__xludf.DUMMYFUNCTION("((IFERROR(MIN(FILTER({K420, N420, Q420}, ISNUMBER({K420, N420, Q420}), {K420, N420, Q420} &gt; 0)), """"))*R420)+IFERROR(MIN(FILTER({K420, N420, Q420}, ISNUMBER({K420, N420, Q420}), {K420, N420, Q420} &gt; 0)), """")"),0.0)</f>
        <v>0</v>
      </c>
      <c r="T420" s="123" t="str">
        <f t="shared" si="1"/>
        <v>#DIV/0!</v>
      </c>
    </row>
    <row r="421">
      <c r="A421" s="113"/>
      <c r="B421" s="113"/>
      <c r="C421" s="113"/>
      <c r="D421" s="114"/>
      <c r="E421" s="113"/>
      <c r="F421" s="113"/>
      <c r="G421" s="115"/>
      <c r="H421" s="116"/>
      <c r="I421" s="117" t="s">
        <v>261</v>
      </c>
      <c r="J421" s="117" t="s">
        <v>261</v>
      </c>
      <c r="K421" s="118"/>
      <c r="L421" s="119"/>
      <c r="M421" s="119"/>
      <c r="N421" s="120"/>
      <c r="O421" s="118"/>
      <c r="P421" s="118"/>
      <c r="Q421" s="118"/>
      <c r="R421" s="121">
        <v>0.67</v>
      </c>
      <c r="S421" s="122">
        <f>IFERROR(__xludf.DUMMYFUNCTION("((IFERROR(MIN(FILTER({K421, N421, Q421}, ISNUMBER({K421, N421, Q421}), {K421, N421, Q421} &gt; 0)), """"))*R421)+IFERROR(MIN(FILTER({K421, N421, Q421}, ISNUMBER({K421, N421, Q421}), {K421, N421, Q421} &gt; 0)), """")"),0.0)</f>
        <v>0</v>
      </c>
      <c r="T421" s="123" t="str">
        <f t="shared" si="1"/>
        <v>#DIV/0!</v>
      </c>
    </row>
    <row r="422">
      <c r="A422" s="113"/>
      <c r="B422" s="113"/>
      <c r="C422" s="113"/>
      <c r="D422" s="114"/>
      <c r="E422" s="113"/>
      <c r="F422" s="113"/>
      <c r="G422" s="115"/>
      <c r="H422" s="116"/>
      <c r="I422" s="117" t="s">
        <v>261</v>
      </c>
      <c r="J422" s="117" t="s">
        <v>261</v>
      </c>
      <c r="K422" s="118"/>
      <c r="L422" s="119"/>
      <c r="M422" s="119"/>
      <c r="N422" s="120"/>
      <c r="O422" s="118"/>
      <c r="P422" s="118"/>
      <c r="Q422" s="118"/>
      <c r="R422" s="121">
        <v>0.67</v>
      </c>
      <c r="S422" s="122">
        <f>IFERROR(__xludf.DUMMYFUNCTION("((IFERROR(MIN(FILTER({K422, N422, Q422}, ISNUMBER({K422, N422, Q422}), {K422, N422, Q422} &gt; 0)), """"))*R422)+IFERROR(MIN(FILTER({K422, N422, Q422}, ISNUMBER({K422, N422, Q422}), {K422, N422, Q422} &gt; 0)), """")"),0.0)</f>
        <v>0</v>
      </c>
      <c r="T422" s="123" t="str">
        <f t="shared" si="1"/>
        <v>#DIV/0!</v>
      </c>
    </row>
    <row r="423">
      <c r="A423" s="113"/>
      <c r="B423" s="113"/>
      <c r="C423" s="113"/>
      <c r="D423" s="114"/>
      <c r="E423" s="113"/>
      <c r="F423" s="113"/>
      <c r="G423" s="115"/>
      <c r="H423" s="116"/>
      <c r="I423" s="117" t="s">
        <v>261</v>
      </c>
      <c r="J423" s="117" t="s">
        <v>261</v>
      </c>
      <c r="K423" s="118"/>
      <c r="L423" s="119"/>
      <c r="M423" s="119"/>
      <c r="N423" s="120"/>
      <c r="O423" s="118"/>
      <c r="P423" s="118"/>
      <c r="Q423" s="118"/>
      <c r="R423" s="121">
        <v>0.67</v>
      </c>
      <c r="S423" s="122">
        <f>IFERROR(__xludf.DUMMYFUNCTION("((IFERROR(MIN(FILTER({K423, N423, Q423}, ISNUMBER({K423, N423, Q423}), {K423, N423, Q423} &gt; 0)), """"))*R423)+IFERROR(MIN(FILTER({K423, N423, Q423}, ISNUMBER({K423, N423, Q423}), {K423, N423, Q423} &gt; 0)), """")"),0.0)</f>
        <v>0</v>
      </c>
      <c r="T423" s="123" t="str">
        <f t="shared" si="1"/>
        <v>#DIV/0!</v>
      </c>
    </row>
    <row r="424">
      <c r="A424" s="113"/>
      <c r="B424" s="113"/>
      <c r="C424" s="113"/>
      <c r="D424" s="114"/>
      <c r="E424" s="113"/>
      <c r="F424" s="113"/>
      <c r="G424" s="115"/>
      <c r="H424" s="116"/>
      <c r="I424" s="117" t="s">
        <v>261</v>
      </c>
      <c r="J424" s="117" t="s">
        <v>261</v>
      </c>
      <c r="K424" s="118"/>
      <c r="L424" s="119"/>
      <c r="M424" s="119"/>
      <c r="N424" s="120"/>
      <c r="O424" s="118"/>
      <c r="P424" s="118"/>
      <c r="Q424" s="118"/>
      <c r="R424" s="121">
        <v>0.67</v>
      </c>
      <c r="S424" s="122">
        <f>IFERROR(__xludf.DUMMYFUNCTION("((IFERROR(MIN(FILTER({K424, N424, Q424}, ISNUMBER({K424, N424, Q424}), {K424, N424, Q424} &gt; 0)), """"))*R424)+IFERROR(MIN(FILTER({K424, N424, Q424}, ISNUMBER({K424, N424, Q424}), {K424, N424, Q424} &gt; 0)), """")"),0.0)</f>
        <v>0</v>
      </c>
      <c r="T424" s="123" t="str">
        <f t="shared" si="1"/>
        <v>#DIV/0!</v>
      </c>
    </row>
    <row r="425">
      <c r="A425" s="113"/>
      <c r="B425" s="113"/>
      <c r="C425" s="113"/>
      <c r="D425" s="114"/>
      <c r="E425" s="113"/>
      <c r="F425" s="113"/>
      <c r="G425" s="115"/>
      <c r="H425" s="116"/>
      <c r="I425" s="117" t="s">
        <v>261</v>
      </c>
      <c r="J425" s="117" t="s">
        <v>261</v>
      </c>
      <c r="K425" s="118"/>
      <c r="L425" s="119"/>
      <c r="M425" s="119"/>
      <c r="N425" s="120"/>
      <c r="O425" s="118"/>
      <c r="P425" s="118"/>
      <c r="Q425" s="118"/>
      <c r="R425" s="121">
        <v>0.67</v>
      </c>
      <c r="S425" s="122">
        <f>IFERROR(__xludf.DUMMYFUNCTION("((IFERROR(MIN(FILTER({K425, N425, Q425}, ISNUMBER({K425, N425, Q425}), {K425, N425, Q425} &gt; 0)), """"))*R425)+IFERROR(MIN(FILTER({K425, N425, Q425}, ISNUMBER({K425, N425, Q425}), {K425, N425, Q425} &gt; 0)), """")"),0.0)</f>
        <v>0</v>
      </c>
      <c r="T425" s="123" t="str">
        <f t="shared" si="1"/>
        <v>#DIV/0!</v>
      </c>
    </row>
    <row r="426">
      <c r="A426" s="113"/>
      <c r="B426" s="113"/>
      <c r="C426" s="113"/>
      <c r="D426" s="114"/>
      <c r="E426" s="113"/>
      <c r="F426" s="113"/>
      <c r="G426" s="115"/>
      <c r="H426" s="116"/>
      <c r="I426" s="117" t="s">
        <v>261</v>
      </c>
      <c r="J426" s="117" t="s">
        <v>261</v>
      </c>
      <c r="K426" s="118"/>
      <c r="L426" s="119"/>
      <c r="M426" s="119"/>
      <c r="N426" s="120"/>
      <c r="O426" s="118"/>
      <c r="P426" s="118"/>
      <c r="Q426" s="118"/>
      <c r="R426" s="121">
        <v>0.67</v>
      </c>
      <c r="S426" s="122">
        <f>IFERROR(__xludf.DUMMYFUNCTION("((IFERROR(MIN(FILTER({K426, N426, Q426}, ISNUMBER({K426, N426, Q426}), {K426, N426, Q426} &gt; 0)), """"))*R426)+IFERROR(MIN(FILTER({K426, N426, Q426}, ISNUMBER({K426, N426, Q426}), {K426, N426, Q426} &gt; 0)), """")"),0.0)</f>
        <v>0</v>
      </c>
      <c r="T426" s="123" t="str">
        <f t="shared" si="1"/>
        <v>#DIV/0!</v>
      </c>
    </row>
    <row r="427">
      <c r="A427" s="113"/>
      <c r="B427" s="113"/>
      <c r="C427" s="113"/>
      <c r="D427" s="114"/>
      <c r="E427" s="113"/>
      <c r="F427" s="113"/>
      <c r="G427" s="115"/>
      <c r="H427" s="116"/>
      <c r="I427" s="117" t="s">
        <v>261</v>
      </c>
      <c r="J427" s="117" t="s">
        <v>261</v>
      </c>
      <c r="K427" s="118"/>
      <c r="L427" s="119"/>
      <c r="M427" s="119"/>
      <c r="N427" s="120"/>
      <c r="O427" s="118"/>
      <c r="P427" s="118"/>
      <c r="Q427" s="118"/>
      <c r="R427" s="121">
        <v>0.67</v>
      </c>
      <c r="S427" s="122">
        <f>IFERROR(__xludf.DUMMYFUNCTION("((IFERROR(MIN(FILTER({K427, N427, Q427}, ISNUMBER({K427, N427, Q427}), {K427, N427, Q427} &gt; 0)), """"))*R427)+IFERROR(MIN(FILTER({K427, N427, Q427}, ISNUMBER({K427, N427, Q427}), {K427, N427, Q427} &gt; 0)), """")"),0.0)</f>
        <v>0</v>
      </c>
      <c r="T427" s="123" t="str">
        <f t="shared" si="1"/>
        <v>#DIV/0!</v>
      </c>
    </row>
    <row r="428">
      <c r="A428" s="113"/>
      <c r="B428" s="113"/>
      <c r="C428" s="113"/>
      <c r="D428" s="114"/>
      <c r="E428" s="113"/>
      <c r="F428" s="113"/>
      <c r="G428" s="115"/>
      <c r="H428" s="116"/>
      <c r="I428" s="117" t="s">
        <v>261</v>
      </c>
      <c r="J428" s="117" t="s">
        <v>261</v>
      </c>
      <c r="K428" s="118"/>
      <c r="L428" s="119"/>
      <c r="M428" s="119"/>
      <c r="N428" s="120"/>
      <c r="O428" s="118"/>
      <c r="P428" s="118"/>
      <c r="Q428" s="118"/>
      <c r="R428" s="121">
        <v>0.67</v>
      </c>
      <c r="S428" s="122">
        <f>IFERROR(__xludf.DUMMYFUNCTION("((IFERROR(MIN(FILTER({K428, N428, Q428}, ISNUMBER({K428, N428, Q428}), {K428, N428, Q428} &gt; 0)), """"))*R428)+IFERROR(MIN(FILTER({K428, N428, Q428}, ISNUMBER({K428, N428, Q428}), {K428, N428, Q428} &gt; 0)), """")"),0.0)</f>
        <v>0</v>
      </c>
      <c r="T428" s="123" t="str">
        <f t="shared" si="1"/>
        <v>#DIV/0!</v>
      </c>
    </row>
    <row r="429">
      <c r="A429" s="113"/>
      <c r="B429" s="113"/>
      <c r="C429" s="113"/>
      <c r="D429" s="114"/>
      <c r="E429" s="113"/>
      <c r="F429" s="113"/>
      <c r="G429" s="115"/>
      <c r="H429" s="116"/>
      <c r="I429" s="117" t="s">
        <v>261</v>
      </c>
      <c r="J429" s="117" t="s">
        <v>261</v>
      </c>
      <c r="K429" s="118"/>
      <c r="L429" s="119"/>
      <c r="M429" s="119"/>
      <c r="N429" s="120"/>
      <c r="O429" s="118"/>
      <c r="P429" s="118"/>
      <c r="Q429" s="118"/>
      <c r="R429" s="121">
        <v>0.67</v>
      </c>
      <c r="S429" s="122">
        <f>IFERROR(__xludf.DUMMYFUNCTION("((IFERROR(MIN(FILTER({K429, N429, Q429}, ISNUMBER({K429, N429, Q429}), {K429, N429, Q429} &gt; 0)), """"))*R429)+IFERROR(MIN(FILTER({K429, N429, Q429}, ISNUMBER({K429, N429, Q429}), {K429, N429, Q429} &gt; 0)), """")"),0.0)</f>
        <v>0</v>
      </c>
      <c r="T429" s="123" t="str">
        <f t="shared" si="1"/>
        <v>#DIV/0!</v>
      </c>
    </row>
    <row r="430">
      <c r="A430" s="113"/>
      <c r="B430" s="113"/>
      <c r="C430" s="113"/>
      <c r="D430" s="114"/>
      <c r="E430" s="113"/>
      <c r="F430" s="113"/>
      <c r="G430" s="115"/>
      <c r="H430" s="116"/>
      <c r="I430" s="117" t="s">
        <v>261</v>
      </c>
      <c r="J430" s="117" t="s">
        <v>261</v>
      </c>
      <c r="K430" s="118"/>
      <c r="L430" s="119"/>
      <c r="M430" s="119"/>
      <c r="N430" s="120"/>
      <c r="O430" s="118"/>
      <c r="P430" s="118"/>
      <c r="Q430" s="118"/>
      <c r="R430" s="121">
        <v>0.67</v>
      </c>
      <c r="S430" s="122">
        <f>IFERROR(__xludf.DUMMYFUNCTION("((IFERROR(MIN(FILTER({K430, N430, Q430}, ISNUMBER({K430, N430, Q430}), {K430, N430, Q430} &gt; 0)), """"))*R430)+IFERROR(MIN(FILTER({K430, N430, Q430}, ISNUMBER({K430, N430, Q430}), {K430, N430, Q430} &gt; 0)), """")"),0.0)</f>
        <v>0</v>
      </c>
      <c r="T430" s="123" t="str">
        <f t="shared" si="1"/>
        <v>#DIV/0!</v>
      </c>
    </row>
    <row r="431">
      <c r="A431" s="113"/>
      <c r="B431" s="113"/>
      <c r="C431" s="113"/>
      <c r="D431" s="114"/>
      <c r="E431" s="113"/>
      <c r="F431" s="113"/>
      <c r="G431" s="115"/>
      <c r="H431" s="116"/>
      <c r="I431" s="117" t="s">
        <v>261</v>
      </c>
      <c r="J431" s="117" t="s">
        <v>261</v>
      </c>
      <c r="K431" s="118"/>
      <c r="L431" s="119"/>
      <c r="M431" s="119"/>
      <c r="N431" s="120"/>
      <c r="O431" s="118"/>
      <c r="P431" s="118"/>
      <c r="Q431" s="118"/>
      <c r="R431" s="121">
        <v>0.67</v>
      </c>
      <c r="S431" s="122">
        <f>IFERROR(__xludf.DUMMYFUNCTION("((IFERROR(MIN(FILTER({K431, N431, Q431}, ISNUMBER({K431, N431, Q431}), {K431, N431, Q431} &gt; 0)), """"))*R431)+IFERROR(MIN(FILTER({K431, N431, Q431}, ISNUMBER({K431, N431, Q431}), {K431, N431, Q431} &gt; 0)), """")"),0.0)</f>
        <v>0</v>
      </c>
      <c r="T431" s="123" t="str">
        <f t="shared" si="1"/>
        <v>#DIV/0!</v>
      </c>
    </row>
    <row r="432">
      <c r="A432" s="113"/>
      <c r="B432" s="113"/>
      <c r="C432" s="113"/>
      <c r="D432" s="114"/>
      <c r="E432" s="113"/>
      <c r="F432" s="113"/>
      <c r="G432" s="115"/>
      <c r="H432" s="116"/>
      <c r="I432" s="117" t="s">
        <v>261</v>
      </c>
      <c r="J432" s="117" t="s">
        <v>261</v>
      </c>
      <c r="K432" s="118"/>
      <c r="L432" s="119"/>
      <c r="M432" s="119"/>
      <c r="N432" s="120"/>
      <c r="O432" s="118"/>
      <c r="P432" s="118"/>
      <c r="Q432" s="118"/>
      <c r="R432" s="121">
        <v>0.67</v>
      </c>
      <c r="S432" s="122">
        <f>IFERROR(__xludf.DUMMYFUNCTION("((IFERROR(MIN(FILTER({K432, N432, Q432}, ISNUMBER({K432, N432, Q432}), {K432, N432, Q432} &gt; 0)), """"))*R432)+IFERROR(MIN(FILTER({K432, N432, Q432}, ISNUMBER({K432, N432, Q432}), {K432, N432, Q432} &gt; 0)), """")"),0.0)</f>
        <v>0</v>
      </c>
      <c r="T432" s="123" t="str">
        <f t="shared" si="1"/>
        <v>#DIV/0!</v>
      </c>
    </row>
    <row r="433">
      <c r="A433" s="113"/>
      <c r="B433" s="113"/>
      <c r="C433" s="113"/>
      <c r="D433" s="114"/>
      <c r="E433" s="113"/>
      <c r="F433" s="113"/>
      <c r="G433" s="115"/>
      <c r="H433" s="116"/>
      <c r="I433" s="117" t="s">
        <v>261</v>
      </c>
      <c r="J433" s="117" t="s">
        <v>261</v>
      </c>
      <c r="K433" s="118"/>
      <c r="L433" s="119"/>
      <c r="M433" s="119"/>
      <c r="N433" s="120"/>
      <c r="O433" s="118"/>
      <c r="P433" s="118"/>
      <c r="Q433" s="118"/>
      <c r="R433" s="121">
        <v>0.67</v>
      </c>
      <c r="S433" s="122">
        <f>IFERROR(__xludf.DUMMYFUNCTION("((IFERROR(MIN(FILTER({K433, N433, Q433}, ISNUMBER({K433, N433, Q433}), {K433, N433, Q433} &gt; 0)), """"))*R433)+IFERROR(MIN(FILTER({K433, N433, Q433}, ISNUMBER({K433, N433, Q433}), {K433, N433, Q433} &gt; 0)), """")"),0.0)</f>
        <v>0</v>
      </c>
      <c r="T433" s="123" t="str">
        <f t="shared" si="1"/>
        <v>#DIV/0!</v>
      </c>
    </row>
    <row r="434">
      <c r="A434" s="113"/>
      <c r="B434" s="113"/>
      <c r="C434" s="113"/>
      <c r="D434" s="114"/>
      <c r="E434" s="113"/>
      <c r="F434" s="113"/>
      <c r="G434" s="115"/>
      <c r="H434" s="116"/>
      <c r="I434" s="117" t="s">
        <v>261</v>
      </c>
      <c r="J434" s="117" t="s">
        <v>261</v>
      </c>
      <c r="K434" s="118"/>
      <c r="L434" s="119"/>
      <c r="M434" s="119"/>
      <c r="N434" s="120"/>
      <c r="O434" s="118"/>
      <c r="P434" s="118"/>
      <c r="Q434" s="118"/>
      <c r="R434" s="121">
        <v>0.67</v>
      </c>
      <c r="S434" s="122">
        <f>IFERROR(__xludf.DUMMYFUNCTION("((IFERROR(MIN(FILTER({K434, N434, Q434}, ISNUMBER({K434, N434, Q434}), {K434, N434, Q434} &gt; 0)), """"))*R434)+IFERROR(MIN(FILTER({K434, N434, Q434}, ISNUMBER({K434, N434, Q434}), {K434, N434, Q434} &gt; 0)), """")"),0.0)</f>
        <v>0</v>
      </c>
      <c r="T434" s="123" t="str">
        <f t="shared" si="1"/>
        <v>#DIV/0!</v>
      </c>
    </row>
    <row r="435">
      <c r="A435" s="113"/>
      <c r="B435" s="113"/>
      <c r="C435" s="113"/>
      <c r="D435" s="114"/>
      <c r="E435" s="113"/>
      <c r="F435" s="113"/>
      <c r="G435" s="115"/>
      <c r="H435" s="116"/>
      <c r="I435" s="117" t="s">
        <v>261</v>
      </c>
      <c r="J435" s="117" t="s">
        <v>261</v>
      </c>
      <c r="K435" s="118"/>
      <c r="L435" s="119"/>
      <c r="M435" s="119"/>
      <c r="N435" s="120"/>
      <c r="O435" s="118"/>
      <c r="P435" s="118"/>
      <c r="Q435" s="118"/>
      <c r="R435" s="121">
        <v>0.67</v>
      </c>
      <c r="S435" s="122">
        <f>IFERROR(__xludf.DUMMYFUNCTION("((IFERROR(MIN(FILTER({K435, N435, Q435}, ISNUMBER({K435, N435, Q435}), {K435, N435, Q435} &gt; 0)), """"))*R435)+IFERROR(MIN(FILTER({K435, N435, Q435}, ISNUMBER({K435, N435, Q435}), {K435, N435, Q435} &gt; 0)), """")"),0.0)</f>
        <v>0</v>
      </c>
      <c r="T435" s="123" t="str">
        <f t="shared" si="1"/>
        <v>#DIV/0!</v>
      </c>
    </row>
    <row r="436">
      <c r="A436" s="113"/>
      <c r="B436" s="113"/>
      <c r="C436" s="113"/>
      <c r="D436" s="114"/>
      <c r="E436" s="113"/>
      <c r="F436" s="113"/>
      <c r="G436" s="115"/>
      <c r="H436" s="116"/>
      <c r="I436" s="117" t="s">
        <v>261</v>
      </c>
      <c r="J436" s="117" t="s">
        <v>261</v>
      </c>
      <c r="K436" s="118"/>
      <c r="L436" s="119"/>
      <c r="M436" s="119"/>
      <c r="N436" s="120"/>
      <c r="O436" s="118"/>
      <c r="P436" s="118"/>
      <c r="Q436" s="118"/>
      <c r="R436" s="121">
        <v>0.67</v>
      </c>
      <c r="S436" s="122">
        <f>IFERROR(__xludf.DUMMYFUNCTION("((IFERROR(MIN(FILTER({K436, N436, Q436}, ISNUMBER({K436, N436, Q436}), {K436, N436, Q436} &gt; 0)), """"))*R436)+IFERROR(MIN(FILTER({K436, N436, Q436}, ISNUMBER({K436, N436, Q436}), {K436, N436, Q436} &gt; 0)), """")"),0.0)</f>
        <v>0</v>
      </c>
      <c r="T436" s="123" t="str">
        <f t="shared" si="1"/>
        <v>#DIV/0!</v>
      </c>
    </row>
    <row r="437">
      <c r="A437" s="113"/>
      <c r="B437" s="113"/>
      <c r="C437" s="113"/>
      <c r="D437" s="114"/>
      <c r="E437" s="113"/>
      <c r="F437" s="113"/>
      <c r="G437" s="115"/>
      <c r="H437" s="116"/>
      <c r="I437" s="117" t="s">
        <v>261</v>
      </c>
      <c r="J437" s="117" t="s">
        <v>261</v>
      </c>
      <c r="K437" s="118"/>
      <c r="L437" s="119"/>
      <c r="M437" s="119"/>
      <c r="N437" s="120"/>
      <c r="O437" s="118"/>
      <c r="P437" s="118"/>
      <c r="Q437" s="118"/>
      <c r="R437" s="121">
        <v>0.67</v>
      </c>
      <c r="S437" s="122">
        <f>IFERROR(__xludf.DUMMYFUNCTION("((IFERROR(MIN(FILTER({K437, N437, Q437}, ISNUMBER({K437, N437, Q437}), {K437, N437, Q437} &gt; 0)), """"))*R437)+IFERROR(MIN(FILTER({K437, N437, Q437}, ISNUMBER({K437, N437, Q437}), {K437, N437, Q437} &gt; 0)), """")"),0.0)</f>
        <v>0</v>
      </c>
      <c r="T437" s="123" t="str">
        <f t="shared" si="1"/>
        <v>#DIV/0!</v>
      </c>
    </row>
    <row r="438">
      <c r="A438" s="113"/>
      <c r="B438" s="113"/>
      <c r="C438" s="113"/>
      <c r="D438" s="114"/>
      <c r="E438" s="113"/>
      <c r="F438" s="113"/>
      <c r="G438" s="115"/>
      <c r="H438" s="116"/>
      <c r="I438" s="117" t="s">
        <v>261</v>
      </c>
      <c r="J438" s="117" t="s">
        <v>261</v>
      </c>
      <c r="K438" s="118"/>
      <c r="L438" s="119"/>
      <c r="M438" s="119"/>
      <c r="N438" s="120"/>
      <c r="O438" s="118"/>
      <c r="P438" s="118"/>
      <c r="Q438" s="118"/>
      <c r="R438" s="121">
        <v>0.67</v>
      </c>
      <c r="S438" s="122">
        <f>IFERROR(__xludf.DUMMYFUNCTION("((IFERROR(MIN(FILTER({K438, N438, Q438}, ISNUMBER({K438, N438, Q438}), {K438, N438, Q438} &gt; 0)), """"))*R438)+IFERROR(MIN(FILTER({K438, N438, Q438}, ISNUMBER({K438, N438, Q438}), {K438, N438, Q438} &gt; 0)), """")"),0.0)</f>
        <v>0</v>
      </c>
      <c r="T438" s="123" t="str">
        <f t="shared" si="1"/>
        <v>#DIV/0!</v>
      </c>
    </row>
    <row r="439">
      <c r="A439" s="113"/>
      <c r="B439" s="113"/>
      <c r="C439" s="113"/>
      <c r="D439" s="114"/>
      <c r="E439" s="113"/>
      <c r="F439" s="113"/>
      <c r="G439" s="115"/>
      <c r="H439" s="116"/>
      <c r="I439" s="117" t="s">
        <v>261</v>
      </c>
      <c r="J439" s="117" t="s">
        <v>261</v>
      </c>
      <c r="K439" s="118"/>
      <c r="L439" s="119"/>
      <c r="M439" s="119"/>
      <c r="N439" s="120"/>
      <c r="O439" s="118"/>
      <c r="P439" s="118"/>
      <c r="Q439" s="118"/>
      <c r="R439" s="121">
        <v>0.67</v>
      </c>
      <c r="S439" s="122">
        <f>IFERROR(__xludf.DUMMYFUNCTION("((IFERROR(MIN(FILTER({K439, N439, Q439}, ISNUMBER({K439, N439, Q439}), {K439, N439, Q439} &gt; 0)), """"))*R439)+IFERROR(MIN(FILTER({K439, N439, Q439}, ISNUMBER({K439, N439, Q439}), {K439, N439, Q439} &gt; 0)), """")"),0.0)</f>
        <v>0</v>
      </c>
      <c r="T439" s="123" t="str">
        <f t="shared" si="1"/>
        <v>#DIV/0!</v>
      </c>
    </row>
    <row r="440">
      <c r="A440" s="113"/>
      <c r="B440" s="113"/>
      <c r="C440" s="113"/>
      <c r="D440" s="114"/>
      <c r="E440" s="113"/>
      <c r="F440" s="113"/>
      <c r="G440" s="115"/>
      <c r="H440" s="116"/>
      <c r="I440" s="117" t="s">
        <v>261</v>
      </c>
      <c r="J440" s="117" t="s">
        <v>261</v>
      </c>
      <c r="K440" s="118"/>
      <c r="L440" s="119"/>
      <c r="M440" s="119"/>
      <c r="N440" s="120"/>
      <c r="O440" s="118"/>
      <c r="P440" s="118"/>
      <c r="Q440" s="118"/>
      <c r="R440" s="121">
        <v>0.67</v>
      </c>
      <c r="S440" s="122">
        <f>IFERROR(__xludf.DUMMYFUNCTION("((IFERROR(MIN(FILTER({K440, N440, Q440}, ISNUMBER({K440, N440, Q440}), {K440, N440, Q440} &gt; 0)), """"))*R440)+IFERROR(MIN(FILTER({K440, N440, Q440}, ISNUMBER({K440, N440, Q440}), {K440, N440, Q440} &gt; 0)), """")"),0.0)</f>
        <v>0</v>
      </c>
      <c r="T440" s="123" t="str">
        <f t="shared" si="1"/>
        <v>#DIV/0!</v>
      </c>
    </row>
    <row r="441">
      <c r="A441" s="113"/>
      <c r="B441" s="113"/>
      <c r="C441" s="113"/>
      <c r="D441" s="114"/>
      <c r="E441" s="113"/>
      <c r="F441" s="113"/>
      <c r="G441" s="115"/>
      <c r="H441" s="116"/>
      <c r="I441" s="117" t="s">
        <v>261</v>
      </c>
      <c r="J441" s="117" t="s">
        <v>261</v>
      </c>
      <c r="K441" s="118"/>
      <c r="L441" s="119"/>
      <c r="M441" s="119"/>
      <c r="N441" s="120"/>
      <c r="O441" s="118"/>
      <c r="P441" s="118"/>
      <c r="Q441" s="118"/>
      <c r="R441" s="121">
        <v>0.67</v>
      </c>
      <c r="S441" s="122">
        <f>IFERROR(__xludf.DUMMYFUNCTION("((IFERROR(MIN(FILTER({K441, N441, Q441}, ISNUMBER({K441, N441, Q441}), {K441, N441, Q441} &gt; 0)), """"))*R441)+IFERROR(MIN(FILTER({K441, N441, Q441}, ISNUMBER({K441, N441, Q441}), {K441, N441, Q441} &gt; 0)), """")"),0.0)</f>
        <v>0</v>
      </c>
      <c r="T441" s="123" t="str">
        <f t="shared" si="1"/>
        <v>#DIV/0!</v>
      </c>
    </row>
    <row r="442">
      <c r="A442" s="113"/>
      <c r="B442" s="113"/>
      <c r="C442" s="113"/>
      <c r="D442" s="114"/>
      <c r="E442" s="113"/>
      <c r="F442" s="113"/>
      <c r="G442" s="115"/>
      <c r="H442" s="116"/>
      <c r="I442" s="117" t="s">
        <v>261</v>
      </c>
      <c r="J442" s="117" t="s">
        <v>261</v>
      </c>
      <c r="K442" s="118"/>
      <c r="L442" s="119"/>
      <c r="M442" s="119"/>
      <c r="N442" s="120"/>
      <c r="O442" s="118"/>
      <c r="P442" s="118"/>
      <c r="Q442" s="118"/>
      <c r="R442" s="121">
        <v>0.67</v>
      </c>
      <c r="S442" s="122">
        <f>IFERROR(__xludf.DUMMYFUNCTION("((IFERROR(MIN(FILTER({K442, N442, Q442}, ISNUMBER({K442, N442, Q442}), {K442, N442, Q442} &gt; 0)), """"))*R442)+IFERROR(MIN(FILTER({K442, N442, Q442}, ISNUMBER({K442, N442, Q442}), {K442, N442, Q442} &gt; 0)), """")"),0.0)</f>
        <v>0</v>
      </c>
      <c r="T442" s="123" t="str">
        <f t="shared" si="1"/>
        <v>#DIV/0!</v>
      </c>
    </row>
    <row r="443">
      <c r="A443" s="113"/>
      <c r="B443" s="113"/>
      <c r="C443" s="113"/>
      <c r="D443" s="114"/>
      <c r="E443" s="113"/>
      <c r="F443" s="113"/>
      <c r="G443" s="115"/>
      <c r="H443" s="116"/>
      <c r="I443" s="117" t="s">
        <v>261</v>
      </c>
      <c r="J443" s="117" t="s">
        <v>261</v>
      </c>
      <c r="K443" s="118"/>
      <c r="L443" s="119"/>
      <c r="M443" s="119"/>
      <c r="N443" s="120"/>
      <c r="O443" s="118"/>
      <c r="P443" s="118"/>
      <c r="Q443" s="118"/>
      <c r="R443" s="121">
        <v>0.67</v>
      </c>
      <c r="S443" s="122">
        <f>IFERROR(__xludf.DUMMYFUNCTION("((IFERROR(MIN(FILTER({K443, N443, Q443}, ISNUMBER({K443, N443, Q443}), {K443, N443, Q443} &gt; 0)), """"))*R443)+IFERROR(MIN(FILTER({K443, N443, Q443}, ISNUMBER({K443, N443, Q443}), {K443, N443, Q443} &gt; 0)), """")"),0.0)</f>
        <v>0</v>
      </c>
      <c r="T443" s="123" t="str">
        <f t="shared" si="1"/>
        <v>#DIV/0!</v>
      </c>
    </row>
    <row r="444">
      <c r="A444" s="113"/>
      <c r="B444" s="113"/>
      <c r="C444" s="113"/>
      <c r="D444" s="114"/>
      <c r="E444" s="113"/>
      <c r="F444" s="113"/>
      <c r="G444" s="115"/>
      <c r="H444" s="116"/>
      <c r="I444" s="117" t="s">
        <v>261</v>
      </c>
      <c r="J444" s="117" t="s">
        <v>261</v>
      </c>
      <c r="K444" s="118"/>
      <c r="L444" s="119"/>
      <c r="M444" s="119"/>
      <c r="N444" s="120"/>
      <c r="O444" s="118"/>
      <c r="P444" s="118"/>
      <c r="Q444" s="118"/>
      <c r="R444" s="121">
        <v>0.67</v>
      </c>
      <c r="S444" s="122">
        <f>IFERROR(__xludf.DUMMYFUNCTION("((IFERROR(MIN(FILTER({K444, N444, Q444}, ISNUMBER({K444, N444, Q444}), {K444, N444, Q444} &gt; 0)), """"))*R444)+IFERROR(MIN(FILTER({K444, N444, Q444}, ISNUMBER({K444, N444, Q444}), {K444, N444, Q444} &gt; 0)), """")"),0.0)</f>
        <v>0</v>
      </c>
      <c r="T444" s="123" t="str">
        <f t="shared" si="1"/>
        <v>#DIV/0!</v>
      </c>
    </row>
    <row r="445">
      <c r="A445" s="113"/>
      <c r="B445" s="113"/>
      <c r="C445" s="113"/>
      <c r="D445" s="114"/>
      <c r="E445" s="113"/>
      <c r="F445" s="113"/>
      <c r="G445" s="115"/>
      <c r="H445" s="116"/>
      <c r="I445" s="117" t="s">
        <v>261</v>
      </c>
      <c r="J445" s="117" t="s">
        <v>261</v>
      </c>
      <c r="K445" s="118"/>
      <c r="L445" s="119"/>
      <c r="M445" s="119"/>
      <c r="N445" s="120"/>
      <c r="O445" s="118"/>
      <c r="P445" s="118"/>
      <c r="Q445" s="118"/>
      <c r="R445" s="121">
        <v>0.67</v>
      </c>
      <c r="S445" s="122">
        <f>IFERROR(__xludf.DUMMYFUNCTION("((IFERROR(MIN(FILTER({K445, N445, Q445}, ISNUMBER({K445, N445, Q445}), {K445, N445, Q445} &gt; 0)), """"))*R445)+IFERROR(MIN(FILTER({K445, N445, Q445}, ISNUMBER({K445, N445, Q445}), {K445, N445, Q445} &gt; 0)), """")"),0.0)</f>
        <v>0</v>
      </c>
      <c r="T445" s="123" t="str">
        <f t="shared" si="1"/>
        <v>#DIV/0!</v>
      </c>
    </row>
    <row r="446">
      <c r="A446" s="113"/>
      <c r="B446" s="113"/>
      <c r="C446" s="113"/>
      <c r="D446" s="114"/>
      <c r="E446" s="113"/>
      <c r="F446" s="113"/>
      <c r="G446" s="115"/>
      <c r="H446" s="116"/>
      <c r="I446" s="117" t="s">
        <v>261</v>
      </c>
      <c r="J446" s="117" t="s">
        <v>261</v>
      </c>
      <c r="K446" s="118"/>
      <c r="L446" s="119"/>
      <c r="M446" s="119"/>
      <c r="N446" s="120"/>
      <c r="O446" s="118"/>
      <c r="P446" s="118"/>
      <c r="Q446" s="118"/>
      <c r="R446" s="121">
        <v>0.67</v>
      </c>
      <c r="S446" s="122">
        <f>IFERROR(__xludf.DUMMYFUNCTION("((IFERROR(MIN(FILTER({K446, N446, Q446}, ISNUMBER({K446, N446, Q446}), {K446, N446, Q446} &gt; 0)), """"))*R446)+IFERROR(MIN(FILTER({K446, N446, Q446}, ISNUMBER({K446, N446, Q446}), {K446, N446, Q446} &gt; 0)), """")"),0.0)</f>
        <v>0</v>
      </c>
      <c r="T446" s="123" t="str">
        <f t="shared" si="1"/>
        <v>#DIV/0!</v>
      </c>
    </row>
    <row r="447">
      <c r="A447" s="113"/>
      <c r="B447" s="113"/>
      <c r="C447" s="113"/>
      <c r="D447" s="114"/>
      <c r="E447" s="113"/>
      <c r="F447" s="113"/>
      <c r="G447" s="115"/>
      <c r="H447" s="116"/>
      <c r="I447" s="117" t="s">
        <v>261</v>
      </c>
      <c r="J447" s="117" t="s">
        <v>261</v>
      </c>
      <c r="K447" s="118"/>
      <c r="L447" s="119"/>
      <c r="M447" s="119"/>
      <c r="N447" s="120"/>
      <c r="O447" s="118"/>
      <c r="P447" s="118"/>
      <c r="Q447" s="118"/>
      <c r="R447" s="121">
        <v>0.67</v>
      </c>
      <c r="S447" s="122">
        <f>IFERROR(__xludf.DUMMYFUNCTION("((IFERROR(MIN(FILTER({K447, N447, Q447}, ISNUMBER({K447, N447, Q447}), {K447, N447, Q447} &gt; 0)), """"))*R447)+IFERROR(MIN(FILTER({K447, N447, Q447}, ISNUMBER({K447, N447, Q447}), {K447, N447, Q447} &gt; 0)), """")"),0.0)</f>
        <v>0</v>
      </c>
      <c r="T447" s="123" t="str">
        <f t="shared" si="1"/>
        <v>#DIV/0!</v>
      </c>
    </row>
    <row r="448">
      <c r="A448" s="113"/>
      <c r="B448" s="113"/>
      <c r="C448" s="113"/>
      <c r="D448" s="114"/>
      <c r="E448" s="113"/>
      <c r="F448" s="113"/>
      <c r="G448" s="115"/>
      <c r="H448" s="116"/>
      <c r="I448" s="117" t="s">
        <v>261</v>
      </c>
      <c r="J448" s="117" t="s">
        <v>261</v>
      </c>
      <c r="K448" s="118"/>
      <c r="L448" s="119"/>
      <c r="M448" s="119"/>
      <c r="N448" s="120"/>
      <c r="O448" s="118"/>
      <c r="P448" s="118"/>
      <c r="Q448" s="118"/>
      <c r="R448" s="121">
        <v>0.67</v>
      </c>
      <c r="S448" s="122">
        <f>IFERROR(__xludf.DUMMYFUNCTION("((IFERROR(MIN(FILTER({K448, N448, Q448}, ISNUMBER({K448, N448, Q448}), {K448, N448, Q448} &gt; 0)), """"))*R448)+IFERROR(MIN(FILTER({K448, N448, Q448}, ISNUMBER({K448, N448, Q448}), {K448, N448, Q448} &gt; 0)), """")"),0.0)</f>
        <v>0</v>
      </c>
      <c r="T448" s="123" t="str">
        <f t="shared" si="1"/>
        <v>#DIV/0!</v>
      </c>
    </row>
    <row r="449">
      <c r="A449" s="113"/>
      <c r="B449" s="113"/>
      <c r="C449" s="113"/>
      <c r="D449" s="114"/>
      <c r="E449" s="113"/>
      <c r="F449" s="113"/>
      <c r="G449" s="115"/>
      <c r="H449" s="116"/>
      <c r="I449" s="117" t="s">
        <v>261</v>
      </c>
      <c r="J449" s="117" t="s">
        <v>261</v>
      </c>
      <c r="K449" s="118"/>
      <c r="L449" s="119"/>
      <c r="M449" s="119"/>
      <c r="N449" s="120"/>
      <c r="O449" s="118"/>
      <c r="P449" s="118"/>
      <c r="Q449" s="118"/>
      <c r="R449" s="121">
        <v>0.67</v>
      </c>
      <c r="S449" s="122">
        <f>IFERROR(__xludf.DUMMYFUNCTION("((IFERROR(MIN(FILTER({K449, N449, Q449}, ISNUMBER({K449, N449, Q449}), {K449, N449, Q449} &gt; 0)), """"))*R449)+IFERROR(MIN(FILTER({K449, N449, Q449}, ISNUMBER({K449, N449, Q449}), {K449, N449, Q449} &gt; 0)), """")"),0.0)</f>
        <v>0</v>
      </c>
      <c r="T449" s="123" t="str">
        <f t="shared" si="1"/>
        <v>#DIV/0!</v>
      </c>
    </row>
    <row r="450">
      <c r="A450" s="113"/>
      <c r="B450" s="113"/>
      <c r="C450" s="113"/>
      <c r="D450" s="114"/>
      <c r="E450" s="113"/>
      <c r="F450" s="113"/>
      <c r="G450" s="115"/>
      <c r="H450" s="116"/>
      <c r="I450" s="117" t="s">
        <v>261</v>
      </c>
      <c r="J450" s="117" t="s">
        <v>261</v>
      </c>
      <c r="K450" s="118"/>
      <c r="L450" s="119"/>
      <c r="M450" s="119"/>
      <c r="N450" s="120"/>
      <c r="O450" s="118"/>
      <c r="P450" s="118"/>
      <c r="Q450" s="118"/>
      <c r="R450" s="121">
        <v>0.67</v>
      </c>
      <c r="S450" s="122">
        <f>IFERROR(__xludf.DUMMYFUNCTION("((IFERROR(MIN(FILTER({K450, N450, Q450}, ISNUMBER({K450, N450, Q450}), {K450, N450, Q450} &gt; 0)), """"))*R450)+IFERROR(MIN(FILTER({K450, N450, Q450}, ISNUMBER({K450, N450, Q450}), {K450, N450, Q450} &gt; 0)), """")"),0.0)</f>
        <v>0</v>
      </c>
      <c r="T450" s="123" t="str">
        <f t="shared" si="1"/>
        <v>#DIV/0!</v>
      </c>
    </row>
    <row r="451">
      <c r="A451" s="113"/>
      <c r="B451" s="113"/>
      <c r="C451" s="113"/>
      <c r="D451" s="114"/>
      <c r="E451" s="113"/>
      <c r="F451" s="113"/>
      <c r="G451" s="115"/>
      <c r="H451" s="116"/>
      <c r="I451" s="117" t="s">
        <v>261</v>
      </c>
      <c r="J451" s="117" t="s">
        <v>261</v>
      </c>
      <c r="K451" s="118"/>
      <c r="L451" s="119"/>
      <c r="M451" s="119"/>
      <c r="N451" s="120"/>
      <c r="O451" s="118"/>
      <c r="P451" s="118"/>
      <c r="Q451" s="118"/>
      <c r="R451" s="121">
        <v>0.67</v>
      </c>
      <c r="S451" s="122">
        <f>IFERROR(__xludf.DUMMYFUNCTION("((IFERROR(MIN(FILTER({K451, N451, Q451}, ISNUMBER({K451, N451, Q451}), {K451, N451, Q451} &gt; 0)), """"))*R451)+IFERROR(MIN(FILTER({K451, N451, Q451}, ISNUMBER({K451, N451, Q451}), {K451, N451, Q451} &gt; 0)), """")"),0.0)</f>
        <v>0</v>
      </c>
      <c r="T451" s="123" t="str">
        <f t="shared" si="1"/>
        <v>#DIV/0!</v>
      </c>
    </row>
    <row r="452">
      <c r="A452" s="113"/>
      <c r="B452" s="113"/>
      <c r="C452" s="113"/>
      <c r="D452" s="114"/>
      <c r="E452" s="113"/>
      <c r="F452" s="113"/>
      <c r="G452" s="115"/>
      <c r="H452" s="116"/>
      <c r="I452" s="117" t="s">
        <v>261</v>
      </c>
      <c r="J452" s="117" t="s">
        <v>261</v>
      </c>
      <c r="K452" s="118"/>
      <c r="L452" s="119"/>
      <c r="M452" s="119"/>
      <c r="N452" s="120"/>
      <c r="O452" s="118"/>
      <c r="P452" s="118"/>
      <c r="Q452" s="118"/>
      <c r="R452" s="121">
        <v>0.67</v>
      </c>
      <c r="S452" s="122">
        <f>IFERROR(__xludf.DUMMYFUNCTION("((IFERROR(MIN(FILTER({K452, N452, Q452}, ISNUMBER({K452, N452, Q452}), {K452, N452, Q452} &gt; 0)), """"))*R452)+IFERROR(MIN(FILTER({K452, N452, Q452}, ISNUMBER({K452, N452, Q452}), {K452, N452, Q452} &gt; 0)), """")"),0.0)</f>
        <v>0</v>
      </c>
      <c r="T452" s="123" t="str">
        <f t="shared" si="1"/>
        <v>#DIV/0!</v>
      </c>
    </row>
    <row r="453">
      <c r="A453" s="113"/>
      <c r="B453" s="113"/>
      <c r="C453" s="113"/>
      <c r="D453" s="114"/>
      <c r="E453" s="113"/>
      <c r="F453" s="113"/>
      <c r="G453" s="115"/>
      <c r="H453" s="116"/>
      <c r="I453" s="117" t="s">
        <v>261</v>
      </c>
      <c r="J453" s="117" t="s">
        <v>261</v>
      </c>
      <c r="K453" s="118"/>
      <c r="L453" s="119"/>
      <c r="M453" s="119"/>
      <c r="N453" s="120"/>
      <c r="O453" s="118"/>
      <c r="P453" s="118"/>
      <c r="Q453" s="118"/>
      <c r="R453" s="121">
        <v>0.67</v>
      </c>
      <c r="S453" s="122">
        <f>IFERROR(__xludf.DUMMYFUNCTION("((IFERROR(MIN(FILTER({K453, N453, Q453}, ISNUMBER({K453, N453, Q453}), {K453, N453, Q453} &gt; 0)), """"))*R453)+IFERROR(MIN(FILTER({K453, N453, Q453}, ISNUMBER({K453, N453, Q453}), {K453, N453, Q453} &gt; 0)), """")"),0.0)</f>
        <v>0</v>
      </c>
      <c r="T453" s="123" t="str">
        <f t="shared" si="1"/>
        <v>#DIV/0!</v>
      </c>
    </row>
    <row r="454">
      <c r="A454" s="113"/>
      <c r="B454" s="113"/>
      <c r="C454" s="113"/>
      <c r="D454" s="114"/>
      <c r="E454" s="113"/>
      <c r="F454" s="113"/>
      <c r="G454" s="115"/>
      <c r="H454" s="116"/>
      <c r="I454" s="117" t="s">
        <v>261</v>
      </c>
      <c r="J454" s="117" t="s">
        <v>261</v>
      </c>
      <c r="K454" s="118"/>
      <c r="L454" s="119"/>
      <c r="M454" s="119"/>
      <c r="N454" s="120"/>
      <c r="O454" s="118"/>
      <c r="P454" s="118"/>
      <c r="Q454" s="118"/>
      <c r="R454" s="121">
        <v>0.67</v>
      </c>
      <c r="S454" s="122">
        <f>IFERROR(__xludf.DUMMYFUNCTION("((IFERROR(MIN(FILTER({K454, N454, Q454}, ISNUMBER({K454, N454, Q454}), {K454, N454, Q454} &gt; 0)), """"))*R454)+IFERROR(MIN(FILTER({K454, N454, Q454}, ISNUMBER({K454, N454, Q454}), {K454, N454, Q454} &gt; 0)), """")"),0.0)</f>
        <v>0</v>
      </c>
      <c r="T454" s="123" t="str">
        <f t="shared" si="1"/>
        <v>#DIV/0!</v>
      </c>
    </row>
    <row r="455">
      <c r="A455" s="113"/>
      <c r="B455" s="113"/>
      <c r="C455" s="113"/>
      <c r="D455" s="114"/>
      <c r="E455" s="113"/>
      <c r="F455" s="113"/>
      <c r="G455" s="115"/>
      <c r="H455" s="116"/>
      <c r="I455" s="117" t="s">
        <v>261</v>
      </c>
      <c r="J455" s="117" t="s">
        <v>261</v>
      </c>
      <c r="K455" s="118"/>
      <c r="L455" s="119"/>
      <c r="M455" s="119"/>
      <c r="N455" s="120"/>
      <c r="O455" s="118"/>
      <c r="P455" s="118"/>
      <c r="Q455" s="118"/>
      <c r="R455" s="121">
        <v>0.67</v>
      </c>
      <c r="S455" s="122">
        <f>IFERROR(__xludf.DUMMYFUNCTION("((IFERROR(MIN(FILTER({K455, N455, Q455}, ISNUMBER({K455, N455, Q455}), {K455, N455, Q455} &gt; 0)), """"))*R455)+IFERROR(MIN(FILTER({K455, N455, Q455}, ISNUMBER({K455, N455, Q455}), {K455, N455, Q455} &gt; 0)), """")"),0.0)</f>
        <v>0</v>
      </c>
      <c r="T455" s="123" t="str">
        <f t="shared" si="1"/>
        <v>#DIV/0!</v>
      </c>
    </row>
    <row r="456">
      <c r="A456" s="113"/>
      <c r="B456" s="113"/>
      <c r="C456" s="113"/>
      <c r="D456" s="114"/>
      <c r="E456" s="113"/>
      <c r="F456" s="113"/>
      <c r="G456" s="115"/>
      <c r="H456" s="116"/>
      <c r="I456" s="117" t="s">
        <v>261</v>
      </c>
      <c r="J456" s="117" t="s">
        <v>261</v>
      </c>
      <c r="K456" s="118"/>
      <c r="L456" s="119"/>
      <c r="M456" s="119"/>
      <c r="N456" s="120"/>
      <c r="O456" s="118"/>
      <c r="P456" s="118"/>
      <c r="Q456" s="118"/>
      <c r="R456" s="121">
        <v>0.67</v>
      </c>
      <c r="S456" s="122">
        <f>IFERROR(__xludf.DUMMYFUNCTION("((IFERROR(MIN(FILTER({K456, N456, Q456}, ISNUMBER({K456, N456, Q456}), {K456, N456, Q456} &gt; 0)), """"))*R456)+IFERROR(MIN(FILTER({K456, N456, Q456}, ISNUMBER({K456, N456, Q456}), {K456, N456, Q456} &gt; 0)), """")"),0.0)</f>
        <v>0</v>
      </c>
      <c r="T456" s="123" t="str">
        <f t="shared" si="1"/>
        <v>#DIV/0!</v>
      </c>
    </row>
    <row r="457">
      <c r="A457" s="113"/>
      <c r="B457" s="113"/>
      <c r="C457" s="113"/>
      <c r="D457" s="114"/>
      <c r="E457" s="113"/>
      <c r="F457" s="113"/>
      <c r="G457" s="115"/>
      <c r="H457" s="116"/>
      <c r="I457" s="117" t="s">
        <v>261</v>
      </c>
      <c r="J457" s="117" t="s">
        <v>261</v>
      </c>
      <c r="K457" s="118"/>
      <c r="L457" s="119"/>
      <c r="M457" s="119"/>
      <c r="N457" s="120"/>
      <c r="O457" s="118"/>
      <c r="P457" s="118"/>
      <c r="Q457" s="118"/>
      <c r="R457" s="121">
        <v>0.67</v>
      </c>
      <c r="S457" s="122">
        <f>IFERROR(__xludf.DUMMYFUNCTION("((IFERROR(MIN(FILTER({K457, N457, Q457}, ISNUMBER({K457, N457, Q457}), {K457, N457, Q457} &gt; 0)), """"))*R457)+IFERROR(MIN(FILTER({K457, N457, Q457}, ISNUMBER({K457, N457, Q457}), {K457, N457, Q457} &gt; 0)), """")"),0.0)</f>
        <v>0</v>
      </c>
      <c r="T457" s="123" t="str">
        <f t="shared" si="1"/>
        <v>#DIV/0!</v>
      </c>
    </row>
    <row r="458">
      <c r="A458" s="113"/>
      <c r="B458" s="113"/>
      <c r="C458" s="113"/>
      <c r="D458" s="114"/>
      <c r="E458" s="113"/>
      <c r="F458" s="113"/>
      <c r="G458" s="115"/>
      <c r="H458" s="116"/>
      <c r="I458" s="117" t="s">
        <v>261</v>
      </c>
      <c r="J458" s="117" t="s">
        <v>261</v>
      </c>
      <c r="K458" s="118"/>
      <c r="L458" s="119"/>
      <c r="M458" s="119"/>
      <c r="N458" s="120"/>
      <c r="O458" s="118"/>
      <c r="P458" s="118"/>
      <c r="Q458" s="118"/>
      <c r="R458" s="121">
        <v>0.67</v>
      </c>
      <c r="S458" s="122">
        <f>IFERROR(__xludf.DUMMYFUNCTION("((IFERROR(MIN(FILTER({K458, N458, Q458}, ISNUMBER({K458, N458, Q458}), {K458, N458, Q458} &gt; 0)), """"))*R458)+IFERROR(MIN(FILTER({K458, N458, Q458}, ISNUMBER({K458, N458, Q458}), {K458, N458, Q458} &gt; 0)), """")"),0.0)</f>
        <v>0</v>
      </c>
      <c r="T458" s="123" t="str">
        <f t="shared" si="1"/>
        <v>#DIV/0!</v>
      </c>
    </row>
    <row r="459">
      <c r="A459" s="113"/>
      <c r="B459" s="113"/>
      <c r="C459" s="113"/>
      <c r="D459" s="114"/>
      <c r="E459" s="113"/>
      <c r="F459" s="113"/>
      <c r="G459" s="115"/>
      <c r="H459" s="116"/>
      <c r="I459" s="117" t="s">
        <v>261</v>
      </c>
      <c r="J459" s="117" t="s">
        <v>261</v>
      </c>
      <c r="K459" s="118"/>
      <c r="L459" s="119"/>
      <c r="M459" s="119"/>
      <c r="N459" s="120"/>
      <c r="O459" s="118"/>
      <c r="P459" s="118"/>
      <c r="Q459" s="118"/>
      <c r="R459" s="121">
        <v>0.67</v>
      </c>
      <c r="S459" s="122">
        <f>IFERROR(__xludf.DUMMYFUNCTION("((IFERROR(MIN(FILTER({K459, N459, Q459}, ISNUMBER({K459, N459, Q459}), {K459, N459, Q459} &gt; 0)), """"))*R459)+IFERROR(MIN(FILTER({K459, N459, Q459}, ISNUMBER({K459, N459, Q459}), {K459, N459, Q459} &gt; 0)), """")"),0.0)</f>
        <v>0</v>
      </c>
      <c r="T459" s="123" t="str">
        <f t="shared" si="1"/>
        <v>#DIV/0!</v>
      </c>
    </row>
    <row r="460">
      <c r="A460" s="113"/>
      <c r="B460" s="113"/>
      <c r="C460" s="113"/>
      <c r="D460" s="114"/>
      <c r="E460" s="113"/>
      <c r="F460" s="113"/>
      <c r="G460" s="115"/>
      <c r="H460" s="116"/>
      <c r="I460" s="117" t="s">
        <v>261</v>
      </c>
      <c r="J460" s="117" t="s">
        <v>261</v>
      </c>
      <c r="K460" s="118"/>
      <c r="L460" s="119"/>
      <c r="M460" s="119"/>
      <c r="N460" s="120"/>
      <c r="O460" s="118"/>
      <c r="P460" s="118"/>
      <c r="Q460" s="118"/>
      <c r="R460" s="121">
        <v>0.67</v>
      </c>
      <c r="S460" s="122">
        <f>IFERROR(__xludf.DUMMYFUNCTION("((IFERROR(MIN(FILTER({K460, N460, Q460}, ISNUMBER({K460, N460, Q460}), {K460, N460, Q460} &gt; 0)), """"))*R460)+IFERROR(MIN(FILTER({K460, N460, Q460}, ISNUMBER({K460, N460, Q460}), {K460, N460, Q460} &gt; 0)), """")"),0.0)</f>
        <v>0</v>
      </c>
      <c r="T460" s="123" t="str">
        <f t="shared" si="1"/>
        <v>#DIV/0!</v>
      </c>
    </row>
    <row r="461">
      <c r="A461" s="113"/>
      <c r="B461" s="113"/>
      <c r="C461" s="113"/>
      <c r="D461" s="114"/>
      <c r="E461" s="113"/>
      <c r="F461" s="113"/>
      <c r="G461" s="115"/>
      <c r="H461" s="116"/>
      <c r="I461" s="117" t="s">
        <v>261</v>
      </c>
      <c r="J461" s="117" t="s">
        <v>261</v>
      </c>
      <c r="K461" s="118"/>
      <c r="L461" s="119"/>
      <c r="M461" s="119"/>
      <c r="N461" s="120"/>
      <c r="O461" s="118"/>
      <c r="P461" s="118"/>
      <c r="Q461" s="118"/>
      <c r="R461" s="121">
        <v>0.67</v>
      </c>
      <c r="S461" s="122">
        <f>IFERROR(__xludf.DUMMYFUNCTION("((IFERROR(MIN(FILTER({K461, N461, Q461}, ISNUMBER({K461, N461, Q461}), {K461, N461, Q461} &gt; 0)), """"))*R461)+IFERROR(MIN(FILTER({K461, N461, Q461}, ISNUMBER({K461, N461, Q461}), {K461, N461, Q461} &gt; 0)), """")"),0.0)</f>
        <v>0</v>
      </c>
      <c r="T461" s="123" t="str">
        <f t="shared" si="1"/>
        <v>#DIV/0!</v>
      </c>
    </row>
    <row r="462">
      <c r="A462" s="113"/>
      <c r="B462" s="113"/>
      <c r="C462" s="113"/>
      <c r="D462" s="114"/>
      <c r="E462" s="113"/>
      <c r="F462" s="113"/>
      <c r="G462" s="115"/>
      <c r="H462" s="116"/>
      <c r="I462" s="117" t="s">
        <v>261</v>
      </c>
      <c r="J462" s="117" t="s">
        <v>261</v>
      </c>
      <c r="K462" s="118"/>
      <c r="L462" s="119"/>
      <c r="M462" s="119"/>
      <c r="N462" s="120"/>
      <c r="O462" s="118"/>
      <c r="P462" s="118"/>
      <c r="Q462" s="118"/>
      <c r="R462" s="121">
        <v>0.67</v>
      </c>
      <c r="S462" s="122">
        <f>IFERROR(__xludf.DUMMYFUNCTION("((IFERROR(MIN(FILTER({K462, N462, Q462}, ISNUMBER({K462, N462, Q462}), {K462, N462, Q462} &gt; 0)), """"))*R462)+IFERROR(MIN(FILTER({K462, N462, Q462}, ISNUMBER({K462, N462, Q462}), {K462, N462, Q462} &gt; 0)), """")"),0.0)</f>
        <v>0</v>
      </c>
      <c r="T462" s="123" t="str">
        <f t="shared" si="1"/>
        <v>#DIV/0!</v>
      </c>
    </row>
    <row r="463">
      <c r="A463" s="113"/>
      <c r="B463" s="113"/>
      <c r="C463" s="113"/>
      <c r="D463" s="114"/>
      <c r="E463" s="113"/>
      <c r="F463" s="113"/>
      <c r="G463" s="115"/>
      <c r="H463" s="116"/>
      <c r="I463" s="117" t="s">
        <v>261</v>
      </c>
      <c r="J463" s="117" t="s">
        <v>261</v>
      </c>
      <c r="K463" s="118"/>
      <c r="L463" s="119"/>
      <c r="M463" s="119"/>
      <c r="N463" s="120"/>
      <c r="O463" s="118"/>
      <c r="P463" s="118"/>
      <c r="Q463" s="118"/>
      <c r="R463" s="121">
        <v>0.67</v>
      </c>
      <c r="S463" s="122">
        <f>IFERROR(__xludf.DUMMYFUNCTION("((IFERROR(MIN(FILTER({K463, N463, Q463}, ISNUMBER({K463, N463, Q463}), {K463, N463, Q463} &gt; 0)), """"))*R463)+IFERROR(MIN(FILTER({K463, N463, Q463}, ISNUMBER({K463, N463, Q463}), {K463, N463, Q463} &gt; 0)), """")"),0.0)</f>
        <v>0</v>
      </c>
      <c r="T463" s="123" t="str">
        <f t="shared" si="1"/>
        <v>#DIV/0!</v>
      </c>
    </row>
    <row r="464">
      <c r="A464" s="113"/>
      <c r="B464" s="113"/>
      <c r="C464" s="113"/>
      <c r="D464" s="114"/>
      <c r="E464" s="113"/>
      <c r="F464" s="113"/>
      <c r="G464" s="115"/>
      <c r="H464" s="116"/>
      <c r="I464" s="117" t="s">
        <v>261</v>
      </c>
      <c r="J464" s="117" t="s">
        <v>261</v>
      </c>
      <c r="K464" s="118"/>
      <c r="L464" s="119"/>
      <c r="M464" s="119"/>
      <c r="N464" s="120"/>
      <c r="O464" s="118"/>
      <c r="P464" s="118"/>
      <c r="Q464" s="118"/>
      <c r="R464" s="121">
        <v>0.67</v>
      </c>
      <c r="S464" s="122">
        <f>IFERROR(__xludf.DUMMYFUNCTION("((IFERROR(MIN(FILTER({K464, N464, Q464}, ISNUMBER({K464, N464, Q464}), {K464, N464, Q464} &gt; 0)), """"))*R464)+IFERROR(MIN(FILTER({K464, N464, Q464}, ISNUMBER({K464, N464, Q464}), {K464, N464, Q464} &gt; 0)), """")"),0.0)</f>
        <v>0</v>
      </c>
      <c r="T464" s="123" t="str">
        <f t="shared" si="1"/>
        <v>#DIV/0!</v>
      </c>
    </row>
    <row r="465">
      <c r="A465" s="113"/>
      <c r="B465" s="113"/>
      <c r="C465" s="113"/>
      <c r="D465" s="114"/>
      <c r="E465" s="113"/>
      <c r="F465" s="113"/>
      <c r="G465" s="115"/>
      <c r="H465" s="116"/>
      <c r="I465" s="117" t="s">
        <v>261</v>
      </c>
      <c r="J465" s="117" t="s">
        <v>261</v>
      </c>
      <c r="K465" s="118"/>
      <c r="L465" s="119"/>
      <c r="M465" s="119"/>
      <c r="N465" s="120"/>
      <c r="O465" s="118"/>
      <c r="P465" s="118"/>
      <c r="Q465" s="118"/>
      <c r="R465" s="121">
        <v>0.67</v>
      </c>
      <c r="S465" s="122">
        <f>IFERROR(__xludf.DUMMYFUNCTION("((IFERROR(MIN(FILTER({K465, N465, Q465}, ISNUMBER({K465, N465, Q465}), {K465, N465, Q465} &gt; 0)), """"))*R465)+IFERROR(MIN(FILTER({K465, N465, Q465}, ISNUMBER({K465, N465, Q465}), {K465, N465, Q465} &gt; 0)), """")"),0.0)</f>
        <v>0</v>
      </c>
      <c r="T465" s="123" t="str">
        <f t="shared" si="1"/>
        <v>#DIV/0!</v>
      </c>
    </row>
    <row r="466">
      <c r="A466" s="113"/>
      <c r="B466" s="113"/>
      <c r="C466" s="113"/>
      <c r="D466" s="114"/>
      <c r="E466" s="113"/>
      <c r="F466" s="113"/>
      <c r="G466" s="115"/>
      <c r="H466" s="116"/>
      <c r="I466" s="117" t="s">
        <v>261</v>
      </c>
      <c r="J466" s="117" t="s">
        <v>261</v>
      </c>
      <c r="K466" s="118"/>
      <c r="L466" s="119"/>
      <c r="M466" s="119"/>
      <c r="N466" s="120"/>
      <c r="O466" s="118"/>
      <c r="P466" s="118"/>
      <c r="Q466" s="118"/>
      <c r="R466" s="121">
        <v>0.67</v>
      </c>
      <c r="S466" s="122">
        <f>IFERROR(__xludf.DUMMYFUNCTION("((IFERROR(MIN(FILTER({K466, N466, Q466}, ISNUMBER({K466, N466, Q466}), {K466, N466, Q466} &gt; 0)), """"))*R466)+IFERROR(MIN(FILTER({K466, N466, Q466}, ISNUMBER({K466, N466, Q466}), {K466, N466, Q466} &gt; 0)), """")"),0.0)</f>
        <v>0</v>
      </c>
      <c r="T466" s="123" t="str">
        <f t="shared" si="1"/>
        <v>#DIV/0!</v>
      </c>
    </row>
    <row r="467">
      <c r="A467" s="113"/>
      <c r="B467" s="113"/>
      <c r="C467" s="113"/>
      <c r="D467" s="114"/>
      <c r="E467" s="113"/>
      <c r="F467" s="113"/>
      <c r="G467" s="115"/>
      <c r="H467" s="116"/>
      <c r="I467" s="117" t="s">
        <v>261</v>
      </c>
      <c r="J467" s="117" t="s">
        <v>261</v>
      </c>
      <c r="K467" s="118"/>
      <c r="L467" s="119"/>
      <c r="M467" s="119"/>
      <c r="N467" s="120"/>
      <c r="O467" s="118"/>
      <c r="P467" s="118"/>
      <c r="Q467" s="118"/>
      <c r="R467" s="121">
        <v>0.67</v>
      </c>
      <c r="S467" s="122">
        <f>IFERROR(__xludf.DUMMYFUNCTION("((IFERROR(MIN(FILTER({K467, N467, Q467}, ISNUMBER({K467, N467, Q467}), {K467, N467, Q467} &gt; 0)), """"))*R467)+IFERROR(MIN(FILTER({K467, N467, Q467}, ISNUMBER({K467, N467, Q467}), {K467, N467, Q467} &gt; 0)), """")"),0.0)</f>
        <v>0</v>
      </c>
      <c r="T467" s="123" t="str">
        <f t="shared" si="1"/>
        <v>#DIV/0!</v>
      </c>
    </row>
    <row r="468">
      <c r="A468" s="113"/>
      <c r="B468" s="113"/>
      <c r="C468" s="113"/>
      <c r="D468" s="114"/>
      <c r="E468" s="113"/>
      <c r="F468" s="113"/>
      <c r="G468" s="115"/>
      <c r="H468" s="116"/>
      <c r="I468" s="117" t="s">
        <v>261</v>
      </c>
      <c r="J468" s="117" t="s">
        <v>261</v>
      </c>
      <c r="K468" s="118"/>
      <c r="L468" s="119"/>
      <c r="M468" s="119"/>
      <c r="N468" s="120"/>
      <c r="O468" s="118"/>
      <c r="P468" s="118"/>
      <c r="Q468" s="118"/>
      <c r="R468" s="121">
        <v>0.67</v>
      </c>
      <c r="S468" s="122">
        <f>IFERROR(__xludf.DUMMYFUNCTION("((IFERROR(MIN(FILTER({K468, N468, Q468}, ISNUMBER({K468, N468, Q468}), {K468, N468, Q468} &gt; 0)), """"))*R468)+IFERROR(MIN(FILTER({K468, N468, Q468}, ISNUMBER({K468, N468, Q468}), {K468, N468, Q468} &gt; 0)), """")"),0.0)</f>
        <v>0</v>
      </c>
      <c r="T468" s="123" t="str">
        <f t="shared" si="1"/>
        <v>#DIV/0!</v>
      </c>
    </row>
    <row r="469">
      <c r="A469" s="113"/>
      <c r="B469" s="113"/>
      <c r="C469" s="113"/>
      <c r="D469" s="114"/>
      <c r="E469" s="113"/>
      <c r="F469" s="113"/>
      <c r="G469" s="115"/>
      <c r="H469" s="116"/>
      <c r="I469" s="117" t="s">
        <v>261</v>
      </c>
      <c r="J469" s="117" t="s">
        <v>261</v>
      </c>
      <c r="K469" s="118"/>
      <c r="L469" s="119"/>
      <c r="M469" s="119"/>
      <c r="N469" s="120"/>
      <c r="O469" s="118"/>
      <c r="P469" s="118"/>
      <c r="Q469" s="118"/>
      <c r="R469" s="121">
        <v>0.67</v>
      </c>
      <c r="S469" s="122">
        <f>IFERROR(__xludf.DUMMYFUNCTION("((IFERROR(MIN(FILTER({K469, N469, Q469}, ISNUMBER({K469, N469, Q469}), {K469, N469, Q469} &gt; 0)), """"))*R469)+IFERROR(MIN(FILTER({K469, N469, Q469}, ISNUMBER({K469, N469, Q469}), {K469, N469, Q469} &gt; 0)), """")"),0.0)</f>
        <v>0</v>
      </c>
      <c r="T469" s="123" t="str">
        <f t="shared" si="1"/>
        <v>#DIV/0!</v>
      </c>
    </row>
    <row r="470">
      <c r="A470" s="113"/>
      <c r="B470" s="113"/>
      <c r="C470" s="113"/>
      <c r="D470" s="114"/>
      <c r="E470" s="113"/>
      <c r="F470" s="113"/>
      <c r="G470" s="115"/>
      <c r="H470" s="116"/>
      <c r="I470" s="117" t="s">
        <v>261</v>
      </c>
      <c r="J470" s="117" t="s">
        <v>261</v>
      </c>
      <c r="K470" s="118"/>
      <c r="L470" s="119"/>
      <c r="M470" s="119"/>
      <c r="N470" s="120"/>
      <c r="O470" s="118"/>
      <c r="P470" s="118"/>
      <c r="Q470" s="118"/>
      <c r="R470" s="121">
        <v>0.67</v>
      </c>
      <c r="S470" s="122">
        <f>IFERROR(__xludf.DUMMYFUNCTION("((IFERROR(MIN(FILTER({K470, N470, Q470}, ISNUMBER({K470, N470, Q470}), {K470, N470, Q470} &gt; 0)), """"))*R470)+IFERROR(MIN(FILTER({K470, N470, Q470}, ISNUMBER({K470, N470, Q470}), {K470, N470, Q470} &gt; 0)), """")"),0.0)</f>
        <v>0</v>
      </c>
      <c r="T470" s="123" t="str">
        <f t="shared" si="1"/>
        <v>#DIV/0!</v>
      </c>
    </row>
    <row r="471">
      <c r="A471" s="113"/>
      <c r="B471" s="113"/>
      <c r="C471" s="113"/>
      <c r="D471" s="114"/>
      <c r="E471" s="113"/>
      <c r="F471" s="113"/>
      <c r="G471" s="115"/>
      <c r="H471" s="116"/>
      <c r="I471" s="117" t="s">
        <v>261</v>
      </c>
      <c r="J471" s="117" t="s">
        <v>261</v>
      </c>
      <c r="K471" s="118"/>
      <c r="L471" s="119"/>
      <c r="M471" s="119"/>
      <c r="N471" s="120"/>
      <c r="O471" s="118"/>
      <c r="P471" s="118"/>
      <c r="Q471" s="118"/>
      <c r="R471" s="121">
        <v>0.67</v>
      </c>
      <c r="S471" s="122">
        <f>IFERROR(__xludf.DUMMYFUNCTION("((IFERROR(MIN(FILTER({K471, N471, Q471}, ISNUMBER({K471, N471, Q471}), {K471, N471, Q471} &gt; 0)), """"))*R471)+IFERROR(MIN(FILTER({K471, N471, Q471}, ISNUMBER({K471, N471, Q471}), {K471, N471, Q471} &gt; 0)), """")"),0.0)</f>
        <v>0</v>
      </c>
      <c r="T471" s="123" t="str">
        <f t="shared" si="1"/>
        <v>#DIV/0!</v>
      </c>
    </row>
    <row r="472">
      <c r="A472" s="113"/>
      <c r="B472" s="113"/>
      <c r="C472" s="113"/>
      <c r="D472" s="114"/>
      <c r="E472" s="113"/>
      <c r="F472" s="113"/>
      <c r="G472" s="115"/>
      <c r="H472" s="116"/>
      <c r="I472" s="117" t="s">
        <v>261</v>
      </c>
      <c r="J472" s="117" t="s">
        <v>261</v>
      </c>
      <c r="K472" s="118"/>
      <c r="L472" s="119"/>
      <c r="M472" s="119"/>
      <c r="N472" s="120"/>
      <c r="O472" s="118"/>
      <c r="P472" s="118"/>
      <c r="Q472" s="118"/>
      <c r="R472" s="121">
        <v>0.67</v>
      </c>
      <c r="S472" s="122">
        <f>IFERROR(__xludf.DUMMYFUNCTION("((IFERROR(MIN(FILTER({K472, N472, Q472}, ISNUMBER({K472, N472, Q472}), {K472, N472, Q472} &gt; 0)), """"))*R472)+IFERROR(MIN(FILTER({K472, N472, Q472}, ISNUMBER({K472, N472, Q472}), {K472, N472, Q472} &gt; 0)), """")"),0.0)</f>
        <v>0</v>
      </c>
      <c r="T472" s="123" t="str">
        <f t="shared" si="1"/>
        <v>#DIV/0!</v>
      </c>
    </row>
    <row r="473">
      <c r="A473" s="113"/>
      <c r="B473" s="113"/>
      <c r="C473" s="113"/>
      <c r="D473" s="114"/>
      <c r="E473" s="113"/>
      <c r="F473" s="113"/>
      <c r="G473" s="115"/>
      <c r="H473" s="116"/>
      <c r="I473" s="117" t="s">
        <v>261</v>
      </c>
      <c r="J473" s="117" t="s">
        <v>261</v>
      </c>
      <c r="K473" s="118"/>
      <c r="L473" s="119"/>
      <c r="M473" s="119"/>
      <c r="N473" s="120"/>
      <c r="O473" s="118"/>
      <c r="P473" s="118"/>
      <c r="Q473" s="118"/>
      <c r="R473" s="121">
        <v>0.67</v>
      </c>
      <c r="S473" s="122">
        <f>IFERROR(__xludf.DUMMYFUNCTION("((IFERROR(MIN(FILTER({K473, N473, Q473}, ISNUMBER({K473, N473, Q473}), {K473, N473, Q473} &gt; 0)), """"))*R473)+IFERROR(MIN(FILTER({K473, N473, Q473}, ISNUMBER({K473, N473, Q473}), {K473, N473, Q473} &gt; 0)), """")"),0.0)</f>
        <v>0</v>
      </c>
      <c r="T473" s="123" t="str">
        <f t="shared" si="1"/>
        <v>#DIV/0!</v>
      </c>
    </row>
    <row r="474">
      <c r="A474" s="113"/>
      <c r="B474" s="113"/>
      <c r="C474" s="113"/>
      <c r="D474" s="114"/>
      <c r="E474" s="113"/>
      <c r="F474" s="113"/>
      <c r="G474" s="115"/>
      <c r="H474" s="116"/>
      <c r="I474" s="117" t="s">
        <v>261</v>
      </c>
      <c r="J474" s="117" t="s">
        <v>261</v>
      </c>
      <c r="K474" s="118"/>
      <c r="L474" s="119"/>
      <c r="M474" s="119"/>
      <c r="N474" s="120"/>
      <c r="O474" s="118"/>
      <c r="P474" s="118"/>
      <c r="Q474" s="118"/>
      <c r="R474" s="121">
        <v>0.67</v>
      </c>
      <c r="S474" s="122">
        <f>IFERROR(__xludf.DUMMYFUNCTION("((IFERROR(MIN(FILTER({K474, N474, Q474}, ISNUMBER({K474, N474, Q474}), {K474, N474, Q474} &gt; 0)), """"))*R474)+IFERROR(MIN(FILTER({K474, N474, Q474}, ISNUMBER({K474, N474, Q474}), {K474, N474, Q474} &gt; 0)), """")"),0.0)</f>
        <v>0</v>
      </c>
      <c r="T474" s="123" t="str">
        <f t="shared" si="1"/>
        <v>#DIV/0!</v>
      </c>
    </row>
    <row r="475">
      <c r="A475" s="113"/>
      <c r="B475" s="113"/>
      <c r="C475" s="113"/>
      <c r="D475" s="114"/>
      <c r="E475" s="113"/>
      <c r="F475" s="113"/>
      <c r="G475" s="115"/>
      <c r="H475" s="116"/>
      <c r="I475" s="117" t="s">
        <v>261</v>
      </c>
      <c r="J475" s="117" t="s">
        <v>261</v>
      </c>
      <c r="K475" s="118"/>
      <c r="L475" s="119"/>
      <c r="M475" s="119"/>
      <c r="N475" s="120"/>
      <c r="O475" s="118"/>
      <c r="P475" s="118"/>
      <c r="Q475" s="118"/>
      <c r="R475" s="121">
        <v>0.67</v>
      </c>
      <c r="S475" s="122">
        <f>IFERROR(__xludf.DUMMYFUNCTION("((IFERROR(MIN(FILTER({K475, N475, Q475}, ISNUMBER({K475, N475, Q475}), {K475, N475, Q475} &gt; 0)), """"))*R475)+IFERROR(MIN(FILTER({K475, N475, Q475}, ISNUMBER({K475, N475, Q475}), {K475, N475, Q475} &gt; 0)), """")"),0.0)</f>
        <v>0</v>
      </c>
      <c r="T475" s="123" t="str">
        <f t="shared" si="1"/>
        <v>#DIV/0!</v>
      </c>
    </row>
    <row r="476">
      <c r="A476" s="113"/>
      <c r="B476" s="113"/>
      <c r="C476" s="113"/>
      <c r="D476" s="114"/>
      <c r="E476" s="113"/>
      <c r="F476" s="113"/>
      <c r="G476" s="115"/>
      <c r="H476" s="116"/>
      <c r="I476" s="117" t="s">
        <v>261</v>
      </c>
      <c r="J476" s="117" t="s">
        <v>261</v>
      </c>
      <c r="K476" s="118"/>
      <c r="L476" s="119"/>
      <c r="M476" s="119"/>
      <c r="N476" s="120"/>
      <c r="O476" s="118"/>
      <c r="P476" s="118"/>
      <c r="Q476" s="118"/>
      <c r="R476" s="121">
        <v>0.67</v>
      </c>
      <c r="S476" s="122">
        <f>IFERROR(__xludf.DUMMYFUNCTION("((IFERROR(MIN(FILTER({K476, N476, Q476}, ISNUMBER({K476, N476, Q476}), {K476, N476, Q476} &gt; 0)), """"))*R476)+IFERROR(MIN(FILTER({K476, N476, Q476}, ISNUMBER({K476, N476, Q476}), {K476, N476, Q476} &gt; 0)), """")"),0.0)</f>
        <v>0</v>
      </c>
      <c r="T476" s="123" t="str">
        <f t="shared" si="1"/>
        <v>#DIV/0!</v>
      </c>
    </row>
    <row r="477">
      <c r="A477" s="113"/>
      <c r="B477" s="113"/>
      <c r="C477" s="113"/>
      <c r="D477" s="114"/>
      <c r="E477" s="113"/>
      <c r="F477" s="113"/>
      <c r="G477" s="115"/>
      <c r="H477" s="116"/>
      <c r="I477" s="117" t="s">
        <v>261</v>
      </c>
      <c r="J477" s="117" t="s">
        <v>261</v>
      </c>
      <c r="K477" s="118"/>
      <c r="L477" s="119"/>
      <c r="M477" s="119"/>
      <c r="N477" s="120"/>
      <c r="O477" s="118"/>
      <c r="P477" s="118"/>
      <c r="Q477" s="118"/>
      <c r="R477" s="121">
        <v>0.67</v>
      </c>
      <c r="S477" s="122">
        <f>IFERROR(__xludf.DUMMYFUNCTION("((IFERROR(MIN(FILTER({K477, N477, Q477}, ISNUMBER({K477, N477, Q477}), {K477, N477, Q477} &gt; 0)), """"))*R477)+IFERROR(MIN(FILTER({K477, N477, Q477}, ISNUMBER({K477, N477, Q477}), {K477, N477, Q477} &gt; 0)), """")"),0.0)</f>
        <v>0</v>
      </c>
      <c r="T477" s="123" t="str">
        <f t="shared" si="1"/>
        <v>#DIV/0!</v>
      </c>
    </row>
    <row r="478">
      <c r="A478" s="113"/>
      <c r="B478" s="113"/>
      <c r="C478" s="113"/>
      <c r="D478" s="114"/>
      <c r="E478" s="113"/>
      <c r="F478" s="113"/>
      <c r="G478" s="115"/>
      <c r="H478" s="116"/>
      <c r="I478" s="117" t="s">
        <v>261</v>
      </c>
      <c r="J478" s="117" t="s">
        <v>261</v>
      </c>
      <c r="K478" s="118"/>
      <c r="L478" s="119"/>
      <c r="M478" s="119"/>
      <c r="N478" s="120"/>
      <c r="O478" s="118"/>
      <c r="P478" s="118"/>
      <c r="Q478" s="118"/>
      <c r="R478" s="121">
        <v>0.67</v>
      </c>
      <c r="S478" s="122">
        <f>IFERROR(__xludf.DUMMYFUNCTION("((IFERROR(MIN(FILTER({K478, N478, Q478}, ISNUMBER({K478, N478, Q478}), {K478, N478, Q478} &gt; 0)), """"))*R478)+IFERROR(MIN(FILTER({K478, N478, Q478}, ISNUMBER({K478, N478, Q478}), {K478, N478, Q478} &gt; 0)), """")"),0.0)</f>
        <v>0</v>
      </c>
      <c r="T478" s="123" t="str">
        <f t="shared" si="1"/>
        <v>#DIV/0!</v>
      </c>
    </row>
    <row r="479">
      <c r="A479" s="113"/>
      <c r="B479" s="113"/>
      <c r="C479" s="113"/>
      <c r="D479" s="114"/>
      <c r="E479" s="113"/>
      <c r="F479" s="113"/>
      <c r="G479" s="115"/>
      <c r="H479" s="116"/>
      <c r="I479" s="117" t="s">
        <v>261</v>
      </c>
      <c r="J479" s="117" t="s">
        <v>261</v>
      </c>
      <c r="K479" s="118"/>
      <c r="L479" s="119"/>
      <c r="M479" s="119"/>
      <c r="N479" s="120"/>
      <c r="O479" s="118"/>
      <c r="P479" s="118"/>
      <c r="Q479" s="118"/>
      <c r="R479" s="121">
        <v>0.67</v>
      </c>
      <c r="S479" s="122">
        <f>IFERROR(__xludf.DUMMYFUNCTION("((IFERROR(MIN(FILTER({K479, N479, Q479}, ISNUMBER({K479, N479, Q479}), {K479, N479, Q479} &gt; 0)), """"))*R479)+IFERROR(MIN(FILTER({K479, N479, Q479}, ISNUMBER({K479, N479, Q479}), {K479, N479, Q479} &gt; 0)), """")"),0.0)</f>
        <v>0</v>
      </c>
      <c r="T479" s="123" t="str">
        <f t="shared" si="1"/>
        <v>#DIV/0!</v>
      </c>
    </row>
    <row r="480">
      <c r="A480" s="113"/>
      <c r="B480" s="113"/>
      <c r="C480" s="113"/>
      <c r="D480" s="114"/>
      <c r="E480" s="113"/>
      <c r="F480" s="113"/>
      <c r="G480" s="115"/>
      <c r="H480" s="116"/>
      <c r="I480" s="117" t="s">
        <v>261</v>
      </c>
      <c r="J480" s="117" t="s">
        <v>261</v>
      </c>
      <c r="K480" s="118"/>
      <c r="L480" s="119"/>
      <c r="M480" s="119"/>
      <c r="N480" s="120"/>
      <c r="O480" s="118"/>
      <c r="P480" s="118"/>
      <c r="Q480" s="118"/>
      <c r="R480" s="121">
        <v>0.67</v>
      </c>
      <c r="S480" s="122">
        <f>IFERROR(__xludf.DUMMYFUNCTION("((IFERROR(MIN(FILTER({K480, N480, Q480}, ISNUMBER({K480, N480, Q480}), {K480, N480, Q480} &gt; 0)), """"))*R480)+IFERROR(MIN(FILTER({K480, N480, Q480}, ISNUMBER({K480, N480, Q480}), {K480, N480, Q480} &gt; 0)), """")"),0.0)</f>
        <v>0</v>
      </c>
      <c r="T480" s="123" t="str">
        <f t="shared" si="1"/>
        <v>#DIV/0!</v>
      </c>
    </row>
    <row r="481">
      <c r="A481" s="113"/>
      <c r="B481" s="113"/>
      <c r="C481" s="113"/>
      <c r="D481" s="114"/>
      <c r="E481" s="113"/>
      <c r="F481" s="113"/>
      <c r="G481" s="115"/>
      <c r="H481" s="116"/>
      <c r="I481" s="117" t="s">
        <v>261</v>
      </c>
      <c r="J481" s="117" t="s">
        <v>261</v>
      </c>
      <c r="K481" s="118"/>
      <c r="L481" s="119"/>
      <c r="M481" s="119"/>
      <c r="N481" s="120"/>
      <c r="O481" s="118"/>
      <c r="P481" s="118"/>
      <c r="Q481" s="118"/>
      <c r="R481" s="121">
        <v>0.67</v>
      </c>
      <c r="S481" s="122">
        <f>IFERROR(__xludf.DUMMYFUNCTION("((IFERROR(MIN(FILTER({K481, N481, Q481}, ISNUMBER({K481, N481, Q481}), {K481, N481, Q481} &gt; 0)), """"))*R481)+IFERROR(MIN(FILTER({K481, N481, Q481}, ISNUMBER({K481, N481, Q481}), {K481, N481, Q481} &gt; 0)), """")"),0.0)</f>
        <v>0</v>
      </c>
      <c r="T481" s="123" t="str">
        <f t="shared" si="1"/>
        <v>#DIV/0!</v>
      </c>
    </row>
    <row r="482">
      <c r="A482" s="113"/>
      <c r="B482" s="113"/>
      <c r="C482" s="113"/>
      <c r="D482" s="114"/>
      <c r="E482" s="113"/>
      <c r="F482" s="113"/>
      <c r="G482" s="115"/>
      <c r="H482" s="116"/>
      <c r="I482" s="117" t="s">
        <v>261</v>
      </c>
      <c r="J482" s="117" t="s">
        <v>261</v>
      </c>
      <c r="K482" s="118"/>
      <c r="L482" s="119"/>
      <c r="M482" s="119"/>
      <c r="N482" s="120"/>
      <c r="O482" s="118"/>
      <c r="P482" s="118"/>
      <c r="Q482" s="118"/>
      <c r="R482" s="121">
        <v>0.67</v>
      </c>
      <c r="S482" s="122">
        <f>IFERROR(__xludf.DUMMYFUNCTION("((IFERROR(MIN(FILTER({K482, N482, Q482}, ISNUMBER({K482, N482, Q482}), {K482, N482, Q482} &gt; 0)), """"))*R482)+IFERROR(MIN(FILTER({K482, N482, Q482}, ISNUMBER({K482, N482, Q482}), {K482, N482, Q482} &gt; 0)), """")"),0.0)</f>
        <v>0</v>
      </c>
      <c r="T482" s="123" t="str">
        <f t="shared" si="1"/>
        <v>#DIV/0!</v>
      </c>
    </row>
    <row r="483">
      <c r="A483" s="113"/>
      <c r="B483" s="113"/>
      <c r="C483" s="113"/>
      <c r="D483" s="114"/>
      <c r="E483" s="113"/>
      <c r="F483" s="113"/>
      <c r="G483" s="115"/>
      <c r="H483" s="116"/>
      <c r="I483" s="117" t="s">
        <v>261</v>
      </c>
      <c r="J483" s="117" t="s">
        <v>261</v>
      </c>
      <c r="K483" s="118"/>
      <c r="L483" s="119"/>
      <c r="M483" s="119"/>
      <c r="N483" s="120"/>
      <c r="O483" s="118"/>
      <c r="P483" s="118"/>
      <c r="Q483" s="118"/>
      <c r="R483" s="121">
        <v>0.67</v>
      </c>
      <c r="S483" s="122">
        <f>IFERROR(__xludf.DUMMYFUNCTION("((IFERROR(MIN(FILTER({K483, N483, Q483}, ISNUMBER({K483, N483, Q483}), {K483, N483, Q483} &gt; 0)), """"))*R483)+IFERROR(MIN(FILTER({K483, N483, Q483}, ISNUMBER({K483, N483, Q483}), {K483, N483, Q483} &gt; 0)), """")"),0.0)</f>
        <v>0</v>
      </c>
      <c r="T483" s="123" t="str">
        <f t="shared" si="1"/>
        <v>#DIV/0!</v>
      </c>
    </row>
    <row r="484">
      <c r="A484" s="113"/>
      <c r="B484" s="113"/>
      <c r="C484" s="113"/>
      <c r="D484" s="114"/>
      <c r="E484" s="113"/>
      <c r="F484" s="113"/>
      <c r="G484" s="115"/>
      <c r="H484" s="116"/>
      <c r="I484" s="117" t="s">
        <v>261</v>
      </c>
      <c r="J484" s="117" t="s">
        <v>261</v>
      </c>
      <c r="K484" s="118"/>
      <c r="L484" s="119"/>
      <c r="M484" s="119"/>
      <c r="N484" s="120"/>
      <c r="O484" s="118"/>
      <c r="P484" s="118"/>
      <c r="Q484" s="118"/>
      <c r="R484" s="121">
        <v>0.67</v>
      </c>
      <c r="S484" s="122">
        <f>IFERROR(__xludf.DUMMYFUNCTION("((IFERROR(MIN(FILTER({K484, N484, Q484}, ISNUMBER({K484, N484, Q484}), {K484, N484, Q484} &gt; 0)), """"))*R484)+IFERROR(MIN(FILTER({K484, N484, Q484}, ISNUMBER({K484, N484, Q484}), {K484, N484, Q484} &gt; 0)), """")"),0.0)</f>
        <v>0</v>
      </c>
      <c r="T484" s="123" t="str">
        <f t="shared" si="1"/>
        <v>#DIV/0!</v>
      </c>
    </row>
    <row r="485">
      <c r="A485" s="113"/>
      <c r="B485" s="113"/>
      <c r="C485" s="113"/>
      <c r="D485" s="114"/>
      <c r="E485" s="113"/>
      <c r="F485" s="113"/>
      <c r="G485" s="115"/>
      <c r="H485" s="116"/>
      <c r="I485" s="117" t="s">
        <v>261</v>
      </c>
      <c r="J485" s="117" t="s">
        <v>261</v>
      </c>
      <c r="K485" s="118"/>
      <c r="L485" s="119"/>
      <c r="M485" s="119"/>
      <c r="N485" s="120"/>
      <c r="O485" s="118"/>
      <c r="P485" s="118"/>
      <c r="Q485" s="118"/>
      <c r="R485" s="121">
        <v>0.67</v>
      </c>
      <c r="S485" s="122">
        <f>IFERROR(__xludf.DUMMYFUNCTION("((IFERROR(MIN(FILTER({K485, N485, Q485}, ISNUMBER({K485, N485, Q485}), {K485, N485, Q485} &gt; 0)), """"))*R485)+IFERROR(MIN(FILTER({K485, N485, Q485}, ISNUMBER({K485, N485, Q485}), {K485, N485, Q485} &gt; 0)), """")"),0.0)</f>
        <v>0</v>
      </c>
      <c r="T485" s="123" t="str">
        <f t="shared" si="1"/>
        <v>#DIV/0!</v>
      </c>
    </row>
    <row r="486">
      <c r="A486" s="113"/>
      <c r="B486" s="113"/>
      <c r="C486" s="113"/>
      <c r="D486" s="114"/>
      <c r="E486" s="113"/>
      <c r="F486" s="113"/>
      <c r="G486" s="115"/>
      <c r="H486" s="116"/>
      <c r="I486" s="117" t="s">
        <v>261</v>
      </c>
      <c r="J486" s="117" t="s">
        <v>261</v>
      </c>
      <c r="K486" s="118"/>
      <c r="L486" s="119"/>
      <c r="M486" s="119"/>
      <c r="N486" s="120"/>
      <c r="O486" s="118"/>
      <c r="P486" s="118"/>
      <c r="Q486" s="118"/>
      <c r="R486" s="121">
        <v>0.67</v>
      </c>
      <c r="S486" s="122">
        <f>IFERROR(__xludf.DUMMYFUNCTION("((IFERROR(MIN(FILTER({K486, N486, Q486}, ISNUMBER({K486, N486, Q486}), {K486, N486, Q486} &gt; 0)), """"))*R486)+IFERROR(MIN(FILTER({K486, N486, Q486}, ISNUMBER({K486, N486, Q486}), {K486, N486, Q486} &gt; 0)), """")"),0.0)</f>
        <v>0</v>
      </c>
      <c r="T486" s="123" t="str">
        <f t="shared" si="1"/>
        <v>#DIV/0!</v>
      </c>
    </row>
    <row r="487">
      <c r="A487" s="113"/>
      <c r="B487" s="113"/>
      <c r="C487" s="113"/>
      <c r="D487" s="114"/>
      <c r="E487" s="113"/>
      <c r="F487" s="113"/>
      <c r="G487" s="115"/>
      <c r="H487" s="116"/>
      <c r="I487" s="117" t="s">
        <v>261</v>
      </c>
      <c r="J487" s="117" t="s">
        <v>261</v>
      </c>
      <c r="K487" s="118"/>
      <c r="L487" s="119"/>
      <c r="M487" s="119"/>
      <c r="N487" s="120"/>
      <c r="O487" s="118"/>
      <c r="P487" s="118"/>
      <c r="Q487" s="118"/>
      <c r="R487" s="121">
        <v>0.67</v>
      </c>
      <c r="S487" s="122">
        <f>IFERROR(__xludf.DUMMYFUNCTION("((IFERROR(MIN(FILTER({K487, N487, Q487}, ISNUMBER({K487, N487, Q487}), {K487, N487, Q487} &gt; 0)), """"))*R487)+IFERROR(MIN(FILTER({K487, N487, Q487}, ISNUMBER({K487, N487, Q487}), {K487, N487, Q487} &gt; 0)), """")"),0.0)</f>
        <v>0</v>
      </c>
      <c r="T487" s="123" t="str">
        <f t="shared" si="1"/>
        <v>#DIV/0!</v>
      </c>
    </row>
    <row r="488">
      <c r="A488" s="113"/>
      <c r="B488" s="113"/>
      <c r="C488" s="113"/>
      <c r="D488" s="114"/>
      <c r="E488" s="113"/>
      <c r="F488" s="113"/>
      <c r="G488" s="115"/>
      <c r="H488" s="116"/>
      <c r="I488" s="117" t="s">
        <v>261</v>
      </c>
      <c r="J488" s="117" t="s">
        <v>261</v>
      </c>
      <c r="K488" s="118"/>
      <c r="L488" s="119"/>
      <c r="M488" s="119"/>
      <c r="N488" s="120"/>
      <c r="O488" s="118"/>
      <c r="P488" s="118"/>
      <c r="Q488" s="118"/>
      <c r="R488" s="121">
        <v>0.67</v>
      </c>
      <c r="S488" s="122">
        <f>IFERROR(__xludf.DUMMYFUNCTION("((IFERROR(MIN(FILTER({K488, N488, Q488}, ISNUMBER({K488, N488, Q488}), {K488, N488, Q488} &gt; 0)), """"))*R488)+IFERROR(MIN(FILTER({K488, N488, Q488}, ISNUMBER({K488, N488, Q488}), {K488, N488, Q488} &gt; 0)), """")"),0.0)</f>
        <v>0</v>
      </c>
      <c r="T488" s="123" t="str">
        <f t="shared" si="1"/>
        <v>#DIV/0!</v>
      </c>
    </row>
    <row r="489">
      <c r="A489" s="113"/>
      <c r="B489" s="113"/>
      <c r="C489" s="113"/>
      <c r="D489" s="114"/>
      <c r="E489" s="113"/>
      <c r="F489" s="113"/>
      <c r="G489" s="115"/>
      <c r="H489" s="116"/>
      <c r="I489" s="117" t="s">
        <v>261</v>
      </c>
      <c r="J489" s="117" t="s">
        <v>261</v>
      </c>
      <c r="K489" s="118"/>
      <c r="L489" s="119"/>
      <c r="M489" s="119"/>
      <c r="N489" s="120"/>
      <c r="O489" s="118"/>
      <c r="P489" s="118"/>
      <c r="Q489" s="118"/>
      <c r="R489" s="121">
        <v>0.67</v>
      </c>
      <c r="S489" s="122">
        <f>IFERROR(__xludf.DUMMYFUNCTION("((IFERROR(MIN(FILTER({K489, N489, Q489}, ISNUMBER({K489, N489, Q489}), {K489, N489, Q489} &gt; 0)), """"))*R489)+IFERROR(MIN(FILTER({K489, N489, Q489}, ISNUMBER({K489, N489, Q489}), {K489, N489, Q489} &gt; 0)), """")"),0.0)</f>
        <v>0</v>
      </c>
      <c r="T489" s="123" t="str">
        <f t="shared" si="1"/>
        <v>#DIV/0!</v>
      </c>
    </row>
    <row r="490">
      <c r="A490" s="113"/>
      <c r="B490" s="113"/>
      <c r="C490" s="113"/>
      <c r="D490" s="114"/>
      <c r="E490" s="113"/>
      <c r="F490" s="113"/>
      <c r="G490" s="115"/>
      <c r="H490" s="116"/>
      <c r="I490" s="117" t="s">
        <v>261</v>
      </c>
      <c r="J490" s="117" t="s">
        <v>261</v>
      </c>
      <c r="K490" s="118"/>
      <c r="L490" s="119"/>
      <c r="M490" s="119"/>
      <c r="N490" s="120"/>
      <c r="O490" s="118"/>
      <c r="P490" s="118"/>
      <c r="Q490" s="118"/>
      <c r="R490" s="121">
        <v>0.67</v>
      </c>
      <c r="S490" s="122">
        <f>IFERROR(__xludf.DUMMYFUNCTION("((IFERROR(MIN(FILTER({K490, N490, Q490}, ISNUMBER({K490, N490, Q490}), {K490, N490, Q490} &gt; 0)), """"))*R490)+IFERROR(MIN(FILTER({K490, N490, Q490}, ISNUMBER({K490, N490, Q490}), {K490, N490, Q490} &gt; 0)), """")"),0.0)</f>
        <v>0</v>
      </c>
      <c r="T490" s="123" t="str">
        <f t="shared" si="1"/>
        <v>#DIV/0!</v>
      </c>
    </row>
    <row r="491">
      <c r="A491" s="113"/>
      <c r="B491" s="113"/>
      <c r="C491" s="113"/>
      <c r="D491" s="114"/>
      <c r="E491" s="113"/>
      <c r="F491" s="113"/>
      <c r="G491" s="115"/>
      <c r="H491" s="116"/>
      <c r="I491" s="117" t="s">
        <v>261</v>
      </c>
      <c r="J491" s="117" t="s">
        <v>261</v>
      </c>
      <c r="K491" s="118"/>
      <c r="L491" s="119"/>
      <c r="M491" s="119"/>
      <c r="N491" s="120"/>
      <c r="O491" s="118"/>
      <c r="P491" s="118"/>
      <c r="Q491" s="118"/>
      <c r="R491" s="121">
        <v>0.67</v>
      </c>
      <c r="S491" s="122">
        <f>IFERROR(__xludf.DUMMYFUNCTION("((IFERROR(MIN(FILTER({K491, N491, Q491}, ISNUMBER({K491, N491, Q491}), {K491, N491, Q491} &gt; 0)), """"))*R491)+IFERROR(MIN(FILTER({K491, N491, Q491}, ISNUMBER({K491, N491, Q491}), {K491, N491, Q491} &gt; 0)), """")"),0.0)</f>
        <v>0</v>
      </c>
      <c r="T491" s="123" t="str">
        <f t="shared" si="1"/>
        <v>#DIV/0!</v>
      </c>
    </row>
    <row r="492">
      <c r="A492" s="113"/>
      <c r="B492" s="113"/>
      <c r="C492" s="113"/>
      <c r="D492" s="114"/>
      <c r="E492" s="113"/>
      <c r="F492" s="113"/>
      <c r="G492" s="115"/>
      <c r="H492" s="116"/>
      <c r="I492" s="117" t="s">
        <v>261</v>
      </c>
      <c r="J492" s="117" t="s">
        <v>261</v>
      </c>
      <c r="K492" s="118"/>
      <c r="L492" s="119"/>
      <c r="M492" s="119"/>
      <c r="N492" s="120"/>
      <c r="O492" s="118"/>
      <c r="P492" s="118"/>
      <c r="Q492" s="118"/>
      <c r="R492" s="121">
        <v>0.67</v>
      </c>
      <c r="S492" s="122">
        <f>IFERROR(__xludf.DUMMYFUNCTION("((IFERROR(MIN(FILTER({K492, N492, Q492}, ISNUMBER({K492, N492, Q492}), {K492, N492, Q492} &gt; 0)), """"))*R492)+IFERROR(MIN(FILTER({K492, N492, Q492}, ISNUMBER({K492, N492, Q492}), {K492, N492, Q492} &gt; 0)), """")"),0.0)</f>
        <v>0</v>
      </c>
      <c r="T492" s="123" t="str">
        <f t="shared" si="1"/>
        <v>#DIV/0!</v>
      </c>
    </row>
    <row r="493">
      <c r="A493" s="113"/>
      <c r="B493" s="113"/>
      <c r="C493" s="113"/>
      <c r="D493" s="114"/>
      <c r="E493" s="113"/>
      <c r="F493" s="113"/>
      <c r="G493" s="115"/>
      <c r="H493" s="116"/>
      <c r="I493" s="117" t="s">
        <v>261</v>
      </c>
      <c r="J493" s="117" t="s">
        <v>261</v>
      </c>
      <c r="K493" s="118"/>
      <c r="L493" s="119"/>
      <c r="M493" s="119"/>
      <c r="N493" s="120"/>
      <c r="O493" s="118"/>
      <c r="P493" s="118"/>
      <c r="Q493" s="118"/>
      <c r="R493" s="121">
        <v>0.67</v>
      </c>
      <c r="S493" s="122">
        <f>IFERROR(__xludf.DUMMYFUNCTION("((IFERROR(MIN(FILTER({K493, N493, Q493}, ISNUMBER({K493, N493, Q493}), {K493, N493, Q493} &gt; 0)), """"))*R493)+IFERROR(MIN(FILTER({K493, N493, Q493}, ISNUMBER({K493, N493, Q493}), {K493, N493, Q493} &gt; 0)), """")"),0.0)</f>
        <v>0</v>
      </c>
      <c r="T493" s="123" t="str">
        <f t="shared" si="1"/>
        <v>#DIV/0!</v>
      </c>
    </row>
    <row r="494">
      <c r="A494" s="113"/>
      <c r="B494" s="113"/>
      <c r="C494" s="113"/>
      <c r="D494" s="114"/>
      <c r="E494" s="113"/>
      <c r="F494" s="113"/>
      <c r="G494" s="115"/>
      <c r="H494" s="116"/>
      <c r="I494" s="117" t="s">
        <v>261</v>
      </c>
      <c r="J494" s="117" t="s">
        <v>261</v>
      </c>
      <c r="K494" s="118"/>
      <c r="L494" s="119"/>
      <c r="M494" s="119"/>
      <c r="N494" s="120"/>
      <c r="O494" s="118"/>
      <c r="P494" s="118"/>
      <c r="Q494" s="118"/>
      <c r="R494" s="121">
        <v>0.67</v>
      </c>
      <c r="S494" s="122">
        <f>IFERROR(__xludf.DUMMYFUNCTION("((IFERROR(MIN(FILTER({K494, N494, Q494}, ISNUMBER({K494, N494, Q494}), {K494, N494, Q494} &gt; 0)), """"))*R494)+IFERROR(MIN(FILTER({K494, N494, Q494}, ISNUMBER({K494, N494, Q494}), {K494, N494, Q494} &gt; 0)), """")"),0.0)</f>
        <v>0</v>
      </c>
      <c r="T494" s="123" t="str">
        <f t="shared" si="1"/>
        <v>#DIV/0!</v>
      </c>
    </row>
    <row r="495">
      <c r="A495" s="113"/>
      <c r="B495" s="113"/>
      <c r="C495" s="113"/>
      <c r="D495" s="114"/>
      <c r="E495" s="113"/>
      <c r="F495" s="113"/>
      <c r="G495" s="115"/>
      <c r="H495" s="116"/>
      <c r="I495" s="117" t="s">
        <v>261</v>
      </c>
      <c r="J495" s="117" t="s">
        <v>261</v>
      </c>
      <c r="K495" s="118"/>
      <c r="L495" s="119"/>
      <c r="M495" s="119"/>
      <c r="N495" s="120"/>
      <c r="O495" s="118"/>
      <c r="P495" s="118"/>
      <c r="Q495" s="118"/>
      <c r="R495" s="121">
        <v>0.67</v>
      </c>
      <c r="S495" s="122">
        <f>IFERROR(__xludf.DUMMYFUNCTION("((IFERROR(MIN(FILTER({K495, N495, Q495}, ISNUMBER({K495, N495, Q495}), {K495, N495, Q495} &gt; 0)), """"))*R495)+IFERROR(MIN(FILTER({K495, N495, Q495}, ISNUMBER({K495, N495, Q495}), {K495, N495, Q495} &gt; 0)), """")"),0.0)</f>
        <v>0</v>
      </c>
      <c r="T495" s="123" t="str">
        <f t="shared" si="1"/>
        <v>#DIV/0!</v>
      </c>
    </row>
    <row r="496">
      <c r="A496" s="113"/>
      <c r="B496" s="113"/>
      <c r="C496" s="113"/>
      <c r="D496" s="114"/>
      <c r="E496" s="113"/>
      <c r="F496" s="113"/>
      <c r="G496" s="115"/>
      <c r="H496" s="116"/>
      <c r="I496" s="117" t="s">
        <v>261</v>
      </c>
      <c r="J496" s="117" t="s">
        <v>261</v>
      </c>
      <c r="K496" s="118"/>
      <c r="L496" s="119"/>
      <c r="M496" s="119"/>
      <c r="N496" s="120"/>
      <c r="O496" s="118"/>
      <c r="P496" s="118"/>
      <c r="Q496" s="118"/>
      <c r="R496" s="121">
        <v>0.67</v>
      </c>
      <c r="S496" s="122">
        <f>IFERROR(__xludf.DUMMYFUNCTION("((IFERROR(MIN(FILTER({K496, N496, Q496}, ISNUMBER({K496, N496, Q496}), {K496, N496, Q496} &gt; 0)), """"))*R496)+IFERROR(MIN(FILTER({K496, N496, Q496}, ISNUMBER({K496, N496, Q496}), {K496, N496, Q496} &gt; 0)), """")"),0.0)</f>
        <v>0</v>
      </c>
      <c r="T496" s="123" t="str">
        <f t="shared" si="1"/>
        <v>#DIV/0!</v>
      </c>
    </row>
    <row r="497">
      <c r="A497" s="113"/>
      <c r="B497" s="113"/>
      <c r="C497" s="113"/>
      <c r="D497" s="114"/>
      <c r="E497" s="113"/>
      <c r="F497" s="113"/>
      <c r="G497" s="115"/>
      <c r="H497" s="116"/>
      <c r="I497" s="117" t="s">
        <v>261</v>
      </c>
      <c r="J497" s="117" t="s">
        <v>261</v>
      </c>
      <c r="K497" s="118"/>
      <c r="L497" s="119"/>
      <c r="M497" s="119"/>
      <c r="N497" s="120"/>
      <c r="O497" s="118"/>
      <c r="P497" s="118"/>
      <c r="Q497" s="118"/>
      <c r="R497" s="121">
        <v>0.67</v>
      </c>
      <c r="S497" s="122">
        <f>IFERROR(__xludf.DUMMYFUNCTION("((IFERROR(MIN(FILTER({K497, N497, Q497}, ISNUMBER({K497, N497, Q497}), {K497, N497, Q497} &gt; 0)), """"))*R497)+IFERROR(MIN(FILTER({K497, N497, Q497}, ISNUMBER({K497, N497, Q497}), {K497, N497, Q497} &gt; 0)), """")"),0.0)</f>
        <v>0</v>
      </c>
      <c r="T497" s="123" t="str">
        <f t="shared" si="1"/>
        <v>#DIV/0!</v>
      </c>
    </row>
    <row r="498">
      <c r="A498" s="113"/>
      <c r="B498" s="113"/>
      <c r="C498" s="113"/>
      <c r="D498" s="114"/>
      <c r="E498" s="113"/>
      <c r="F498" s="113"/>
      <c r="G498" s="115"/>
      <c r="H498" s="116"/>
      <c r="I498" s="117" t="s">
        <v>261</v>
      </c>
      <c r="J498" s="117" t="s">
        <v>261</v>
      </c>
      <c r="K498" s="118"/>
      <c r="L498" s="119"/>
      <c r="M498" s="119"/>
      <c r="N498" s="120"/>
      <c r="O498" s="118"/>
      <c r="P498" s="118"/>
      <c r="Q498" s="118"/>
      <c r="R498" s="121">
        <v>0.67</v>
      </c>
      <c r="S498" s="122">
        <f>IFERROR(__xludf.DUMMYFUNCTION("((IFERROR(MIN(FILTER({K498, N498, Q498}, ISNUMBER({K498, N498, Q498}), {K498, N498, Q498} &gt; 0)), """"))*R498)+IFERROR(MIN(FILTER({K498, N498, Q498}, ISNUMBER({K498, N498, Q498}), {K498, N498, Q498} &gt; 0)), """")"),0.0)</f>
        <v>0</v>
      </c>
      <c r="T498" s="123" t="str">
        <f t="shared" si="1"/>
        <v>#DIV/0!</v>
      </c>
    </row>
    <row r="499">
      <c r="A499" s="113"/>
      <c r="B499" s="113"/>
      <c r="C499" s="113"/>
      <c r="D499" s="114"/>
      <c r="E499" s="113"/>
      <c r="F499" s="113"/>
      <c r="G499" s="115"/>
      <c r="H499" s="116"/>
      <c r="I499" s="117" t="s">
        <v>261</v>
      </c>
      <c r="J499" s="117" t="s">
        <v>261</v>
      </c>
      <c r="K499" s="118"/>
      <c r="L499" s="119"/>
      <c r="M499" s="119"/>
      <c r="N499" s="120"/>
      <c r="O499" s="118"/>
      <c r="P499" s="118"/>
      <c r="Q499" s="118"/>
      <c r="R499" s="121">
        <v>0.67</v>
      </c>
      <c r="S499" s="122">
        <f>IFERROR(__xludf.DUMMYFUNCTION("((IFERROR(MIN(FILTER({K499, N499, Q499}, ISNUMBER({K499, N499, Q499}), {K499, N499, Q499} &gt; 0)), """"))*R499)+IFERROR(MIN(FILTER({K499, N499, Q499}, ISNUMBER({K499, N499, Q499}), {K499, N499, Q499} &gt; 0)), """")"),0.0)</f>
        <v>0</v>
      </c>
      <c r="T499" s="123" t="str">
        <f t="shared" si="1"/>
        <v>#DIV/0!</v>
      </c>
    </row>
    <row r="500">
      <c r="A500" s="113"/>
      <c r="B500" s="113"/>
      <c r="C500" s="113"/>
      <c r="D500" s="114"/>
      <c r="E500" s="113"/>
      <c r="F500" s="113"/>
      <c r="G500" s="115"/>
      <c r="H500" s="116"/>
      <c r="I500" s="117" t="s">
        <v>261</v>
      </c>
      <c r="J500" s="117" t="s">
        <v>261</v>
      </c>
      <c r="K500" s="118"/>
      <c r="L500" s="119"/>
      <c r="M500" s="119"/>
      <c r="N500" s="120"/>
      <c r="O500" s="118"/>
      <c r="P500" s="118"/>
      <c r="Q500" s="118"/>
      <c r="R500" s="121">
        <v>0.67</v>
      </c>
      <c r="S500" s="122">
        <f>IFERROR(__xludf.DUMMYFUNCTION("((IFERROR(MIN(FILTER({K500, N500, Q500}, ISNUMBER({K500, N500, Q500}), {K500, N500, Q500} &gt; 0)), """"))*R500)+IFERROR(MIN(FILTER({K500, N500, Q500}, ISNUMBER({K500, N500, Q500}), {K500, N500, Q500} &gt; 0)), """")"),0.0)</f>
        <v>0</v>
      </c>
      <c r="T500" s="123" t="str">
        <f t="shared" si="1"/>
        <v>#DIV/0!</v>
      </c>
    </row>
    <row r="501">
      <c r="A501" s="113"/>
      <c r="B501" s="113"/>
      <c r="C501" s="113"/>
      <c r="D501" s="114"/>
      <c r="E501" s="113"/>
      <c r="F501" s="113"/>
      <c r="G501" s="115"/>
      <c r="H501" s="116"/>
      <c r="I501" s="117" t="s">
        <v>261</v>
      </c>
      <c r="J501" s="117" t="s">
        <v>261</v>
      </c>
      <c r="K501" s="118"/>
      <c r="L501" s="119"/>
      <c r="M501" s="119"/>
      <c r="N501" s="120"/>
      <c r="O501" s="118"/>
      <c r="P501" s="118"/>
      <c r="Q501" s="118"/>
      <c r="R501" s="121">
        <v>0.67</v>
      </c>
      <c r="S501" s="122">
        <f>IFERROR(__xludf.DUMMYFUNCTION("((IFERROR(MIN(FILTER({K501, N501, Q501}, ISNUMBER({K501, N501, Q501}), {K501, N501, Q501} &gt; 0)), """"))*R501)+IFERROR(MIN(FILTER({K501, N501, Q501}, ISNUMBER({K501, N501, Q501}), {K501, N501, Q501} &gt; 0)), """")"),0.0)</f>
        <v>0</v>
      </c>
      <c r="T501" s="123" t="str">
        <f t="shared" si="1"/>
        <v>#DIV/0!</v>
      </c>
    </row>
    <row r="502">
      <c r="A502" s="113"/>
      <c r="B502" s="113"/>
      <c r="C502" s="113"/>
      <c r="D502" s="114"/>
      <c r="E502" s="113"/>
      <c r="F502" s="113"/>
      <c r="G502" s="115"/>
      <c r="H502" s="116"/>
      <c r="I502" s="117" t="s">
        <v>261</v>
      </c>
      <c r="J502" s="117" t="s">
        <v>261</v>
      </c>
      <c r="K502" s="118"/>
      <c r="L502" s="119"/>
      <c r="M502" s="119"/>
      <c r="N502" s="120"/>
      <c r="O502" s="118"/>
      <c r="P502" s="118"/>
      <c r="Q502" s="118"/>
      <c r="R502" s="121">
        <v>0.67</v>
      </c>
      <c r="S502" s="122">
        <f>IFERROR(__xludf.DUMMYFUNCTION("((IFERROR(MIN(FILTER({K502, N502, Q502}, ISNUMBER({K502, N502, Q502}), {K502, N502, Q502} &gt; 0)), """"))*R502)+IFERROR(MIN(FILTER({K502, N502, Q502}, ISNUMBER({K502, N502, Q502}), {K502, N502, Q502} &gt; 0)), """")"),0.0)</f>
        <v>0</v>
      </c>
      <c r="T502" s="123" t="str">
        <f t="shared" si="1"/>
        <v>#DIV/0!</v>
      </c>
    </row>
    <row r="503">
      <c r="A503" s="113"/>
      <c r="B503" s="113"/>
      <c r="C503" s="113"/>
      <c r="D503" s="114"/>
      <c r="E503" s="113"/>
      <c r="F503" s="113"/>
      <c r="G503" s="115"/>
      <c r="H503" s="116"/>
      <c r="I503" s="117" t="s">
        <v>261</v>
      </c>
      <c r="J503" s="117" t="s">
        <v>261</v>
      </c>
      <c r="K503" s="118"/>
      <c r="L503" s="119"/>
      <c r="M503" s="119"/>
      <c r="N503" s="120"/>
      <c r="O503" s="118"/>
      <c r="P503" s="118"/>
      <c r="Q503" s="118"/>
      <c r="R503" s="121">
        <v>0.67</v>
      </c>
      <c r="S503" s="122">
        <f>IFERROR(__xludf.DUMMYFUNCTION("((IFERROR(MIN(FILTER({K503, N503, Q503}, ISNUMBER({K503, N503, Q503}), {K503, N503, Q503} &gt; 0)), """"))*R503)+IFERROR(MIN(FILTER({K503, N503, Q503}, ISNUMBER({K503, N503, Q503}), {K503, N503, Q503} &gt; 0)), """")"),0.0)</f>
        <v>0</v>
      </c>
      <c r="T503" s="123" t="str">
        <f t="shared" si="1"/>
        <v>#DIV/0!</v>
      </c>
    </row>
    <row r="504">
      <c r="A504" s="113"/>
      <c r="B504" s="113"/>
      <c r="C504" s="113"/>
      <c r="D504" s="114"/>
      <c r="E504" s="113"/>
      <c r="F504" s="113"/>
      <c r="G504" s="115"/>
      <c r="H504" s="116"/>
      <c r="I504" s="117" t="s">
        <v>261</v>
      </c>
      <c r="J504" s="117" t="s">
        <v>261</v>
      </c>
      <c r="K504" s="118"/>
      <c r="L504" s="119"/>
      <c r="M504" s="119"/>
      <c r="N504" s="120"/>
      <c r="O504" s="118"/>
      <c r="P504" s="118"/>
      <c r="Q504" s="118"/>
      <c r="R504" s="121">
        <v>0.67</v>
      </c>
      <c r="S504" s="122">
        <f>IFERROR(__xludf.DUMMYFUNCTION("((IFERROR(MIN(FILTER({K504, N504, Q504}, ISNUMBER({K504, N504, Q504}), {K504, N504, Q504} &gt; 0)), """"))*R504)+IFERROR(MIN(FILTER({K504, N504, Q504}, ISNUMBER({K504, N504, Q504}), {K504, N504, Q504} &gt; 0)), """")"),0.0)</f>
        <v>0</v>
      </c>
      <c r="T504" s="123" t="str">
        <f t="shared" si="1"/>
        <v>#DIV/0!</v>
      </c>
    </row>
    <row r="505">
      <c r="A505" s="113"/>
      <c r="B505" s="113"/>
      <c r="C505" s="113"/>
      <c r="D505" s="114"/>
      <c r="E505" s="113"/>
      <c r="F505" s="113"/>
      <c r="G505" s="115"/>
      <c r="H505" s="116"/>
      <c r="I505" s="117" t="s">
        <v>261</v>
      </c>
      <c r="J505" s="117" t="s">
        <v>261</v>
      </c>
      <c r="K505" s="118"/>
      <c r="L505" s="119"/>
      <c r="M505" s="119"/>
      <c r="N505" s="120"/>
      <c r="O505" s="118"/>
      <c r="P505" s="118"/>
      <c r="Q505" s="118"/>
      <c r="R505" s="121">
        <v>0.67</v>
      </c>
      <c r="S505" s="122">
        <f>IFERROR(__xludf.DUMMYFUNCTION("((IFERROR(MIN(FILTER({K505, N505, Q505}, ISNUMBER({K505, N505, Q505}), {K505, N505, Q505} &gt; 0)), """"))*R505)+IFERROR(MIN(FILTER({K505, N505, Q505}, ISNUMBER({K505, N505, Q505}), {K505, N505, Q505} &gt; 0)), """")"),0.0)</f>
        <v>0</v>
      </c>
      <c r="T505" s="123" t="str">
        <f t="shared" si="1"/>
        <v>#DIV/0!</v>
      </c>
    </row>
    <row r="506">
      <c r="A506" s="113"/>
      <c r="B506" s="113"/>
      <c r="C506" s="113"/>
      <c r="D506" s="114"/>
      <c r="E506" s="113"/>
      <c r="F506" s="113"/>
      <c r="G506" s="115"/>
      <c r="H506" s="116"/>
      <c r="I506" s="117" t="s">
        <v>261</v>
      </c>
      <c r="J506" s="117" t="s">
        <v>261</v>
      </c>
      <c r="K506" s="118"/>
      <c r="L506" s="119"/>
      <c r="M506" s="119"/>
      <c r="N506" s="120"/>
      <c r="O506" s="118"/>
      <c r="P506" s="118"/>
      <c r="Q506" s="118"/>
      <c r="R506" s="121">
        <v>0.67</v>
      </c>
      <c r="S506" s="122">
        <f>IFERROR(__xludf.DUMMYFUNCTION("((IFERROR(MIN(FILTER({K506, N506, Q506}, ISNUMBER({K506, N506, Q506}), {K506, N506, Q506} &gt; 0)), """"))*R506)+IFERROR(MIN(FILTER({K506, N506, Q506}, ISNUMBER({K506, N506, Q506}), {K506, N506, Q506} &gt; 0)), """")"),0.0)</f>
        <v>0</v>
      </c>
      <c r="T506" s="123" t="str">
        <f t="shared" si="1"/>
        <v>#DIV/0!</v>
      </c>
    </row>
    <row r="507">
      <c r="A507" s="113"/>
      <c r="B507" s="113"/>
      <c r="C507" s="113"/>
      <c r="D507" s="114"/>
      <c r="E507" s="113"/>
      <c r="F507" s="113"/>
      <c r="G507" s="115"/>
      <c r="H507" s="116"/>
      <c r="I507" s="117" t="s">
        <v>261</v>
      </c>
      <c r="J507" s="117" t="s">
        <v>261</v>
      </c>
      <c r="K507" s="118"/>
      <c r="L507" s="119"/>
      <c r="M507" s="119"/>
      <c r="N507" s="120"/>
      <c r="O507" s="118"/>
      <c r="P507" s="118"/>
      <c r="Q507" s="118"/>
      <c r="R507" s="121">
        <v>0.67</v>
      </c>
      <c r="S507" s="122">
        <f>IFERROR(__xludf.DUMMYFUNCTION("((IFERROR(MIN(FILTER({K507, N507, Q507}, ISNUMBER({K507, N507, Q507}), {K507, N507, Q507} &gt; 0)), """"))*R507)+IFERROR(MIN(FILTER({K507, N507, Q507}, ISNUMBER({K507, N507, Q507}), {K507, N507, Q507} &gt; 0)), """")"),0.0)</f>
        <v>0</v>
      </c>
      <c r="T507" s="123" t="str">
        <f t="shared" si="1"/>
        <v>#DIV/0!</v>
      </c>
    </row>
    <row r="508">
      <c r="A508" s="113"/>
      <c r="B508" s="113"/>
      <c r="C508" s="113"/>
      <c r="D508" s="114"/>
      <c r="E508" s="113"/>
      <c r="F508" s="113"/>
      <c r="G508" s="115"/>
      <c r="H508" s="116"/>
      <c r="I508" s="117" t="s">
        <v>261</v>
      </c>
      <c r="J508" s="117" t="s">
        <v>261</v>
      </c>
      <c r="K508" s="118"/>
      <c r="L508" s="119"/>
      <c r="M508" s="119"/>
      <c r="N508" s="120"/>
      <c r="O508" s="118"/>
      <c r="P508" s="118"/>
      <c r="Q508" s="118"/>
      <c r="R508" s="121">
        <v>0.67</v>
      </c>
      <c r="S508" s="122">
        <f>IFERROR(__xludf.DUMMYFUNCTION("((IFERROR(MIN(FILTER({K508, N508, Q508}, ISNUMBER({K508, N508, Q508}), {K508, N508, Q508} &gt; 0)), """"))*R508)+IFERROR(MIN(FILTER({K508, N508, Q508}, ISNUMBER({K508, N508, Q508}), {K508, N508, Q508} &gt; 0)), """")"),0.0)</f>
        <v>0</v>
      </c>
      <c r="T508" s="123" t="str">
        <f t="shared" si="1"/>
        <v>#DIV/0!</v>
      </c>
    </row>
    <row r="509">
      <c r="A509" s="113"/>
      <c r="B509" s="113"/>
      <c r="C509" s="113"/>
      <c r="D509" s="114"/>
      <c r="E509" s="113"/>
      <c r="F509" s="113"/>
      <c r="G509" s="115"/>
      <c r="H509" s="116"/>
      <c r="I509" s="117" t="s">
        <v>261</v>
      </c>
      <c r="J509" s="117" t="s">
        <v>261</v>
      </c>
      <c r="K509" s="118"/>
      <c r="L509" s="119"/>
      <c r="M509" s="119"/>
      <c r="N509" s="120"/>
      <c r="O509" s="118"/>
      <c r="P509" s="118"/>
      <c r="Q509" s="118"/>
      <c r="R509" s="121">
        <v>0.67</v>
      </c>
      <c r="S509" s="122">
        <f>IFERROR(__xludf.DUMMYFUNCTION("((IFERROR(MIN(FILTER({K509, N509, Q509}, ISNUMBER({K509, N509, Q509}), {K509, N509, Q509} &gt; 0)), """"))*R509)+IFERROR(MIN(FILTER({K509, N509, Q509}, ISNUMBER({K509, N509, Q509}), {K509, N509, Q509} &gt; 0)), """")"),0.0)</f>
        <v>0</v>
      </c>
      <c r="T509" s="123" t="str">
        <f t="shared" si="1"/>
        <v>#DIV/0!</v>
      </c>
    </row>
    <row r="510">
      <c r="A510" s="113"/>
      <c r="B510" s="113"/>
      <c r="C510" s="113"/>
      <c r="D510" s="114"/>
      <c r="E510" s="113"/>
      <c r="F510" s="113"/>
      <c r="G510" s="115"/>
      <c r="H510" s="116"/>
      <c r="I510" s="117" t="s">
        <v>261</v>
      </c>
      <c r="J510" s="117" t="s">
        <v>261</v>
      </c>
      <c r="K510" s="118"/>
      <c r="L510" s="119"/>
      <c r="M510" s="119"/>
      <c r="N510" s="120"/>
      <c r="O510" s="118"/>
      <c r="P510" s="118"/>
      <c r="Q510" s="118"/>
      <c r="R510" s="121">
        <v>0.67</v>
      </c>
      <c r="S510" s="122">
        <f>IFERROR(__xludf.DUMMYFUNCTION("((IFERROR(MIN(FILTER({K510, N510, Q510}, ISNUMBER({K510, N510, Q510}), {K510, N510, Q510} &gt; 0)), """"))*R510)+IFERROR(MIN(FILTER({K510, N510, Q510}, ISNUMBER({K510, N510, Q510}), {K510, N510, Q510} &gt; 0)), """")"),0.0)</f>
        <v>0</v>
      </c>
      <c r="T510" s="123" t="str">
        <f t="shared" si="1"/>
        <v>#DIV/0!</v>
      </c>
    </row>
    <row r="511">
      <c r="A511" s="113"/>
      <c r="B511" s="113"/>
      <c r="C511" s="113"/>
      <c r="D511" s="114"/>
      <c r="E511" s="113"/>
      <c r="F511" s="113"/>
      <c r="G511" s="115"/>
      <c r="H511" s="116"/>
      <c r="I511" s="117" t="s">
        <v>261</v>
      </c>
      <c r="J511" s="117" t="s">
        <v>261</v>
      </c>
      <c r="K511" s="118"/>
      <c r="L511" s="119"/>
      <c r="M511" s="119"/>
      <c r="N511" s="120"/>
      <c r="O511" s="118"/>
      <c r="P511" s="118"/>
      <c r="Q511" s="118"/>
      <c r="R511" s="121">
        <v>0.67</v>
      </c>
      <c r="S511" s="122">
        <f>IFERROR(__xludf.DUMMYFUNCTION("((IFERROR(MIN(FILTER({K511, N511, Q511}, ISNUMBER({K511, N511, Q511}), {K511, N511, Q511} &gt; 0)), """"))*R511)+IFERROR(MIN(FILTER({K511, N511, Q511}, ISNUMBER({K511, N511, Q511}), {K511, N511, Q511} &gt; 0)), """")"),0.0)</f>
        <v>0</v>
      </c>
      <c r="T511" s="123" t="str">
        <f t="shared" si="1"/>
        <v>#DIV/0!</v>
      </c>
    </row>
    <row r="512">
      <c r="A512" s="113"/>
      <c r="B512" s="113"/>
      <c r="C512" s="113"/>
      <c r="D512" s="114"/>
      <c r="E512" s="113"/>
      <c r="F512" s="113"/>
      <c r="G512" s="115"/>
      <c r="H512" s="116"/>
      <c r="I512" s="117" t="s">
        <v>261</v>
      </c>
      <c r="J512" s="117" t="s">
        <v>261</v>
      </c>
      <c r="K512" s="118"/>
      <c r="L512" s="119"/>
      <c r="M512" s="119"/>
      <c r="N512" s="120"/>
      <c r="O512" s="118"/>
      <c r="P512" s="118"/>
      <c r="Q512" s="118"/>
      <c r="R512" s="121">
        <v>0.67</v>
      </c>
      <c r="S512" s="122">
        <f>IFERROR(__xludf.DUMMYFUNCTION("((IFERROR(MIN(FILTER({K512, N512, Q512}, ISNUMBER({K512, N512, Q512}), {K512, N512, Q512} &gt; 0)), """"))*R512)+IFERROR(MIN(FILTER({K512, N512, Q512}, ISNUMBER({K512, N512, Q512}), {K512, N512, Q512} &gt; 0)), """")"),0.0)</f>
        <v>0</v>
      </c>
      <c r="T512" s="123" t="str">
        <f t="shared" si="1"/>
        <v>#DIV/0!</v>
      </c>
    </row>
    <row r="513">
      <c r="A513" s="113"/>
      <c r="B513" s="113"/>
      <c r="C513" s="113"/>
      <c r="D513" s="114"/>
      <c r="E513" s="113"/>
      <c r="F513" s="113"/>
      <c r="G513" s="115"/>
      <c r="H513" s="116"/>
      <c r="I513" s="117" t="s">
        <v>261</v>
      </c>
      <c r="J513" s="117" t="s">
        <v>261</v>
      </c>
      <c r="K513" s="118"/>
      <c r="L513" s="119"/>
      <c r="M513" s="119"/>
      <c r="N513" s="120"/>
      <c r="O513" s="118"/>
      <c r="P513" s="118"/>
      <c r="Q513" s="118"/>
      <c r="R513" s="121">
        <v>0.67</v>
      </c>
      <c r="S513" s="122">
        <f>IFERROR(__xludf.DUMMYFUNCTION("((IFERROR(MIN(FILTER({K513, N513, Q513}, ISNUMBER({K513, N513, Q513}), {K513, N513, Q513} &gt; 0)), """"))*R513)+IFERROR(MIN(FILTER({K513, N513, Q513}, ISNUMBER({K513, N513, Q513}), {K513, N513, Q513} &gt; 0)), """")"),0.0)</f>
        <v>0</v>
      </c>
      <c r="T513" s="123" t="str">
        <f t="shared" si="1"/>
        <v>#DIV/0!</v>
      </c>
    </row>
    <row r="514">
      <c r="A514" s="113"/>
      <c r="B514" s="113"/>
      <c r="C514" s="113"/>
      <c r="D514" s="114"/>
      <c r="E514" s="113"/>
      <c r="F514" s="113"/>
      <c r="G514" s="115"/>
      <c r="H514" s="116"/>
      <c r="I514" s="117" t="s">
        <v>261</v>
      </c>
      <c r="J514" s="117" t="s">
        <v>261</v>
      </c>
      <c r="K514" s="118"/>
      <c r="L514" s="119"/>
      <c r="M514" s="119"/>
      <c r="N514" s="120"/>
      <c r="O514" s="118"/>
      <c r="P514" s="118"/>
      <c r="Q514" s="118"/>
      <c r="R514" s="121">
        <v>0.67</v>
      </c>
      <c r="S514" s="122">
        <f>IFERROR(__xludf.DUMMYFUNCTION("((IFERROR(MIN(FILTER({K514, N514, Q514}, ISNUMBER({K514, N514, Q514}), {K514, N514, Q514} &gt; 0)), """"))*R514)+IFERROR(MIN(FILTER({K514, N514, Q514}, ISNUMBER({K514, N514, Q514}), {K514, N514, Q514} &gt; 0)), """")"),0.0)</f>
        <v>0</v>
      </c>
      <c r="T514" s="123" t="str">
        <f t="shared" si="1"/>
        <v>#DIV/0!</v>
      </c>
    </row>
    <row r="515">
      <c r="A515" s="113"/>
      <c r="B515" s="113"/>
      <c r="C515" s="113"/>
      <c r="D515" s="114"/>
      <c r="E515" s="113"/>
      <c r="F515" s="113"/>
      <c r="G515" s="115"/>
      <c r="H515" s="116"/>
      <c r="I515" s="117" t="s">
        <v>261</v>
      </c>
      <c r="J515" s="117" t="s">
        <v>261</v>
      </c>
      <c r="K515" s="118"/>
      <c r="L515" s="119"/>
      <c r="M515" s="119"/>
      <c r="N515" s="120"/>
      <c r="O515" s="118"/>
      <c r="P515" s="118"/>
      <c r="Q515" s="118"/>
      <c r="R515" s="121">
        <v>0.67</v>
      </c>
      <c r="S515" s="122">
        <f>IFERROR(__xludf.DUMMYFUNCTION("((IFERROR(MIN(FILTER({K515, N515, Q515}, ISNUMBER({K515, N515, Q515}), {K515, N515, Q515} &gt; 0)), """"))*R515)+IFERROR(MIN(FILTER({K515, N515, Q515}, ISNUMBER({K515, N515, Q515}), {K515, N515, Q515} &gt; 0)), """")"),0.0)</f>
        <v>0</v>
      </c>
      <c r="T515" s="123" t="str">
        <f t="shared" si="1"/>
        <v>#DIV/0!</v>
      </c>
    </row>
    <row r="516">
      <c r="A516" s="113"/>
      <c r="B516" s="113"/>
      <c r="C516" s="113"/>
      <c r="D516" s="114"/>
      <c r="E516" s="113"/>
      <c r="F516" s="113"/>
      <c r="G516" s="115"/>
      <c r="H516" s="116"/>
      <c r="I516" s="117" t="s">
        <v>261</v>
      </c>
      <c r="J516" s="117" t="s">
        <v>261</v>
      </c>
      <c r="K516" s="118"/>
      <c r="L516" s="119"/>
      <c r="M516" s="119"/>
      <c r="N516" s="120"/>
      <c r="O516" s="118"/>
      <c r="P516" s="118"/>
      <c r="Q516" s="118"/>
      <c r="R516" s="121">
        <v>0.67</v>
      </c>
      <c r="S516" s="122">
        <f>IFERROR(__xludf.DUMMYFUNCTION("((IFERROR(MIN(FILTER({K516, N516, Q516}, ISNUMBER({K516, N516, Q516}), {K516, N516, Q516} &gt; 0)), """"))*R516)+IFERROR(MIN(FILTER({K516, N516, Q516}, ISNUMBER({K516, N516, Q516}), {K516, N516, Q516} &gt; 0)), """")"),0.0)</f>
        <v>0</v>
      </c>
      <c r="T516" s="123" t="str">
        <f t="shared" si="1"/>
        <v>#DIV/0!</v>
      </c>
    </row>
    <row r="517">
      <c r="A517" s="113"/>
      <c r="B517" s="113"/>
      <c r="C517" s="113"/>
      <c r="D517" s="114"/>
      <c r="E517" s="113"/>
      <c r="F517" s="113"/>
      <c r="G517" s="115"/>
      <c r="H517" s="116"/>
      <c r="I517" s="117" t="s">
        <v>261</v>
      </c>
      <c r="J517" s="117" t="s">
        <v>261</v>
      </c>
      <c r="K517" s="118"/>
      <c r="L517" s="119"/>
      <c r="M517" s="119"/>
      <c r="N517" s="120"/>
      <c r="O517" s="118"/>
      <c r="P517" s="118"/>
      <c r="Q517" s="118"/>
      <c r="R517" s="121">
        <v>0.67</v>
      </c>
      <c r="S517" s="122">
        <f>IFERROR(__xludf.DUMMYFUNCTION("((IFERROR(MIN(FILTER({K517, N517, Q517}, ISNUMBER({K517, N517, Q517}), {K517, N517, Q517} &gt; 0)), """"))*R517)+IFERROR(MIN(FILTER({K517, N517, Q517}, ISNUMBER({K517, N517, Q517}), {K517, N517, Q517} &gt; 0)), """")"),0.0)</f>
        <v>0</v>
      </c>
      <c r="T517" s="123" t="str">
        <f t="shared" si="1"/>
        <v>#DIV/0!</v>
      </c>
    </row>
    <row r="518">
      <c r="A518" s="113"/>
      <c r="B518" s="113"/>
      <c r="C518" s="113"/>
      <c r="D518" s="114"/>
      <c r="E518" s="113"/>
      <c r="F518" s="113"/>
      <c r="G518" s="115"/>
      <c r="H518" s="116"/>
      <c r="I518" s="117" t="s">
        <v>261</v>
      </c>
      <c r="J518" s="117" t="s">
        <v>261</v>
      </c>
      <c r="K518" s="118"/>
      <c r="L518" s="119"/>
      <c r="M518" s="119"/>
      <c r="N518" s="120"/>
      <c r="O518" s="118"/>
      <c r="P518" s="118"/>
      <c r="Q518" s="118"/>
      <c r="R518" s="121">
        <v>0.67</v>
      </c>
      <c r="S518" s="122">
        <f>IFERROR(__xludf.DUMMYFUNCTION("((IFERROR(MIN(FILTER({K518, N518, Q518}, ISNUMBER({K518, N518, Q518}), {K518, N518, Q518} &gt; 0)), """"))*R518)+IFERROR(MIN(FILTER({K518, N518, Q518}, ISNUMBER({K518, N518, Q518}), {K518, N518, Q518} &gt; 0)), """")"),0.0)</f>
        <v>0</v>
      </c>
      <c r="T518" s="123" t="str">
        <f t="shared" si="1"/>
        <v>#DIV/0!</v>
      </c>
    </row>
    <row r="519">
      <c r="A519" s="113"/>
      <c r="B519" s="113"/>
      <c r="C519" s="113"/>
      <c r="D519" s="114"/>
      <c r="E519" s="113"/>
      <c r="F519" s="113"/>
      <c r="G519" s="115"/>
      <c r="H519" s="116"/>
      <c r="I519" s="117" t="s">
        <v>261</v>
      </c>
      <c r="J519" s="117" t="s">
        <v>261</v>
      </c>
      <c r="K519" s="118"/>
      <c r="L519" s="119"/>
      <c r="M519" s="119"/>
      <c r="N519" s="120"/>
      <c r="O519" s="118"/>
      <c r="P519" s="118"/>
      <c r="Q519" s="118"/>
      <c r="R519" s="121">
        <v>0.67</v>
      </c>
      <c r="S519" s="122">
        <f>IFERROR(__xludf.DUMMYFUNCTION("((IFERROR(MIN(FILTER({K519, N519, Q519}, ISNUMBER({K519, N519, Q519}), {K519, N519, Q519} &gt; 0)), """"))*R519)+IFERROR(MIN(FILTER({K519, N519, Q519}, ISNUMBER({K519, N519, Q519}), {K519, N519, Q519} &gt; 0)), """")"),0.0)</f>
        <v>0</v>
      </c>
      <c r="T519" s="123" t="str">
        <f t="shared" si="1"/>
        <v>#DIV/0!</v>
      </c>
    </row>
    <row r="520">
      <c r="A520" s="113"/>
      <c r="B520" s="113"/>
      <c r="C520" s="113"/>
      <c r="D520" s="114"/>
      <c r="E520" s="113"/>
      <c r="F520" s="113"/>
      <c r="G520" s="115"/>
      <c r="H520" s="116"/>
      <c r="I520" s="117" t="s">
        <v>261</v>
      </c>
      <c r="J520" s="117" t="s">
        <v>261</v>
      </c>
      <c r="K520" s="118"/>
      <c r="L520" s="119"/>
      <c r="M520" s="119"/>
      <c r="N520" s="120"/>
      <c r="O520" s="118"/>
      <c r="P520" s="118"/>
      <c r="Q520" s="118"/>
      <c r="R520" s="121">
        <v>0.67</v>
      </c>
      <c r="S520" s="122">
        <f>IFERROR(__xludf.DUMMYFUNCTION("((IFERROR(MIN(FILTER({K520, N520, Q520}, ISNUMBER({K520, N520, Q520}), {K520, N520, Q520} &gt; 0)), """"))*R520)+IFERROR(MIN(FILTER({K520, N520, Q520}, ISNUMBER({K520, N520, Q520}), {K520, N520, Q520} &gt; 0)), """")"),0.0)</f>
        <v>0</v>
      </c>
      <c r="T520" s="123" t="str">
        <f t="shared" si="1"/>
        <v>#DIV/0!</v>
      </c>
    </row>
    <row r="521">
      <c r="A521" s="113"/>
      <c r="B521" s="113"/>
      <c r="C521" s="113"/>
      <c r="D521" s="114"/>
      <c r="E521" s="113"/>
      <c r="F521" s="113"/>
      <c r="G521" s="115"/>
      <c r="H521" s="116"/>
      <c r="I521" s="117" t="s">
        <v>261</v>
      </c>
      <c r="J521" s="117" t="s">
        <v>261</v>
      </c>
      <c r="K521" s="118"/>
      <c r="L521" s="119"/>
      <c r="M521" s="119"/>
      <c r="N521" s="120"/>
      <c r="O521" s="118"/>
      <c r="P521" s="118"/>
      <c r="Q521" s="118"/>
      <c r="R521" s="121">
        <v>0.67</v>
      </c>
      <c r="S521" s="122">
        <f>IFERROR(__xludf.DUMMYFUNCTION("((IFERROR(MIN(FILTER({K521, N521, Q521}, ISNUMBER({K521, N521, Q521}), {K521, N521, Q521} &gt; 0)), """"))*R521)+IFERROR(MIN(FILTER({K521, N521, Q521}, ISNUMBER({K521, N521, Q521}), {K521, N521, Q521} &gt; 0)), """")"),0.0)</f>
        <v>0</v>
      </c>
      <c r="T521" s="123" t="str">
        <f t="shared" si="1"/>
        <v>#DIV/0!</v>
      </c>
    </row>
    <row r="522">
      <c r="A522" s="113"/>
      <c r="B522" s="113"/>
      <c r="C522" s="113"/>
      <c r="D522" s="114"/>
      <c r="E522" s="113"/>
      <c r="F522" s="113"/>
      <c r="G522" s="115"/>
      <c r="H522" s="116"/>
      <c r="I522" s="117" t="s">
        <v>261</v>
      </c>
      <c r="J522" s="117" t="s">
        <v>261</v>
      </c>
      <c r="K522" s="118"/>
      <c r="L522" s="119"/>
      <c r="M522" s="119"/>
      <c r="N522" s="120"/>
      <c r="O522" s="118"/>
      <c r="P522" s="118"/>
      <c r="Q522" s="118"/>
      <c r="R522" s="121">
        <v>0.67</v>
      </c>
      <c r="S522" s="122">
        <f>IFERROR(__xludf.DUMMYFUNCTION("((IFERROR(MIN(FILTER({K522, N522, Q522}, ISNUMBER({K522, N522, Q522}), {K522, N522, Q522} &gt; 0)), """"))*R522)+IFERROR(MIN(FILTER({K522, N522, Q522}, ISNUMBER({K522, N522, Q522}), {K522, N522, Q522} &gt; 0)), """")"),0.0)</f>
        <v>0</v>
      </c>
      <c r="T522" s="123" t="str">
        <f t="shared" si="1"/>
        <v>#DIV/0!</v>
      </c>
    </row>
    <row r="523">
      <c r="A523" s="113"/>
      <c r="B523" s="113"/>
      <c r="C523" s="113"/>
      <c r="D523" s="114"/>
      <c r="E523" s="113"/>
      <c r="F523" s="113"/>
      <c r="G523" s="115"/>
      <c r="H523" s="116"/>
      <c r="I523" s="117" t="s">
        <v>261</v>
      </c>
      <c r="J523" s="117" t="s">
        <v>261</v>
      </c>
      <c r="K523" s="118"/>
      <c r="L523" s="119"/>
      <c r="M523" s="119"/>
      <c r="N523" s="120"/>
      <c r="O523" s="118"/>
      <c r="P523" s="118"/>
      <c r="Q523" s="118"/>
      <c r="R523" s="121">
        <v>0.67</v>
      </c>
      <c r="S523" s="122">
        <f>IFERROR(__xludf.DUMMYFUNCTION("((IFERROR(MIN(FILTER({K523, N523, Q523}, ISNUMBER({K523, N523, Q523}), {K523, N523, Q523} &gt; 0)), """"))*R523)+IFERROR(MIN(FILTER({K523, N523, Q523}, ISNUMBER({K523, N523, Q523}), {K523, N523, Q523} &gt; 0)), """")"),0.0)</f>
        <v>0</v>
      </c>
      <c r="T523" s="123" t="str">
        <f t="shared" si="1"/>
        <v>#DIV/0!</v>
      </c>
    </row>
    <row r="524">
      <c r="A524" s="113"/>
      <c r="B524" s="113"/>
      <c r="C524" s="113"/>
      <c r="D524" s="114"/>
      <c r="E524" s="113"/>
      <c r="F524" s="113"/>
      <c r="G524" s="115"/>
      <c r="H524" s="116"/>
      <c r="I524" s="117" t="s">
        <v>261</v>
      </c>
      <c r="J524" s="117" t="s">
        <v>261</v>
      </c>
      <c r="K524" s="118"/>
      <c r="L524" s="119"/>
      <c r="M524" s="119"/>
      <c r="N524" s="120"/>
      <c r="O524" s="118"/>
      <c r="P524" s="118"/>
      <c r="Q524" s="118"/>
      <c r="R524" s="121">
        <v>0.67</v>
      </c>
      <c r="S524" s="122">
        <f>IFERROR(__xludf.DUMMYFUNCTION("((IFERROR(MIN(FILTER({K524, N524, Q524}, ISNUMBER({K524, N524, Q524}), {K524, N524, Q524} &gt; 0)), """"))*R524)+IFERROR(MIN(FILTER({K524, N524, Q524}, ISNUMBER({K524, N524, Q524}), {K524, N524, Q524} &gt; 0)), """")"),0.0)</f>
        <v>0</v>
      </c>
      <c r="T524" s="123" t="str">
        <f t="shared" si="1"/>
        <v>#DIV/0!</v>
      </c>
    </row>
    <row r="525">
      <c r="A525" s="113"/>
      <c r="B525" s="113"/>
      <c r="C525" s="113"/>
      <c r="D525" s="114"/>
      <c r="E525" s="113"/>
      <c r="F525" s="113"/>
      <c r="G525" s="115"/>
      <c r="H525" s="116"/>
      <c r="I525" s="117" t="s">
        <v>261</v>
      </c>
      <c r="J525" s="117" t="s">
        <v>261</v>
      </c>
      <c r="K525" s="118"/>
      <c r="L525" s="119"/>
      <c r="M525" s="119"/>
      <c r="N525" s="120"/>
      <c r="O525" s="118"/>
      <c r="P525" s="118"/>
      <c r="Q525" s="118"/>
      <c r="R525" s="121">
        <v>0.67</v>
      </c>
      <c r="S525" s="122">
        <f>IFERROR(__xludf.DUMMYFUNCTION("((IFERROR(MIN(FILTER({K525, N525, Q525}, ISNUMBER({K525, N525, Q525}), {K525, N525, Q525} &gt; 0)), """"))*R525)+IFERROR(MIN(FILTER({K525, N525, Q525}, ISNUMBER({K525, N525, Q525}), {K525, N525, Q525} &gt; 0)), """")"),0.0)</f>
        <v>0</v>
      </c>
      <c r="T525" s="123" t="str">
        <f t="shared" si="1"/>
        <v>#DIV/0!</v>
      </c>
    </row>
    <row r="526">
      <c r="A526" s="113"/>
      <c r="B526" s="113"/>
      <c r="C526" s="113"/>
      <c r="D526" s="114"/>
      <c r="E526" s="113"/>
      <c r="F526" s="113"/>
      <c r="G526" s="115"/>
      <c r="H526" s="116"/>
      <c r="I526" s="117" t="s">
        <v>261</v>
      </c>
      <c r="J526" s="117" t="s">
        <v>261</v>
      </c>
      <c r="K526" s="118"/>
      <c r="L526" s="119"/>
      <c r="M526" s="119"/>
      <c r="N526" s="120"/>
      <c r="O526" s="118"/>
      <c r="P526" s="118"/>
      <c r="Q526" s="118"/>
      <c r="R526" s="121">
        <v>0.67</v>
      </c>
      <c r="S526" s="122">
        <f>IFERROR(__xludf.DUMMYFUNCTION("((IFERROR(MIN(FILTER({K526, N526, Q526}, ISNUMBER({K526, N526, Q526}), {K526, N526, Q526} &gt; 0)), """"))*R526)+IFERROR(MIN(FILTER({K526, N526, Q526}, ISNUMBER({K526, N526, Q526}), {K526, N526, Q526} &gt; 0)), """")"),0.0)</f>
        <v>0</v>
      </c>
      <c r="T526" s="123" t="str">
        <f t="shared" si="1"/>
        <v>#DIV/0!</v>
      </c>
    </row>
    <row r="527">
      <c r="A527" s="113"/>
      <c r="B527" s="113"/>
      <c r="C527" s="113"/>
      <c r="D527" s="114"/>
      <c r="E527" s="113"/>
      <c r="F527" s="113"/>
      <c r="G527" s="115"/>
      <c r="H527" s="116"/>
      <c r="I527" s="117" t="s">
        <v>261</v>
      </c>
      <c r="J527" s="117" t="s">
        <v>261</v>
      </c>
      <c r="K527" s="118"/>
      <c r="L527" s="119"/>
      <c r="M527" s="119"/>
      <c r="N527" s="120"/>
      <c r="O527" s="118"/>
      <c r="P527" s="118"/>
      <c r="Q527" s="118"/>
      <c r="R527" s="121">
        <v>0.67</v>
      </c>
      <c r="S527" s="122">
        <f>IFERROR(__xludf.DUMMYFUNCTION("((IFERROR(MIN(FILTER({K527, N527, Q527}, ISNUMBER({K527, N527, Q527}), {K527, N527, Q527} &gt; 0)), """"))*R527)+IFERROR(MIN(FILTER({K527, N527, Q527}, ISNUMBER({K527, N527, Q527}), {K527, N527, Q527} &gt; 0)), """")"),0.0)</f>
        <v>0</v>
      </c>
      <c r="T527" s="123" t="str">
        <f t="shared" si="1"/>
        <v>#DIV/0!</v>
      </c>
    </row>
    <row r="528">
      <c r="A528" s="113"/>
      <c r="B528" s="113"/>
      <c r="C528" s="113"/>
      <c r="D528" s="114"/>
      <c r="E528" s="113"/>
      <c r="F528" s="113"/>
      <c r="G528" s="115"/>
      <c r="H528" s="116"/>
      <c r="I528" s="117" t="s">
        <v>261</v>
      </c>
      <c r="J528" s="117" t="s">
        <v>261</v>
      </c>
      <c r="K528" s="118"/>
      <c r="L528" s="119"/>
      <c r="M528" s="119"/>
      <c r="N528" s="120"/>
      <c r="O528" s="118"/>
      <c r="P528" s="118"/>
      <c r="Q528" s="118"/>
      <c r="R528" s="121">
        <v>0.67</v>
      </c>
      <c r="S528" s="122">
        <f>IFERROR(__xludf.DUMMYFUNCTION("((IFERROR(MIN(FILTER({K528, N528, Q528}, ISNUMBER({K528, N528, Q528}), {K528, N528, Q528} &gt; 0)), """"))*R528)+IFERROR(MIN(FILTER({K528, N528, Q528}, ISNUMBER({K528, N528, Q528}), {K528, N528, Q528} &gt; 0)), """")"),0.0)</f>
        <v>0</v>
      </c>
      <c r="T528" s="123" t="str">
        <f t="shared" si="1"/>
        <v>#DIV/0!</v>
      </c>
    </row>
    <row r="529">
      <c r="A529" s="113"/>
      <c r="B529" s="113"/>
      <c r="C529" s="113"/>
      <c r="D529" s="114"/>
      <c r="E529" s="113"/>
      <c r="F529" s="113"/>
      <c r="G529" s="115"/>
      <c r="H529" s="116"/>
      <c r="I529" s="117" t="s">
        <v>261</v>
      </c>
      <c r="J529" s="117" t="s">
        <v>261</v>
      </c>
      <c r="K529" s="118"/>
      <c r="L529" s="119"/>
      <c r="M529" s="119"/>
      <c r="N529" s="120"/>
      <c r="O529" s="118"/>
      <c r="P529" s="118"/>
      <c r="Q529" s="118"/>
      <c r="R529" s="121">
        <v>0.67</v>
      </c>
      <c r="S529" s="122">
        <f>IFERROR(__xludf.DUMMYFUNCTION("((IFERROR(MIN(FILTER({K529, N529, Q529}, ISNUMBER({K529, N529, Q529}), {K529, N529, Q529} &gt; 0)), """"))*R529)+IFERROR(MIN(FILTER({K529, N529, Q529}, ISNUMBER({K529, N529, Q529}), {K529, N529, Q529} &gt; 0)), """")"),0.0)</f>
        <v>0</v>
      </c>
      <c r="T529" s="123" t="str">
        <f t="shared" si="1"/>
        <v>#DIV/0!</v>
      </c>
    </row>
    <row r="530">
      <c r="A530" s="113"/>
      <c r="B530" s="113"/>
      <c r="C530" s="113"/>
      <c r="D530" s="114"/>
      <c r="E530" s="113"/>
      <c r="F530" s="113"/>
      <c r="G530" s="115"/>
      <c r="H530" s="116"/>
      <c r="I530" s="117" t="s">
        <v>261</v>
      </c>
      <c r="J530" s="117" t="s">
        <v>261</v>
      </c>
      <c r="K530" s="118"/>
      <c r="L530" s="119"/>
      <c r="M530" s="119"/>
      <c r="N530" s="120"/>
      <c r="O530" s="118"/>
      <c r="P530" s="118"/>
      <c r="Q530" s="118"/>
      <c r="R530" s="121">
        <v>0.67</v>
      </c>
      <c r="S530" s="122">
        <f>IFERROR(__xludf.DUMMYFUNCTION("((IFERROR(MIN(FILTER({K530, N530, Q530}, ISNUMBER({K530, N530, Q530}), {K530, N530, Q530} &gt; 0)), """"))*R530)+IFERROR(MIN(FILTER({K530, N530, Q530}, ISNUMBER({K530, N530, Q530}), {K530, N530, Q530} &gt; 0)), """")"),0.0)</f>
        <v>0</v>
      </c>
      <c r="T530" s="123" t="str">
        <f t="shared" si="1"/>
        <v>#DIV/0!</v>
      </c>
    </row>
    <row r="531">
      <c r="A531" s="113"/>
      <c r="B531" s="113"/>
      <c r="C531" s="113"/>
      <c r="D531" s="114"/>
      <c r="E531" s="113"/>
      <c r="F531" s="113"/>
      <c r="G531" s="115"/>
      <c r="H531" s="116"/>
      <c r="I531" s="117" t="s">
        <v>261</v>
      </c>
      <c r="J531" s="117" t="s">
        <v>261</v>
      </c>
      <c r="K531" s="118"/>
      <c r="L531" s="119"/>
      <c r="M531" s="119"/>
      <c r="N531" s="120"/>
      <c r="O531" s="118"/>
      <c r="P531" s="118"/>
      <c r="Q531" s="118"/>
      <c r="R531" s="121">
        <v>0.67</v>
      </c>
      <c r="S531" s="122">
        <f>IFERROR(__xludf.DUMMYFUNCTION("((IFERROR(MIN(FILTER({K531, N531, Q531}, ISNUMBER({K531, N531, Q531}), {K531, N531, Q531} &gt; 0)), """"))*R531)+IFERROR(MIN(FILTER({K531, N531, Q531}, ISNUMBER({K531, N531, Q531}), {K531, N531, Q531} &gt; 0)), """")"),0.0)</f>
        <v>0</v>
      </c>
      <c r="T531" s="123" t="str">
        <f t="shared" si="1"/>
        <v>#DIV/0!</v>
      </c>
    </row>
    <row r="532">
      <c r="A532" s="113"/>
      <c r="B532" s="113"/>
      <c r="C532" s="113"/>
      <c r="D532" s="114"/>
      <c r="E532" s="113"/>
      <c r="F532" s="113"/>
      <c r="G532" s="115"/>
      <c r="H532" s="116"/>
      <c r="I532" s="117" t="s">
        <v>261</v>
      </c>
      <c r="J532" s="117" t="s">
        <v>261</v>
      </c>
      <c r="K532" s="118"/>
      <c r="L532" s="119"/>
      <c r="M532" s="119"/>
      <c r="N532" s="120"/>
      <c r="O532" s="118"/>
      <c r="P532" s="118"/>
      <c r="Q532" s="118"/>
      <c r="R532" s="121">
        <v>0.67</v>
      </c>
      <c r="S532" s="122">
        <f>IFERROR(__xludf.DUMMYFUNCTION("((IFERROR(MIN(FILTER({K532, N532, Q532}, ISNUMBER({K532, N532, Q532}), {K532, N532, Q532} &gt; 0)), """"))*R532)+IFERROR(MIN(FILTER({K532, N532, Q532}, ISNUMBER({K532, N532, Q532}), {K532, N532, Q532} &gt; 0)), """")"),0.0)</f>
        <v>0</v>
      </c>
      <c r="T532" s="123" t="str">
        <f t="shared" si="1"/>
        <v>#DIV/0!</v>
      </c>
    </row>
    <row r="533">
      <c r="A533" s="113"/>
      <c r="B533" s="113"/>
      <c r="C533" s="113"/>
      <c r="D533" s="114"/>
      <c r="E533" s="113"/>
      <c r="F533" s="113"/>
      <c r="G533" s="115"/>
      <c r="H533" s="116"/>
      <c r="I533" s="117" t="s">
        <v>261</v>
      </c>
      <c r="J533" s="117" t="s">
        <v>261</v>
      </c>
      <c r="K533" s="118"/>
      <c r="L533" s="119"/>
      <c r="M533" s="119"/>
      <c r="N533" s="120"/>
      <c r="O533" s="118"/>
      <c r="P533" s="118"/>
      <c r="Q533" s="118"/>
      <c r="R533" s="121">
        <v>0.67</v>
      </c>
      <c r="S533" s="122">
        <f>IFERROR(__xludf.DUMMYFUNCTION("((IFERROR(MIN(FILTER({K533, N533, Q533}, ISNUMBER({K533, N533, Q533}), {K533, N533, Q533} &gt; 0)), """"))*R533)+IFERROR(MIN(FILTER({K533, N533, Q533}, ISNUMBER({K533, N533, Q533}), {K533, N533, Q533} &gt; 0)), """")"),0.0)</f>
        <v>0</v>
      </c>
      <c r="T533" s="123" t="str">
        <f t="shared" si="1"/>
        <v>#DIV/0!</v>
      </c>
    </row>
    <row r="534">
      <c r="A534" s="113"/>
      <c r="B534" s="113"/>
      <c r="C534" s="113"/>
      <c r="D534" s="114"/>
      <c r="E534" s="113"/>
      <c r="F534" s="113"/>
      <c r="G534" s="115"/>
      <c r="H534" s="116"/>
      <c r="I534" s="117" t="s">
        <v>261</v>
      </c>
      <c r="J534" s="117" t="s">
        <v>261</v>
      </c>
      <c r="K534" s="118"/>
      <c r="L534" s="119"/>
      <c r="M534" s="119"/>
      <c r="N534" s="120"/>
      <c r="O534" s="118"/>
      <c r="P534" s="118"/>
      <c r="Q534" s="118"/>
      <c r="R534" s="121">
        <v>0.67</v>
      </c>
      <c r="S534" s="122">
        <f>IFERROR(__xludf.DUMMYFUNCTION("((IFERROR(MIN(FILTER({K534, N534, Q534}, ISNUMBER({K534, N534, Q534}), {K534, N534, Q534} &gt; 0)), """"))*R534)+IFERROR(MIN(FILTER({K534, N534, Q534}, ISNUMBER({K534, N534, Q534}), {K534, N534, Q534} &gt; 0)), """")"),0.0)</f>
        <v>0</v>
      </c>
      <c r="T534" s="123" t="str">
        <f t="shared" si="1"/>
        <v>#DIV/0!</v>
      </c>
    </row>
    <row r="535">
      <c r="A535" s="113"/>
      <c r="B535" s="113"/>
      <c r="C535" s="113"/>
      <c r="D535" s="114"/>
      <c r="E535" s="113"/>
      <c r="F535" s="113"/>
      <c r="G535" s="115"/>
      <c r="H535" s="116"/>
      <c r="I535" s="117" t="s">
        <v>261</v>
      </c>
      <c r="J535" s="117" t="s">
        <v>261</v>
      </c>
      <c r="K535" s="118"/>
      <c r="L535" s="119"/>
      <c r="M535" s="119"/>
      <c r="N535" s="120"/>
      <c r="O535" s="118"/>
      <c r="P535" s="118"/>
      <c r="Q535" s="118"/>
      <c r="R535" s="121">
        <v>0.67</v>
      </c>
      <c r="S535" s="122">
        <f>IFERROR(__xludf.DUMMYFUNCTION("((IFERROR(MIN(FILTER({K535, N535, Q535}, ISNUMBER({K535, N535, Q535}), {K535, N535, Q535} &gt; 0)), """"))*R535)+IFERROR(MIN(FILTER({K535, N535, Q535}, ISNUMBER({K535, N535, Q535}), {K535, N535, Q535} &gt; 0)), """")"),0.0)</f>
        <v>0</v>
      </c>
      <c r="T535" s="123" t="str">
        <f t="shared" si="1"/>
        <v>#DIV/0!</v>
      </c>
    </row>
    <row r="536">
      <c r="A536" s="113"/>
      <c r="B536" s="113"/>
      <c r="C536" s="113"/>
      <c r="D536" s="114"/>
      <c r="E536" s="113"/>
      <c r="F536" s="113"/>
      <c r="G536" s="115"/>
      <c r="H536" s="116"/>
      <c r="I536" s="117" t="s">
        <v>261</v>
      </c>
      <c r="J536" s="117" t="s">
        <v>261</v>
      </c>
      <c r="K536" s="118"/>
      <c r="L536" s="119"/>
      <c r="M536" s="119"/>
      <c r="N536" s="120"/>
      <c r="O536" s="118"/>
      <c r="P536" s="118"/>
      <c r="Q536" s="118"/>
      <c r="R536" s="121">
        <v>0.67</v>
      </c>
      <c r="S536" s="122">
        <f>IFERROR(__xludf.DUMMYFUNCTION("((IFERROR(MIN(FILTER({K536, N536, Q536}, ISNUMBER({K536, N536, Q536}), {K536, N536, Q536} &gt; 0)), """"))*R536)+IFERROR(MIN(FILTER({K536, N536, Q536}, ISNUMBER({K536, N536, Q536}), {K536, N536, Q536} &gt; 0)), """")"),0.0)</f>
        <v>0</v>
      </c>
      <c r="T536" s="123" t="str">
        <f t="shared" si="1"/>
        <v>#DIV/0!</v>
      </c>
    </row>
    <row r="537">
      <c r="A537" s="113"/>
      <c r="B537" s="113"/>
      <c r="C537" s="113"/>
      <c r="D537" s="114"/>
      <c r="E537" s="113"/>
      <c r="F537" s="113"/>
      <c r="G537" s="115"/>
      <c r="H537" s="116"/>
      <c r="I537" s="117" t="s">
        <v>261</v>
      </c>
      <c r="J537" s="117" t="s">
        <v>261</v>
      </c>
      <c r="K537" s="118"/>
      <c r="L537" s="119"/>
      <c r="M537" s="119"/>
      <c r="N537" s="120"/>
      <c r="O537" s="118"/>
      <c r="P537" s="118"/>
      <c r="Q537" s="118"/>
      <c r="R537" s="121">
        <v>0.67</v>
      </c>
      <c r="S537" s="122">
        <f>IFERROR(__xludf.DUMMYFUNCTION("((IFERROR(MIN(FILTER({K537, N537, Q537}, ISNUMBER({K537, N537, Q537}), {K537, N537, Q537} &gt; 0)), """"))*R537)+IFERROR(MIN(FILTER({K537, N537, Q537}, ISNUMBER({K537, N537, Q537}), {K537, N537, Q537} &gt; 0)), """")"),0.0)</f>
        <v>0</v>
      </c>
      <c r="T537" s="123" t="str">
        <f t="shared" si="1"/>
        <v>#DIV/0!</v>
      </c>
    </row>
    <row r="538">
      <c r="A538" s="113"/>
      <c r="B538" s="113"/>
      <c r="C538" s="113"/>
      <c r="D538" s="114"/>
      <c r="E538" s="113"/>
      <c r="F538" s="113"/>
      <c r="G538" s="115"/>
      <c r="H538" s="116"/>
      <c r="I538" s="117" t="s">
        <v>261</v>
      </c>
      <c r="J538" s="117" t="s">
        <v>261</v>
      </c>
      <c r="K538" s="118"/>
      <c r="L538" s="119"/>
      <c r="M538" s="119"/>
      <c r="N538" s="120"/>
      <c r="O538" s="118"/>
      <c r="P538" s="118"/>
      <c r="Q538" s="118"/>
      <c r="R538" s="121">
        <v>0.67</v>
      </c>
      <c r="S538" s="122">
        <f>IFERROR(__xludf.DUMMYFUNCTION("((IFERROR(MIN(FILTER({K538, N538, Q538}, ISNUMBER({K538, N538, Q538}), {K538, N538, Q538} &gt; 0)), """"))*R538)+IFERROR(MIN(FILTER({K538, N538, Q538}, ISNUMBER({K538, N538, Q538}), {K538, N538, Q538} &gt; 0)), """")"),0.0)</f>
        <v>0</v>
      </c>
      <c r="T538" s="123" t="str">
        <f t="shared" si="1"/>
        <v>#DIV/0!</v>
      </c>
    </row>
    <row r="539">
      <c r="A539" s="113"/>
      <c r="B539" s="113"/>
      <c r="C539" s="113"/>
      <c r="D539" s="114"/>
      <c r="E539" s="113"/>
      <c r="F539" s="113"/>
      <c r="G539" s="115"/>
      <c r="H539" s="116"/>
      <c r="I539" s="117" t="s">
        <v>261</v>
      </c>
      <c r="J539" s="117" t="s">
        <v>261</v>
      </c>
      <c r="K539" s="118"/>
      <c r="L539" s="119"/>
      <c r="M539" s="119"/>
      <c r="N539" s="120"/>
      <c r="O539" s="118"/>
      <c r="P539" s="118"/>
      <c r="Q539" s="118"/>
      <c r="R539" s="121">
        <v>0.67</v>
      </c>
      <c r="S539" s="122">
        <f>IFERROR(__xludf.DUMMYFUNCTION("((IFERROR(MIN(FILTER({K539, N539, Q539}, ISNUMBER({K539, N539, Q539}), {K539, N539, Q539} &gt; 0)), """"))*R539)+IFERROR(MIN(FILTER({K539, N539, Q539}, ISNUMBER({K539, N539, Q539}), {K539, N539, Q539} &gt; 0)), """")"),0.0)</f>
        <v>0</v>
      </c>
      <c r="T539" s="123" t="str">
        <f t="shared" si="1"/>
        <v>#DIV/0!</v>
      </c>
    </row>
    <row r="540">
      <c r="A540" s="113"/>
      <c r="B540" s="113"/>
      <c r="C540" s="113"/>
      <c r="D540" s="114"/>
      <c r="E540" s="113"/>
      <c r="F540" s="113"/>
      <c r="G540" s="115"/>
      <c r="H540" s="116"/>
      <c r="I540" s="117" t="s">
        <v>261</v>
      </c>
      <c r="J540" s="117" t="s">
        <v>261</v>
      </c>
      <c r="K540" s="118"/>
      <c r="L540" s="119"/>
      <c r="M540" s="119"/>
      <c r="N540" s="120"/>
      <c r="O540" s="118"/>
      <c r="P540" s="118"/>
      <c r="Q540" s="118"/>
      <c r="R540" s="121">
        <v>0.67</v>
      </c>
      <c r="S540" s="122">
        <f>IFERROR(__xludf.DUMMYFUNCTION("((IFERROR(MIN(FILTER({K540, N540, Q540}, ISNUMBER({K540, N540, Q540}), {K540, N540, Q540} &gt; 0)), """"))*R540)+IFERROR(MIN(FILTER({K540, N540, Q540}, ISNUMBER({K540, N540, Q540}), {K540, N540, Q540} &gt; 0)), """")"),0.0)</f>
        <v>0</v>
      </c>
      <c r="T540" s="123" t="str">
        <f t="shared" si="1"/>
        <v>#DIV/0!</v>
      </c>
    </row>
    <row r="541">
      <c r="A541" s="113"/>
      <c r="B541" s="113"/>
      <c r="C541" s="113"/>
      <c r="D541" s="114"/>
      <c r="E541" s="113"/>
      <c r="F541" s="113"/>
      <c r="G541" s="115"/>
      <c r="H541" s="116"/>
      <c r="I541" s="117" t="s">
        <v>261</v>
      </c>
      <c r="J541" s="117" t="s">
        <v>261</v>
      </c>
      <c r="K541" s="118"/>
      <c r="L541" s="119"/>
      <c r="M541" s="119"/>
      <c r="N541" s="120"/>
      <c r="O541" s="118"/>
      <c r="P541" s="118"/>
      <c r="Q541" s="118"/>
      <c r="R541" s="121">
        <v>0.67</v>
      </c>
      <c r="S541" s="122">
        <f>IFERROR(__xludf.DUMMYFUNCTION("((IFERROR(MIN(FILTER({K541, N541, Q541}, ISNUMBER({K541, N541, Q541}), {K541, N541, Q541} &gt; 0)), """"))*R541)+IFERROR(MIN(FILTER({K541, N541, Q541}, ISNUMBER({K541, N541, Q541}), {K541, N541, Q541} &gt; 0)), """")"),0.0)</f>
        <v>0</v>
      </c>
      <c r="T541" s="123" t="str">
        <f t="shared" si="1"/>
        <v>#DIV/0!</v>
      </c>
    </row>
    <row r="542">
      <c r="A542" s="113"/>
      <c r="B542" s="113"/>
      <c r="C542" s="113"/>
      <c r="D542" s="114"/>
      <c r="E542" s="113"/>
      <c r="F542" s="113"/>
      <c r="G542" s="115"/>
      <c r="H542" s="116"/>
      <c r="I542" s="117" t="s">
        <v>261</v>
      </c>
      <c r="J542" s="117" t="s">
        <v>261</v>
      </c>
      <c r="K542" s="118"/>
      <c r="L542" s="119"/>
      <c r="M542" s="119"/>
      <c r="N542" s="120"/>
      <c r="O542" s="118"/>
      <c r="P542" s="118"/>
      <c r="Q542" s="118"/>
      <c r="R542" s="121">
        <v>0.67</v>
      </c>
      <c r="S542" s="122">
        <f>IFERROR(__xludf.DUMMYFUNCTION("((IFERROR(MIN(FILTER({K542, N542, Q542}, ISNUMBER({K542, N542, Q542}), {K542, N542, Q542} &gt; 0)), """"))*R542)+IFERROR(MIN(FILTER({K542, N542, Q542}, ISNUMBER({K542, N542, Q542}), {K542, N542, Q542} &gt; 0)), """")"),0.0)</f>
        <v>0</v>
      </c>
      <c r="T542" s="123" t="str">
        <f t="shared" si="1"/>
        <v>#DIV/0!</v>
      </c>
    </row>
    <row r="543">
      <c r="A543" s="113"/>
      <c r="B543" s="113"/>
      <c r="C543" s="113"/>
      <c r="D543" s="114"/>
      <c r="E543" s="113"/>
      <c r="F543" s="113"/>
      <c r="G543" s="115"/>
      <c r="H543" s="116"/>
      <c r="I543" s="117" t="s">
        <v>261</v>
      </c>
      <c r="J543" s="117" t="s">
        <v>261</v>
      </c>
      <c r="K543" s="118"/>
      <c r="L543" s="119"/>
      <c r="M543" s="119"/>
      <c r="N543" s="120"/>
      <c r="O543" s="118"/>
      <c r="P543" s="118"/>
      <c r="Q543" s="118"/>
      <c r="R543" s="121">
        <v>0.67</v>
      </c>
      <c r="S543" s="122">
        <f>IFERROR(__xludf.DUMMYFUNCTION("((IFERROR(MIN(FILTER({K543, N543, Q543}, ISNUMBER({K543, N543, Q543}), {K543, N543, Q543} &gt; 0)), """"))*R543)+IFERROR(MIN(FILTER({K543, N543, Q543}, ISNUMBER({K543, N543, Q543}), {K543, N543, Q543} &gt; 0)), """")"),0.0)</f>
        <v>0</v>
      </c>
      <c r="T543" s="123" t="str">
        <f t="shared" si="1"/>
        <v>#DIV/0!</v>
      </c>
    </row>
    <row r="544">
      <c r="A544" s="113"/>
      <c r="B544" s="113"/>
      <c r="C544" s="113"/>
      <c r="D544" s="114"/>
      <c r="E544" s="113"/>
      <c r="F544" s="113"/>
      <c r="G544" s="115"/>
      <c r="H544" s="116"/>
      <c r="I544" s="117" t="s">
        <v>261</v>
      </c>
      <c r="J544" s="117" t="s">
        <v>261</v>
      </c>
      <c r="K544" s="118"/>
      <c r="L544" s="119"/>
      <c r="M544" s="119"/>
      <c r="N544" s="120"/>
      <c r="O544" s="118"/>
      <c r="P544" s="118"/>
      <c r="Q544" s="118"/>
      <c r="R544" s="121">
        <v>0.67</v>
      </c>
      <c r="S544" s="122">
        <f>IFERROR(__xludf.DUMMYFUNCTION("((IFERROR(MIN(FILTER({K544, N544, Q544}, ISNUMBER({K544, N544, Q544}), {K544, N544, Q544} &gt; 0)), """"))*R544)+IFERROR(MIN(FILTER({K544, N544, Q544}, ISNUMBER({K544, N544, Q544}), {K544, N544, Q544} &gt; 0)), """")"),0.0)</f>
        <v>0</v>
      </c>
      <c r="T544" s="123" t="str">
        <f t="shared" si="1"/>
        <v>#DIV/0!</v>
      </c>
    </row>
    <row r="545">
      <c r="A545" s="113"/>
      <c r="B545" s="113"/>
      <c r="C545" s="113"/>
      <c r="D545" s="114"/>
      <c r="E545" s="113"/>
      <c r="F545" s="113"/>
      <c r="G545" s="115"/>
      <c r="H545" s="116"/>
      <c r="I545" s="117" t="s">
        <v>261</v>
      </c>
      <c r="J545" s="117" t="s">
        <v>261</v>
      </c>
      <c r="K545" s="118"/>
      <c r="L545" s="119"/>
      <c r="M545" s="119"/>
      <c r="N545" s="120"/>
      <c r="O545" s="118"/>
      <c r="P545" s="118"/>
      <c r="Q545" s="118"/>
      <c r="R545" s="121">
        <v>0.67</v>
      </c>
      <c r="S545" s="122">
        <f>IFERROR(__xludf.DUMMYFUNCTION("((IFERROR(MIN(FILTER({K545, N545, Q545}, ISNUMBER({K545, N545, Q545}), {K545, N545, Q545} &gt; 0)), """"))*R545)+IFERROR(MIN(FILTER({K545, N545, Q545}, ISNUMBER({K545, N545, Q545}), {K545, N545, Q545} &gt; 0)), """")"),0.0)</f>
        <v>0</v>
      </c>
      <c r="T545" s="123" t="str">
        <f t="shared" si="1"/>
        <v>#DIV/0!</v>
      </c>
    </row>
    <row r="546">
      <c r="A546" s="113"/>
      <c r="B546" s="113"/>
      <c r="C546" s="113"/>
      <c r="D546" s="114"/>
      <c r="E546" s="113"/>
      <c r="F546" s="113"/>
      <c r="G546" s="115"/>
      <c r="H546" s="116"/>
      <c r="I546" s="117" t="s">
        <v>261</v>
      </c>
      <c r="J546" s="117" t="s">
        <v>261</v>
      </c>
      <c r="K546" s="118"/>
      <c r="L546" s="119"/>
      <c r="M546" s="119"/>
      <c r="N546" s="120"/>
      <c r="O546" s="118"/>
      <c r="P546" s="118"/>
      <c r="Q546" s="118"/>
      <c r="R546" s="121">
        <v>0.67</v>
      </c>
      <c r="S546" s="122">
        <f>IFERROR(__xludf.DUMMYFUNCTION("((IFERROR(MIN(FILTER({K546, N546, Q546}, ISNUMBER({K546, N546, Q546}), {K546, N546, Q546} &gt; 0)), """"))*R546)+IFERROR(MIN(FILTER({K546, N546, Q546}, ISNUMBER({K546, N546, Q546}), {K546, N546, Q546} &gt; 0)), """")"),0.0)</f>
        <v>0</v>
      </c>
      <c r="T546" s="123" t="str">
        <f t="shared" si="1"/>
        <v>#DIV/0!</v>
      </c>
    </row>
    <row r="547">
      <c r="A547" s="113"/>
      <c r="B547" s="113"/>
      <c r="C547" s="113"/>
      <c r="D547" s="114"/>
      <c r="E547" s="113"/>
      <c r="F547" s="113"/>
      <c r="G547" s="115"/>
      <c r="H547" s="116"/>
      <c r="I547" s="117" t="s">
        <v>261</v>
      </c>
      <c r="J547" s="117" t="s">
        <v>261</v>
      </c>
      <c r="K547" s="118"/>
      <c r="L547" s="119"/>
      <c r="M547" s="119"/>
      <c r="N547" s="120"/>
      <c r="O547" s="118"/>
      <c r="P547" s="118"/>
      <c r="Q547" s="118"/>
      <c r="R547" s="121">
        <v>0.67</v>
      </c>
      <c r="S547" s="122">
        <f>IFERROR(__xludf.DUMMYFUNCTION("((IFERROR(MIN(FILTER({K547, N547, Q547}, ISNUMBER({K547, N547, Q547}), {K547, N547, Q547} &gt; 0)), """"))*R547)+IFERROR(MIN(FILTER({K547, N547, Q547}, ISNUMBER({K547, N547, Q547}), {K547, N547, Q547} &gt; 0)), """")"),0.0)</f>
        <v>0</v>
      </c>
      <c r="T547" s="123" t="str">
        <f t="shared" si="1"/>
        <v>#DIV/0!</v>
      </c>
    </row>
    <row r="548">
      <c r="A548" s="113"/>
      <c r="B548" s="113"/>
      <c r="C548" s="113"/>
      <c r="D548" s="114"/>
      <c r="E548" s="113"/>
      <c r="F548" s="113"/>
      <c r="G548" s="115"/>
      <c r="H548" s="116"/>
      <c r="I548" s="117" t="s">
        <v>261</v>
      </c>
      <c r="J548" s="117" t="s">
        <v>261</v>
      </c>
      <c r="K548" s="118"/>
      <c r="L548" s="119"/>
      <c r="M548" s="119"/>
      <c r="N548" s="120"/>
      <c r="O548" s="118"/>
      <c r="P548" s="118"/>
      <c r="Q548" s="118"/>
      <c r="R548" s="121">
        <v>0.67</v>
      </c>
      <c r="S548" s="122">
        <f>IFERROR(__xludf.DUMMYFUNCTION("((IFERROR(MIN(FILTER({K548, N548, Q548}, ISNUMBER({K548, N548, Q548}), {K548, N548, Q548} &gt; 0)), """"))*R548)+IFERROR(MIN(FILTER({K548, N548, Q548}, ISNUMBER({K548, N548, Q548}), {K548, N548, Q548} &gt; 0)), """")"),0.0)</f>
        <v>0</v>
      </c>
      <c r="T548" s="123" t="str">
        <f t="shared" si="1"/>
        <v>#DIV/0!</v>
      </c>
    </row>
    <row r="549">
      <c r="A549" s="113"/>
      <c r="B549" s="113"/>
      <c r="C549" s="113"/>
      <c r="D549" s="114"/>
      <c r="E549" s="113"/>
      <c r="F549" s="113"/>
      <c r="G549" s="115"/>
      <c r="H549" s="116"/>
      <c r="I549" s="117" t="s">
        <v>261</v>
      </c>
      <c r="J549" s="117" t="s">
        <v>261</v>
      </c>
      <c r="K549" s="118"/>
      <c r="L549" s="119"/>
      <c r="M549" s="119"/>
      <c r="N549" s="120"/>
      <c r="O549" s="118"/>
      <c r="P549" s="118"/>
      <c r="Q549" s="118"/>
      <c r="R549" s="121">
        <v>0.67</v>
      </c>
      <c r="S549" s="122">
        <f>IFERROR(__xludf.DUMMYFUNCTION("((IFERROR(MIN(FILTER({K549, N549, Q549}, ISNUMBER({K549, N549, Q549}), {K549, N549, Q549} &gt; 0)), """"))*R549)+IFERROR(MIN(FILTER({K549, N549, Q549}, ISNUMBER({K549, N549, Q549}), {K549, N549, Q549} &gt; 0)), """")"),0.0)</f>
        <v>0</v>
      </c>
      <c r="T549" s="123" t="str">
        <f t="shared" si="1"/>
        <v>#DIV/0!</v>
      </c>
    </row>
    <row r="550">
      <c r="A550" s="113"/>
      <c r="B550" s="113"/>
      <c r="C550" s="113"/>
      <c r="D550" s="114"/>
      <c r="E550" s="113"/>
      <c r="F550" s="113"/>
      <c r="G550" s="115"/>
      <c r="H550" s="116"/>
      <c r="I550" s="117" t="s">
        <v>261</v>
      </c>
      <c r="J550" s="117" t="s">
        <v>261</v>
      </c>
      <c r="K550" s="118"/>
      <c r="L550" s="119"/>
      <c r="M550" s="119"/>
      <c r="N550" s="120"/>
      <c r="O550" s="118"/>
      <c r="P550" s="118"/>
      <c r="Q550" s="118"/>
      <c r="R550" s="121">
        <v>0.67</v>
      </c>
      <c r="S550" s="122">
        <f>IFERROR(__xludf.DUMMYFUNCTION("((IFERROR(MIN(FILTER({K550, N550, Q550}, ISNUMBER({K550, N550, Q550}), {K550, N550, Q550} &gt; 0)), """"))*R550)+IFERROR(MIN(FILTER({K550, N550, Q550}, ISNUMBER({K550, N550, Q550}), {K550, N550, Q550} &gt; 0)), """")"),0.0)</f>
        <v>0</v>
      </c>
      <c r="T550" s="123" t="str">
        <f t="shared" si="1"/>
        <v>#DIV/0!</v>
      </c>
    </row>
    <row r="551">
      <c r="A551" s="113"/>
      <c r="B551" s="113"/>
      <c r="C551" s="113"/>
      <c r="D551" s="114"/>
      <c r="E551" s="113"/>
      <c r="F551" s="113"/>
      <c r="G551" s="115"/>
      <c r="H551" s="116"/>
      <c r="I551" s="117" t="s">
        <v>261</v>
      </c>
      <c r="J551" s="117" t="s">
        <v>261</v>
      </c>
      <c r="K551" s="118"/>
      <c r="L551" s="119"/>
      <c r="M551" s="119"/>
      <c r="N551" s="120"/>
      <c r="O551" s="118"/>
      <c r="P551" s="118"/>
      <c r="Q551" s="118"/>
      <c r="R551" s="121">
        <v>0.67</v>
      </c>
      <c r="S551" s="122">
        <f>IFERROR(__xludf.DUMMYFUNCTION("((IFERROR(MIN(FILTER({K551, N551, Q551}, ISNUMBER({K551, N551, Q551}), {K551, N551, Q551} &gt; 0)), """"))*R551)+IFERROR(MIN(FILTER({K551, N551, Q551}, ISNUMBER({K551, N551, Q551}), {K551, N551, Q551} &gt; 0)), """")"),0.0)</f>
        <v>0</v>
      </c>
      <c r="T551" s="123" t="str">
        <f t="shared" si="1"/>
        <v>#DIV/0!</v>
      </c>
    </row>
    <row r="552">
      <c r="A552" s="113"/>
      <c r="B552" s="113"/>
      <c r="C552" s="113"/>
      <c r="D552" s="114"/>
      <c r="E552" s="113"/>
      <c r="F552" s="113"/>
      <c r="G552" s="115"/>
      <c r="H552" s="116"/>
      <c r="I552" s="117" t="s">
        <v>261</v>
      </c>
      <c r="J552" s="117" t="s">
        <v>261</v>
      </c>
      <c r="K552" s="118"/>
      <c r="L552" s="119"/>
      <c r="M552" s="119"/>
      <c r="N552" s="120"/>
      <c r="O552" s="118"/>
      <c r="P552" s="118"/>
      <c r="Q552" s="118"/>
      <c r="R552" s="121">
        <v>0.67</v>
      </c>
      <c r="S552" s="122">
        <f>IFERROR(__xludf.DUMMYFUNCTION("((IFERROR(MIN(FILTER({K552, N552, Q552}, ISNUMBER({K552, N552, Q552}), {K552, N552, Q552} &gt; 0)), """"))*R552)+IFERROR(MIN(FILTER({K552, N552, Q552}, ISNUMBER({K552, N552, Q552}), {K552, N552, Q552} &gt; 0)), """")"),0.0)</f>
        <v>0</v>
      </c>
      <c r="T552" s="123" t="str">
        <f t="shared" si="1"/>
        <v>#DIV/0!</v>
      </c>
    </row>
    <row r="553">
      <c r="A553" s="113"/>
      <c r="B553" s="113"/>
      <c r="C553" s="113"/>
      <c r="D553" s="114"/>
      <c r="E553" s="113"/>
      <c r="F553" s="113"/>
      <c r="G553" s="115"/>
      <c r="H553" s="116"/>
      <c r="I553" s="117" t="s">
        <v>261</v>
      </c>
      <c r="J553" s="117" t="s">
        <v>261</v>
      </c>
      <c r="K553" s="118"/>
      <c r="L553" s="119"/>
      <c r="M553" s="119"/>
      <c r="N553" s="120"/>
      <c r="O553" s="118"/>
      <c r="P553" s="118"/>
      <c r="Q553" s="118"/>
      <c r="R553" s="121">
        <v>0.67</v>
      </c>
      <c r="S553" s="122">
        <f>IFERROR(__xludf.DUMMYFUNCTION("((IFERROR(MIN(FILTER({K553, N553, Q553}, ISNUMBER({K553, N553, Q553}), {K553, N553, Q553} &gt; 0)), """"))*R553)+IFERROR(MIN(FILTER({K553, N553, Q553}, ISNUMBER({K553, N553, Q553}), {K553, N553, Q553} &gt; 0)), """")"),0.0)</f>
        <v>0</v>
      </c>
      <c r="T553" s="123" t="str">
        <f t="shared" si="1"/>
        <v>#DIV/0!</v>
      </c>
    </row>
    <row r="554">
      <c r="A554" s="113"/>
      <c r="B554" s="113"/>
      <c r="C554" s="113"/>
      <c r="D554" s="114"/>
      <c r="E554" s="113"/>
      <c r="F554" s="113"/>
      <c r="G554" s="115"/>
      <c r="H554" s="116"/>
      <c r="I554" s="117" t="s">
        <v>261</v>
      </c>
      <c r="J554" s="117" t="s">
        <v>261</v>
      </c>
      <c r="K554" s="118"/>
      <c r="L554" s="119"/>
      <c r="M554" s="119"/>
      <c r="N554" s="120"/>
      <c r="O554" s="118"/>
      <c r="P554" s="118"/>
      <c r="Q554" s="118"/>
      <c r="R554" s="121">
        <v>0.67</v>
      </c>
      <c r="S554" s="122">
        <f>IFERROR(__xludf.DUMMYFUNCTION("((IFERROR(MIN(FILTER({K554, N554, Q554}, ISNUMBER({K554, N554, Q554}), {K554, N554, Q554} &gt; 0)), """"))*R554)+IFERROR(MIN(FILTER({K554, N554, Q554}, ISNUMBER({K554, N554, Q554}), {K554, N554, Q554} &gt; 0)), """")"),0.0)</f>
        <v>0</v>
      </c>
      <c r="T554" s="123" t="str">
        <f t="shared" si="1"/>
        <v>#DIV/0!</v>
      </c>
    </row>
    <row r="555">
      <c r="A555" s="113"/>
      <c r="B555" s="113"/>
      <c r="C555" s="113"/>
      <c r="D555" s="114"/>
      <c r="E555" s="113"/>
      <c r="F555" s="113"/>
      <c r="G555" s="115"/>
      <c r="H555" s="116"/>
      <c r="I555" s="117" t="s">
        <v>261</v>
      </c>
      <c r="J555" s="117" t="s">
        <v>261</v>
      </c>
      <c r="K555" s="118"/>
      <c r="L555" s="119"/>
      <c r="M555" s="119"/>
      <c r="N555" s="120"/>
      <c r="O555" s="118"/>
      <c r="P555" s="118"/>
      <c r="Q555" s="118"/>
      <c r="R555" s="121">
        <v>0.67</v>
      </c>
      <c r="S555" s="122">
        <f>IFERROR(__xludf.DUMMYFUNCTION("((IFERROR(MIN(FILTER({K555, N555, Q555}, ISNUMBER({K555, N555, Q555}), {K555, N555, Q555} &gt; 0)), """"))*R555)+IFERROR(MIN(FILTER({K555, N555, Q555}, ISNUMBER({K555, N555, Q555}), {K555, N555, Q555} &gt; 0)), """")"),0.0)</f>
        <v>0</v>
      </c>
      <c r="T555" s="123" t="str">
        <f t="shared" si="1"/>
        <v>#DIV/0!</v>
      </c>
    </row>
    <row r="556">
      <c r="A556" s="113"/>
      <c r="B556" s="113"/>
      <c r="C556" s="113"/>
      <c r="D556" s="114"/>
      <c r="E556" s="113"/>
      <c r="F556" s="113"/>
      <c r="G556" s="115"/>
      <c r="H556" s="116"/>
      <c r="I556" s="117" t="s">
        <v>261</v>
      </c>
      <c r="J556" s="117" t="s">
        <v>261</v>
      </c>
      <c r="K556" s="118"/>
      <c r="L556" s="119"/>
      <c r="M556" s="119"/>
      <c r="N556" s="120"/>
      <c r="O556" s="118"/>
      <c r="P556" s="118"/>
      <c r="Q556" s="118"/>
      <c r="R556" s="121">
        <v>0.67</v>
      </c>
      <c r="S556" s="122">
        <f>IFERROR(__xludf.DUMMYFUNCTION("((IFERROR(MIN(FILTER({K556, N556, Q556}, ISNUMBER({K556, N556, Q556}), {K556, N556, Q556} &gt; 0)), """"))*R556)+IFERROR(MIN(FILTER({K556, N556, Q556}, ISNUMBER({K556, N556, Q556}), {K556, N556, Q556} &gt; 0)), """")"),0.0)</f>
        <v>0</v>
      </c>
      <c r="T556" s="123" t="str">
        <f t="shared" si="1"/>
        <v>#DIV/0!</v>
      </c>
    </row>
    <row r="557">
      <c r="A557" s="113"/>
      <c r="B557" s="113"/>
      <c r="C557" s="113"/>
      <c r="D557" s="114"/>
      <c r="E557" s="113"/>
      <c r="F557" s="113"/>
      <c r="G557" s="115"/>
      <c r="H557" s="116"/>
      <c r="I557" s="117" t="s">
        <v>261</v>
      </c>
      <c r="J557" s="117" t="s">
        <v>261</v>
      </c>
      <c r="K557" s="118"/>
      <c r="L557" s="119"/>
      <c r="M557" s="119"/>
      <c r="N557" s="120"/>
      <c r="O557" s="118"/>
      <c r="P557" s="118"/>
      <c r="Q557" s="118"/>
      <c r="R557" s="121">
        <v>0.67</v>
      </c>
      <c r="S557" s="122">
        <f>IFERROR(__xludf.DUMMYFUNCTION("((IFERROR(MIN(FILTER({K557, N557, Q557}, ISNUMBER({K557, N557, Q557}), {K557, N557, Q557} &gt; 0)), """"))*R557)+IFERROR(MIN(FILTER({K557, N557, Q557}, ISNUMBER({K557, N557, Q557}), {K557, N557, Q557} &gt; 0)), """")"),0.0)</f>
        <v>0</v>
      </c>
      <c r="T557" s="123" t="str">
        <f t="shared" si="1"/>
        <v>#DIV/0!</v>
      </c>
    </row>
    <row r="558">
      <c r="A558" s="113"/>
      <c r="B558" s="113"/>
      <c r="C558" s="113"/>
      <c r="D558" s="114"/>
      <c r="E558" s="113"/>
      <c r="F558" s="113"/>
      <c r="G558" s="115"/>
      <c r="H558" s="116"/>
      <c r="I558" s="117" t="s">
        <v>261</v>
      </c>
      <c r="J558" s="117" t="s">
        <v>261</v>
      </c>
      <c r="K558" s="118"/>
      <c r="L558" s="119"/>
      <c r="M558" s="119"/>
      <c r="N558" s="120"/>
      <c r="O558" s="118"/>
      <c r="P558" s="118"/>
      <c r="Q558" s="118"/>
      <c r="R558" s="121">
        <v>0.67</v>
      </c>
      <c r="S558" s="122">
        <f>IFERROR(__xludf.DUMMYFUNCTION("((IFERROR(MIN(FILTER({K558, N558, Q558}, ISNUMBER({K558, N558, Q558}), {K558, N558, Q558} &gt; 0)), """"))*R558)+IFERROR(MIN(FILTER({K558, N558, Q558}, ISNUMBER({K558, N558, Q558}), {K558, N558, Q558} &gt; 0)), """")"),0.0)</f>
        <v>0</v>
      </c>
      <c r="T558" s="123" t="str">
        <f t="shared" si="1"/>
        <v>#DIV/0!</v>
      </c>
    </row>
    <row r="559">
      <c r="A559" s="113"/>
      <c r="B559" s="113"/>
      <c r="C559" s="113"/>
      <c r="D559" s="114"/>
      <c r="E559" s="113"/>
      <c r="F559" s="113"/>
      <c r="G559" s="115"/>
      <c r="H559" s="116"/>
      <c r="I559" s="117" t="s">
        <v>261</v>
      </c>
      <c r="J559" s="117" t="s">
        <v>261</v>
      </c>
      <c r="K559" s="118"/>
      <c r="L559" s="119"/>
      <c r="M559" s="119"/>
      <c r="N559" s="120"/>
      <c r="O559" s="118"/>
      <c r="P559" s="118"/>
      <c r="Q559" s="118"/>
      <c r="R559" s="121">
        <v>0.67</v>
      </c>
      <c r="S559" s="122">
        <f>IFERROR(__xludf.DUMMYFUNCTION("((IFERROR(MIN(FILTER({K559, N559, Q559}, ISNUMBER({K559, N559, Q559}), {K559, N559, Q559} &gt; 0)), """"))*R559)+IFERROR(MIN(FILTER({K559, N559, Q559}, ISNUMBER({K559, N559, Q559}), {K559, N559, Q559} &gt; 0)), """")"),0.0)</f>
        <v>0</v>
      </c>
      <c r="T559" s="123" t="str">
        <f t="shared" si="1"/>
        <v>#DIV/0!</v>
      </c>
    </row>
    <row r="560">
      <c r="A560" s="113"/>
      <c r="B560" s="113"/>
      <c r="C560" s="113"/>
      <c r="D560" s="114"/>
      <c r="E560" s="113"/>
      <c r="F560" s="113"/>
      <c r="G560" s="115"/>
      <c r="H560" s="116"/>
      <c r="I560" s="117" t="s">
        <v>261</v>
      </c>
      <c r="J560" s="117" t="s">
        <v>261</v>
      </c>
      <c r="K560" s="118"/>
      <c r="L560" s="119"/>
      <c r="M560" s="119"/>
      <c r="N560" s="120"/>
      <c r="O560" s="118"/>
      <c r="P560" s="118"/>
      <c r="Q560" s="118"/>
      <c r="R560" s="121">
        <v>0.67</v>
      </c>
      <c r="S560" s="122">
        <f>IFERROR(__xludf.DUMMYFUNCTION("((IFERROR(MIN(FILTER({K560, N560, Q560}, ISNUMBER({K560, N560, Q560}), {K560, N560, Q560} &gt; 0)), """"))*R560)+IFERROR(MIN(FILTER({K560, N560, Q560}, ISNUMBER({K560, N560, Q560}), {K560, N560, Q560} &gt; 0)), """")"),0.0)</f>
        <v>0</v>
      </c>
      <c r="T560" s="123" t="str">
        <f t="shared" si="1"/>
        <v>#DIV/0!</v>
      </c>
    </row>
    <row r="561">
      <c r="A561" s="113"/>
      <c r="B561" s="113"/>
      <c r="C561" s="113"/>
      <c r="D561" s="114"/>
      <c r="E561" s="113"/>
      <c r="F561" s="113"/>
      <c r="G561" s="115"/>
      <c r="H561" s="116"/>
      <c r="I561" s="117" t="s">
        <v>261</v>
      </c>
      <c r="J561" s="117" t="s">
        <v>261</v>
      </c>
      <c r="K561" s="118"/>
      <c r="L561" s="119"/>
      <c r="M561" s="119"/>
      <c r="N561" s="120"/>
      <c r="O561" s="118"/>
      <c r="P561" s="118"/>
      <c r="Q561" s="118"/>
      <c r="R561" s="121">
        <v>0.67</v>
      </c>
      <c r="S561" s="122">
        <f>IFERROR(__xludf.DUMMYFUNCTION("((IFERROR(MIN(FILTER({K561, N561, Q561}, ISNUMBER({K561, N561, Q561}), {K561, N561, Q561} &gt; 0)), """"))*R561)+IFERROR(MIN(FILTER({K561, N561, Q561}, ISNUMBER({K561, N561, Q561}), {K561, N561, Q561} &gt; 0)), """")"),0.0)</f>
        <v>0</v>
      </c>
      <c r="T561" s="123" t="str">
        <f t="shared" si="1"/>
        <v>#DIV/0!</v>
      </c>
    </row>
    <row r="562">
      <c r="A562" s="113"/>
      <c r="B562" s="113"/>
      <c r="C562" s="113"/>
      <c r="D562" s="114"/>
      <c r="E562" s="113"/>
      <c r="F562" s="113"/>
      <c r="G562" s="115"/>
      <c r="H562" s="116"/>
      <c r="I562" s="117" t="s">
        <v>261</v>
      </c>
      <c r="J562" s="117" t="s">
        <v>261</v>
      </c>
      <c r="K562" s="118"/>
      <c r="L562" s="119"/>
      <c r="M562" s="119"/>
      <c r="N562" s="120"/>
      <c r="O562" s="118"/>
      <c r="P562" s="118"/>
      <c r="Q562" s="118"/>
      <c r="R562" s="121">
        <v>0.67</v>
      </c>
      <c r="S562" s="122">
        <f>IFERROR(__xludf.DUMMYFUNCTION("((IFERROR(MIN(FILTER({K562, N562, Q562}, ISNUMBER({K562, N562, Q562}), {K562, N562, Q562} &gt; 0)), """"))*R562)+IFERROR(MIN(FILTER({K562, N562, Q562}, ISNUMBER({K562, N562, Q562}), {K562, N562, Q562} &gt; 0)), """")"),0.0)</f>
        <v>0</v>
      </c>
      <c r="T562" s="123" t="str">
        <f t="shared" si="1"/>
        <v>#DIV/0!</v>
      </c>
    </row>
    <row r="563">
      <c r="A563" s="113"/>
      <c r="B563" s="113"/>
      <c r="C563" s="113"/>
      <c r="D563" s="114"/>
      <c r="E563" s="113"/>
      <c r="F563" s="113"/>
      <c r="G563" s="115"/>
      <c r="H563" s="116"/>
      <c r="I563" s="117" t="s">
        <v>261</v>
      </c>
      <c r="J563" s="117" t="s">
        <v>261</v>
      </c>
      <c r="K563" s="118"/>
      <c r="L563" s="119"/>
      <c r="M563" s="119"/>
      <c r="N563" s="120"/>
      <c r="O563" s="118"/>
      <c r="P563" s="118"/>
      <c r="Q563" s="118"/>
      <c r="R563" s="121">
        <v>0.67</v>
      </c>
      <c r="S563" s="122">
        <f>IFERROR(__xludf.DUMMYFUNCTION("((IFERROR(MIN(FILTER({K563, N563, Q563}, ISNUMBER({K563, N563, Q563}), {K563, N563, Q563} &gt; 0)), """"))*R563)+IFERROR(MIN(FILTER({K563, N563, Q563}, ISNUMBER({K563, N563, Q563}), {K563, N563, Q563} &gt; 0)), """")"),0.0)</f>
        <v>0</v>
      </c>
      <c r="T563" s="123" t="str">
        <f t="shared" si="1"/>
        <v>#DIV/0!</v>
      </c>
    </row>
    <row r="564">
      <c r="A564" s="113"/>
      <c r="B564" s="113"/>
      <c r="C564" s="113"/>
      <c r="D564" s="114"/>
      <c r="E564" s="113"/>
      <c r="F564" s="113"/>
      <c r="G564" s="115"/>
      <c r="H564" s="116"/>
      <c r="I564" s="117" t="s">
        <v>261</v>
      </c>
      <c r="J564" s="117" t="s">
        <v>261</v>
      </c>
      <c r="K564" s="118"/>
      <c r="L564" s="119"/>
      <c r="M564" s="119"/>
      <c r="N564" s="120"/>
      <c r="O564" s="118"/>
      <c r="P564" s="118"/>
      <c r="Q564" s="118"/>
      <c r="R564" s="121">
        <v>0.67</v>
      </c>
      <c r="S564" s="122">
        <f>IFERROR(__xludf.DUMMYFUNCTION("((IFERROR(MIN(FILTER({K564, N564, Q564}, ISNUMBER({K564, N564, Q564}), {K564, N564, Q564} &gt; 0)), """"))*R564)+IFERROR(MIN(FILTER({K564, N564, Q564}, ISNUMBER({K564, N564, Q564}), {K564, N564, Q564} &gt; 0)), """")"),0.0)</f>
        <v>0</v>
      </c>
      <c r="T564" s="123" t="str">
        <f t="shared" si="1"/>
        <v>#DIV/0!</v>
      </c>
    </row>
    <row r="565">
      <c r="A565" s="113"/>
      <c r="B565" s="113"/>
      <c r="C565" s="113"/>
      <c r="D565" s="114"/>
      <c r="E565" s="113"/>
      <c r="F565" s="113"/>
      <c r="G565" s="115"/>
      <c r="H565" s="116"/>
      <c r="I565" s="117" t="s">
        <v>261</v>
      </c>
      <c r="J565" s="117" t="s">
        <v>261</v>
      </c>
      <c r="K565" s="118"/>
      <c r="L565" s="119"/>
      <c r="M565" s="119"/>
      <c r="N565" s="120"/>
      <c r="O565" s="118"/>
      <c r="P565" s="118"/>
      <c r="Q565" s="118"/>
      <c r="R565" s="121">
        <v>0.67</v>
      </c>
      <c r="S565" s="122">
        <f>IFERROR(__xludf.DUMMYFUNCTION("((IFERROR(MIN(FILTER({K565, N565, Q565}, ISNUMBER({K565, N565, Q565}), {K565, N565, Q565} &gt; 0)), """"))*R565)+IFERROR(MIN(FILTER({K565, N565, Q565}, ISNUMBER({K565, N565, Q565}), {K565, N565, Q565} &gt; 0)), """")"),0.0)</f>
        <v>0</v>
      </c>
      <c r="T565" s="123" t="str">
        <f t="shared" si="1"/>
        <v>#DIV/0!</v>
      </c>
    </row>
    <row r="566">
      <c r="A566" s="113"/>
      <c r="B566" s="113"/>
      <c r="C566" s="113"/>
      <c r="D566" s="114"/>
      <c r="E566" s="113"/>
      <c r="F566" s="113"/>
      <c r="G566" s="115"/>
      <c r="H566" s="116"/>
      <c r="I566" s="117" t="s">
        <v>261</v>
      </c>
      <c r="J566" s="117" t="s">
        <v>261</v>
      </c>
      <c r="K566" s="118"/>
      <c r="L566" s="119"/>
      <c r="M566" s="119"/>
      <c r="N566" s="120"/>
      <c r="O566" s="118"/>
      <c r="P566" s="118"/>
      <c r="Q566" s="118"/>
      <c r="R566" s="121">
        <v>0.67</v>
      </c>
      <c r="S566" s="122">
        <f>IFERROR(__xludf.DUMMYFUNCTION("((IFERROR(MIN(FILTER({K566, N566, Q566}, ISNUMBER({K566, N566, Q566}), {K566, N566, Q566} &gt; 0)), """"))*R566)+IFERROR(MIN(FILTER({K566, N566, Q566}, ISNUMBER({K566, N566, Q566}), {K566, N566, Q566} &gt; 0)), """")"),0.0)</f>
        <v>0</v>
      </c>
      <c r="T566" s="123" t="str">
        <f t="shared" si="1"/>
        <v>#DIV/0!</v>
      </c>
    </row>
    <row r="567">
      <c r="A567" s="113"/>
      <c r="B567" s="113"/>
      <c r="C567" s="113"/>
      <c r="D567" s="114"/>
      <c r="E567" s="113"/>
      <c r="F567" s="113"/>
      <c r="G567" s="115"/>
      <c r="H567" s="116"/>
      <c r="I567" s="117" t="s">
        <v>261</v>
      </c>
      <c r="J567" s="117" t="s">
        <v>261</v>
      </c>
      <c r="K567" s="118"/>
      <c r="L567" s="119"/>
      <c r="M567" s="119"/>
      <c r="N567" s="120"/>
      <c r="O567" s="118"/>
      <c r="P567" s="118"/>
      <c r="Q567" s="118"/>
      <c r="R567" s="121">
        <v>0.67</v>
      </c>
      <c r="S567" s="122">
        <f>IFERROR(__xludf.DUMMYFUNCTION("((IFERROR(MIN(FILTER({K567, N567, Q567}, ISNUMBER({K567, N567, Q567}), {K567, N567, Q567} &gt; 0)), """"))*R567)+IFERROR(MIN(FILTER({K567, N567, Q567}, ISNUMBER({K567, N567, Q567}), {K567, N567, Q567} &gt; 0)), """")"),0.0)</f>
        <v>0</v>
      </c>
      <c r="T567" s="123" t="str">
        <f t="shared" si="1"/>
        <v>#DIV/0!</v>
      </c>
    </row>
    <row r="568">
      <c r="A568" s="113"/>
      <c r="B568" s="113"/>
      <c r="C568" s="113"/>
      <c r="D568" s="114"/>
      <c r="E568" s="113"/>
      <c r="F568" s="113"/>
      <c r="G568" s="115"/>
      <c r="H568" s="116"/>
      <c r="I568" s="117" t="s">
        <v>261</v>
      </c>
      <c r="J568" s="117" t="s">
        <v>261</v>
      </c>
      <c r="K568" s="118"/>
      <c r="L568" s="119"/>
      <c r="M568" s="119"/>
      <c r="N568" s="120"/>
      <c r="O568" s="118"/>
      <c r="P568" s="118"/>
      <c r="Q568" s="118"/>
      <c r="R568" s="121">
        <v>0.67</v>
      </c>
      <c r="S568" s="122">
        <f>IFERROR(__xludf.DUMMYFUNCTION("((IFERROR(MIN(FILTER({K568, N568, Q568}, ISNUMBER({K568, N568, Q568}), {K568, N568, Q568} &gt; 0)), """"))*R568)+IFERROR(MIN(FILTER({K568, N568, Q568}, ISNUMBER({K568, N568, Q568}), {K568, N568, Q568} &gt; 0)), """")"),0.0)</f>
        <v>0</v>
      </c>
      <c r="T568" s="123" t="str">
        <f t="shared" si="1"/>
        <v>#DIV/0!</v>
      </c>
    </row>
    <row r="569">
      <c r="A569" s="113"/>
      <c r="B569" s="113"/>
      <c r="C569" s="113"/>
      <c r="D569" s="114"/>
      <c r="E569" s="113"/>
      <c r="F569" s="113"/>
      <c r="G569" s="115"/>
      <c r="H569" s="116"/>
      <c r="I569" s="117" t="s">
        <v>261</v>
      </c>
      <c r="J569" s="117" t="s">
        <v>261</v>
      </c>
      <c r="K569" s="118"/>
      <c r="L569" s="119"/>
      <c r="M569" s="119"/>
      <c r="N569" s="120"/>
      <c r="O569" s="118"/>
      <c r="P569" s="118"/>
      <c r="Q569" s="118"/>
      <c r="R569" s="121">
        <v>0.67</v>
      </c>
      <c r="S569" s="122">
        <f>IFERROR(__xludf.DUMMYFUNCTION("((IFERROR(MIN(FILTER({K569, N569, Q569}, ISNUMBER({K569, N569, Q569}), {K569, N569, Q569} &gt; 0)), """"))*R569)+IFERROR(MIN(FILTER({K569, N569, Q569}, ISNUMBER({K569, N569, Q569}), {K569, N569, Q569} &gt; 0)), """")"),0.0)</f>
        <v>0</v>
      </c>
      <c r="T569" s="123" t="str">
        <f t="shared" si="1"/>
        <v>#DIV/0!</v>
      </c>
    </row>
    <row r="570">
      <c r="A570" s="113"/>
      <c r="B570" s="113"/>
      <c r="C570" s="113"/>
      <c r="D570" s="114"/>
      <c r="E570" s="113"/>
      <c r="F570" s="113"/>
      <c r="G570" s="115"/>
      <c r="H570" s="116"/>
      <c r="I570" s="117" t="s">
        <v>261</v>
      </c>
      <c r="J570" s="117" t="s">
        <v>261</v>
      </c>
      <c r="K570" s="118"/>
      <c r="L570" s="119"/>
      <c r="M570" s="119"/>
      <c r="N570" s="120"/>
      <c r="O570" s="118"/>
      <c r="P570" s="118"/>
      <c r="Q570" s="118"/>
      <c r="R570" s="121">
        <v>0.67</v>
      </c>
      <c r="S570" s="122">
        <f>IFERROR(__xludf.DUMMYFUNCTION("((IFERROR(MIN(FILTER({K570, N570, Q570}, ISNUMBER({K570, N570, Q570}), {K570, N570, Q570} &gt; 0)), """"))*R570)+IFERROR(MIN(FILTER({K570, N570, Q570}, ISNUMBER({K570, N570, Q570}), {K570, N570, Q570} &gt; 0)), """")"),0.0)</f>
        <v>0</v>
      </c>
      <c r="T570" s="123" t="str">
        <f t="shared" si="1"/>
        <v>#DIV/0!</v>
      </c>
    </row>
    <row r="571">
      <c r="A571" s="113"/>
      <c r="B571" s="113"/>
      <c r="C571" s="113"/>
      <c r="D571" s="114"/>
      <c r="E571" s="113"/>
      <c r="F571" s="113"/>
      <c r="G571" s="115"/>
      <c r="H571" s="116"/>
      <c r="I571" s="117" t="s">
        <v>261</v>
      </c>
      <c r="J571" s="117" t="s">
        <v>261</v>
      </c>
      <c r="K571" s="118"/>
      <c r="L571" s="119"/>
      <c r="M571" s="119"/>
      <c r="N571" s="120"/>
      <c r="O571" s="118"/>
      <c r="P571" s="118"/>
      <c r="Q571" s="118"/>
      <c r="R571" s="121">
        <v>0.67</v>
      </c>
      <c r="S571" s="122">
        <f>IFERROR(__xludf.DUMMYFUNCTION("((IFERROR(MIN(FILTER({K571, N571, Q571}, ISNUMBER({K571, N571, Q571}), {K571, N571, Q571} &gt; 0)), """"))*R571)+IFERROR(MIN(FILTER({K571, N571, Q571}, ISNUMBER({K571, N571, Q571}), {K571, N571, Q571} &gt; 0)), """")"),0.0)</f>
        <v>0</v>
      </c>
      <c r="T571" s="123" t="str">
        <f t="shared" si="1"/>
        <v>#DIV/0!</v>
      </c>
    </row>
    <row r="572">
      <c r="A572" s="113"/>
      <c r="B572" s="113"/>
      <c r="C572" s="113"/>
      <c r="D572" s="114"/>
      <c r="E572" s="113"/>
      <c r="F572" s="113"/>
      <c r="G572" s="115"/>
      <c r="H572" s="116"/>
      <c r="I572" s="117" t="s">
        <v>261</v>
      </c>
      <c r="J572" s="117" t="s">
        <v>261</v>
      </c>
      <c r="K572" s="118"/>
      <c r="L572" s="119"/>
      <c r="M572" s="119"/>
      <c r="N572" s="120"/>
      <c r="O572" s="118"/>
      <c r="P572" s="118"/>
      <c r="Q572" s="118"/>
      <c r="R572" s="121">
        <v>0.67</v>
      </c>
      <c r="S572" s="122">
        <f>IFERROR(__xludf.DUMMYFUNCTION("((IFERROR(MIN(FILTER({K572, N572, Q572}, ISNUMBER({K572, N572, Q572}), {K572, N572, Q572} &gt; 0)), """"))*R572)+IFERROR(MIN(FILTER({K572, N572, Q572}, ISNUMBER({K572, N572, Q572}), {K572, N572, Q572} &gt; 0)), """")"),0.0)</f>
        <v>0</v>
      </c>
      <c r="T572" s="123" t="str">
        <f t="shared" si="1"/>
        <v>#DIV/0!</v>
      </c>
    </row>
    <row r="573">
      <c r="A573" s="113"/>
      <c r="B573" s="113"/>
      <c r="C573" s="113"/>
      <c r="D573" s="114"/>
      <c r="E573" s="113"/>
      <c r="F573" s="113"/>
      <c r="G573" s="115"/>
      <c r="H573" s="116"/>
      <c r="I573" s="117" t="s">
        <v>261</v>
      </c>
      <c r="J573" s="117" t="s">
        <v>261</v>
      </c>
      <c r="K573" s="118"/>
      <c r="L573" s="119"/>
      <c r="M573" s="119"/>
      <c r="N573" s="120"/>
      <c r="O573" s="118"/>
      <c r="P573" s="118"/>
      <c r="Q573" s="118"/>
      <c r="R573" s="121">
        <v>0.67</v>
      </c>
      <c r="S573" s="122">
        <f>IFERROR(__xludf.DUMMYFUNCTION("((IFERROR(MIN(FILTER({K573, N573, Q573}, ISNUMBER({K573, N573, Q573}), {K573, N573, Q573} &gt; 0)), """"))*R573)+IFERROR(MIN(FILTER({K573, N573, Q573}, ISNUMBER({K573, N573, Q573}), {K573, N573, Q573} &gt; 0)), """")"),0.0)</f>
        <v>0</v>
      </c>
      <c r="T573" s="123" t="str">
        <f t="shared" si="1"/>
        <v>#DIV/0!</v>
      </c>
    </row>
    <row r="574">
      <c r="A574" s="113"/>
      <c r="B574" s="113"/>
      <c r="C574" s="113"/>
      <c r="D574" s="114"/>
      <c r="E574" s="113"/>
      <c r="F574" s="113"/>
      <c r="G574" s="115"/>
      <c r="H574" s="116"/>
      <c r="I574" s="117" t="s">
        <v>261</v>
      </c>
      <c r="J574" s="117" t="s">
        <v>261</v>
      </c>
      <c r="K574" s="118"/>
      <c r="L574" s="119"/>
      <c r="M574" s="119"/>
      <c r="N574" s="120"/>
      <c r="O574" s="118"/>
      <c r="P574" s="118"/>
      <c r="Q574" s="118"/>
      <c r="R574" s="121">
        <v>0.67</v>
      </c>
      <c r="S574" s="122">
        <f>IFERROR(__xludf.DUMMYFUNCTION("((IFERROR(MIN(FILTER({K574, N574, Q574}, ISNUMBER({K574, N574, Q574}), {K574, N574, Q574} &gt; 0)), """"))*R574)+IFERROR(MIN(FILTER({K574, N574, Q574}, ISNUMBER({K574, N574, Q574}), {K574, N574, Q574} &gt; 0)), """")"),0.0)</f>
        <v>0</v>
      </c>
      <c r="T574" s="123" t="str">
        <f t="shared" si="1"/>
        <v>#DIV/0!</v>
      </c>
    </row>
    <row r="575">
      <c r="A575" s="113"/>
      <c r="B575" s="113"/>
      <c r="C575" s="113"/>
      <c r="D575" s="114"/>
      <c r="E575" s="113"/>
      <c r="F575" s="113"/>
      <c r="G575" s="115"/>
      <c r="H575" s="116"/>
      <c r="I575" s="117" t="s">
        <v>261</v>
      </c>
      <c r="J575" s="117" t="s">
        <v>261</v>
      </c>
      <c r="K575" s="118"/>
      <c r="L575" s="119"/>
      <c r="M575" s="119"/>
      <c r="N575" s="120"/>
      <c r="O575" s="118"/>
      <c r="P575" s="118"/>
      <c r="Q575" s="118"/>
      <c r="R575" s="121">
        <v>0.67</v>
      </c>
      <c r="S575" s="122">
        <f>IFERROR(__xludf.DUMMYFUNCTION("((IFERROR(MIN(FILTER({K575, N575, Q575}, ISNUMBER({K575, N575, Q575}), {K575, N575, Q575} &gt; 0)), """"))*R575)+IFERROR(MIN(FILTER({K575, N575, Q575}, ISNUMBER({K575, N575, Q575}), {K575, N575, Q575} &gt; 0)), """")"),0.0)</f>
        <v>0</v>
      </c>
      <c r="T575" s="123" t="str">
        <f t="shared" si="1"/>
        <v>#DIV/0!</v>
      </c>
    </row>
    <row r="576">
      <c r="A576" s="113"/>
      <c r="B576" s="113"/>
      <c r="C576" s="113"/>
      <c r="D576" s="114"/>
      <c r="E576" s="113"/>
      <c r="F576" s="113"/>
      <c r="G576" s="115"/>
      <c r="H576" s="116"/>
      <c r="I576" s="117" t="s">
        <v>261</v>
      </c>
      <c r="J576" s="117" t="s">
        <v>261</v>
      </c>
      <c r="K576" s="118"/>
      <c r="L576" s="119"/>
      <c r="M576" s="119"/>
      <c r="N576" s="120"/>
      <c r="O576" s="118"/>
      <c r="P576" s="118"/>
      <c r="Q576" s="118"/>
      <c r="R576" s="121">
        <v>0.67</v>
      </c>
      <c r="S576" s="122">
        <f>IFERROR(__xludf.DUMMYFUNCTION("((IFERROR(MIN(FILTER({K576, N576, Q576}, ISNUMBER({K576, N576, Q576}), {K576, N576, Q576} &gt; 0)), """"))*R576)+IFERROR(MIN(FILTER({K576, N576, Q576}, ISNUMBER({K576, N576, Q576}), {K576, N576, Q576} &gt; 0)), """")"),0.0)</f>
        <v>0</v>
      </c>
      <c r="T576" s="123" t="str">
        <f t="shared" si="1"/>
        <v>#DIV/0!</v>
      </c>
    </row>
    <row r="577">
      <c r="A577" s="113"/>
      <c r="B577" s="113"/>
      <c r="C577" s="113"/>
      <c r="D577" s="114"/>
      <c r="E577" s="113"/>
      <c r="F577" s="113"/>
      <c r="G577" s="115"/>
      <c r="H577" s="116"/>
      <c r="I577" s="117" t="s">
        <v>261</v>
      </c>
      <c r="J577" s="117" t="s">
        <v>261</v>
      </c>
      <c r="K577" s="118"/>
      <c r="L577" s="119"/>
      <c r="M577" s="119"/>
      <c r="N577" s="120"/>
      <c r="O577" s="118"/>
      <c r="P577" s="118"/>
      <c r="Q577" s="118"/>
      <c r="R577" s="121">
        <v>0.67</v>
      </c>
      <c r="S577" s="122">
        <f>IFERROR(__xludf.DUMMYFUNCTION("((IFERROR(MIN(FILTER({K577, N577, Q577}, ISNUMBER({K577, N577, Q577}), {K577, N577, Q577} &gt; 0)), """"))*R577)+IFERROR(MIN(FILTER({K577, N577, Q577}, ISNUMBER({K577, N577, Q577}), {K577, N577, Q577} &gt; 0)), """")"),0.0)</f>
        <v>0</v>
      </c>
      <c r="T577" s="123" t="str">
        <f t="shared" si="1"/>
        <v>#DIV/0!</v>
      </c>
    </row>
    <row r="578">
      <c r="A578" s="113"/>
      <c r="B578" s="113"/>
      <c r="C578" s="113"/>
      <c r="D578" s="114"/>
      <c r="E578" s="113"/>
      <c r="F578" s="113"/>
      <c r="G578" s="115"/>
      <c r="H578" s="116"/>
      <c r="I578" s="117" t="s">
        <v>261</v>
      </c>
      <c r="J578" s="117" t="s">
        <v>261</v>
      </c>
      <c r="K578" s="118"/>
      <c r="L578" s="119"/>
      <c r="M578" s="119"/>
      <c r="N578" s="120"/>
      <c r="O578" s="118"/>
      <c r="P578" s="118"/>
      <c r="Q578" s="118"/>
      <c r="R578" s="121">
        <v>0.67</v>
      </c>
      <c r="S578" s="122">
        <f>IFERROR(__xludf.DUMMYFUNCTION("((IFERROR(MIN(FILTER({K578, N578, Q578}, ISNUMBER({K578, N578, Q578}), {K578, N578, Q578} &gt; 0)), """"))*R578)+IFERROR(MIN(FILTER({K578, N578, Q578}, ISNUMBER({K578, N578, Q578}), {K578, N578, Q578} &gt; 0)), """")"),0.0)</f>
        <v>0</v>
      </c>
      <c r="T578" s="123" t="str">
        <f t="shared" si="1"/>
        <v>#DIV/0!</v>
      </c>
    </row>
    <row r="579">
      <c r="A579" s="113"/>
      <c r="B579" s="113"/>
      <c r="C579" s="113"/>
      <c r="D579" s="114"/>
      <c r="E579" s="113"/>
      <c r="F579" s="113"/>
      <c r="G579" s="115"/>
      <c r="H579" s="116"/>
      <c r="I579" s="117" t="s">
        <v>261</v>
      </c>
      <c r="J579" s="117" t="s">
        <v>261</v>
      </c>
      <c r="K579" s="118"/>
      <c r="L579" s="119"/>
      <c r="M579" s="119"/>
      <c r="N579" s="120"/>
      <c r="O579" s="118"/>
      <c r="P579" s="118"/>
      <c r="Q579" s="118"/>
      <c r="R579" s="121">
        <v>0.67</v>
      </c>
      <c r="S579" s="122">
        <f>IFERROR(__xludf.DUMMYFUNCTION("((IFERROR(MIN(FILTER({K579, N579, Q579}, ISNUMBER({K579, N579, Q579}), {K579, N579, Q579} &gt; 0)), """"))*R579)+IFERROR(MIN(FILTER({K579, N579, Q579}, ISNUMBER({K579, N579, Q579}), {K579, N579, Q579} &gt; 0)), """")"),0.0)</f>
        <v>0</v>
      </c>
      <c r="T579" s="123" t="str">
        <f t="shared" si="1"/>
        <v>#DIV/0!</v>
      </c>
    </row>
    <row r="580">
      <c r="A580" s="113"/>
      <c r="B580" s="113"/>
      <c r="C580" s="113"/>
      <c r="D580" s="114"/>
      <c r="E580" s="113"/>
      <c r="F580" s="113"/>
      <c r="G580" s="115"/>
      <c r="H580" s="116"/>
      <c r="I580" s="117" t="s">
        <v>261</v>
      </c>
      <c r="J580" s="117" t="s">
        <v>261</v>
      </c>
      <c r="K580" s="118"/>
      <c r="L580" s="119"/>
      <c r="M580" s="119"/>
      <c r="N580" s="120"/>
      <c r="O580" s="118"/>
      <c r="P580" s="118"/>
      <c r="Q580" s="118"/>
      <c r="R580" s="121">
        <v>0.67</v>
      </c>
      <c r="S580" s="122">
        <f>IFERROR(__xludf.DUMMYFUNCTION("((IFERROR(MIN(FILTER({K580, N580, Q580}, ISNUMBER({K580, N580, Q580}), {K580, N580, Q580} &gt; 0)), """"))*R580)+IFERROR(MIN(FILTER({K580, N580, Q580}, ISNUMBER({K580, N580, Q580}), {K580, N580, Q580} &gt; 0)), """")"),0.0)</f>
        <v>0</v>
      </c>
      <c r="T580" s="123" t="str">
        <f t="shared" si="1"/>
        <v>#DIV/0!</v>
      </c>
    </row>
    <row r="581">
      <c r="A581" s="113"/>
      <c r="B581" s="113"/>
      <c r="C581" s="113"/>
      <c r="D581" s="114"/>
      <c r="E581" s="113"/>
      <c r="F581" s="113"/>
      <c r="G581" s="115"/>
      <c r="H581" s="116"/>
      <c r="I581" s="117" t="s">
        <v>261</v>
      </c>
      <c r="J581" s="117" t="s">
        <v>261</v>
      </c>
      <c r="K581" s="118"/>
      <c r="L581" s="119"/>
      <c r="M581" s="119"/>
      <c r="N581" s="120"/>
      <c r="O581" s="118"/>
      <c r="P581" s="118"/>
      <c r="Q581" s="118"/>
      <c r="R581" s="121">
        <v>0.67</v>
      </c>
      <c r="S581" s="122">
        <f>IFERROR(__xludf.DUMMYFUNCTION("((IFERROR(MIN(FILTER({K581, N581, Q581}, ISNUMBER({K581, N581, Q581}), {K581, N581, Q581} &gt; 0)), """"))*R581)+IFERROR(MIN(FILTER({K581, N581, Q581}, ISNUMBER({K581, N581, Q581}), {K581, N581, Q581} &gt; 0)), """")"),0.0)</f>
        <v>0</v>
      </c>
      <c r="T581" s="123" t="str">
        <f t="shared" si="1"/>
        <v>#DIV/0!</v>
      </c>
    </row>
    <row r="582">
      <c r="A582" s="113"/>
      <c r="B582" s="113"/>
      <c r="C582" s="113"/>
      <c r="D582" s="114"/>
      <c r="E582" s="113"/>
      <c r="F582" s="113"/>
      <c r="G582" s="115"/>
      <c r="H582" s="116"/>
      <c r="I582" s="117" t="s">
        <v>261</v>
      </c>
      <c r="J582" s="117" t="s">
        <v>261</v>
      </c>
      <c r="K582" s="118"/>
      <c r="L582" s="119"/>
      <c r="M582" s="119"/>
      <c r="N582" s="120"/>
      <c r="O582" s="118"/>
      <c r="P582" s="118"/>
      <c r="Q582" s="118"/>
      <c r="R582" s="121">
        <v>0.67</v>
      </c>
      <c r="S582" s="122">
        <f>IFERROR(__xludf.DUMMYFUNCTION("((IFERROR(MIN(FILTER({K582, N582, Q582}, ISNUMBER({K582, N582, Q582}), {K582, N582, Q582} &gt; 0)), """"))*R582)+IFERROR(MIN(FILTER({K582, N582, Q582}, ISNUMBER({K582, N582, Q582}), {K582, N582, Q582} &gt; 0)), """")"),0.0)</f>
        <v>0</v>
      </c>
      <c r="T582" s="123" t="str">
        <f t="shared" si="1"/>
        <v>#DIV/0!</v>
      </c>
    </row>
    <row r="583">
      <c r="A583" s="113"/>
      <c r="B583" s="113"/>
      <c r="C583" s="113"/>
      <c r="D583" s="114"/>
      <c r="E583" s="113"/>
      <c r="F583" s="113"/>
      <c r="G583" s="115"/>
      <c r="H583" s="116"/>
      <c r="I583" s="117" t="s">
        <v>261</v>
      </c>
      <c r="J583" s="117" t="s">
        <v>261</v>
      </c>
      <c r="K583" s="118"/>
      <c r="L583" s="119"/>
      <c r="M583" s="119"/>
      <c r="N583" s="120"/>
      <c r="O583" s="118"/>
      <c r="P583" s="118"/>
      <c r="Q583" s="118"/>
      <c r="R583" s="121">
        <v>0.67</v>
      </c>
      <c r="S583" s="122">
        <f>IFERROR(__xludf.DUMMYFUNCTION("((IFERROR(MIN(FILTER({K583, N583, Q583}, ISNUMBER({K583, N583, Q583}), {K583, N583, Q583} &gt; 0)), """"))*R583)+IFERROR(MIN(FILTER({K583, N583, Q583}, ISNUMBER({K583, N583, Q583}), {K583, N583, Q583} &gt; 0)), """")"),0.0)</f>
        <v>0</v>
      </c>
      <c r="T583" s="123" t="str">
        <f t="shared" si="1"/>
        <v>#DIV/0!</v>
      </c>
    </row>
    <row r="584">
      <c r="A584" s="113"/>
      <c r="B584" s="113"/>
      <c r="C584" s="113"/>
      <c r="D584" s="114"/>
      <c r="E584" s="113"/>
      <c r="F584" s="113"/>
      <c r="G584" s="115"/>
      <c r="H584" s="116"/>
      <c r="I584" s="117" t="s">
        <v>261</v>
      </c>
      <c r="J584" s="117" t="s">
        <v>261</v>
      </c>
      <c r="K584" s="118"/>
      <c r="L584" s="119"/>
      <c r="M584" s="119"/>
      <c r="N584" s="120"/>
      <c r="O584" s="118"/>
      <c r="P584" s="118"/>
      <c r="Q584" s="118"/>
      <c r="R584" s="121">
        <v>0.67</v>
      </c>
      <c r="S584" s="122">
        <f>IFERROR(__xludf.DUMMYFUNCTION("((IFERROR(MIN(FILTER({K584, N584, Q584}, ISNUMBER({K584, N584, Q584}), {K584, N584, Q584} &gt; 0)), """"))*R584)+IFERROR(MIN(FILTER({K584, N584, Q584}, ISNUMBER({K584, N584, Q584}), {K584, N584, Q584} &gt; 0)), """")"),0.0)</f>
        <v>0</v>
      </c>
      <c r="T584" s="123" t="str">
        <f t="shared" si="1"/>
        <v>#DIV/0!</v>
      </c>
    </row>
    <row r="585">
      <c r="A585" s="113"/>
      <c r="B585" s="113"/>
      <c r="C585" s="113"/>
      <c r="D585" s="114"/>
      <c r="E585" s="113"/>
      <c r="F585" s="113"/>
      <c r="G585" s="115"/>
      <c r="H585" s="116"/>
      <c r="I585" s="117" t="s">
        <v>261</v>
      </c>
      <c r="J585" s="117" t="s">
        <v>261</v>
      </c>
      <c r="K585" s="118"/>
      <c r="L585" s="119"/>
      <c r="M585" s="119"/>
      <c r="N585" s="120"/>
      <c r="O585" s="118"/>
      <c r="P585" s="118"/>
      <c r="Q585" s="118"/>
      <c r="R585" s="121">
        <v>0.67</v>
      </c>
      <c r="S585" s="122">
        <f>IFERROR(__xludf.DUMMYFUNCTION("((IFERROR(MIN(FILTER({K585, N585, Q585}, ISNUMBER({K585, N585, Q585}), {K585, N585, Q585} &gt; 0)), """"))*R585)+IFERROR(MIN(FILTER({K585, N585, Q585}, ISNUMBER({K585, N585, Q585}), {K585, N585, Q585} &gt; 0)), """")"),0.0)</f>
        <v>0</v>
      </c>
      <c r="T585" s="123" t="str">
        <f t="shared" si="1"/>
        <v>#DIV/0!</v>
      </c>
    </row>
    <row r="586">
      <c r="A586" s="113"/>
      <c r="B586" s="113"/>
      <c r="C586" s="113"/>
      <c r="D586" s="114"/>
      <c r="E586" s="113"/>
      <c r="F586" s="113"/>
      <c r="G586" s="115"/>
      <c r="H586" s="116"/>
      <c r="I586" s="117" t="s">
        <v>261</v>
      </c>
      <c r="J586" s="117" t="s">
        <v>261</v>
      </c>
      <c r="K586" s="118"/>
      <c r="L586" s="119"/>
      <c r="M586" s="119"/>
      <c r="N586" s="120"/>
      <c r="O586" s="118"/>
      <c r="P586" s="118"/>
      <c r="Q586" s="118"/>
      <c r="R586" s="121">
        <v>0.67</v>
      </c>
      <c r="S586" s="122">
        <f>IFERROR(__xludf.DUMMYFUNCTION("((IFERROR(MIN(FILTER({K586, N586, Q586}, ISNUMBER({K586, N586, Q586}), {K586, N586, Q586} &gt; 0)), """"))*R586)+IFERROR(MIN(FILTER({K586, N586, Q586}, ISNUMBER({K586, N586, Q586}), {K586, N586, Q586} &gt; 0)), """")"),0.0)</f>
        <v>0</v>
      </c>
      <c r="T586" s="123" t="str">
        <f t="shared" si="1"/>
        <v>#DIV/0!</v>
      </c>
    </row>
    <row r="587">
      <c r="A587" s="113"/>
      <c r="B587" s="113"/>
      <c r="C587" s="113"/>
      <c r="D587" s="114"/>
      <c r="E587" s="113"/>
      <c r="F587" s="113"/>
      <c r="G587" s="115"/>
      <c r="H587" s="116"/>
      <c r="I587" s="117" t="s">
        <v>261</v>
      </c>
      <c r="J587" s="117" t="s">
        <v>261</v>
      </c>
      <c r="K587" s="118"/>
      <c r="L587" s="119"/>
      <c r="M587" s="119"/>
      <c r="N587" s="120"/>
      <c r="O587" s="118"/>
      <c r="P587" s="118"/>
      <c r="Q587" s="118"/>
      <c r="R587" s="121">
        <v>0.67</v>
      </c>
      <c r="S587" s="122">
        <f>IFERROR(__xludf.DUMMYFUNCTION("((IFERROR(MIN(FILTER({K587, N587, Q587}, ISNUMBER({K587, N587, Q587}), {K587, N587, Q587} &gt; 0)), """"))*R587)+IFERROR(MIN(FILTER({K587, N587, Q587}, ISNUMBER({K587, N587, Q587}), {K587, N587, Q587} &gt; 0)), """")"),0.0)</f>
        <v>0</v>
      </c>
      <c r="T587" s="123" t="str">
        <f t="shared" si="1"/>
        <v>#DIV/0!</v>
      </c>
    </row>
    <row r="588">
      <c r="A588" s="113"/>
      <c r="B588" s="113"/>
      <c r="C588" s="113"/>
      <c r="D588" s="114"/>
      <c r="E588" s="113"/>
      <c r="F588" s="113"/>
      <c r="G588" s="115"/>
      <c r="H588" s="116"/>
      <c r="I588" s="117" t="s">
        <v>261</v>
      </c>
      <c r="J588" s="117" t="s">
        <v>261</v>
      </c>
      <c r="K588" s="118"/>
      <c r="L588" s="119"/>
      <c r="M588" s="119"/>
      <c r="N588" s="120"/>
      <c r="O588" s="118"/>
      <c r="P588" s="118"/>
      <c r="Q588" s="118"/>
      <c r="R588" s="121">
        <v>0.67</v>
      </c>
      <c r="S588" s="122">
        <f>IFERROR(__xludf.DUMMYFUNCTION("((IFERROR(MIN(FILTER({K588, N588, Q588}, ISNUMBER({K588, N588, Q588}), {K588, N588, Q588} &gt; 0)), """"))*R588)+IFERROR(MIN(FILTER({K588, N588, Q588}, ISNUMBER({K588, N588, Q588}), {K588, N588, Q588} &gt; 0)), """")"),0.0)</f>
        <v>0</v>
      </c>
      <c r="T588" s="123" t="str">
        <f t="shared" si="1"/>
        <v>#DIV/0!</v>
      </c>
    </row>
    <row r="589">
      <c r="A589" s="113"/>
      <c r="B589" s="113"/>
      <c r="C589" s="113"/>
      <c r="D589" s="114"/>
      <c r="E589" s="113"/>
      <c r="F589" s="113"/>
      <c r="G589" s="115"/>
      <c r="H589" s="116"/>
      <c r="I589" s="117" t="s">
        <v>261</v>
      </c>
      <c r="J589" s="117" t="s">
        <v>261</v>
      </c>
      <c r="K589" s="118"/>
      <c r="L589" s="119"/>
      <c r="M589" s="119"/>
      <c r="N589" s="120"/>
      <c r="O589" s="118"/>
      <c r="P589" s="118"/>
      <c r="Q589" s="118"/>
      <c r="R589" s="121">
        <v>0.67</v>
      </c>
      <c r="S589" s="122">
        <f>IFERROR(__xludf.DUMMYFUNCTION("((IFERROR(MIN(FILTER({K589, N589, Q589}, ISNUMBER({K589, N589, Q589}), {K589, N589, Q589} &gt; 0)), """"))*R589)+IFERROR(MIN(FILTER({K589, N589, Q589}, ISNUMBER({K589, N589, Q589}), {K589, N589, Q589} &gt; 0)), """")"),0.0)</f>
        <v>0</v>
      </c>
      <c r="T589" s="123" t="str">
        <f t="shared" si="1"/>
        <v>#DIV/0!</v>
      </c>
    </row>
    <row r="590">
      <c r="A590" s="113"/>
      <c r="B590" s="113"/>
      <c r="C590" s="113"/>
      <c r="D590" s="114"/>
      <c r="E590" s="113"/>
      <c r="F590" s="113"/>
      <c r="G590" s="115"/>
      <c r="H590" s="116"/>
      <c r="I590" s="117" t="s">
        <v>261</v>
      </c>
      <c r="J590" s="117" t="s">
        <v>261</v>
      </c>
      <c r="K590" s="118"/>
      <c r="L590" s="119"/>
      <c r="M590" s="119"/>
      <c r="N590" s="120"/>
      <c r="O590" s="118"/>
      <c r="P590" s="118"/>
      <c r="Q590" s="118"/>
      <c r="R590" s="121">
        <v>0.67</v>
      </c>
      <c r="S590" s="122">
        <f>IFERROR(__xludf.DUMMYFUNCTION("((IFERROR(MIN(FILTER({K590, N590, Q590}, ISNUMBER({K590, N590, Q590}), {K590, N590, Q590} &gt; 0)), """"))*R590)+IFERROR(MIN(FILTER({K590, N590, Q590}, ISNUMBER({K590, N590, Q590}), {K590, N590, Q590} &gt; 0)), """")"),0.0)</f>
        <v>0</v>
      </c>
      <c r="T590" s="123" t="str">
        <f t="shared" si="1"/>
        <v>#DIV/0!</v>
      </c>
    </row>
    <row r="591">
      <c r="A591" s="113"/>
      <c r="B591" s="113"/>
      <c r="C591" s="113"/>
      <c r="D591" s="114"/>
      <c r="E591" s="113"/>
      <c r="F591" s="113"/>
      <c r="G591" s="115"/>
      <c r="H591" s="116"/>
      <c r="I591" s="117" t="s">
        <v>261</v>
      </c>
      <c r="J591" s="117" t="s">
        <v>261</v>
      </c>
      <c r="K591" s="118"/>
      <c r="L591" s="119"/>
      <c r="M591" s="119"/>
      <c r="N591" s="120"/>
      <c r="O591" s="118"/>
      <c r="P591" s="118"/>
      <c r="Q591" s="118"/>
      <c r="R591" s="121">
        <v>0.67</v>
      </c>
      <c r="S591" s="122">
        <f>IFERROR(__xludf.DUMMYFUNCTION("((IFERROR(MIN(FILTER({K591, N591, Q591}, ISNUMBER({K591, N591, Q591}), {K591, N591, Q591} &gt; 0)), """"))*R591)+IFERROR(MIN(FILTER({K591, N591, Q591}, ISNUMBER({K591, N591, Q591}), {K591, N591, Q591} &gt; 0)), """")"),0.0)</f>
        <v>0</v>
      </c>
      <c r="T591" s="123" t="str">
        <f t="shared" si="1"/>
        <v>#DIV/0!</v>
      </c>
    </row>
    <row r="592">
      <c r="A592" s="113"/>
      <c r="B592" s="113"/>
      <c r="C592" s="113"/>
      <c r="D592" s="114"/>
      <c r="E592" s="113"/>
      <c r="F592" s="113"/>
      <c r="G592" s="115"/>
      <c r="H592" s="116"/>
      <c r="I592" s="117" t="s">
        <v>261</v>
      </c>
      <c r="J592" s="117" t="s">
        <v>261</v>
      </c>
      <c r="K592" s="118"/>
      <c r="L592" s="119"/>
      <c r="M592" s="119"/>
      <c r="N592" s="120"/>
      <c r="O592" s="118"/>
      <c r="P592" s="118"/>
      <c r="Q592" s="118"/>
      <c r="R592" s="121">
        <v>0.67</v>
      </c>
      <c r="S592" s="122">
        <f>IFERROR(__xludf.DUMMYFUNCTION("((IFERROR(MIN(FILTER({K592, N592, Q592}, ISNUMBER({K592, N592, Q592}), {K592, N592, Q592} &gt; 0)), """"))*R592)+IFERROR(MIN(FILTER({K592, N592, Q592}, ISNUMBER({K592, N592, Q592}), {K592, N592, Q592} &gt; 0)), """")"),0.0)</f>
        <v>0</v>
      </c>
      <c r="T592" s="123" t="str">
        <f t="shared" si="1"/>
        <v>#DIV/0!</v>
      </c>
    </row>
    <row r="593">
      <c r="A593" s="113"/>
      <c r="B593" s="113"/>
      <c r="C593" s="113"/>
      <c r="D593" s="114"/>
      <c r="E593" s="113"/>
      <c r="F593" s="113"/>
      <c r="G593" s="115"/>
      <c r="H593" s="116"/>
      <c r="I593" s="117" t="s">
        <v>261</v>
      </c>
      <c r="J593" s="117" t="s">
        <v>261</v>
      </c>
      <c r="K593" s="118"/>
      <c r="L593" s="119"/>
      <c r="M593" s="119"/>
      <c r="N593" s="120"/>
      <c r="O593" s="118"/>
      <c r="P593" s="118"/>
      <c r="Q593" s="118"/>
      <c r="R593" s="121">
        <v>0.67</v>
      </c>
      <c r="S593" s="122">
        <f>IFERROR(__xludf.DUMMYFUNCTION("((IFERROR(MIN(FILTER({K593, N593, Q593}, ISNUMBER({K593, N593, Q593}), {K593, N593, Q593} &gt; 0)), """"))*R593)+IFERROR(MIN(FILTER({K593, N593, Q593}, ISNUMBER({K593, N593, Q593}), {K593, N593, Q593} &gt; 0)), """")"),0.0)</f>
        <v>0</v>
      </c>
      <c r="T593" s="123" t="str">
        <f t="shared" si="1"/>
        <v>#DIV/0!</v>
      </c>
    </row>
    <row r="594">
      <c r="A594" s="113"/>
      <c r="B594" s="113"/>
      <c r="C594" s="113"/>
      <c r="D594" s="114"/>
      <c r="E594" s="113"/>
      <c r="F594" s="113"/>
      <c r="G594" s="115"/>
      <c r="H594" s="116"/>
      <c r="I594" s="117" t="s">
        <v>261</v>
      </c>
      <c r="J594" s="117" t="s">
        <v>261</v>
      </c>
      <c r="K594" s="118"/>
      <c r="L594" s="119"/>
      <c r="M594" s="119"/>
      <c r="N594" s="120"/>
      <c r="O594" s="118"/>
      <c r="P594" s="118"/>
      <c r="Q594" s="118"/>
      <c r="R594" s="121">
        <v>0.67</v>
      </c>
      <c r="S594" s="122">
        <f>IFERROR(__xludf.DUMMYFUNCTION("((IFERROR(MIN(FILTER({K594, N594, Q594}, ISNUMBER({K594, N594, Q594}), {K594, N594, Q594} &gt; 0)), """"))*R594)+IFERROR(MIN(FILTER({K594, N594, Q594}, ISNUMBER({K594, N594, Q594}), {K594, N594, Q594} &gt; 0)), """")"),0.0)</f>
        <v>0</v>
      </c>
      <c r="T594" s="123" t="str">
        <f t="shared" si="1"/>
        <v>#DIV/0!</v>
      </c>
    </row>
    <row r="595">
      <c r="A595" s="113"/>
      <c r="B595" s="113"/>
      <c r="C595" s="113"/>
      <c r="D595" s="114"/>
      <c r="E595" s="113"/>
      <c r="F595" s="113"/>
      <c r="G595" s="115"/>
      <c r="H595" s="116"/>
      <c r="I595" s="117" t="s">
        <v>261</v>
      </c>
      <c r="J595" s="117" t="s">
        <v>261</v>
      </c>
      <c r="K595" s="118"/>
      <c r="L595" s="119"/>
      <c r="M595" s="119"/>
      <c r="N595" s="120"/>
      <c r="O595" s="118"/>
      <c r="P595" s="118"/>
      <c r="Q595" s="118"/>
      <c r="R595" s="121">
        <v>0.67</v>
      </c>
      <c r="S595" s="122">
        <f>IFERROR(__xludf.DUMMYFUNCTION("((IFERROR(MIN(FILTER({K595, N595, Q595}, ISNUMBER({K595, N595, Q595}), {K595, N595, Q595} &gt; 0)), """"))*R595)+IFERROR(MIN(FILTER({K595, N595, Q595}, ISNUMBER({K595, N595, Q595}), {K595, N595, Q595} &gt; 0)), """")"),0.0)</f>
        <v>0</v>
      </c>
      <c r="T595" s="123" t="str">
        <f t="shared" si="1"/>
        <v>#DIV/0!</v>
      </c>
    </row>
    <row r="596">
      <c r="A596" s="113"/>
      <c r="B596" s="113"/>
      <c r="C596" s="113"/>
      <c r="D596" s="114"/>
      <c r="E596" s="113"/>
      <c r="F596" s="113"/>
      <c r="G596" s="115"/>
      <c r="H596" s="116"/>
      <c r="I596" s="117" t="s">
        <v>261</v>
      </c>
      <c r="J596" s="117" t="s">
        <v>261</v>
      </c>
      <c r="K596" s="118"/>
      <c r="L596" s="119"/>
      <c r="M596" s="119"/>
      <c r="N596" s="120"/>
      <c r="O596" s="118"/>
      <c r="P596" s="118"/>
      <c r="Q596" s="118"/>
      <c r="R596" s="121">
        <v>0.67</v>
      </c>
      <c r="S596" s="122">
        <f>IFERROR(__xludf.DUMMYFUNCTION("((IFERROR(MIN(FILTER({K596, N596, Q596}, ISNUMBER({K596, N596, Q596}), {K596, N596, Q596} &gt; 0)), """"))*R596)+IFERROR(MIN(FILTER({K596, N596, Q596}, ISNUMBER({K596, N596, Q596}), {K596, N596, Q596} &gt; 0)), """")"),0.0)</f>
        <v>0</v>
      </c>
      <c r="T596" s="123" t="str">
        <f t="shared" si="1"/>
        <v>#DIV/0!</v>
      </c>
    </row>
    <row r="597">
      <c r="A597" s="113"/>
      <c r="B597" s="113"/>
      <c r="C597" s="113"/>
      <c r="D597" s="114"/>
      <c r="E597" s="113"/>
      <c r="F597" s="113"/>
      <c r="G597" s="115"/>
      <c r="H597" s="116"/>
      <c r="I597" s="117" t="s">
        <v>261</v>
      </c>
      <c r="J597" s="117" t="s">
        <v>261</v>
      </c>
      <c r="K597" s="118"/>
      <c r="L597" s="119"/>
      <c r="M597" s="119"/>
      <c r="N597" s="120"/>
      <c r="O597" s="118"/>
      <c r="P597" s="118"/>
      <c r="Q597" s="118"/>
      <c r="R597" s="121">
        <v>0.67</v>
      </c>
      <c r="S597" s="122">
        <f>IFERROR(__xludf.DUMMYFUNCTION("((IFERROR(MIN(FILTER({K597, N597, Q597}, ISNUMBER({K597, N597, Q597}), {K597, N597, Q597} &gt; 0)), """"))*R597)+IFERROR(MIN(FILTER({K597, N597, Q597}, ISNUMBER({K597, N597, Q597}), {K597, N597, Q597} &gt; 0)), """")"),0.0)</f>
        <v>0</v>
      </c>
      <c r="T597" s="123" t="str">
        <f t="shared" si="1"/>
        <v>#DIV/0!</v>
      </c>
    </row>
    <row r="598">
      <c r="A598" s="113"/>
      <c r="B598" s="113"/>
      <c r="C598" s="113"/>
      <c r="D598" s="114"/>
      <c r="E598" s="113"/>
      <c r="F598" s="113"/>
      <c r="G598" s="115"/>
      <c r="H598" s="116"/>
      <c r="I598" s="117" t="s">
        <v>261</v>
      </c>
      <c r="J598" s="117" t="s">
        <v>261</v>
      </c>
      <c r="K598" s="118"/>
      <c r="L598" s="119"/>
      <c r="M598" s="119"/>
      <c r="N598" s="120"/>
      <c r="O598" s="118"/>
      <c r="P598" s="118"/>
      <c r="Q598" s="118"/>
      <c r="R598" s="121">
        <v>0.67</v>
      </c>
      <c r="S598" s="122">
        <f>IFERROR(__xludf.DUMMYFUNCTION("((IFERROR(MIN(FILTER({K598, N598, Q598}, ISNUMBER({K598, N598, Q598}), {K598, N598, Q598} &gt; 0)), """"))*R598)+IFERROR(MIN(FILTER({K598, N598, Q598}, ISNUMBER({K598, N598, Q598}), {K598, N598, Q598} &gt; 0)), """")"),0.0)</f>
        <v>0</v>
      </c>
      <c r="T598" s="123" t="str">
        <f t="shared" si="1"/>
        <v>#DIV/0!</v>
      </c>
    </row>
    <row r="599">
      <c r="A599" s="113"/>
      <c r="B599" s="113"/>
      <c r="C599" s="113"/>
      <c r="D599" s="114"/>
      <c r="E599" s="113"/>
      <c r="F599" s="113"/>
      <c r="G599" s="115"/>
      <c r="H599" s="116"/>
      <c r="I599" s="117" t="s">
        <v>261</v>
      </c>
      <c r="J599" s="117" t="s">
        <v>261</v>
      </c>
      <c r="K599" s="118"/>
      <c r="L599" s="119"/>
      <c r="M599" s="119"/>
      <c r="N599" s="120"/>
      <c r="O599" s="118"/>
      <c r="P599" s="118"/>
      <c r="Q599" s="118"/>
      <c r="R599" s="121">
        <v>0.67</v>
      </c>
      <c r="S599" s="122">
        <f>IFERROR(__xludf.DUMMYFUNCTION("((IFERROR(MIN(FILTER({K599, N599, Q599}, ISNUMBER({K599, N599, Q599}), {K599, N599, Q599} &gt; 0)), """"))*R599)+IFERROR(MIN(FILTER({K599, N599, Q599}, ISNUMBER({K599, N599, Q599}), {K599, N599, Q599} &gt; 0)), """")"),0.0)</f>
        <v>0</v>
      </c>
      <c r="T599" s="123" t="str">
        <f t="shared" si="1"/>
        <v>#DIV/0!</v>
      </c>
    </row>
    <row r="600">
      <c r="A600" s="113"/>
      <c r="B600" s="113"/>
      <c r="C600" s="113"/>
      <c r="D600" s="114"/>
      <c r="E600" s="113"/>
      <c r="F600" s="113"/>
      <c r="G600" s="115"/>
      <c r="H600" s="116"/>
      <c r="I600" s="117" t="s">
        <v>261</v>
      </c>
      <c r="J600" s="117" t="s">
        <v>261</v>
      </c>
      <c r="K600" s="118"/>
      <c r="L600" s="119"/>
      <c r="M600" s="119"/>
      <c r="N600" s="120"/>
      <c r="O600" s="118"/>
      <c r="P600" s="118"/>
      <c r="Q600" s="118"/>
      <c r="R600" s="121">
        <v>0.67</v>
      </c>
      <c r="S600" s="122">
        <f>IFERROR(__xludf.DUMMYFUNCTION("((IFERROR(MIN(FILTER({K600, N600, Q600}, ISNUMBER({K600, N600, Q600}), {K600, N600, Q600} &gt; 0)), """"))*R600)+IFERROR(MIN(FILTER({K600, N600, Q600}, ISNUMBER({K600, N600, Q600}), {K600, N600, Q600} &gt; 0)), """")"),0.0)</f>
        <v>0</v>
      </c>
      <c r="T600" s="123" t="str">
        <f t="shared" si="1"/>
        <v>#DIV/0!</v>
      </c>
    </row>
    <row r="601">
      <c r="A601" s="113"/>
      <c r="B601" s="113"/>
      <c r="C601" s="113"/>
      <c r="D601" s="114"/>
      <c r="E601" s="113"/>
      <c r="F601" s="113"/>
      <c r="G601" s="115"/>
      <c r="H601" s="116"/>
      <c r="I601" s="117" t="s">
        <v>261</v>
      </c>
      <c r="J601" s="117" t="s">
        <v>261</v>
      </c>
      <c r="K601" s="118"/>
      <c r="L601" s="119"/>
      <c r="M601" s="119"/>
      <c r="N601" s="120"/>
      <c r="O601" s="118"/>
      <c r="P601" s="118"/>
      <c r="Q601" s="118"/>
      <c r="R601" s="121">
        <v>0.67</v>
      </c>
      <c r="S601" s="122">
        <f>IFERROR(__xludf.DUMMYFUNCTION("((IFERROR(MIN(FILTER({K601, N601, Q601}, ISNUMBER({K601, N601, Q601}), {K601, N601, Q601} &gt; 0)), """"))*R601)+IFERROR(MIN(FILTER({K601, N601, Q601}, ISNUMBER({K601, N601, Q601}), {K601, N601, Q601} &gt; 0)), """")"),0.0)</f>
        <v>0</v>
      </c>
      <c r="T601" s="123" t="str">
        <f t="shared" si="1"/>
        <v>#DIV/0!</v>
      </c>
    </row>
    <row r="602">
      <c r="A602" s="113"/>
      <c r="B602" s="113"/>
      <c r="C602" s="113"/>
      <c r="D602" s="114"/>
      <c r="E602" s="113"/>
      <c r="F602" s="113"/>
      <c r="G602" s="115"/>
      <c r="H602" s="116"/>
      <c r="I602" s="117" t="s">
        <v>261</v>
      </c>
      <c r="J602" s="117" t="s">
        <v>261</v>
      </c>
      <c r="K602" s="118"/>
      <c r="L602" s="119"/>
      <c r="M602" s="119"/>
      <c r="N602" s="120"/>
      <c r="O602" s="118"/>
      <c r="P602" s="118"/>
      <c r="Q602" s="118"/>
      <c r="R602" s="121">
        <v>0.67</v>
      </c>
      <c r="S602" s="122">
        <f>IFERROR(__xludf.DUMMYFUNCTION("((IFERROR(MIN(FILTER({K602, N602, Q602}, ISNUMBER({K602, N602, Q602}), {K602, N602, Q602} &gt; 0)), """"))*R602)+IFERROR(MIN(FILTER({K602, N602, Q602}, ISNUMBER({K602, N602, Q602}), {K602, N602, Q602} &gt; 0)), """")"),0.0)</f>
        <v>0</v>
      </c>
      <c r="T602" s="123" t="str">
        <f t="shared" si="1"/>
        <v>#DIV/0!</v>
      </c>
    </row>
    <row r="603">
      <c r="A603" s="113"/>
      <c r="B603" s="113"/>
      <c r="C603" s="113"/>
      <c r="D603" s="114"/>
      <c r="E603" s="113"/>
      <c r="F603" s="113"/>
      <c r="G603" s="115"/>
      <c r="H603" s="116"/>
      <c r="I603" s="117" t="s">
        <v>261</v>
      </c>
      <c r="J603" s="117" t="s">
        <v>261</v>
      </c>
      <c r="K603" s="118"/>
      <c r="L603" s="119"/>
      <c r="M603" s="119"/>
      <c r="N603" s="120"/>
      <c r="O603" s="118"/>
      <c r="P603" s="118"/>
      <c r="Q603" s="118"/>
      <c r="R603" s="121">
        <v>0.67</v>
      </c>
      <c r="S603" s="122">
        <f>IFERROR(__xludf.DUMMYFUNCTION("((IFERROR(MIN(FILTER({K603, N603, Q603}, ISNUMBER({K603, N603, Q603}), {K603, N603, Q603} &gt; 0)), """"))*R603)+IFERROR(MIN(FILTER({K603, N603, Q603}, ISNUMBER({K603, N603, Q603}), {K603, N603, Q603} &gt; 0)), """")"),0.0)</f>
        <v>0</v>
      </c>
      <c r="T603" s="123" t="str">
        <f t="shared" si="1"/>
        <v>#DIV/0!</v>
      </c>
    </row>
    <row r="604">
      <c r="A604" s="113"/>
      <c r="B604" s="113"/>
      <c r="C604" s="113"/>
      <c r="D604" s="114"/>
      <c r="E604" s="113"/>
      <c r="F604" s="113"/>
      <c r="G604" s="115"/>
      <c r="H604" s="116"/>
      <c r="I604" s="117" t="s">
        <v>261</v>
      </c>
      <c r="J604" s="117" t="s">
        <v>261</v>
      </c>
      <c r="K604" s="118"/>
      <c r="L604" s="119"/>
      <c r="M604" s="119"/>
      <c r="N604" s="120"/>
      <c r="O604" s="118"/>
      <c r="P604" s="118"/>
      <c r="Q604" s="118"/>
      <c r="R604" s="121">
        <v>0.67</v>
      </c>
      <c r="S604" s="122">
        <f>IFERROR(__xludf.DUMMYFUNCTION("((IFERROR(MIN(FILTER({K604, N604, Q604}, ISNUMBER({K604, N604, Q604}), {K604, N604, Q604} &gt; 0)), """"))*R604)+IFERROR(MIN(FILTER({K604, N604, Q604}, ISNUMBER({K604, N604, Q604}), {K604, N604, Q604} &gt; 0)), """")"),0.0)</f>
        <v>0</v>
      </c>
      <c r="T604" s="123" t="str">
        <f t="shared" si="1"/>
        <v>#DIV/0!</v>
      </c>
    </row>
    <row r="605">
      <c r="A605" s="113"/>
      <c r="B605" s="113"/>
      <c r="C605" s="113"/>
      <c r="D605" s="114"/>
      <c r="E605" s="113"/>
      <c r="F605" s="113"/>
      <c r="G605" s="115"/>
      <c r="H605" s="116"/>
      <c r="I605" s="117" t="s">
        <v>261</v>
      </c>
      <c r="J605" s="117" t="s">
        <v>261</v>
      </c>
      <c r="K605" s="118"/>
      <c r="L605" s="119"/>
      <c r="M605" s="119"/>
      <c r="N605" s="120"/>
      <c r="O605" s="118"/>
      <c r="P605" s="118"/>
      <c r="Q605" s="118"/>
      <c r="R605" s="121">
        <v>0.67</v>
      </c>
      <c r="S605" s="122">
        <f>IFERROR(__xludf.DUMMYFUNCTION("((IFERROR(MIN(FILTER({K605, N605, Q605}, ISNUMBER({K605, N605, Q605}), {K605, N605, Q605} &gt; 0)), """"))*R605)+IFERROR(MIN(FILTER({K605, N605, Q605}, ISNUMBER({K605, N605, Q605}), {K605, N605, Q605} &gt; 0)), """")"),0.0)</f>
        <v>0</v>
      </c>
      <c r="T605" s="123" t="str">
        <f t="shared" si="1"/>
        <v>#DIV/0!</v>
      </c>
    </row>
    <row r="606">
      <c r="A606" s="113"/>
      <c r="B606" s="113"/>
      <c r="C606" s="113"/>
      <c r="D606" s="114"/>
      <c r="E606" s="113"/>
      <c r="F606" s="113"/>
      <c r="G606" s="115"/>
      <c r="H606" s="116"/>
      <c r="I606" s="117" t="s">
        <v>261</v>
      </c>
      <c r="J606" s="117" t="s">
        <v>261</v>
      </c>
      <c r="K606" s="118"/>
      <c r="L606" s="119"/>
      <c r="M606" s="119"/>
      <c r="N606" s="120"/>
      <c r="O606" s="118"/>
      <c r="P606" s="118"/>
      <c r="Q606" s="118"/>
      <c r="R606" s="121">
        <v>0.67</v>
      </c>
      <c r="S606" s="122">
        <f>IFERROR(__xludf.DUMMYFUNCTION("((IFERROR(MIN(FILTER({K606, N606, Q606}, ISNUMBER({K606, N606, Q606}), {K606, N606, Q606} &gt; 0)), """"))*R606)+IFERROR(MIN(FILTER({K606, N606, Q606}, ISNUMBER({K606, N606, Q606}), {K606, N606, Q606} &gt; 0)), """")"),0.0)</f>
        <v>0</v>
      </c>
      <c r="T606" s="123" t="str">
        <f t="shared" si="1"/>
        <v>#DIV/0!</v>
      </c>
    </row>
    <row r="607">
      <c r="A607" s="113"/>
      <c r="B607" s="113"/>
      <c r="C607" s="113"/>
      <c r="D607" s="114"/>
      <c r="E607" s="113"/>
      <c r="F607" s="113"/>
      <c r="G607" s="115"/>
      <c r="H607" s="116"/>
      <c r="I607" s="117" t="s">
        <v>261</v>
      </c>
      <c r="J607" s="117" t="s">
        <v>261</v>
      </c>
      <c r="K607" s="118"/>
      <c r="L607" s="119"/>
      <c r="M607" s="119"/>
      <c r="N607" s="120"/>
      <c r="O607" s="118"/>
      <c r="P607" s="118"/>
      <c r="Q607" s="118"/>
      <c r="R607" s="121">
        <v>0.67</v>
      </c>
      <c r="S607" s="122">
        <f>IFERROR(__xludf.DUMMYFUNCTION("((IFERROR(MIN(FILTER({K607, N607, Q607}, ISNUMBER({K607, N607, Q607}), {K607, N607, Q607} &gt; 0)), """"))*R607)+IFERROR(MIN(FILTER({K607, N607, Q607}, ISNUMBER({K607, N607, Q607}), {K607, N607, Q607} &gt; 0)), """")"),0.0)</f>
        <v>0</v>
      </c>
      <c r="T607" s="123" t="str">
        <f t="shared" si="1"/>
        <v>#DIV/0!</v>
      </c>
    </row>
    <row r="608">
      <c r="A608" s="113"/>
      <c r="B608" s="113"/>
      <c r="C608" s="113"/>
      <c r="D608" s="114"/>
      <c r="E608" s="113"/>
      <c r="F608" s="113"/>
      <c r="G608" s="115"/>
      <c r="H608" s="116"/>
      <c r="I608" s="117" t="s">
        <v>261</v>
      </c>
      <c r="J608" s="117" t="s">
        <v>261</v>
      </c>
      <c r="K608" s="118"/>
      <c r="L608" s="119"/>
      <c r="M608" s="119"/>
      <c r="N608" s="120"/>
      <c r="O608" s="118"/>
      <c r="P608" s="118"/>
      <c r="Q608" s="118"/>
      <c r="R608" s="121">
        <v>0.67</v>
      </c>
      <c r="S608" s="122">
        <f>IFERROR(__xludf.DUMMYFUNCTION("((IFERROR(MIN(FILTER({K608, N608, Q608}, ISNUMBER({K608, N608, Q608}), {K608, N608, Q608} &gt; 0)), """"))*R608)+IFERROR(MIN(FILTER({K608, N608, Q608}, ISNUMBER({K608, N608, Q608}), {K608, N608, Q608} &gt; 0)), """")"),0.0)</f>
        <v>0</v>
      </c>
      <c r="T608" s="123" t="str">
        <f t="shared" si="1"/>
        <v>#DIV/0!</v>
      </c>
    </row>
    <row r="609">
      <c r="A609" s="113"/>
      <c r="B609" s="113"/>
      <c r="C609" s="113"/>
      <c r="D609" s="114"/>
      <c r="E609" s="113"/>
      <c r="F609" s="113"/>
      <c r="G609" s="115"/>
      <c r="H609" s="116"/>
      <c r="I609" s="117" t="s">
        <v>261</v>
      </c>
      <c r="J609" s="117" t="s">
        <v>261</v>
      </c>
      <c r="K609" s="118"/>
      <c r="L609" s="119"/>
      <c r="M609" s="119"/>
      <c r="N609" s="120"/>
      <c r="O609" s="118"/>
      <c r="P609" s="118"/>
      <c r="Q609" s="118"/>
      <c r="R609" s="121">
        <v>0.67</v>
      </c>
      <c r="S609" s="122">
        <f>IFERROR(__xludf.DUMMYFUNCTION("((IFERROR(MIN(FILTER({K609, N609, Q609}, ISNUMBER({K609, N609, Q609}), {K609, N609, Q609} &gt; 0)), """"))*R609)+IFERROR(MIN(FILTER({K609, N609, Q609}, ISNUMBER({K609, N609, Q609}), {K609, N609, Q609} &gt; 0)), """")"),0.0)</f>
        <v>0</v>
      </c>
      <c r="T609" s="123" t="str">
        <f t="shared" si="1"/>
        <v>#DIV/0!</v>
      </c>
    </row>
    <row r="610">
      <c r="A610" s="113"/>
      <c r="B610" s="113"/>
      <c r="C610" s="113"/>
      <c r="D610" s="114"/>
      <c r="E610" s="113"/>
      <c r="F610" s="113"/>
      <c r="G610" s="115"/>
      <c r="H610" s="116"/>
      <c r="I610" s="117" t="s">
        <v>261</v>
      </c>
      <c r="J610" s="117" t="s">
        <v>261</v>
      </c>
      <c r="K610" s="118"/>
      <c r="L610" s="119"/>
      <c r="M610" s="119"/>
      <c r="N610" s="120"/>
      <c r="O610" s="118"/>
      <c r="P610" s="118"/>
      <c r="Q610" s="118"/>
      <c r="R610" s="121">
        <v>0.67</v>
      </c>
      <c r="S610" s="122">
        <f>IFERROR(__xludf.DUMMYFUNCTION("((IFERROR(MIN(FILTER({K610, N610, Q610}, ISNUMBER({K610, N610, Q610}), {K610, N610, Q610} &gt; 0)), """"))*R610)+IFERROR(MIN(FILTER({K610, N610, Q610}, ISNUMBER({K610, N610, Q610}), {K610, N610, Q610} &gt; 0)), """")"),0.0)</f>
        <v>0</v>
      </c>
      <c r="T610" s="123" t="str">
        <f t="shared" si="1"/>
        <v>#DIV/0!</v>
      </c>
    </row>
    <row r="611">
      <c r="A611" s="113"/>
      <c r="B611" s="113"/>
      <c r="C611" s="113"/>
      <c r="D611" s="114"/>
      <c r="E611" s="113"/>
      <c r="F611" s="113"/>
      <c r="G611" s="115"/>
      <c r="H611" s="116"/>
      <c r="I611" s="117" t="s">
        <v>261</v>
      </c>
      <c r="J611" s="117" t="s">
        <v>261</v>
      </c>
      <c r="K611" s="118"/>
      <c r="L611" s="119"/>
      <c r="M611" s="119"/>
      <c r="N611" s="120"/>
      <c r="O611" s="118"/>
      <c r="P611" s="118"/>
      <c r="Q611" s="118"/>
      <c r="R611" s="121">
        <v>0.67</v>
      </c>
      <c r="S611" s="122">
        <f>IFERROR(__xludf.DUMMYFUNCTION("((IFERROR(MIN(FILTER({K611, N611, Q611}, ISNUMBER({K611, N611, Q611}), {K611, N611, Q611} &gt; 0)), """"))*R611)+IFERROR(MIN(FILTER({K611, N611, Q611}, ISNUMBER({K611, N611, Q611}), {K611, N611, Q611} &gt; 0)), """")"),0.0)</f>
        <v>0</v>
      </c>
      <c r="T611" s="123" t="str">
        <f t="shared" si="1"/>
        <v>#DIV/0!</v>
      </c>
    </row>
    <row r="612">
      <c r="A612" s="113"/>
      <c r="B612" s="113"/>
      <c r="C612" s="113"/>
      <c r="D612" s="114"/>
      <c r="E612" s="113"/>
      <c r="F612" s="113"/>
      <c r="G612" s="115"/>
      <c r="H612" s="116"/>
      <c r="I612" s="117" t="s">
        <v>261</v>
      </c>
      <c r="J612" s="117" t="s">
        <v>261</v>
      </c>
      <c r="K612" s="118"/>
      <c r="L612" s="119"/>
      <c r="M612" s="119"/>
      <c r="N612" s="120"/>
      <c r="O612" s="118"/>
      <c r="P612" s="118"/>
      <c r="Q612" s="118"/>
      <c r="R612" s="121">
        <v>0.67</v>
      </c>
      <c r="S612" s="122">
        <f>IFERROR(__xludf.DUMMYFUNCTION("((IFERROR(MIN(FILTER({K612, N612, Q612}, ISNUMBER({K612, N612, Q612}), {K612, N612, Q612} &gt; 0)), """"))*R612)+IFERROR(MIN(FILTER({K612, N612, Q612}, ISNUMBER({K612, N612, Q612}), {K612, N612, Q612} &gt; 0)), """")"),0.0)</f>
        <v>0</v>
      </c>
      <c r="T612" s="123" t="str">
        <f t="shared" si="1"/>
        <v>#DIV/0!</v>
      </c>
    </row>
    <row r="613">
      <c r="A613" s="113"/>
      <c r="B613" s="113"/>
      <c r="C613" s="113"/>
      <c r="D613" s="114"/>
      <c r="E613" s="113"/>
      <c r="F613" s="113"/>
      <c r="G613" s="115"/>
      <c r="H613" s="116"/>
      <c r="I613" s="117" t="s">
        <v>261</v>
      </c>
      <c r="J613" s="117" t="s">
        <v>261</v>
      </c>
      <c r="K613" s="118"/>
      <c r="L613" s="119"/>
      <c r="M613" s="119"/>
      <c r="N613" s="120"/>
      <c r="O613" s="118"/>
      <c r="P613" s="118"/>
      <c r="Q613" s="118"/>
      <c r="R613" s="121">
        <v>0.67</v>
      </c>
      <c r="S613" s="122">
        <f>IFERROR(__xludf.DUMMYFUNCTION("((IFERROR(MIN(FILTER({K613, N613, Q613}, ISNUMBER({K613, N613, Q613}), {K613, N613, Q613} &gt; 0)), """"))*R613)+IFERROR(MIN(FILTER({K613, N613, Q613}, ISNUMBER({K613, N613, Q613}), {K613, N613, Q613} &gt; 0)), """")"),0.0)</f>
        <v>0</v>
      </c>
      <c r="T613" s="123" t="str">
        <f t="shared" si="1"/>
        <v>#DIV/0!</v>
      </c>
    </row>
    <row r="614">
      <c r="A614" s="113"/>
      <c r="B614" s="113"/>
      <c r="C614" s="113"/>
      <c r="D614" s="114"/>
      <c r="E614" s="113"/>
      <c r="F614" s="113"/>
      <c r="G614" s="115"/>
      <c r="H614" s="116"/>
      <c r="I614" s="117" t="s">
        <v>261</v>
      </c>
      <c r="J614" s="117" t="s">
        <v>261</v>
      </c>
      <c r="K614" s="118"/>
      <c r="L614" s="119"/>
      <c r="M614" s="119"/>
      <c r="N614" s="120"/>
      <c r="O614" s="118"/>
      <c r="P614" s="118"/>
      <c r="Q614" s="118"/>
      <c r="R614" s="121">
        <v>0.67</v>
      </c>
      <c r="S614" s="122">
        <f>IFERROR(__xludf.DUMMYFUNCTION("((IFERROR(MIN(FILTER({K614, N614, Q614}, ISNUMBER({K614, N614, Q614}), {K614, N614, Q614} &gt; 0)), """"))*R614)+IFERROR(MIN(FILTER({K614, N614, Q614}, ISNUMBER({K614, N614, Q614}), {K614, N614, Q614} &gt; 0)), """")"),0.0)</f>
        <v>0</v>
      </c>
      <c r="T614" s="123" t="str">
        <f t="shared" si="1"/>
        <v>#DIV/0!</v>
      </c>
    </row>
    <row r="615">
      <c r="A615" s="113"/>
      <c r="B615" s="113"/>
      <c r="C615" s="113"/>
      <c r="D615" s="114"/>
      <c r="E615" s="113"/>
      <c r="F615" s="113"/>
      <c r="G615" s="115"/>
      <c r="H615" s="116"/>
      <c r="I615" s="117" t="s">
        <v>261</v>
      </c>
      <c r="J615" s="117" t="s">
        <v>261</v>
      </c>
      <c r="K615" s="118"/>
      <c r="L615" s="119"/>
      <c r="M615" s="119"/>
      <c r="N615" s="120"/>
      <c r="O615" s="118"/>
      <c r="P615" s="118"/>
      <c r="Q615" s="118"/>
      <c r="R615" s="121">
        <v>0.67</v>
      </c>
      <c r="S615" s="122">
        <f>IFERROR(__xludf.DUMMYFUNCTION("((IFERROR(MIN(FILTER({K615, N615, Q615}, ISNUMBER({K615, N615, Q615}), {K615, N615, Q615} &gt; 0)), """"))*R615)+IFERROR(MIN(FILTER({K615, N615, Q615}, ISNUMBER({K615, N615, Q615}), {K615, N615, Q615} &gt; 0)), """")"),0.0)</f>
        <v>0</v>
      </c>
      <c r="T615" s="123" t="str">
        <f t="shared" si="1"/>
        <v>#DIV/0!</v>
      </c>
    </row>
    <row r="616">
      <c r="A616" s="113"/>
      <c r="B616" s="113"/>
      <c r="C616" s="113"/>
      <c r="D616" s="114"/>
      <c r="E616" s="113"/>
      <c r="F616" s="113"/>
      <c r="G616" s="115"/>
      <c r="H616" s="116"/>
      <c r="I616" s="117" t="s">
        <v>261</v>
      </c>
      <c r="J616" s="117" t="s">
        <v>261</v>
      </c>
      <c r="K616" s="118"/>
      <c r="L616" s="119"/>
      <c r="M616" s="119"/>
      <c r="N616" s="120"/>
      <c r="O616" s="118"/>
      <c r="P616" s="118"/>
      <c r="Q616" s="118"/>
      <c r="R616" s="121">
        <v>0.67</v>
      </c>
      <c r="S616" s="122">
        <f>IFERROR(__xludf.DUMMYFUNCTION("((IFERROR(MIN(FILTER({K616, N616, Q616}, ISNUMBER({K616, N616, Q616}), {K616, N616, Q616} &gt; 0)), """"))*R616)+IFERROR(MIN(FILTER({K616, N616, Q616}, ISNUMBER({K616, N616, Q616}), {K616, N616, Q616} &gt; 0)), """")"),0.0)</f>
        <v>0</v>
      </c>
      <c r="T616" s="123" t="str">
        <f t="shared" si="1"/>
        <v>#DIV/0!</v>
      </c>
    </row>
    <row r="617">
      <c r="A617" s="113"/>
      <c r="B617" s="113"/>
      <c r="C617" s="113"/>
      <c r="D617" s="114"/>
      <c r="E617" s="113"/>
      <c r="F617" s="113"/>
      <c r="G617" s="115"/>
      <c r="H617" s="116"/>
      <c r="I617" s="117" t="s">
        <v>261</v>
      </c>
      <c r="J617" s="117" t="s">
        <v>261</v>
      </c>
      <c r="K617" s="118"/>
      <c r="L617" s="119"/>
      <c r="M617" s="119"/>
      <c r="N617" s="120"/>
      <c r="O617" s="118"/>
      <c r="P617" s="118"/>
      <c r="Q617" s="118"/>
      <c r="R617" s="121">
        <v>0.67</v>
      </c>
      <c r="S617" s="122">
        <f>IFERROR(__xludf.DUMMYFUNCTION("((IFERROR(MIN(FILTER({K617, N617, Q617}, ISNUMBER({K617, N617, Q617}), {K617, N617, Q617} &gt; 0)), """"))*R617)+IFERROR(MIN(FILTER({K617, N617, Q617}, ISNUMBER({K617, N617, Q617}), {K617, N617, Q617} &gt; 0)), """")"),0.0)</f>
        <v>0</v>
      </c>
      <c r="T617" s="123" t="str">
        <f t="shared" si="1"/>
        <v>#DIV/0!</v>
      </c>
    </row>
    <row r="618">
      <c r="A618" s="113"/>
      <c r="B618" s="113"/>
      <c r="C618" s="113"/>
      <c r="D618" s="114"/>
      <c r="E618" s="113"/>
      <c r="F618" s="113"/>
      <c r="G618" s="115"/>
      <c r="H618" s="116"/>
      <c r="I618" s="117" t="s">
        <v>261</v>
      </c>
      <c r="J618" s="117" t="s">
        <v>261</v>
      </c>
      <c r="K618" s="118"/>
      <c r="L618" s="119"/>
      <c r="M618" s="119"/>
      <c r="N618" s="120"/>
      <c r="O618" s="118"/>
      <c r="P618" s="118"/>
      <c r="Q618" s="118"/>
      <c r="R618" s="121">
        <v>0.67</v>
      </c>
      <c r="S618" s="122">
        <f>IFERROR(__xludf.DUMMYFUNCTION("((IFERROR(MIN(FILTER({K618, N618, Q618}, ISNUMBER({K618, N618, Q618}), {K618, N618, Q618} &gt; 0)), """"))*R618)+IFERROR(MIN(FILTER({K618, N618, Q618}, ISNUMBER({K618, N618, Q618}), {K618, N618, Q618} &gt; 0)), """")"),0.0)</f>
        <v>0</v>
      </c>
      <c r="T618" s="123" t="str">
        <f t="shared" si="1"/>
        <v>#DIV/0!</v>
      </c>
    </row>
    <row r="619">
      <c r="A619" s="113"/>
      <c r="B619" s="113"/>
      <c r="C619" s="113"/>
      <c r="D619" s="114"/>
      <c r="E619" s="113"/>
      <c r="F619" s="113"/>
      <c r="G619" s="115"/>
      <c r="H619" s="116"/>
      <c r="I619" s="117" t="s">
        <v>261</v>
      </c>
      <c r="J619" s="117" t="s">
        <v>261</v>
      </c>
      <c r="K619" s="118"/>
      <c r="L619" s="119"/>
      <c r="M619" s="119"/>
      <c r="N619" s="120"/>
      <c r="O619" s="118"/>
      <c r="P619" s="118"/>
      <c r="Q619" s="118"/>
      <c r="R619" s="121">
        <v>0.67</v>
      </c>
      <c r="S619" s="122">
        <f>IFERROR(__xludf.DUMMYFUNCTION("((IFERROR(MIN(FILTER({K619, N619, Q619}, ISNUMBER({K619, N619, Q619}), {K619, N619, Q619} &gt; 0)), """"))*R619)+IFERROR(MIN(FILTER({K619, N619, Q619}, ISNUMBER({K619, N619, Q619}), {K619, N619, Q619} &gt; 0)), """")"),0.0)</f>
        <v>0</v>
      </c>
      <c r="T619" s="123" t="str">
        <f t="shared" si="1"/>
        <v>#DIV/0!</v>
      </c>
    </row>
    <row r="620">
      <c r="A620" s="113"/>
      <c r="B620" s="113"/>
      <c r="C620" s="113"/>
      <c r="D620" s="114"/>
      <c r="E620" s="113"/>
      <c r="F620" s="113"/>
      <c r="G620" s="115"/>
      <c r="H620" s="116"/>
      <c r="I620" s="117" t="s">
        <v>261</v>
      </c>
      <c r="J620" s="117" t="s">
        <v>261</v>
      </c>
      <c r="K620" s="118"/>
      <c r="L620" s="119"/>
      <c r="M620" s="119"/>
      <c r="N620" s="120"/>
      <c r="O620" s="118"/>
      <c r="P620" s="118"/>
      <c r="Q620" s="118"/>
      <c r="R620" s="121">
        <v>0.67</v>
      </c>
      <c r="S620" s="122">
        <f>IFERROR(__xludf.DUMMYFUNCTION("((IFERROR(MIN(FILTER({K620, N620, Q620}, ISNUMBER({K620, N620, Q620}), {K620, N620, Q620} &gt; 0)), """"))*R620)+IFERROR(MIN(FILTER({K620, N620, Q620}, ISNUMBER({K620, N620, Q620}), {K620, N620, Q620} &gt; 0)), """")"),0.0)</f>
        <v>0</v>
      </c>
      <c r="T620" s="123" t="str">
        <f t="shared" si="1"/>
        <v>#DIV/0!</v>
      </c>
    </row>
    <row r="621">
      <c r="A621" s="113"/>
      <c r="B621" s="113"/>
      <c r="C621" s="113"/>
      <c r="D621" s="114"/>
      <c r="E621" s="113"/>
      <c r="F621" s="113"/>
      <c r="G621" s="115"/>
      <c r="H621" s="116"/>
      <c r="I621" s="117" t="s">
        <v>261</v>
      </c>
      <c r="J621" s="117" t="s">
        <v>261</v>
      </c>
      <c r="K621" s="118"/>
      <c r="L621" s="119"/>
      <c r="M621" s="119"/>
      <c r="N621" s="120"/>
      <c r="O621" s="118"/>
      <c r="P621" s="118"/>
      <c r="Q621" s="118"/>
      <c r="R621" s="121">
        <v>0.67</v>
      </c>
      <c r="S621" s="122">
        <f>IFERROR(__xludf.DUMMYFUNCTION("((IFERROR(MIN(FILTER({K621, N621, Q621}, ISNUMBER({K621, N621, Q621}), {K621, N621, Q621} &gt; 0)), """"))*R621)+IFERROR(MIN(FILTER({K621, N621, Q621}, ISNUMBER({K621, N621, Q621}), {K621, N621, Q621} &gt; 0)), """")"),0.0)</f>
        <v>0</v>
      </c>
      <c r="T621" s="123" t="str">
        <f t="shared" si="1"/>
        <v>#DIV/0!</v>
      </c>
    </row>
    <row r="622">
      <c r="A622" s="113"/>
      <c r="B622" s="113"/>
      <c r="C622" s="113"/>
      <c r="D622" s="114"/>
      <c r="E622" s="113"/>
      <c r="F622" s="113"/>
      <c r="G622" s="115"/>
      <c r="H622" s="116"/>
      <c r="I622" s="117" t="s">
        <v>261</v>
      </c>
      <c r="J622" s="117" t="s">
        <v>261</v>
      </c>
      <c r="K622" s="118"/>
      <c r="L622" s="119"/>
      <c r="M622" s="119"/>
      <c r="N622" s="120"/>
      <c r="O622" s="118"/>
      <c r="P622" s="118"/>
      <c r="Q622" s="118"/>
      <c r="R622" s="121">
        <v>0.67</v>
      </c>
      <c r="S622" s="122">
        <f>IFERROR(__xludf.DUMMYFUNCTION("((IFERROR(MIN(FILTER({K622, N622, Q622}, ISNUMBER({K622, N622, Q622}), {K622, N622, Q622} &gt; 0)), """"))*R622)+IFERROR(MIN(FILTER({K622, N622, Q622}, ISNUMBER({K622, N622, Q622}), {K622, N622, Q622} &gt; 0)), """")"),0.0)</f>
        <v>0</v>
      </c>
      <c r="T622" s="123" t="str">
        <f t="shared" si="1"/>
        <v>#DIV/0!</v>
      </c>
    </row>
    <row r="623">
      <c r="A623" s="113"/>
      <c r="B623" s="113"/>
      <c r="C623" s="113"/>
      <c r="D623" s="114"/>
      <c r="E623" s="113"/>
      <c r="F623" s="113"/>
      <c r="G623" s="115"/>
      <c r="H623" s="116"/>
      <c r="I623" s="117" t="s">
        <v>261</v>
      </c>
      <c r="J623" s="117" t="s">
        <v>261</v>
      </c>
      <c r="K623" s="118"/>
      <c r="L623" s="119"/>
      <c r="M623" s="119"/>
      <c r="N623" s="120"/>
      <c r="O623" s="118"/>
      <c r="P623" s="118"/>
      <c r="Q623" s="118"/>
      <c r="R623" s="121">
        <v>0.67</v>
      </c>
      <c r="S623" s="122">
        <f>IFERROR(__xludf.DUMMYFUNCTION("((IFERROR(MIN(FILTER({K623, N623, Q623}, ISNUMBER({K623, N623, Q623}), {K623, N623, Q623} &gt; 0)), """"))*R623)+IFERROR(MIN(FILTER({K623, N623, Q623}, ISNUMBER({K623, N623, Q623}), {K623, N623, Q623} &gt; 0)), """")"),0.0)</f>
        <v>0</v>
      </c>
      <c r="T623" s="123" t="str">
        <f t="shared" si="1"/>
        <v>#DIV/0!</v>
      </c>
    </row>
    <row r="624">
      <c r="A624" s="113"/>
      <c r="B624" s="113"/>
      <c r="C624" s="113"/>
      <c r="D624" s="114"/>
      <c r="E624" s="113"/>
      <c r="F624" s="113"/>
      <c r="G624" s="115"/>
      <c r="H624" s="116"/>
      <c r="I624" s="117" t="s">
        <v>261</v>
      </c>
      <c r="J624" s="117" t="s">
        <v>261</v>
      </c>
      <c r="K624" s="118"/>
      <c r="L624" s="119"/>
      <c r="M624" s="119"/>
      <c r="N624" s="120"/>
      <c r="O624" s="118"/>
      <c r="P624" s="118"/>
      <c r="Q624" s="118"/>
      <c r="R624" s="121">
        <v>0.67</v>
      </c>
      <c r="S624" s="122">
        <f>IFERROR(__xludf.DUMMYFUNCTION("((IFERROR(MIN(FILTER({K624, N624, Q624}, ISNUMBER({K624, N624, Q624}), {K624, N624, Q624} &gt; 0)), """"))*R624)+IFERROR(MIN(FILTER({K624, N624, Q624}, ISNUMBER({K624, N624, Q624}), {K624, N624, Q624} &gt; 0)), """")"),0.0)</f>
        <v>0</v>
      </c>
      <c r="T624" s="123" t="str">
        <f t="shared" si="1"/>
        <v>#DIV/0!</v>
      </c>
    </row>
    <row r="625">
      <c r="A625" s="113"/>
      <c r="B625" s="113"/>
      <c r="C625" s="113"/>
      <c r="D625" s="114"/>
      <c r="E625" s="113"/>
      <c r="F625" s="113"/>
      <c r="G625" s="115"/>
      <c r="H625" s="116"/>
      <c r="I625" s="117" t="s">
        <v>261</v>
      </c>
      <c r="J625" s="117" t="s">
        <v>261</v>
      </c>
      <c r="K625" s="118"/>
      <c r="L625" s="119"/>
      <c r="M625" s="119"/>
      <c r="N625" s="120"/>
      <c r="O625" s="118"/>
      <c r="P625" s="118"/>
      <c r="Q625" s="118"/>
      <c r="R625" s="121">
        <v>0.67</v>
      </c>
      <c r="S625" s="122">
        <f>IFERROR(__xludf.DUMMYFUNCTION("((IFERROR(MIN(FILTER({K625, N625, Q625}, ISNUMBER({K625, N625, Q625}), {K625, N625, Q625} &gt; 0)), """"))*R625)+IFERROR(MIN(FILTER({K625, N625, Q625}, ISNUMBER({K625, N625, Q625}), {K625, N625, Q625} &gt; 0)), """")"),0.0)</f>
        <v>0</v>
      </c>
      <c r="T625" s="123" t="str">
        <f t="shared" si="1"/>
        <v>#DIV/0!</v>
      </c>
    </row>
    <row r="626">
      <c r="A626" s="113"/>
      <c r="B626" s="113"/>
      <c r="C626" s="113"/>
      <c r="D626" s="114"/>
      <c r="E626" s="113"/>
      <c r="F626" s="113"/>
      <c r="G626" s="115"/>
      <c r="H626" s="116"/>
      <c r="I626" s="117" t="s">
        <v>261</v>
      </c>
      <c r="J626" s="117" t="s">
        <v>261</v>
      </c>
      <c r="K626" s="118"/>
      <c r="L626" s="119"/>
      <c r="M626" s="119"/>
      <c r="N626" s="120"/>
      <c r="O626" s="118"/>
      <c r="P626" s="118"/>
      <c r="Q626" s="118"/>
      <c r="R626" s="121">
        <v>0.67</v>
      </c>
      <c r="S626" s="122">
        <f>IFERROR(__xludf.DUMMYFUNCTION("((IFERROR(MIN(FILTER({K626, N626, Q626}, ISNUMBER({K626, N626, Q626}), {K626, N626, Q626} &gt; 0)), """"))*R626)+IFERROR(MIN(FILTER({K626, N626, Q626}, ISNUMBER({K626, N626, Q626}), {K626, N626, Q626} &gt; 0)), """")"),0.0)</f>
        <v>0</v>
      </c>
      <c r="T626" s="123" t="str">
        <f t="shared" si="1"/>
        <v>#DIV/0!</v>
      </c>
    </row>
    <row r="627">
      <c r="A627" s="113"/>
      <c r="B627" s="113"/>
      <c r="C627" s="113"/>
      <c r="D627" s="114"/>
      <c r="E627" s="113"/>
      <c r="F627" s="113"/>
      <c r="G627" s="115"/>
      <c r="H627" s="116"/>
      <c r="I627" s="117" t="s">
        <v>261</v>
      </c>
      <c r="J627" s="117" t="s">
        <v>261</v>
      </c>
      <c r="K627" s="118"/>
      <c r="L627" s="119"/>
      <c r="M627" s="119"/>
      <c r="N627" s="120"/>
      <c r="O627" s="118"/>
      <c r="P627" s="118"/>
      <c r="Q627" s="118"/>
      <c r="R627" s="121">
        <v>0.67</v>
      </c>
      <c r="S627" s="122">
        <f>IFERROR(__xludf.DUMMYFUNCTION("((IFERROR(MIN(FILTER({K627, N627, Q627}, ISNUMBER({K627, N627, Q627}), {K627, N627, Q627} &gt; 0)), """"))*R627)+IFERROR(MIN(FILTER({K627, N627, Q627}, ISNUMBER({K627, N627, Q627}), {K627, N627, Q627} &gt; 0)), """")"),0.0)</f>
        <v>0</v>
      </c>
      <c r="T627" s="123" t="str">
        <f t="shared" si="1"/>
        <v>#DIV/0!</v>
      </c>
    </row>
    <row r="628">
      <c r="A628" s="113"/>
      <c r="B628" s="113"/>
      <c r="C628" s="113"/>
      <c r="D628" s="114"/>
      <c r="E628" s="113"/>
      <c r="F628" s="113"/>
      <c r="G628" s="115"/>
      <c r="H628" s="116"/>
      <c r="I628" s="117" t="s">
        <v>261</v>
      </c>
      <c r="J628" s="117" t="s">
        <v>261</v>
      </c>
      <c r="K628" s="118"/>
      <c r="L628" s="119"/>
      <c r="M628" s="119"/>
      <c r="N628" s="120"/>
      <c r="O628" s="118"/>
      <c r="P628" s="118"/>
      <c r="Q628" s="118"/>
      <c r="R628" s="121">
        <v>0.67</v>
      </c>
      <c r="S628" s="122">
        <f>IFERROR(__xludf.DUMMYFUNCTION("((IFERROR(MIN(FILTER({K628, N628, Q628}, ISNUMBER({K628, N628, Q628}), {K628, N628, Q628} &gt; 0)), """"))*R628)+IFERROR(MIN(FILTER({K628, N628, Q628}, ISNUMBER({K628, N628, Q628}), {K628, N628, Q628} &gt; 0)), """")"),0.0)</f>
        <v>0</v>
      </c>
      <c r="T628" s="123" t="str">
        <f t="shared" si="1"/>
        <v>#DIV/0!</v>
      </c>
    </row>
    <row r="629">
      <c r="A629" s="113"/>
      <c r="B629" s="113"/>
      <c r="C629" s="113"/>
      <c r="D629" s="114"/>
      <c r="E629" s="113"/>
      <c r="F629" s="113"/>
      <c r="G629" s="115"/>
      <c r="H629" s="116"/>
      <c r="I629" s="117" t="s">
        <v>261</v>
      </c>
      <c r="J629" s="117" t="s">
        <v>261</v>
      </c>
      <c r="K629" s="118"/>
      <c r="L629" s="119"/>
      <c r="M629" s="119"/>
      <c r="N629" s="120"/>
      <c r="O629" s="118"/>
      <c r="P629" s="118"/>
      <c r="Q629" s="118"/>
      <c r="R629" s="121">
        <v>0.67</v>
      </c>
      <c r="S629" s="122">
        <f>IFERROR(__xludf.DUMMYFUNCTION("((IFERROR(MIN(FILTER({K629, N629, Q629}, ISNUMBER({K629, N629, Q629}), {K629, N629, Q629} &gt; 0)), """"))*R629)+IFERROR(MIN(FILTER({K629, N629, Q629}, ISNUMBER({K629, N629, Q629}), {K629, N629, Q629} &gt; 0)), """")"),0.0)</f>
        <v>0</v>
      </c>
      <c r="T629" s="123" t="str">
        <f t="shared" si="1"/>
        <v>#DIV/0!</v>
      </c>
    </row>
    <row r="630">
      <c r="A630" s="113"/>
      <c r="B630" s="113"/>
      <c r="C630" s="113"/>
      <c r="D630" s="114"/>
      <c r="E630" s="113"/>
      <c r="F630" s="113"/>
      <c r="G630" s="115"/>
      <c r="H630" s="116"/>
      <c r="I630" s="117" t="s">
        <v>261</v>
      </c>
      <c r="J630" s="117" t="s">
        <v>261</v>
      </c>
      <c r="K630" s="118"/>
      <c r="L630" s="119"/>
      <c r="M630" s="119"/>
      <c r="N630" s="120"/>
      <c r="O630" s="118"/>
      <c r="P630" s="118"/>
      <c r="Q630" s="118"/>
      <c r="R630" s="121">
        <v>0.67</v>
      </c>
      <c r="S630" s="122">
        <f>IFERROR(__xludf.DUMMYFUNCTION("((IFERROR(MIN(FILTER({K630, N630, Q630}, ISNUMBER({K630, N630, Q630}), {K630, N630, Q630} &gt; 0)), """"))*R630)+IFERROR(MIN(FILTER({K630, N630, Q630}, ISNUMBER({K630, N630, Q630}), {K630, N630, Q630} &gt; 0)), """")"),0.0)</f>
        <v>0</v>
      </c>
      <c r="T630" s="123" t="str">
        <f t="shared" si="1"/>
        <v>#DIV/0!</v>
      </c>
    </row>
    <row r="631">
      <c r="A631" s="113"/>
      <c r="B631" s="113"/>
      <c r="C631" s="113"/>
      <c r="D631" s="114"/>
      <c r="E631" s="113"/>
      <c r="F631" s="113"/>
      <c r="G631" s="115"/>
      <c r="H631" s="116"/>
      <c r="I631" s="117" t="s">
        <v>261</v>
      </c>
      <c r="J631" s="117" t="s">
        <v>261</v>
      </c>
      <c r="K631" s="118"/>
      <c r="L631" s="119"/>
      <c r="M631" s="119"/>
      <c r="N631" s="120"/>
      <c r="O631" s="118"/>
      <c r="P631" s="118"/>
      <c r="Q631" s="118"/>
      <c r="R631" s="121">
        <v>0.67</v>
      </c>
      <c r="S631" s="122">
        <f>IFERROR(__xludf.DUMMYFUNCTION("((IFERROR(MIN(FILTER({K631, N631, Q631}, ISNUMBER({K631, N631, Q631}), {K631, N631, Q631} &gt; 0)), """"))*R631)+IFERROR(MIN(FILTER({K631, N631, Q631}, ISNUMBER({K631, N631, Q631}), {K631, N631, Q631} &gt; 0)), """")"),0.0)</f>
        <v>0</v>
      </c>
      <c r="T631" s="123" t="str">
        <f t="shared" si="1"/>
        <v>#DIV/0!</v>
      </c>
    </row>
    <row r="632">
      <c r="A632" s="113"/>
      <c r="B632" s="113"/>
      <c r="C632" s="113"/>
      <c r="D632" s="114"/>
      <c r="E632" s="113"/>
      <c r="F632" s="113"/>
      <c r="G632" s="115"/>
      <c r="H632" s="116"/>
      <c r="I632" s="117" t="s">
        <v>261</v>
      </c>
      <c r="J632" s="117" t="s">
        <v>261</v>
      </c>
      <c r="K632" s="118"/>
      <c r="L632" s="119"/>
      <c r="M632" s="119"/>
      <c r="N632" s="120"/>
      <c r="O632" s="118"/>
      <c r="P632" s="118"/>
      <c r="Q632" s="118"/>
      <c r="R632" s="121">
        <v>0.67</v>
      </c>
      <c r="S632" s="122">
        <f>IFERROR(__xludf.DUMMYFUNCTION("((IFERROR(MIN(FILTER({K632, N632, Q632}, ISNUMBER({K632, N632, Q632}), {K632, N632, Q632} &gt; 0)), """"))*R632)+IFERROR(MIN(FILTER({K632, N632, Q632}, ISNUMBER({K632, N632, Q632}), {K632, N632, Q632} &gt; 0)), """")"),0.0)</f>
        <v>0</v>
      </c>
      <c r="T632" s="123" t="str">
        <f t="shared" si="1"/>
        <v>#DIV/0!</v>
      </c>
    </row>
    <row r="633">
      <c r="A633" s="113"/>
      <c r="B633" s="113"/>
      <c r="C633" s="113"/>
      <c r="D633" s="114"/>
      <c r="E633" s="113"/>
      <c r="F633" s="113"/>
      <c r="G633" s="115"/>
      <c r="H633" s="116"/>
      <c r="I633" s="117" t="s">
        <v>261</v>
      </c>
      <c r="J633" s="117" t="s">
        <v>261</v>
      </c>
      <c r="K633" s="118"/>
      <c r="L633" s="119"/>
      <c r="M633" s="119"/>
      <c r="N633" s="120"/>
      <c r="O633" s="118"/>
      <c r="P633" s="118"/>
      <c r="Q633" s="118"/>
      <c r="R633" s="121">
        <v>0.67</v>
      </c>
      <c r="S633" s="122">
        <f>IFERROR(__xludf.DUMMYFUNCTION("((IFERROR(MIN(FILTER({K633, N633, Q633}, ISNUMBER({K633, N633, Q633}), {K633, N633, Q633} &gt; 0)), """"))*R633)+IFERROR(MIN(FILTER({K633, N633, Q633}, ISNUMBER({K633, N633, Q633}), {K633, N633, Q633} &gt; 0)), """")"),0.0)</f>
        <v>0</v>
      </c>
      <c r="T633" s="123" t="str">
        <f t="shared" si="1"/>
        <v>#DIV/0!</v>
      </c>
    </row>
    <row r="634">
      <c r="A634" s="113"/>
      <c r="B634" s="113"/>
      <c r="C634" s="113"/>
      <c r="D634" s="114"/>
      <c r="E634" s="113"/>
      <c r="F634" s="113"/>
      <c r="G634" s="115"/>
      <c r="H634" s="116"/>
      <c r="I634" s="117" t="s">
        <v>261</v>
      </c>
      <c r="J634" s="117" t="s">
        <v>261</v>
      </c>
      <c r="K634" s="118"/>
      <c r="L634" s="119"/>
      <c r="M634" s="119"/>
      <c r="N634" s="120"/>
      <c r="O634" s="118"/>
      <c r="P634" s="118"/>
      <c r="Q634" s="118"/>
      <c r="R634" s="121">
        <v>0.67</v>
      </c>
      <c r="S634" s="122">
        <f>IFERROR(__xludf.DUMMYFUNCTION("((IFERROR(MIN(FILTER({K634, N634, Q634}, ISNUMBER({K634, N634, Q634}), {K634, N634, Q634} &gt; 0)), """"))*R634)+IFERROR(MIN(FILTER({K634, N634, Q634}, ISNUMBER({K634, N634, Q634}), {K634, N634, Q634} &gt; 0)), """")"),0.0)</f>
        <v>0</v>
      </c>
      <c r="T634" s="123" t="str">
        <f t="shared" si="1"/>
        <v>#DIV/0!</v>
      </c>
    </row>
    <row r="635">
      <c r="A635" s="113"/>
      <c r="B635" s="113"/>
      <c r="C635" s="113"/>
      <c r="D635" s="114"/>
      <c r="E635" s="113"/>
      <c r="F635" s="113"/>
      <c r="G635" s="115"/>
      <c r="H635" s="116"/>
      <c r="I635" s="117" t="s">
        <v>261</v>
      </c>
      <c r="J635" s="117" t="s">
        <v>261</v>
      </c>
      <c r="K635" s="118"/>
      <c r="L635" s="119"/>
      <c r="M635" s="119"/>
      <c r="N635" s="120"/>
      <c r="O635" s="118"/>
      <c r="P635" s="118"/>
      <c r="Q635" s="118"/>
      <c r="R635" s="121">
        <v>0.67</v>
      </c>
      <c r="S635" s="122">
        <f>IFERROR(__xludf.DUMMYFUNCTION("((IFERROR(MIN(FILTER({K635, N635, Q635}, ISNUMBER({K635, N635, Q635}), {K635, N635, Q635} &gt; 0)), """"))*R635)+IFERROR(MIN(FILTER({K635, N635, Q635}, ISNUMBER({K635, N635, Q635}), {K635, N635, Q635} &gt; 0)), """")"),0.0)</f>
        <v>0</v>
      </c>
      <c r="T635" s="123" t="str">
        <f t="shared" si="1"/>
        <v>#DIV/0!</v>
      </c>
    </row>
    <row r="636">
      <c r="A636" s="113"/>
      <c r="B636" s="113"/>
      <c r="C636" s="113"/>
      <c r="D636" s="114"/>
      <c r="E636" s="113"/>
      <c r="F636" s="113"/>
      <c r="G636" s="115"/>
      <c r="H636" s="116"/>
      <c r="I636" s="117" t="s">
        <v>261</v>
      </c>
      <c r="J636" s="117" t="s">
        <v>261</v>
      </c>
      <c r="K636" s="118"/>
      <c r="L636" s="119"/>
      <c r="M636" s="119"/>
      <c r="N636" s="120"/>
      <c r="O636" s="118"/>
      <c r="P636" s="118"/>
      <c r="Q636" s="118"/>
      <c r="R636" s="121">
        <v>0.67</v>
      </c>
      <c r="S636" s="122">
        <f>IFERROR(__xludf.DUMMYFUNCTION("((IFERROR(MIN(FILTER({K636, N636, Q636}, ISNUMBER({K636, N636, Q636}), {K636, N636, Q636} &gt; 0)), """"))*R636)+IFERROR(MIN(FILTER({K636, N636, Q636}, ISNUMBER({K636, N636, Q636}), {K636, N636, Q636} &gt; 0)), """")"),0.0)</f>
        <v>0</v>
      </c>
      <c r="T636" s="123" t="str">
        <f t="shared" si="1"/>
        <v>#DIV/0!</v>
      </c>
    </row>
    <row r="637">
      <c r="A637" s="113"/>
      <c r="B637" s="113"/>
      <c r="C637" s="113"/>
      <c r="D637" s="114"/>
      <c r="E637" s="113"/>
      <c r="F637" s="113"/>
      <c r="G637" s="115"/>
      <c r="H637" s="116"/>
      <c r="I637" s="117" t="s">
        <v>261</v>
      </c>
      <c r="J637" s="117" t="s">
        <v>261</v>
      </c>
      <c r="K637" s="118"/>
      <c r="L637" s="119"/>
      <c r="M637" s="119"/>
      <c r="N637" s="120"/>
      <c r="O637" s="118"/>
      <c r="P637" s="118"/>
      <c r="Q637" s="118"/>
      <c r="R637" s="121">
        <v>0.67</v>
      </c>
      <c r="S637" s="122">
        <f>IFERROR(__xludf.DUMMYFUNCTION("((IFERROR(MIN(FILTER({K637, N637, Q637}, ISNUMBER({K637, N637, Q637}), {K637, N637, Q637} &gt; 0)), """"))*R637)+IFERROR(MIN(FILTER({K637, N637, Q637}, ISNUMBER({K637, N637, Q637}), {K637, N637, Q637} &gt; 0)), """")"),0.0)</f>
        <v>0</v>
      </c>
      <c r="T637" s="123" t="str">
        <f t="shared" si="1"/>
        <v>#DIV/0!</v>
      </c>
    </row>
    <row r="638">
      <c r="A638" s="113"/>
      <c r="B638" s="113"/>
      <c r="C638" s="113"/>
      <c r="D638" s="114"/>
      <c r="E638" s="113"/>
      <c r="F638" s="113"/>
      <c r="G638" s="115"/>
      <c r="H638" s="116"/>
      <c r="I638" s="117" t="s">
        <v>261</v>
      </c>
      <c r="J638" s="117" t="s">
        <v>261</v>
      </c>
      <c r="K638" s="118"/>
      <c r="L638" s="119"/>
      <c r="M638" s="119"/>
      <c r="N638" s="120"/>
      <c r="O638" s="118"/>
      <c r="P638" s="118"/>
      <c r="Q638" s="118"/>
      <c r="R638" s="121">
        <v>0.67</v>
      </c>
      <c r="S638" s="122">
        <f>IFERROR(__xludf.DUMMYFUNCTION("((IFERROR(MIN(FILTER({K638, N638, Q638}, ISNUMBER({K638, N638, Q638}), {K638, N638, Q638} &gt; 0)), """"))*R638)+IFERROR(MIN(FILTER({K638, N638, Q638}, ISNUMBER({K638, N638, Q638}), {K638, N638, Q638} &gt; 0)), """")"),0.0)</f>
        <v>0</v>
      </c>
      <c r="T638" s="123" t="str">
        <f t="shared" si="1"/>
        <v>#DIV/0!</v>
      </c>
    </row>
    <row r="639">
      <c r="A639" s="113"/>
      <c r="B639" s="113"/>
      <c r="C639" s="113"/>
      <c r="D639" s="114"/>
      <c r="E639" s="113"/>
      <c r="F639" s="113"/>
      <c r="G639" s="115"/>
      <c r="H639" s="116"/>
      <c r="I639" s="117" t="s">
        <v>261</v>
      </c>
      <c r="J639" s="117" t="s">
        <v>261</v>
      </c>
      <c r="K639" s="118"/>
      <c r="L639" s="119"/>
      <c r="M639" s="119"/>
      <c r="N639" s="120"/>
      <c r="O639" s="118"/>
      <c r="P639" s="118"/>
      <c r="Q639" s="118"/>
      <c r="R639" s="121">
        <v>0.67</v>
      </c>
      <c r="S639" s="122">
        <f>IFERROR(__xludf.DUMMYFUNCTION("((IFERROR(MIN(FILTER({K639, N639, Q639}, ISNUMBER({K639, N639, Q639}), {K639, N639, Q639} &gt; 0)), """"))*R639)+IFERROR(MIN(FILTER({K639, N639, Q639}, ISNUMBER({K639, N639, Q639}), {K639, N639, Q639} &gt; 0)), """")"),0.0)</f>
        <v>0</v>
      </c>
      <c r="T639" s="123" t="str">
        <f t="shared" si="1"/>
        <v>#DIV/0!</v>
      </c>
    </row>
    <row r="640">
      <c r="A640" s="113"/>
      <c r="B640" s="113"/>
      <c r="C640" s="113"/>
      <c r="D640" s="114"/>
      <c r="E640" s="113"/>
      <c r="F640" s="113"/>
      <c r="G640" s="115"/>
      <c r="H640" s="116"/>
      <c r="I640" s="117" t="s">
        <v>261</v>
      </c>
      <c r="J640" s="117" t="s">
        <v>261</v>
      </c>
      <c r="K640" s="118"/>
      <c r="L640" s="119"/>
      <c r="M640" s="119"/>
      <c r="N640" s="120"/>
      <c r="O640" s="118"/>
      <c r="P640" s="118"/>
      <c r="Q640" s="118"/>
      <c r="R640" s="121">
        <v>0.67</v>
      </c>
      <c r="S640" s="122">
        <f>IFERROR(__xludf.DUMMYFUNCTION("((IFERROR(MIN(FILTER({K640, N640, Q640}, ISNUMBER({K640, N640, Q640}), {K640, N640, Q640} &gt; 0)), """"))*R640)+IFERROR(MIN(FILTER({K640, N640, Q640}, ISNUMBER({K640, N640, Q640}), {K640, N640, Q640} &gt; 0)), """")"),0.0)</f>
        <v>0</v>
      </c>
      <c r="T640" s="123" t="str">
        <f t="shared" si="1"/>
        <v>#DIV/0!</v>
      </c>
    </row>
    <row r="641">
      <c r="A641" s="113"/>
      <c r="B641" s="113"/>
      <c r="C641" s="113"/>
      <c r="D641" s="114"/>
      <c r="E641" s="113"/>
      <c r="F641" s="113"/>
      <c r="G641" s="115"/>
      <c r="H641" s="116"/>
      <c r="I641" s="117" t="s">
        <v>261</v>
      </c>
      <c r="J641" s="117" t="s">
        <v>261</v>
      </c>
      <c r="K641" s="118"/>
      <c r="L641" s="119"/>
      <c r="M641" s="119"/>
      <c r="N641" s="120"/>
      <c r="O641" s="118"/>
      <c r="P641" s="118"/>
      <c r="Q641" s="118"/>
      <c r="R641" s="121">
        <v>0.67</v>
      </c>
      <c r="S641" s="122">
        <f>IFERROR(__xludf.DUMMYFUNCTION("((IFERROR(MIN(FILTER({K641, N641, Q641}, ISNUMBER({K641, N641, Q641}), {K641, N641, Q641} &gt; 0)), """"))*R641)+IFERROR(MIN(FILTER({K641, N641, Q641}, ISNUMBER({K641, N641, Q641}), {K641, N641, Q641} &gt; 0)), """")"),0.0)</f>
        <v>0</v>
      </c>
      <c r="T641" s="123" t="str">
        <f t="shared" si="1"/>
        <v>#DIV/0!</v>
      </c>
    </row>
    <row r="642">
      <c r="A642" s="113"/>
      <c r="B642" s="113"/>
      <c r="C642" s="113"/>
      <c r="D642" s="114"/>
      <c r="E642" s="113"/>
      <c r="F642" s="113"/>
      <c r="G642" s="115"/>
      <c r="H642" s="116"/>
      <c r="I642" s="117" t="s">
        <v>261</v>
      </c>
      <c r="J642" s="117" t="s">
        <v>261</v>
      </c>
      <c r="K642" s="118"/>
      <c r="L642" s="119"/>
      <c r="M642" s="119"/>
      <c r="N642" s="120"/>
      <c r="O642" s="118"/>
      <c r="P642" s="118"/>
      <c r="Q642" s="118"/>
      <c r="R642" s="121">
        <v>0.67</v>
      </c>
      <c r="S642" s="122">
        <f>IFERROR(__xludf.DUMMYFUNCTION("((IFERROR(MIN(FILTER({K642, N642, Q642}, ISNUMBER({K642, N642, Q642}), {K642, N642, Q642} &gt; 0)), """"))*R642)+IFERROR(MIN(FILTER({K642, N642, Q642}, ISNUMBER({K642, N642, Q642}), {K642, N642, Q642} &gt; 0)), """")"),0.0)</f>
        <v>0</v>
      </c>
      <c r="T642" s="123" t="str">
        <f t="shared" si="1"/>
        <v>#DIV/0!</v>
      </c>
    </row>
    <row r="643">
      <c r="A643" s="113"/>
      <c r="B643" s="113"/>
      <c r="C643" s="113"/>
      <c r="D643" s="114"/>
      <c r="E643" s="113"/>
      <c r="F643" s="113"/>
      <c r="G643" s="115"/>
      <c r="H643" s="116"/>
      <c r="I643" s="117" t="s">
        <v>261</v>
      </c>
      <c r="J643" s="117" t="s">
        <v>261</v>
      </c>
      <c r="K643" s="118"/>
      <c r="L643" s="119"/>
      <c r="M643" s="119"/>
      <c r="N643" s="120"/>
      <c r="O643" s="118"/>
      <c r="P643" s="118"/>
      <c r="Q643" s="118"/>
      <c r="R643" s="121">
        <v>0.67</v>
      </c>
      <c r="S643" s="122">
        <f>IFERROR(__xludf.DUMMYFUNCTION("((IFERROR(MIN(FILTER({K643, N643, Q643}, ISNUMBER({K643, N643, Q643}), {K643, N643, Q643} &gt; 0)), """"))*R643)+IFERROR(MIN(FILTER({K643, N643, Q643}, ISNUMBER({K643, N643, Q643}), {K643, N643, Q643} &gt; 0)), """")"),0.0)</f>
        <v>0</v>
      </c>
      <c r="T643" s="123" t="str">
        <f t="shared" si="1"/>
        <v>#DIV/0!</v>
      </c>
    </row>
    <row r="644">
      <c r="A644" s="113"/>
      <c r="B644" s="113"/>
      <c r="C644" s="113"/>
      <c r="D644" s="114"/>
      <c r="E644" s="113"/>
      <c r="F644" s="113"/>
      <c r="G644" s="115"/>
      <c r="H644" s="116"/>
      <c r="I644" s="117" t="s">
        <v>261</v>
      </c>
      <c r="J644" s="117" t="s">
        <v>261</v>
      </c>
      <c r="K644" s="118"/>
      <c r="L644" s="119"/>
      <c r="M644" s="119"/>
      <c r="N644" s="120"/>
      <c r="O644" s="118"/>
      <c r="P644" s="118"/>
      <c r="Q644" s="118"/>
      <c r="R644" s="121">
        <v>0.67</v>
      </c>
      <c r="S644" s="122">
        <f>IFERROR(__xludf.DUMMYFUNCTION("((IFERROR(MIN(FILTER({K644, N644, Q644}, ISNUMBER({K644, N644, Q644}), {K644, N644, Q644} &gt; 0)), """"))*R644)+IFERROR(MIN(FILTER({K644, N644, Q644}, ISNUMBER({K644, N644, Q644}), {K644, N644, Q644} &gt; 0)), """")"),0.0)</f>
        <v>0</v>
      </c>
      <c r="T644" s="123" t="str">
        <f t="shared" si="1"/>
        <v>#DIV/0!</v>
      </c>
    </row>
    <row r="645">
      <c r="A645" s="113"/>
      <c r="B645" s="113"/>
      <c r="C645" s="113"/>
      <c r="D645" s="114"/>
      <c r="E645" s="113"/>
      <c r="F645" s="113"/>
      <c r="G645" s="115"/>
      <c r="H645" s="116"/>
      <c r="I645" s="117" t="s">
        <v>261</v>
      </c>
      <c r="J645" s="117" t="s">
        <v>261</v>
      </c>
      <c r="K645" s="118"/>
      <c r="L645" s="119"/>
      <c r="M645" s="119"/>
      <c r="N645" s="120"/>
      <c r="O645" s="118"/>
      <c r="P645" s="118"/>
      <c r="Q645" s="118"/>
      <c r="R645" s="121">
        <v>0.67</v>
      </c>
      <c r="S645" s="122">
        <f>IFERROR(__xludf.DUMMYFUNCTION("((IFERROR(MIN(FILTER({K645, N645, Q645}, ISNUMBER({K645, N645, Q645}), {K645, N645, Q645} &gt; 0)), """"))*R645)+IFERROR(MIN(FILTER({K645, N645, Q645}, ISNUMBER({K645, N645, Q645}), {K645, N645, Q645} &gt; 0)), """")"),0.0)</f>
        <v>0</v>
      </c>
      <c r="T645" s="123" t="str">
        <f t="shared" si="1"/>
        <v>#DIV/0!</v>
      </c>
    </row>
    <row r="646">
      <c r="A646" s="113"/>
      <c r="B646" s="113"/>
      <c r="C646" s="113"/>
      <c r="D646" s="114"/>
      <c r="E646" s="113"/>
      <c r="F646" s="113"/>
      <c r="G646" s="115"/>
      <c r="H646" s="116"/>
      <c r="I646" s="117" t="s">
        <v>261</v>
      </c>
      <c r="J646" s="117" t="s">
        <v>261</v>
      </c>
      <c r="K646" s="118"/>
      <c r="L646" s="119"/>
      <c r="M646" s="119"/>
      <c r="N646" s="120"/>
      <c r="O646" s="118"/>
      <c r="P646" s="118"/>
      <c r="Q646" s="118"/>
      <c r="R646" s="121">
        <v>0.67</v>
      </c>
      <c r="S646" s="122">
        <f>IFERROR(__xludf.DUMMYFUNCTION("((IFERROR(MIN(FILTER({K646, N646, Q646}, ISNUMBER({K646, N646, Q646}), {K646, N646, Q646} &gt; 0)), """"))*R646)+IFERROR(MIN(FILTER({K646, N646, Q646}, ISNUMBER({K646, N646, Q646}), {K646, N646, Q646} &gt; 0)), """")"),0.0)</f>
        <v>0</v>
      </c>
      <c r="T646" s="123" t="str">
        <f t="shared" si="1"/>
        <v>#DIV/0!</v>
      </c>
    </row>
    <row r="647">
      <c r="A647" s="113"/>
      <c r="B647" s="113"/>
      <c r="C647" s="113"/>
      <c r="D647" s="114"/>
      <c r="E647" s="113"/>
      <c r="F647" s="113"/>
      <c r="G647" s="115"/>
      <c r="H647" s="116"/>
      <c r="I647" s="117" t="s">
        <v>261</v>
      </c>
      <c r="J647" s="117" t="s">
        <v>261</v>
      </c>
      <c r="K647" s="118"/>
      <c r="L647" s="119"/>
      <c r="M647" s="119"/>
      <c r="N647" s="120"/>
      <c r="O647" s="118"/>
      <c r="P647" s="118"/>
      <c r="Q647" s="118"/>
      <c r="R647" s="121">
        <v>0.67</v>
      </c>
      <c r="S647" s="122">
        <f>IFERROR(__xludf.DUMMYFUNCTION("((IFERROR(MIN(FILTER({K647, N647, Q647}, ISNUMBER({K647, N647, Q647}), {K647, N647, Q647} &gt; 0)), """"))*R647)+IFERROR(MIN(FILTER({K647, N647, Q647}, ISNUMBER({K647, N647, Q647}), {K647, N647, Q647} &gt; 0)), """")"),0.0)</f>
        <v>0</v>
      </c>
      <c r="T647" s="123" t="str">
        <f t="shared" si="1"/>
        <v>#DIV/0!</v>
      </c>
    </row>
    <row r="648">
      <c r="A648" s="113"/>
      <c r="B648" s="113"/>
      <c r="C648" s="113"/>
      <c r="D648" s="114"/>
      <c r="E648" s="113"/>
      <c r="F648" s="113"/>
      <c r="G648" s="115"/>
      <c r="H648" s="116"/>
      <c r="I648" s="117" t="s">
        <v>261</v>
      </c>
      <c r="J648" s="117" t="s">
        <v>261</v>
      </c>
      <c r="K648" s="118"/>
      <c r="L648" s="119"/>
      <c r="M648" s="119"/>
      <c r="N648" s="120"/>
      <c r="O648" s="118"/>
      <c r="P648" s="118"/>
      <c r="Q648" s="118"/>
      <c r="R648" s="121">
        <v>0.67</v>
      </c>
      <c r="S648" s="122">
        <f>IFERROR(__xludf.DUMMYFUNCTION("((IFERROR(MIN(FILTER({K648, N648, Q648}, ISNUMBER({K648, N648, Q648}), {K648, N648, Q648} &gt; 0)), """"))*R648)+IFERROR(MIN(FILTER({K648, N648, Q648}, ISNUMBER({K648, N648, Q648}), {K648, N648, Q648} &gt; 0)), """")"),0.0)</f>
        <v>0</v>
      </c>
      <c r="T648" s="123" t="str">
        <f t="shared" si="1"/>
        <v>#DIV/0!</v>
      </c>
    </row>
    <row r="649">
      <c r="A649" s="113"/>
      <c r="B649" s="113"/>
      <c r="C649" s="113"/>
      <c r="D649" s="114"/>
      <c r="E649" s="113"/>
      <c r="F649" s="113"/>
      <c r="G649" s="115"/>
      <c r="H649" s="116"/>
      <c r="I649" s="117" t="s">
        <v>261</v>
      </c>
      <c r="J649" s="117" t="s">
        <v>261</v>
      </c>
      <c r="K649" s="118"/>
      <c r="L649" s="119"/>
      <c r="M649" s="119"/>
      <c r="N649" s="120"/>
      <c r="O649" s="118"/>
      <c r="P649" s="118"/>
      <c r="Q649" s="118"/>
      <c r="R649" s="121">
        <v>0.67</v>
      </c>
      <c r="S649" s="122">
        <f>IFERROR(__xludf.DUMMYFUNCTION("((IFERROR(MIN(FILTER({K649, N649, Q649}, ISNUMBER({K649, N649, Q649}), {K649, N649, Q649} &gt; 0)), """"))*R649)+IFERROR(MIN(FILTER({K649, N649, Q649}, ISNUMBER({K649, N649, Q649}), {K649, N649, Q649} &gt; 0)), """")"),0.0)</f>
        <v>0</v>
      </c>
      <c r="T649" s="123" t="str">
        <f t="shared" si="1"/>
        <v>#DIV/0!</v>
      </c>
    </row>
    <row r="650">
      <c r="A650" s="113"/>
      <c r="B650" s="113"/>
      <c r="C650" s="113"/>
      <c r="D650" s="114"/>
      <c r="E650" s="113"/>
      <c r="F650" s="113"/>
      <c r="G650" s="115"/>
      <c r="H650" s="116"/>
      <c r="I650" s="117" t="s">
        <v>261</v>
      </c>
      <c r="J650" s="117" t="s">
        <v>261</v>
      </c>
      <c r="K650" s="118"/>
      <c r="L650" s="119"/>
      <c r="M650" s="119"/>
      <c r="N650" s="120"/>
      <c r="O650" s="118"/>
      <c r="P650" s="118"/>
      <c r="Q650" s="118"/>
      <c r="R650" s="121">
        <v>0.67</v>
      </c>
      <c r="S650" s="122">
        <f>IFERROR(__xludf.DUMMYFUNCTION("((IFERROR(MIN(FILTER({K650, N650, Q650}, ISNUMBER({K650, N650, Q650}), {K650, N650, Q650} &gt; 0)), """"))*R650)+IFERROR(MIN(FILTER({K650, N650, Q650}, ISNUMBER({K650, N650, Q650}), {K650, N650, Q650} &gt; 0)), """")"),0.0)</f>
        <v>0</v>
      </c>
      <c r="T650" s="123" t="str">
        <f t="shared" si="1"/>
        <v>#DIV/0!</v>
      </c>
    </row>
    <row r="651">
      <c r="A651" s="113"/>
      <c r="B651" s="113"/>
      <c r="C651" s="113"/>
      <c r="D651" s="114"/>
      <c r="E651" s="113"/>
      <c r="F651" s="113"/>
      <c r="G651" s="115"/>
      <c r="H651" s="116"/>
      <c r="I651" s="117" t="s">
        <v>261</v>
      </c>
      <c r="J651" s="117" t="s">
        <v>261</v>
      </c>
      <c r="K651" s="118"/>
      <c r="L651" s="119"/>
      <c r="M651" s="119"/>
      <c r="N651" s="120"/>
      <c r="O651" s="118"/>
      <c r="P651" s="118"/>
      <c r="Q651" s="118"/>
      <c r="R651" s="121">
        <v>0.67</v>
      </c>
      <c r="S651" s="122">
        <f>IFERROR(__xludf.DUMMYFUNCTION("((IFERROR(MIN(FILTER({K651, N651, Q651}, ISNUMBER({K651, N651, Q651}), {K651, N651, Q651} &gt; 0)), """"))*R651)+IFERROR(MIN(FILTER({K651, N651, Q651}, ISNUMBER({K651, N651, Q651}), {K651, N651, Q651} &gt; 0)), """")"),0.0)</f>
        <v>0</v>
      </c>
      <c r="T651" s="123" t="str">
        <f t="shared" si="1"/>
        <v>#DIV/0!</v>
      </c>
    </row>
    <row r="652">
      <c r="A652" s="113"/>
      <c r="B652" s="113"/>
      <c r="C652" s="113"/>
      <c r="D652" s="114"/>
      <c r="E652" s="113"/>
      <c r="F652" s="113"/>
      <c r="G652" s="115"/>
      <c r="H652" s="116"/>
      <c r="I652" s="117" t="s">
        <v>261</v>
      </c>
      <c r="J652" s="117" t="s">
        <v>261</v>
      </c>
      <c r="K652" s="118"/>
      <c r="L652" s="119"/>
      <c r="M652" s="119"/>
      <c r="N652" s="120"/>
      <c r="O652" s="118"/>
      <c r="P652" s="118"/>
      <c r="Q652" s="118"/>
      <c r="R652" s="121">
        <v>0.67</v>
      </c>
      <c r="S652" s="122">
        <f>IFERROR(__xludf.DUMMYFUNCTION("((IFERROR(MIN(FILTER({K652, N652, Q652}, ISNUMBER({K652, N652, Q652}), {K652, N652, Q652} &gt; 0)), """"))*R652)+IFERROR(MIN(FILTER({K652, N652, Q652}, ISNUMBER({K652, N652, Q652}), {K652, N652, Q652} &gt; 0)), """")"),0.0)</f>
        <v>0</v>
      </c>
      <c r="T652" s="123" t="str">
        <f t="shared" si="1"/>
        <v>#DIV/0!</v>
      </c>
    </row>
    <row r="653">
      <c r="A653" s="113"/>
      <c r="B653" s="113"/>
      <c r="C653" s="113"/>
      <c r="D653" s="114"/>
      <c r="E653" s="113"/>
      <c r="F653" s="113"/>
      <c r="G653" s="115"/>
      <c r="H653" s="116"/>
      <c r="I653" s="117" t="s">
        <v>261</v>
      </c>
      <c r="J653" s="117" t="s">
        <v>261</v>
      </c>
      <c r="K653" s="118"/>
      <c r="L653" s="119"/>
      <c r="M653" s="119"/>
      <c r="N653" s="120"/>
      <c r="O653" s="118"/>
      <c r="P653" s="118"/>
      <c r="Q653" s="118"/>
      <c r="R653" s="121">
        <v>0.67</v>
      </c>
      <c r="S653" s="122">
        <f>IFERROR(__xludf.DUMMYFUNCTION("((IFERROR(MIN(FILTER({K653, N653, Q653}, ISNUMBER({K653, N653, Q653}), {K653, N653, Q653} &gt; 0)), """"))*R653)+IFERROR(MIN(FILTER({K653, N653, Q653}, ISNUMBER({K653, N653, Q653}), {K653, N653, Q653} &gt; 0)), """")"),0.0)</f>
        <v>0</v>
      </c>
      <c r="T653" s="123" t="str">
        <f t="shared" si="1"/>
        <v>#DIV/0!</v>
      </c>
    </row>
    <row r="654">
      <c r="A654" s="113"/>
      <c r="B654" s="113"/>
      <c r="C654" s="113"/>
      <c r="D654" s="114"/>
      <c r="E654" s="113"/>
      <c r="F654" s="113"/>
      <c r="G654" s="115"/>
      <c r="H654" s="116"/>
      <c r="I654" s="117" t="s">
        <v>261</v>
      </c>
      <c r="J654" s="117" t="s">
        <v>261</v>
      </c>
      <c r="K654" s="118"/>
      <c r="L654" s="119"/>
      <c r="M654" s="119"/>
      <c r="N654" s="120"/>
      <c r="O654" s="118"/>
      <c r="P654" s="118"/>
      <c r="Q654" s="118"/>
      <c r="R654" s="121">
        <v>0.67</v>
      </c>
      <c r="S654" s="122">
        <f>IFERROR(__xludf.DUMMYFUNCTION("((IFERROR(MIN(FILTER({K654, N654, Q654}, ISNUMBER({K654, N654, Q654}), {K654, N654, Q654} &gt; 0)), """"))*R654)+IFERROR(MIN(FILTER({K654, N654, Q654}, ISNUMBER({K654, N654, Q654}), {K654, N654, Q654} &gt; 0)), """")"),0.0)</f>
        <v>0</v>
      </c>
      <c r="T654" s="123" t="str">
        <f t="shared" si="1"/>
        <v>#DIV/0!</v>
      </c>
    </row>
    <row r="655">
      <c r="A655" s="113"/>
      <c r="B655" s="113"/>
      <c r="C655" s="113"/>
      <c r="D655" s="114"/>
      <c r="E655" s="113"/>
      <c r="F655" s="113"/>
      <c r="G655" s="115"/>
      <c r="H655" s="116"/>
      <c r="I655" s="117" t="s">
        <v>261</v>
      </c>
      <c r="J655" s="117" t="s">
        <v>261</v>
      </c>
      <c r="K655" s="118"/>
      <c r="L655" s="119"/>
      <c r="M655" s="119"/>
      <c r="N655" s="120"/>
      <c r="O655" s="118"/>
      <c r="P655" s="118"/>
      <c r="Q655" s="118"/>
      <c r="R655" s="121">
        <v>0.67</v>
      </c>
      <c r="S655" s="122">
        <f>IFERROR(__xludf.DUMMYFUNCTION("((IFERROR(MIN(FILTER({K655, N655, Q655}, ISNUMBER({K655, N655, Q655}), {K655, N655, Q655} &gt; 0)), """"))*R655)+IFERROR(MIN(FILTER({K655, N655, Q655}, ISNUMBER({K655, N655, Q655}), {K655, N655, Q655} &gt; 0)), """")"),0.0)</f>
        <v>0</v>
      </c>
      <c r="T655" s="123" t="str">
        <f t="shared" si="1"/>
        <v>#DIV/0!</v>
      </c>
    </row>
    <row r="656">
      <c r="A656" s="113"/>
      <c r="B656" s="113"/>
      <c r="C656" s="113"/>
      <c r="D656" s="114"/>
      <c r="E656" s="113"/>
      <c r="F656" s="113"/>
      <c r="G656" s="115"/>
      <c r="H656" s="116"/>
      <c r="I656" s="117" t="s">
        <v>261</v>
      </c>
      <c r="J656" s="117" t="s">
        <v>261</v>
      </c>
      <c r="K656" s="118"/>
      <c r="L656" s="119"/>
      <c r="M656" s="119"/>
      <c r="N656" s="120"/>
      <c r="O656" s="118"/>
      <c r="P656" s="118"/>
      <c r="Q656" s="118"/>
      <c r="R656" s="121">
        <v>0.67</v>
      </c>
      <c r="S656" s="122">
        <f>IFERROR(__xludf.DUMMYFUNCTION("((IFERROR(MIN(FILTER({K656, N656, Q656}, ISNUMBER({K656, N656, Q656}), {K656, N656, Q656} &gt; 0)), """"))*R656)+IFERROR(MIN(FILTER({K656, N656, Q656}, ISNUMBER({K656, N656, Q656}), {K656, N656, Q656} &gt; 0)), """")"),0.0)</f>
        <v>0</v>
      </c>
      <c r="T656" s="123" t="str">
        <f t="shared" si="1"/>
        <v>#DIV/0!</v>
      </c>
    </row>
    <row r="657">
      <c r="A657" s="113"/>
      <c r="B657" s="113"/>
      <c r="C657" s="113"/>
      <c r="D657" s="114"/>
      <c r="E657" s="113"/>
      <c r="F657" s="113"/>
      <c r="G657" s="115"/>
      <c r="H657" s="116"/>
      <c r="I657" s="117" t="s">
        <v>261</v>
      </c>
      <c r="J657" s="117" t="s">
        <v>261</v>
      </c>
      <c r="K657" s="118"/>
      <c r="L657" s="119"/>
      <c r="M657" s="119"/>
      <c r="N657" s="120"/>
      <c r="O657" s="118"/>
      <c r="P657" s="118"/>
      <c r="Q657" s="118"/>
      <c r="R657" s="121">
        <v>0.67</v>
      </c>
      <c r="S657" s="122">
        <f>IFERROR(__xludf.DUMMYFUNCTION("((IFERROR(MIN(FILTER({K657, N657, Q657}, ISNUMBER({K657, N657, Q657}), {K657, N657, Q657} &gt; 0)), """"))*R657)+IFERROR(MIN(FILTER({K657, N657, Q657}, ISNUMBER({K657, N657, Q657}), {K657, N657, Q657} &gt; 0)), """")"),0.0)</f>
        <v>0</v>
      </c>
      <c r="T657" s="123" t="str">
        <f t="shared" si="1"/>
        <v>#DIV/0!</v>
      </c>
    </row>
    <row r="658">
      <c r="A658" s="113"/>
      <c r="B658" s="113"/>
      <c r="C658" s="113"/>
      <c r="D658" s="114"/>
      <c r="E658" s="113"/>
      <c r="F658" s="113"/>
      <c r="G658" s="115"/>
      <c r="H658" s="116"/>
      <c r="I658" s="117" t="s">
        <v>261</v>
      </c>
      <c r="J658" s="117" t="s">
        <v>261</v>
      </c>
      <c r="K658" s="118"/>
      <c r="L658" s="119"/>
      <c r="M658" s="119"/>
      <c r="N658" s="120"/>
      <c r="O658" s="118"/>
      <c r="P658" s="118"/>
      <c r="Q658" s="118"/>
      <c r="R658" s="121">
        <v>0.67</v>
      </c>
      <c r="S658" s="122">
        <f>IFERROR(__xludf.DUMMYFUNCTION("((IFERROR(MIN(FILTER({K658, N658, Q658}, ISNUMBER({K658, N658, Q658}), {K658, N658, Q658} &gt; 0)), """"))*R658)+IFERROR(MIN(FILTER({K658, N658, Q658}, ISNUMBER({K658, N658, Q658}), {K658, N658, Q658} &gt; 0)), """")"),0.0)</f>
        <v>0</v>
      </c>
      <c r="T658" s="123" t="str">
        <f t="shared" si="1"/>
        <v>#DIV/0!</v>
      </c>
    </row>
    <row r="659">
      <c r="A659" s="113"/>
      <c r="B659" s="113"/>
      <c r="C659" s="113"/>
      <c r="D659" s="114"/>
      <c r="E659" s="113"/>
      <c r="F659" s="113"/>
      <c r="G659" s="115"/>
      <c r="H659" s="116"/>
      <c r="I659" s="117" t="s">
        <v>261</v>
      </c>
      <c r="J659" s="117" t="s">
        <v>261</v>
      </c>
      <c r="K659" s="118"/>
      <c r="L659" s="119"/>
      <c r="M659" s="119"/>
      <c r="N659" s="120"/>
      <c r="O659" s="118"/>
      <c r="P659" s="118"/>
      <c r="Q659" s="118"/>
      <c r="R659" s="121">
        <v>0.67</v>
      </c>
      <c r="S659" s="122">
        <f>IFERROR(__xludf.DUMMYFUNCTION("((IFERROR(MIN(FILTER({K659, N659, Q659}, ISNUMBER({K659, N659, Q659}), {K659, N659, Q659} &gt; 0)), """"))*R659)+IFERROR(MIN(FILTER({K659, N659, Q659}, ISNUMBER({K659, N659, Q659}), {K659, N659, Q659} &gt; 0)), """")"),0.0)</f>
        <v>0</v>
      </c>
      <c r="T659" s="123" t="str">
        <f t="shared" si="1"/>
        <v>#DIV/0!</v>
      </c>
    </row>
    <row r="660">
      <c r="A660" s="113"/>
      <c r="B660" s="113"/>
      <c r="C660" s="113"/>
      <c r="D660" s="114"/>
      <c r="E660" s="113"/>
      <c r="F660" s="113"/>
      <c r="G660" s="115"/>
      <c r="H660" s="116"/>
      <c r="I660" s="117" t="s">
        <v>261</v>
      </c>
      <c r="J660" s="117" t="s">
        <v>261</v>
      </c>
      <c r="K660" s="118"/>
      <c r="L660" s="119"/>
      <c r="M660" s="119"/>
      <c r="N660" s="120"/>
      <c r="O660" s="118"/>
      <c r="P660" s="118"/>
      <c r="Q660" s="118"/>
      <c r="R660" s="121">
        <v>0.67</v>
      </c>
      <c r="S660" s="122">
        <f>IFERROR(__xludf.DUMMYFUNCTION("((IFERROR(MIN(FILTER({K660, N660, Q660}, ISNUMBER({K660, N660, Q660}), {K660, N660, Q660} &gt; 0)), """"))*R660)+IFERROR(MIN(FILTER({K660, N660, Q660}, ISNUMBER({K660, N660, Q660}), {K660, N660, Q660} &gt; 0)), """")"),0.0)</f>
        <v>0</v>
      </c>
      <c r="T660" s="123" t="str">
        <f t="shared" si="1"/>
        <v>#DIV/0!</v>
      </c>
    </row>
    <row r="661">
      <c r="A661" s="113"/>
      <c r="B661" s="113"/>
      <c r="C661" s="113"/>
      <c r="D661" s="114"/>
      <c r="E661" s="113"/>
      <c r="F661" s="113"/>
      <c r="G661" s="115"/>
      <c r="H661" s="116"/>
      <c r="I661" s="117" t="s">
        <v>261</v>
      </c>
      <c r="J661" s="117" t="s">
        <v>261</v>
      </c>
      <c r="K661" s="118"/>
      <c r="L661" s="119"/>
      <c r="M661" s="119"/>
      <c r="N661" s="120"/>
      <c r="O661" s="118"/>
      <c r="P661" s="118"/>
      <c r="Q661" s="118"/>
      <c r="R661" s="121">
        <v>0.67</v>
      </c>
      <c r="S661" s="122">
        <f>IFERROR(__xludf.DUMMYFUNCTION("((IFERROR(MIN(FILTER({K661, N661, Q661}, ISNUMBER({K661, N661, Q661}), {K661, N661, Q661} &gt; 0)), """"))*R661)+IFERROR(MIN(FILTER({K661, N661, Q661}, ISNUMBER({K661, N661, Q661}), {K661, N661, Q661} &gt; 0)), """")"),0.0)</f>
        <v>0</v>
      </c>
      <c r="T661" s="123" t="str">
        <f t="shared" si="1"/>
        <v>#DIV/0!</v>
      </c>
    </row>
    <row r="662">
      <c r="A662" s="113"/>
      <c r="B662" s="113"/>
      <c r="C662" s="113"/>
      <c r="D662" s="114"/>
      <c r="E662" s="113"/>
      <c r="F662" s="113"/>
      <c r="G662" s="115"/>
      <c r="H662" s="116"/>
      <c r="I662" s="117" t="s">
        <v>261</v>
      </c>
      <c r="J662" s="117" t="s">
        <v>261</v>
      </c>
      <c r="K662" s="118"/>
      <c r="L662" s="119"/>
      <c r="M662" s="119"/>
      <c r="N662" s="120"/>
      <c r="O662" s="118"/>
      <c r="P662" s="118"/>
      <c r="Q662" s="118"/>
      <c r="R662" s="121">
        <v>0.67</v>
      </c>
      <c r="S662" s="122">
        <f>IFERROR(__xludf.DUMMYFUNCTION("((IFERROR(MIN(FILTER({K662, N662, Q662}, ISNUMBER({K662, N662, Q662}), {K662, N662, Q662} &gt; 0)), """"))*R662)+IFERROR(MIN(FILTER({K662, N662, Q662}, ISNUMBER({K662, N662, Q662}), {K662, N662, Q662} &gt; 0)), """")"),0.0)</f>
        <v>0</v>
      </c>
      <c r="T662" s="123" t="str">
        <f t="shared" si="1"/>
        <v>#DIV/0!</v>
      </c>
    </row>
    <row r="663">
      <c r="A663" s="113"/>
      <c r="B663" s="113"/>
      <c r="C663" s="113"/>
      <c r="D663" s="114"/>
      <c r="E663" s="113"/>
      <c r="F663" s="113"/>
      <c r="G663" s="115"/>
      <c r="H663" s="116"/>
      <c r="I663" s="117" t="s">
        <v>261</v>
      </c>
      <c r="J663" s="117" t="s">
        <v>261</v>
      </c>
      <c r="K663" s="118"/>
      <c r="L663" s="119"/>
      <c r="M663" s="119"/>
      <c r="N663" s="120"/>
      <c r="O663" s="118"/>
      <c r="P663" s="118"/>
      <c r="Q663" s="118"/>
      <c r="R663" s="121">
        <v>0.67</v>
      </c>
      <c r="S663" s="122">
        <f>IFERROR(__xludf.DUMMYFUNCTION("((IFERROR(MIN(FILTER({K663, N663, Q663}, ISNUMBER({K663, N663, Q663}), {K663, N663, Q663} &gt; 0)), """"))*R663)+IFERROR(MIN(FILTER({K663, N663, Q663}, ISNUMBER({K663, N663, Q663}), {K663, N663, Q663} &gt; 0)), """")"),0.0)</f>
        <v>0</v>
      </c>
      <c r="T663" s="123" t="str">
        <f t="shared" si="1"/>
        <v>#DIV/0!</v>
      </c>
    </row>
    <row r="664">
      <c r="A664" s="113"/>
      <c r="B664" s="113"/>
      <c r="C664" s="113"/>
      <c r="D664" s="114"/>
      <c r="E664" s="113"/>
      <c r="F664" s="113"/>
      <c r="G664" s="115"/>
      <c r="H664" s="116"/>
      <c r="I664" s="117" t="s">
        <v>261</v>
      </c>
      <c r="J664" s="117" t="s">
        <v>261</v>
      </c>
      <c r="K664" s="118"/>
      <c r="L664" s="119"/>
      <c r="M664" s="119"/>
      <c r="N664" s="120"/>
      <c r="O664" s="118"/>
      <c r="P664" s="118"/>
      <c r="Q664" s="118"/>
      <c r="R664" s="121">
        <v>0.67</v>
      </c>
      <c r="S664" s="122">
        <f>IFERROR(__xludf.DUMMYFUNCTION("((IFERROR(MIN(FILTER({K664, N664, Q664}, ISNUMBER({K664, N664, Q664}), {K664, N664, Q664} &gt; 0)), """"))*R664)+IFERROR(MIN(FILTER({K664, N664, Q664}, ISNUMBER({K664, N664, Q664}), {K664, N664, Q664} &gt; 0)), """")"),0.0)</f>
        <v>0</v>
      </c>
      <c r="T664" s="123" t="str">
        <f t="shared" si="1"/>
        <v>#DIV/0!</v>
      </c>
    </row>
    <row r="665">
      <c r="A665" s="113"/>
      <c r="B665" s="113"/>
      <c r="C665" s="113"/>
      <c r="D665" s="114"/>
      <c r="E665" s="113"/>
      <c r="F665" s="113"/>
      <c r="G665" s="115"/>
      <c r="H665" s="116"/>
      <c r="I665" s="117" t="s">
        <v>261</v>
      </c>
      <c r="J665" s="117" t="s">
        <v>261</v>
      </c>
      <c r="K665" s="118"/>
      <c r="L665" s="119"/>
      <c r="M665" s="119"/>
      <c r="N665" s="120"/>
      <c r="O665" s="118"/>
      <c r="P665" s="118"/>
      <c r="Q665" s="118"/>
      <c r="R665" s="121">
        <v>0.67</v>
      </c>
      <c r="S665" s="122">
        <f>IFERROR(__xludf.DUMMYFUNCTION("((IFERROR(MIN(FILTER({K665, N665, Q665}, ISNUMBER({K665, N665, Q665}), {K665, N665, Q665} &gt; 0)), """"))*R665)+IFERROR(MIN(FILTER({K665, N665, Q665}, ISNUMBER({K665, N665, Q665}), {K665, N665, Q665} &gt; 0)), """")"),0.0)</f>
        <v>0</v>
      </c>
      <c r="T665" s="123" t="str">
        <f t="shared" si="1"/>
        <v>#DIV/0!</v>
      </c>
    </row>
    <row r="666">
      <c r="A666" s="113"/>
      <c r="B666" s="113"/>
      <c r="C666" s="113"/>
      <c r="D666" s="114"/>
      <c r="E666" s="113"/>
      <c r="F666" s="113"/>
      <c r="G666" s="115"/>
      <c r="H666" s="116"/>
      <c r="I666" s="117" t="s">
        <v>261</v>
      </c>
      <c r="J666" s="117" t="s">
        <v>261</v>
      </c>
      <c r="K666" s="118"/>
      <c r="L666" s="119"/>
      <c r="M666" s="119"/>
      <c r="N666" s="120"/>
      <c r="O666" s="118"/>
      <c r="P666" s="118"/>
      <c r="Q666" s="118"/>
      <c r="R666" s="121">
        <v>0.67</v>
      </c>
      <c r="S666" s="122">
        <f>IFERROR(__xludf.DUMMYFUNCTION("((IFERROR(MIN(FILTER({K666, N666, Q666}, ISNUMBER({K666, N666, Q666}), {K666, N666, Q666} &gt; 0)), """"))*R666)+IFERROR(MIN(FILTER({K666, N666, Q666}, ISNUMBER({K666, N666, Q666}), {K666, N666, Q666} &gt; 0)), """")"),0.0)</f>
        <v>0</v>
      </c>
      <c r="T666" s="123" t="str">
        <f t="shared" si="1"/>
        <v>#DIV/0!</v>
      </c>
    </row>
    <row r="667">
      <c r="A667" s="113"/>
      <c r="B667" s="113"/>
      <c r="C667" s="113"/>
      <c r="D667" s="114"/>
      <c r="E667" s="113"/>
      <c r="F667" s="113"/>
      <c r="G667" s="115"/>
      <c r="H667" s="116"/>
      <c r="I667" s="117" t="s">
        <v>261</v>
      </c>
      <c r="J667" s="117" t="s">
        <v>261</v>
      </c>
      <c r="K667" s="118"/>
      <c r="L667" s="119"/>
      <c r="M667" s="119"/>
      <c r="N667" s="120"/>
      <c r="O667" s="118"/>
      <c r="P667" s="118"/>
      <c r="Q667" s="118"/>
      <c r="R667" s="121">
        <v>0.67</v>
      </c>
      <c r="S667" s="122">
        <f>IFERROR(__xludf.DUMMYFUNCTION("((IFERROR(MIN(FILTER({K667, N667, Q667}, ISNUMBER({K667, N667, Q667}), {K667, N667, Q667} &gt; 0)), """"))*R667)+IFERROR(MIN(FILTER({K667, N667, Q667}, ISNUMBER({K667, N667, Q667}), {K667, N667, Q667} &gt; 0)), """")"),0.0)</f>
        <v>0</v>
      </c>
      <c r="T667" s="123" t="str">
        <f t="shared" si="1"/>
        <v>#DIV/0!</v>
      </c>
    </row>
    <row r="668">
      <c r="A668" s="113"/>
      <c r="B668" s="113"/>
      <c r="C668" s="113"/>
      <c r="D668" s="114"/>
      <c r="E668" s="113"/>
      <c r="F668" s="113"/>
      <c r="G668" s="115"/>
      <c r="H668" s="116"/>
      <c r="I668" s="117" t="s">
        <v>261</v>
      </c>
      <c r="J668" s="117" t="s">
        <v>261</v>
      </c>
      <c r="K668" s="118"/>
      <c r="L668" s="119"/>
      <c r="M668" s="119"/>
      <c r="N668" s="120"/>
      <c r="O668" s="118"/>
      <c r="P668" s="118"/>
      <c r="Q668" s="118"/>
      <c r="R668" s="121">
        <v>0.67</v>
      </c>
      <c r="S668" s="122">
        <f>IFERROR(__xludf.DUMMYFUNCTION("((IFERROR(MIN(FILTER({K668, N668, Q668}, ISNUMBER({K668, N668, Q668}), {K668, N668, Q668} &gt; 0)), """"))*R668)+IFERROR(MIN(FILTER({K668, N668, Q668}, ISNUMBER({K668, N668, Q668}), {K668, N668, Q668} &gt; 0)), """")"),0.0)</f>
        <v>0</v>
      </c>
      <c r="T668" s="123" t="str">
        <f t="shared" si="1"/>
        <v>#DIV/0!</v>
      </c>
    </row>
    <row r="669">
      <c r="A669" s="113"/>
      <c r="B669" s="113"/>
      <c r="C669" s="113"/>
      <c r="D669" s="114"/>
      <c r="E669" s="113"/>
      <c r="F669" s="113"/>
      <c r="G669" s="115"/>
      <c r="H669" s="116"/>
      <c r="I669" s="117" t="s">
        <v>261</v>
      </c>
      <c r="J669" s="117" t="s">
        <v>261</v>
      </c>
      <c r="K669" s="118"/>
      <c r="L669" s="119"/>
      <c r="M669" s="119"/>
      <c r="N669" s="120"/>
      <c r="O669" s="118"/>
      <c r="P669" s="118"/>
      <c r="Q669" s="118"/>
      <c r="R669" s="121">
        <v>0.67</v>
      </c>
      <c r="S669" s="122">
        <f>IFERROR(__xludf.DUMMYFUNCTION("((IFERROR(MIN(FILTER({K669, N669, Q669}, ISNUMBER({K669, N669, Q669}), {K669, N669, Q669} &gt; 0)), """"))*R669)+IFERROR(MIN(FILTER({K669, N669, Q669}, ISNUMBER({K669, N669, Q669}), {K669, N669, Q669} &gt; 0)), """")"),0.0)</f>
        <v>0</v>
      </c>
      <c r="T669" s="123" t="str">
        <f t="shared" si="1"/>
        <v>#DIV/0!</v>
      </c>
    </row>
    <row r="670">
      <c r="A670" s="113"/>
      <c r="B670" s="113"/>
      <c r="C670" s="113"/>
      <c r="D670" s="114"/>
      <c r="E670" s="113"/>
      <c r="F670" s="113"/>
      <c r="G670" s="115"/>
      <c r="H670" s="116"/>
      <c r="I670" s="117" t="s">
        <v>261</v>
      </c>
      <c r="J670" s="117" t="s">
        <v>261</v>
      </c>
      <c r="K670" s="118"/>
      <c r="L670" s="119"/>
      <c r="M670" s="119"/>
      <c r="N670" s="120"/>
      <c r="O670" s="118"/>
      <c r="P670" s="118"/>
      <c r="Q670" s="118"/>
      <c r="R670" s="121">
        <v>0.67</v>
      </c>
      <c r="S670" s="122">
        <f>IFERROR(__xludf.DUMMYFUNCTION("((IFERROR(MIN(FILTER({K670, N670, Q670}, ISNUMBER({K670, N670, Q670}), {K670, N670, Q670} &gt; 0)), """"))*R670)+IFERROR(MIN(FILTER({K670, N670, Q670}, ISNUMBER({K670, N670, Q670}), {K670, N670, Q670} &gt; 0)), """")"),0.0)</f>
        <v>0</v>
      </c>
      <c r="T670" s="123" t="str">
        <f t="shared" si="1"/>
        <v>#DIV/0!</v>
      </c>
    </row>
    <row r="671">
      <c r="A671" s="113"/>
      <c r="B671" s="113"/>
      <c r="C671" s="113"/>
      <c r="D671" s="114"/>
      <c r="E671" s="113"/>
      <c r="F671" s="113"/>
      <c r="G671" s="115"/>
      <c r="H671" s="116"/>
      <c r="I671" s="117" t="s">
        <v>261</v>
      </c>
      <c r="J671" s="117" t="s">
        <v>261</v>
      </c>
      <c r="K671" s="118"/>
      <c r="L671" s="119"/>
      <c r="M671" s="119"/>
      <c r="N671" s="120"/>
      <c r="O671" s="118"/>
      <c r="P671" s="118"/>
      <c r="Q671" s="118"/>
      <c r="R671" s="121">
        <v>0.67</v>
      </c>
      <c r="S671" s="122">
        <f>IFERROR(__xludf.DUMMYFUNCTION("((IFERROR(MIN(FILTER({K671, N671, Q671}, ISNUMBER({K671, N671, Q671}), {K671, N671, Q671} &gt; 0)), """"))*R671)+IFERROR(MIN(FILTER({K671, N671, Q671}, ISNUMBER({K671, N671, Q671}), {K671, N671, Q671} &gt; 0)), """")"),0.0)</f>
        <v>0</v>
      </c>
      <c r="T671" s="123" t="str">
        <f t="shared" si="1"/>
        <v>#DIV/0!</v>
      </c>
    </row>
    <row r="672">
      <c r="A672" s="113"/>
      <c r="B672" s="113"/>
      <c r="C672" s="113"/>
      <c r="D672" s="114"/>
      <c r="E672" s="113"/>
      <c r="F672" s="113"/>
      <c r="G672" s="115"/>
      <c r="H672" s="116"/>
      <c r="I672" s="117" t="s">
        <v>261</v>
      </c>
      <c r="J672" s="117" t="s">
        <v>261</v>
      </c>
      <c r="K672" s="118"/>
      <c r="L672" s="119"/>
      <c r="M672" s="119"/>
      <c r="N672" s="120"/>
      <c r="O672" s="118"/>
      <c r="P672" s="118"/>
      <c r="Q672" s="118"/>
      <c r="R672" s="121">
        <v>0.67</v>
      </c>
      <c r="S672" s="122">
        <f>IFERROR(__xludf.DUMMYFUNCTION("((IFERROR(MIN(FILTER({K672, N672, Q672}, ISNUMBER({K672, N672, Q672}), {K672, N672, Q672} &gt; 0)), """"))*R672)+IFERROR(MIN(FILTER({K672, N672, Q672}, ISNUMBER({K672, N672, Q672}), {K672, N672, Q672} &gt; 0)), """")"),0.0)</f>
        <v>0</v>
      </c>
      <c r="T672" s="123" t="str">
        <f t="shared" si="1"/>
        <v>#DIV/0!</v>
      </c>
    </row>
    <row r="673">
      <c r="A673" s="113"/>
      <c r="B673" s="113"/>
      <c r="C673" s="113"/>
      <c r="D673" s="114"/>
      <c r="E673" s="113"/>
      <c r="F673" s="113"/>
      <c r="G673" s="115"/>
      <c r="H673" s="116"/>
      <c r="I673" s="117" t="s">
        <v>261</v>
      </c>
      <c r="J673" s="117" t="s">
        <v>261</v>
      </c>
      <c r="K673" s="118"/>
      <c r="L673" s="119"/>
      <c r="M673" s="119"/>
      <c r="N673" s="120"/>
      <c r="O673" s="118"/>
      <c r="P673" s="118"/>
      <c r="Q673" s="118"/>
      <c r="R673" s="121">
        <v>0.67</v>
      </c>
      <c r="S673" s="122">
        <f>IFERROR(__xludf.DUMMYFUNCTION("((IFERROR(MIN(FILTER({K673, N673, Q673}, ISNUMBER({K673, N673, Q673}), {K673, N673, Q673} &gt; 0)), """"))*R673)+IFERROR(MIN(FILTER({K673, N673, Q673}, ISNUMBER({K673, N673, Q673}), {K673, N673, Q673} &gt; 0)), """")"),0.0)</f>
        <v>0</v>
      </c>
      <c r="T673" s="123" t="str">
        <f t="shared" si="1"/>
        <v>#DIV/0!</v>
      </c>
    </row>
    <row r="674">
      <c r="A674" s="113"/>
      <c r="B674" s="113"/>
      <c r="C674" s="113"/>
      <c r="D674" s="114"/>
      <c r="E674" s="113"/>
      <c r="F674" s="113"/>
      <c r="G674" s="115"/>
      <c r="H674" s="116"/>
      <c r="I674" s="117" t="s">
        <v>261</v>
      </c>
      <c r="J674" s="117" t="s">
        <v>261</v>
      </c>
      <c r="K674" s="118"/>
      <c r="L674" s="119"/>
      <c r="M674" s="119"/>
      <c r="N674" s="120"/>
      <c r="O674" s="118"/>
      <c r="P674" s="118"/>
      <c r="Q674" s="118"/>
      <c r="R674" s="121">
        <v>0.67</v>
      </c>
      <c r="S674" s="122">
        <f>IFERROR(__xludf.DUMMYFUNCTION("((IFERROR(MIN(FILTER({K674, N674, Q674}, ISNUMBER({K674, N674, Q674}), {K674, N674, Q674} &gt; 0)), """"))*R674)+IFERROR(MIN(FILTER({K674, N674, Q674}, ISNUMBER({K674, N674, Q674}), {K674, N674, Q674} &gt; 0)), """")"),0.0)</f>
        <v>0</v>
      </c>
      <c r="T674" s="123" t="str">
        <f t="shared" si="1"/>
        <v>#DIV/0!</v>
      </c>
    </row>
    <row r="675">
      <c r="A675" s="113"/>
      <c r="B675" s="113"/>
      <c r="C675" s="113"/>
      <c r="D675" s="114"/>
      <c r="E675" s="113"/>
      <c r="F675" s="113"/>
      <c r="G675" s="115"/>
      <c r="H675" s="116"/>
      <c r="I675" s="117" t="s">
        <v>261</v>
      </c>
      <c r="J675" s="117" t="s">
        <v>261</v>
      </c>
      <c r="K675" s="118"/>
      <c r="L675" s="119"/>
      <c r="M675" s="119"/>
      <c r="N675" s="120"/>
      <c r="O675" s="118"/>
      <c r="P675" s="118"/>
      <c r="Q675" s="118"/>
      <c r="R675" s="121">
        <v>0.67</v>
      </c>
      <c r="S675" s="122">
        <f>IFERROR(__xludf.DUMMYFUNCTION("((IFERROR(MIN(FILTER({K675, N675, Q675}, ISNUMBER({K675, N675, Q675}), {K675, N675, Q675} &gt; 0)), """"))*R675)+IFERROR(MIN(FILTER({K675, N675, Q675}, ISNUMBER({K675, N675, Q675}), {K675, N675, Q675} &gt; 0)), """")"),0.0)</f>
        <v>0</v>
      </c>
      <c r="T675" s="123" t="str">
        <f t="shared" si="1"/>
        <v>#DIV/0!</v>
      </c>
    </row>
    <row r="676">
      <c r="A676" s="113"/>
      <c r="B676" s="113"/>
      <c r="C676" s="113"/>
      <c r="D676" s="114"/>
      <c r="E676" s="113"/>
      <c r="F676" s="113"/>
      <c r="G676" s="115"/>
      <c r="H676" s="116"/>
      <c r="I676" s="117" t="s">
        <v>261</v>
      </c>
      <c r="J676" s="117" t="s">
        <v>261</v>
      </c>
      <c r="K676" s="118"/>
      <c r="L676" s="119"/>
      <c r="M676" s="119"/>
      <c r="N676" s="120"/>
      <c r="O676" s="118"/>
      <c r="P676" s="118"/>
      <c r="Q676" s="118"/>
      <c r="R676" s="121">
        <v>0.67</v>
      </c>
      <c r="S676" s="122">
        <f>IFERROR(__xludf.DUMMYFUNCTION("((IFERROR(MIN(FILTER({K676, N676, Q676}, ISNUMBER({K676, N676, Q676}), {K676, N676, Q676} &gt; 0)), """"))*R676)+IFERROR(MIN(FILTER({K676, N676, Q676}, ISNUMBER({K676, N676, Q676}), {K676, N676, Q676} &gt; 0)), """")"),0.0)</f>
        <v>0</v>
      </c>
      <c r="T676" s="123" t="str">
        <f t="shared" si="1"/>
        <v>#DIV/0!</v>
      </c>
    </row>
    <row r="677">
      <c r="A677" s="113"/>
      <c r="B677" s="113"/>
      <c r="C677" s="113"/>
      <c r="D677" s="114"/>
      <c r="E677" s="113"/>
      <c r="F677" s="113"/>
      <c r="G677" s="115"/>
      <c r="H677" s="116"/>
      <c r="I677" s="117" t="s">
        <v>261</v>
      </c>
      <c r="J677" s="117" t="s">
        <v>261</v>
      </c>
      <c r="K677" s="118"/>
      <c r="L677" s="119"/>
      <c r="M677" s="119"/>
      <c r="N677" s="120"/>
      <c r="O677" s="118"/>
      <c r="P677" s="118"/>
      <c r="Q677" s="118"/>
      <c r="R677" s="121">
        <v>0.67</v>
      </c>
      <c r="S677" s="122">
        <f>IFERROR(__xludf.DUMMYFUNCTION("((IFERROR(MIN(FILTER({K677, N677, Q677}, ISNUMBER({K677, N677, Q677}), {K677, N677, Q677} &gt; 0)), """"))*R677)+IFERROR(MIN(FILTER({K677, N677, Q677}, ISNUMBER({K677, N677, Q677}), {K677, N677, Q677} &gt; 0)), """")"),0.0)</f>
        <v>0</v>
      </c>
      <c r="T677" s="123" t="str">
        <f t="shared" si="1"/>
        <v>#DIV/0!</v>
      </c>
    </row>
    <row r="678">
      <c r="A678" s="113"/>
      <c r="B678" s="113"/>
      <c r="C678" s="113"/>
      <c r="D678" s="114"/>
      <c r="E678" s="113"/>
      <c r="F678" s="113"/>
      <c r="G678" s="115"/>
      <c r="H678" s="116"/>
      <c r="I678" s="117" t="s">
        <v>261</v>
      </c>
      <c r="J678" s="117" t="s">
        <v>261</v>
      </c>
      <c r="K678" s="118"/>
      <c r="L678" s="119"/>
      <c r="M678" s="119"/>
      <c r="N678" s="120"/>
      <c r="O678" s="118"/>
      <c r="P678" s="118"/>
      <c r="Q678" s="118"/>
      <c r="R678" s="121">
        <v>0.67</v>
      </c>
      <c r="S678" s="122">
        <f>IFERROR(__xludf.DUMMYFUNCTION("((IFERROR(MIN(FILTER({K678, N678, Q678}, ISNUMBER({K678, N678, Q678}), {K678, N678, Q678} &gt; 0)), """"))*R678)+IFERROR(MIN(FILTER({K678, N678, Q678}, ISNUMBER({K678, N678, Q678}), {K678, N678, Q678} &gt; 0)), """")"),0.0)</f>
        <v>0</v>
      </c>
      <c r="T678" s="123" t="str">
        <f t="shared" si="1"/>
        <v>#DIV/0!</v>
      </c>
    </row>
    <row r="679">
      <c r="A679" s="113"/>
      <c r="B679" s="113"/>
      <c r="C679" s="113"/>
      <c r="D679" s="114"/>
      <c r="E679" s="113"/>
      <c r="F679" s="113"/>
      <c r="G679" s="115"/>
      <c r="H679" s="116"/>
      <c r="I679" s="117" t="s">
        <v>261</v>
      </c>
      <c r="J679" s="117" t="s">
        <v>261</v>
      </c>
      <c r="K679" s="118"/>
      <c r="L679" s="119"/>
      <c r="M679" s="119"/>
      <c r="N679" s="120"/>
      <c r="O679" s="118"/>
      <c r="P679" s="118"/>
      <c r="Q679" s="118"/>
      <c r="R679" s="121">
        <v>0.67</v>
      </c>
      <c r="S679" s="122">
        <f>IFERROR(__xludf.DUMMYFUNCTION("((IFERROR(MIN(FILTER({K679, N679, Q679}, ISNUMBER({K679, N679, Q679}), {K679, N679, Q679} &gt; 0)), """"))*R679)+IFERROR(MIN(FILTER({K679, N679, Q679}, ISNUMBER({K679, N679, Q679}), {K679, N679, Q679} &gt; 0)), """")"),0.0)</f>
        <v>0</v>
      </c>
      <c r="T679" s="123" t="str">
        <f t="shared" si="1"/>
        <v>#DIV/0!</v>
      </c>
    </row>
    <row r="680">
      <c r="A680" s="113"/>
      <c r="B680" s="113"/>
      <c r="C680" s="113"/>
      <c r="D680" s="114"/>
      <c r="E680" s="113"/>
      <c r="F680" s="113"/>
      <c r="G680" s="115"/>
      <c r="H680" s="116"/>
      <c r="I680" s="117" t="s">
        <v>261</v>
      </c>
      <c r="J680" s="117" t="s">
        <v>261</v>
      </c>
      <c r="K680" s="118"/>
      <c r="L680" s="119"/>
      <c r="M680" s="119"/>
      <c r="N680" s="120"/>
      <c r="O680" s="118"/>
      <c r="P680" s="118"/>
      <c r="Q680" s="118"/>
      <c r="R680" s="121">
        <v>0.67</v>
      </c>
      <c r="S680" s="122">
        <f>IFERROR(__xludf.DUMMYFUNCTION("((IFERROR(MIN(FILTER({K680, N680, Q680}, ISNUMBER({K680, N680, Q680}), {K680, N680, Q680} &gt; 0)), """"))*R680)+IFERROR(MIN(FILTER({K680, N680, Q680}, ISNUMBER({K680, N680, Q680}), {K680, N680, Q680} &gt; 0)), """")"),0.0)</f>
        <v>0</v>
      </c>
      <c r="T680" s="123" t="str">
        <f t="shared" si="1"/>
        <v>#DIV/0!</v>
      </c>
    </row>
    <row r="681">
      <c r="A681" s="113"/>
      <c r="B681" s="113"/>
      <c r="C681" s="113"/>
      <c r="D681" s="114"/>
      <c r="E681" s="113"/>
      <c r="F681" s="113"/>
      <c r="G681" s="115"/>
      <c r="H681" s="116"/>
      <c r="I681" s="117" t="s">
        <v>261</v>
      </c>
      <c r="J681" s="117" t="s">
        <v>261</v>
      </c>
      <c r="K681" s="118"/>
      <c r="L681" s="119"/>
      <c r="M681" s="119"/>
      <c r="N681" s="120"/>
      <c r="O681" s="118"/>
      <c r="P681" s="118"/>
      <c r="Q681" s="118"/>
      <c r="R681" s="121">
        <v>0.67</v>
      </c>
      <c r="S681" s="122">
        <f>IFERROR(__xludf.DUMMYFUNCTION("((IFERROR(MIN(FILTER({K681, N681, Q681}, ISNUMBER({K681, N681, Q681}), {K681, N681, Q681} &gt; 0)), """"))*R681)+IFERROR(MIN(FILTER({K681, N681, Q681}, ISNUMBER({K681, N681, Q681}), {K681, N681, Q681} &gt; 0)), """")"),0.0)</f>
        <v>0</v>
      </c>
      <c r="T681" s="123" t="str">
        <f t="shared" si="1"/>
        <v>#DIV/0!</v>
      </c>
    </row>
    <row r="682">
      <c r="A682" s="113"/>
      <c r="B682" s="113"/>
      <c r="C682" s="113"/>
      <c r="D682" s="114"/>
      <c r="E682" s="113"/>
      <c r="F682" s="113"/>
      <c r="G682" s="115"/>
      <c r="H682" s="116"/>
      <c r="I682" s="117" t="s">
        <v>261</v>
      </c>
      <c r="J682" s="117" t="s">
        <v>261</v>
      </c>
      <c r="K682" s="118"/>
      <c r="L682" s="119"/>
      <c r="M682" s="119"/>
      <c r="N682" s="120"/>
      <c r="O682" s="118"/>
      <c r="P682" s="118"/>
      <c r="Q682" s="118"/>
      <c r="R682" s="121">
        <v>0.67</v>
      </c>
      <c r="S682" s="122">
        <f>IFERROR(__xludf.DUMMYFUNCTION("((IFERROR(MIN(FILTER({K682, N682, Q682}, ISNUMBER({K682, N682, Q682}), {K682, N682, Q682} &gt; 0)), """"))*R682)+IFERROR(MIN(FILTER({K682, N682, Q682}, ISNUMBER({K682, N682, Q682}), {K682, N682, Q682} &gt; 0)), """")"),0.0)</f>
        <v>0</v>
      </c>
      <c r="T682" s="123" t="str">
        <f t="shared" si="1"/>
        <v>#DIV/0!</v>
      </c>
    </row>
    <row r="683">
      <c r="A683" s="113"/>
      <c r="B683" s="113"/>
      <c r="C683" s="113"/>
      <c r="D683" s="114"/>
      <c r="E683" s="113"/>
      <c r="F683" s="113"/>
      <c r="G683" s="115"/>
      <c r="H683" s="116"/>
      <c r="I683" s="117" t="s">
        <v>261</v>
      </c>
      <c r="J683" s="117" t="s">
        <v>261</v>
      </c>
      <c r="K683" s="118"/>
      <c r="L683" s="119"/>
      <c r="M683" s="119"/>
      <c r="N683" s="120"/>
      <c r="O683" s="118"/>
      <c r="P683" s="118"/>
      <c r="Q683" s="118"/>
      <c r="R683" s="121">
        <v>0.67</v>
      </c>
      <c r="S683" s="122">
        <f>IFERROR(__xludf.DUMMYFUNCTION("((IFERROR(MIN(FILTER({K683, N683, Q683}, ISNUMBER({K683, N683, Q683}), {K683, N683, Q683} &gt; 0)), """"))*R683)+IFERROR(MIN(FILTER({K683, N683, Q683}, ISNUMBER({K683, N683, Q683}), {K683, N683, Q683} &gt; 0)), """")"),0.0)</f>
        <v>0</v>
      </c>
      <c r="T683" s="123" t="str">
        <f t="shared" si="1"/>
        <v>#DIV/0!</v>
      </c>
    </row>
    <row r="684">
      <c r="A684" s="113"/>
      <c r="B684" s="113"/>
      <c r="C684" s="113"/>
      <c r="D684" s="114"/>
      <c r="E684" s="113"/>
      <c r="F684" s="113"/>
      <c r="G684" s="115"/>
      <c r="H684" s="116"/>
      <c r="I684" s="117" t="s">
        <v>261</v>
      </c>
      <c r="J684" s="117" t="s">
        <v>261</v>
      </c>
      <c r="K684" s="118"/>
      <c r="L684" s="119"/>
      <c r="M684" s="119"/>
      <c r="N684" s="120"/>
      <c r="O684" s="118"/>
      <c r="P684" s="118"/>
      <c r="Q684" s="118"/>
      <c r="R684" s="121">
        <v>0.67</v>
      </c>
      <c r="S684" s="122">
        <f>IFERROR(__xludf.DUMMYFUNCTION("((IFERROR(MIN(FILTER({K684, N684, Q684}, ISNUMBER({K684, N684, Q684}), {K684, N684, Q684} &gt; 0)), """"))*R684)+IFERROR(MIN(FILTER({K684, N684, Q684}, ISNUMBER({K684, N684, Q684}), {K684, N684, Q684} &gt; 0)), """")"),0.0)</f>
        <v>0</v>
      </c>
      <c r="T684" s="123" t="str">
        <f t="shared" si="1"/>
        <v>#DIV/0!</v>
      </c>
    </row>
    <row r="685">
      <c r="A685" s="113"/>
      <c r="B685" s="113"/>
      <c r="C685" s="113"/>
      <c r="D685" s="114"/>
      <c r="E685" s="113"/>
      <c r="F685" s="113"/>
      <c r="G685" s="115"/>
      <c r="H685" s="116"/>
      <c r="I685" s="117" t="s">
        <v>261</v>
      </c>
      <c r="J685" s="117" t="s">
        <v>261</v>
      </c>
      <c r="K685" s="118"/>
      <c r="L685" s="119"/>
      <c r="M685" s="119"/>
      <c r="N685" s="120"/>
      <c r="O685" s="118"/>
      <c r="P685" s="118"/>
      <c r="Q685" s="118"/>
      <c r="R685" s="121">
        <v>0.67</v>
      </c>
      <c r="S685" s="122">
        <f>IFERROR(__xludf.DUMMYFUNCTION("((IFERROR(MIN(FILTER({K685, N685, Q685}, ISNUMBER({K685, N685, Q685}), {K685, N685, Q685} &gt; 0)), """"))*R685)+IFERROR(MIN(FILTER({K685, N685, Q685}, ISNUMBER({K685, N685, Q685}), {K685, N685, Q685} &gt; 0)), """")"),0.0)</f>
        <v>0</v>
      </c>
      <c r="T685" s="123" t="str">
        <f t="shared" si="1"/>
        <v>#DIV/0!</v>
      </c>
    </row>
    <row r="686">
      <c r="A686" s="113"/>
      <c r="B686" s="113"/>
      <c r="C686" s="113"/>
      <c r="D686" s="114"/>
      <c r="E686" s="113"/>
      <c r="F686" s="113"/>
      <c r="G686" s="115"/>
      <c r="H686" s="116"/>
      <c r="I686" s="117" t="s">
        <v>261</v>
      </c>
      <c r="J686" s="117" t="s">
        <v>261</v>
      </c>
      <c r="K686" s="118"/>
      <c r="L686" s="119"/>
      <c r="M686" s="119"/>
      <c r="N686" s="120"/>
      <c r="O686" s="118"/>
      <c r="P686" s="118"/>
      <c r="Q686" s="118"/>
      <c r="R686" s="121">
        <v>0.67</v>
      </c>
      <c r="S686" s="122">
        <f>IFERROR(__xludf.DUMMYFUNCTION("((IFERROR(MIN(FILTER({K686, N686, Q686}, ISNUMBER({K686, N686, Q686}), {K686, N686, Q686} &gt; 0)), """"))*R686)+IFERROR(MIN(FILTER({K686, N686, Q686}, ISNUMBER({K686, N686, Q686}), {K686, N686, Q686} &gt; 0)), """")"),0.0)</f>
        <v>0</v>
      </c>
      <c r="T686" s="123" t="str">
        <f t="shared" si="1"/>
        <v>#DIV/0!</v>
      </c>
    </row>
    <row r="687">
      <c r="A687" s="113"/>
      <c r="B687" s="113"/>
      <c r="C687" s="113"/>
      <c r="D687" s="114"/>
      <c r="E687" s="113"/>
      <c r="F687" s="113"/>
      <c r="G687" s="115"/>
      <c r="H687" s="116"/>
      <c r="I687" s="117" t="s">
        <v>261</v>
      </c>
      <c r="J687" s="117" t="s">
        <v>261</v>
      </c>
      <c r="K687" s="118"/>
      <c r="L687" s="119"/>
      <c r="M687" s="119"/>
      <c r="N687" s="120"/>
      <c r="O687" s="118"/>
      <c r="P687" s="118"/>
      <c r="Q687" s="118"/>
      <c r="R687" s="121">
        <v>0.67</v>
      </c>
      <c r="S687" s="122">
        <f>IFERROR(__xludf.DUMMYFUNCTION("((IFERROR(MIN(FILTER({K687, N687, Q687}, ISNUMBER({K687, N687, Q687}), {K687, N687, Q687} &gt; 0)), """"))*R687)+IFERROR(MIN(FILTER({K687, N687, Q687}, ISNUMBER({K687, N687, Q687}), {K687, N687, Q687} &gt; 0)), """")"),0.0)</f>
        <v>0</v>
      </c>
      <c r="T687" s="123" t="str">
        <f t="shared" si="1"/>
        <v>#DIV/0!</v>
      </c>
    </row>
    <row r="688">
      <c r="A688" s="113"/>
      <c r="B688" s="113"/>
      <c r="C688" s="113"/>
      <c r="D688" s="114"/>
      <c r="E688" s="113"/>
      <c r="F688" s="113"/>
      <c r="G688" s="115"/>
      <c r="H688" s="116"/>
      <c r="I688" s="117" t="s">
        <v>261</v>
      </c>
      <c r="J688" s="117" t="s">
        <v>261</v>
      </c>
      <c r="K688" s="118"/>
      <c r="L688" s="119"/>
      <c r="M688" s="119"/>
      <c r="N688" s="120"/>
      <c r="O688" s="118"/>
      <c r="P688" s="118"/>
      <c r="Q688" s="118"/>
      <c r="R688" s="121">
        <v>0.67</v>
      </c>
      <c r="S688" s="122">
        <f>IFERROR(__xludf.DUMMYFUNCTION("((IFERROR(MIN(FILTER({K688, N688, Q688}, ISNUMBER({K688, N688, Q688}), {K688, N688, Q688} &gt; 0)), """"))*R688)+IFERROR(MIN(FILTER({K688, N688, Q688}, ISNUMBER({K688, N688, Q688}), {K688, N688, Q688} &gt; 0)), """")"),0.0)</f>
        <v>0</v>
      </c>
      <c r="T688" s="123" t="str">
        <f t="shared" si="1"/>
        <v>#DIV/0!</v>
      </c>
    </row>
    <row r="689">
      <c r="A689" s="113"/>
      <c r="B689" s="113"/>
      <c r="C689" s="113"/>
      <c r="D689" s="114"/>
      <c r="E689" s="113"/>
      <c r="F689" s="113"/>
      <c r="G689" s="115"/>
      <c r="H689" s="116"/>
      <c r="I689" s="117" t="s">
        <v>261</v>
      </c>
      <c r="J689" s="117" t="s">
        <v>261</v>
      </c>
      <c r="K689" s="118"/>
      <c r="L689" s="119"/>
      <c r="M689" s="119"/>
      <c r="N689" s="120"/>
      <c r="O689" s="118"/>
      <c r="P689" s="118"/>
      <c r="Q689" s="118"/>
      <c r="R689" s="121">
        <v>0.67</v>
      </c>
      <c r="S689" s="122">
        <f>IFERROR(__xludf.DUMMYFUNCTION("((IFERROR(MIN(FILTER({K689, N689, Q689}, ISNUMBER({K689, N689, Q689}), {K689, N689, Q689} &gt; 0)), """"))*R689)+IFERROR(MIN(FILTER({K689, N689, Q689}, ISNUMBER({K689, N689, Q689}), {K689, N689, Q689} &gt; 0)), """")"),0.0)</f>
        <v>0</v>
      </c>
      <c r="T689" s="123" t="str">
        <f t="shared" si="1"/>
        <v>#DIV/0!</v>
      </c>
    </row>
    <row r="690">
      <c r="A690" s="113"/>
      <c r="B690" s="113"/>
      <c r="C690" s="113"/>
      <c r="D690" s="114"/>
      <c r="E690" s="113"/>
      <c r="F690" s="113"/>
      <c r="G690" s="115"/>
      <c r="H690" s="116"/>
      <c r="I690" s="117" t="s">
        <v>261</v>
      </c>
      <c r="J690" s="117" t="s">
        <v>261</v>
      </c>
      <c r="K690" s="118"/>
      <c r="L690" s="119"/>
      <c r="M690" s="119"/>
      <c r="N690" s="120"/>
      <c r="O690" s="118"/>
      <c r="P690" s="118"/>
      <c r="Q690" s="118"/>
      <c r="R690" s="121">
        <v>0.67</v>
      </c>
      <c r="S690" s="122">
        <f>IFERROR(__xludf.DUMMYFUNCTION("((IFERROR(MIN(FILTER({K690, N690, Q690}, ISNUMBER({K690, N690, Q690}), {K690, N690, Q690} &gt; 0)), """"))*R690)+IFERROR(MIN(FILTER({K690, N690, Q690}, ISNUMBER({K690, N690, Q690}), {K690, N690, Q690} &gt; 0)), """")"),0.0)</f>
        <v>0</v>
      </c>
      <c r="T690" s="123" t="str">
        <f t="shared" si="1"/>
        <v>#DIV/0!</v>
      </c>
    </row>
    <row r="691">
      <c r="A691" s="113"/>
      <c r="B691" s="113"/>
      <c r="C691" s="113"/>
      <c r="D691" s="114"/>
      <c r="E691" s="113"/>
      <c r="F691" s="113"/>
      <c r="G691" s="115"/>
      <c r="H691" s="116"/>
      <c r="I691" s="117" t="s">
        <v>261</v>
      </c>
      <c r="J691" s="117" t="s">
        <v>261</v>
      </c>
      <c r="K691" s="118"/>
      <c r="L691" s="119"/>
      <c r="M691" s="119"/>
      <c r="N691" s="120"/>
      <c r="O691" s="118"/>
      <c r="P691" s="118"/>
      <c r="Q691" s="118"/>
      <c r="R691" s="121">
        <v>0.67</v>
      </c>
      <c r="S691" s="122">
        <f>IFERROR(__xludf.DUMMYFUNCTION("((IFERROR(MIN(FILTER({K691, N691, Q691}, ISNUMBER({K691, N691, Q691}), {K691, N691, Q691} &gt; 0)), """"))*R691)+IFERROR(MIN(FILTER({K691, N691, Q691}, ISNUMBER({K691, N691, Q691}), {K691, N691, Q691} &gt; 0)), """")"),0.0)</f>
        <v>0</v>
      </c>
      <c r="T691" s="123" t="str">
        <f t="shared" si="1"/>
        <v>#DIV/0!</v>
      </c>
    </row>
    <row r="692">
      <c r="A692" s="113"/>
      <c r="B692" s="113"/>
      <c r="C692" s="113"/>
      <c r="D692" s="114"/>
      <c r="E692" s="113"/>
      <c r="F692" s="113"/>
      <c r="G692" s="115"/>
      <c r="H692" s="116"/>
      <c r="I692" s="117" t="s">
        <v>261</v>
      </c>
      <c r="J692" s="117" t="s">
        <v>261</v>
      </c>
      <c r="K692" s="118"/>
      <c r="L692" s="119"/>
      <c r="M692" s="119"/>
      <c r="N692" s="120"/>
      <c r="O692" s="118"/>
      <c r="P692" s="118"/>
      <c r="Q692" s="118"/>
      <c r="R692" s="121">
        <v>0.67</v>
      </c>
      <c r="S692" s="122">
        <f>IFERROR(__xludf.DUMMYFUNCTION("((IFERROR(MIN(FILTER({K692, N692, Q692}, ISNUMBER({K692, N692, Q692}), {K692, N692, Q692} &gt; 0)), """"))*R692)+IFERROR(MIN(FILTER({K692, N692, Q692}, ISNUMBER({K692, N692, Q692}), {K692, N692, Q692} &gt; 0)), """")"),0.0)</f>
        <v>0</v>
      </c>
      <c r="T692" s="123" t="str">
        <f t="shared" si="1"/>
        <v>#DIV/0!</v>
      </c>
    </row>
    <row r="693">
      <c r="A693" s="113"/>
      <c r="B693" s="113"/>
      <c r="C693" s="113"/>
      <c r="D693" s="114"/>
      <c r="E693" s="113"/>
      <c r="F693" s="113"/>
      <c r="G693" s="115"/>
      <c r="H693" s="116"/>
      <c r="I693" s="117" t="s">
        <v>261</v>
      </c>
      <c r="J693" s="117" t="s">
        <v>261</v>
      </c>
      <c r="K693" s="118"/>
      <c r="L693" s="119"/>
      <c r="M693" s="119"/>
      <c r="N693" s="120"/>
      <c r="O693" s="118"/>
      <c r="P693" s="118"/>
      <c r="Q693" s="118"/>
      <c r="R693" s="121">
        <v>0.67</v>
      </c>
      <c r="S693" s="122">
        <f>IFERROR(__xludf.DUMMYFUNCTION("((IFERROR(MIN(FILTER({K693, N693, Q693}, ISNUMBER({K693, N693, Q693}), {K693, N693, Q693} &gt; 0)), """"))*R693)+IFERROR(MIN(FILTER({K693, N693, Q693}, ISNUMBER({K693, N693, Q693}), {K693, N693, Q693} &gt; 0)), """")"),0.0)</f>
        <v>0</v>
      </c>
      <c r="T693" s="123" t="str">
        <f t="shared" si="1"/>
        <v>#DIV/0!</v>
      </c>
    </row>
    <row r="694">
      <c r="A694" s="113"/>
      <c r="B694" s="113"/>
      <c r="C694" s="113"/>
      <c r="D694" s="114"/>
      <c r="E694" s="113"/>
      <c r="F694" s="113"/>
      <c r="G694" s="115"/>
      <c r="H694" s="116"/>
      <c r="I694" s="117" t="s">
        <v>261</v>
      </c>
      <c r="J694" s="117" t="s">
        <v>261</v>
      </c>
      <c r="K694" s="118"/>
      <c r="L694" s="119"/>
      <c r="M694" s="119"/>
      <c r="N694" s="120"/>
      <c r="O694" s="118"/>
      <c r="P694" s="118"/>
      <c r="Q694" s="118"/>
      <c r="R694" s="121">
        <v>0.67</v>
      </c>
      <c r="S694" s="122">
        <f>IFERROR(__xludf.DUMMYFUNCTION("((IFERROR(MIN(FILTER({K694, N694, Q694}, ISNUMBER({K694, N694, Q694}), {K694, N694, Q694} &gt; 0)), """"))*R694)+IFERROR(MIN(FILTER({K694, N694, Q694}, ISNUMBER({K694, N694, Q694}), {K694, N694, Q694} &gt; 0)), """")"),0.0)</f>
        <v>0</v>
      </c>
      <c r="T694" s="123" t="str">
        <f t="shared" si="1"/>
        <v>#DIV/0!</v>
      </c>
    </row>
    <row r="695">
      <c r="A695" s="113"/>
      <c r="B695" s="113"/>
      <c r="C695" s="113"/>
      <c r="D695" s="114"/>
      <c r="E695" s="113"/>
      <c r="F695" s="113"/>
      <c r="G695" s="115"/>
      <c r="H695" s="116"/>
      <c r="I695" s="117" t="s">
        <v>261</v>
      </c>
      <c r="J695" s="117" t="s">
        <v>261</v>
      </c>
      <c r="K695" s="118"/>
      <c r="L695" s="119"/>
      <c r="M695" s="119"/>
      <c r="N695" s="120"/>
      <c r="O695" s="118"/>
      <c r="P695" s="118"/>
      <c r="Q695" s="118"/>
      <c r="R695" s="121">
        <v>0.67</v>
      </c>
      <c r="S695" s="122">
        <f>IFERROR(__xludf.DUMMYFUNCTION("((IFERROR(MIN(FILTER({K695, N695, Q695}, ISNUMBER({K695, N695, Q695}), {K695, N695, Q695} &gt; 0)), """"))*R695)+IFERROR(MIN(FILTER({K695, N695, Q695}, ISNUMBER({K695, N695, Q695}), {K695, N695, Q695} &gt; 0)), """")"),0.0)</f>
        <v>0</v>
      </c>
      <c r="T695" s="123" t="str">
        <f t="shared" si="1"/>
        <v>#DIV/0!</v>
      </c>
    </row>
    <row r="696">
      <c r="A696" s="113"/>
      <c r="B696" s="113"/>
      <c r="C696" s="113"/>
      <c r="D696" s="114"/>
      <c r="E696" s="113"/>
      <c r="F696" s="113"/>
      <c r="G696" s="115"/>
      <c r="H696" s="116"/>
      <c r="I696" s="117" t="s">
        <v>261</v>
      </c>
      <c r="J696" s="117" t="s">
        <v>261</v>
      </c>
      <c r="K696" s="118"/>
      <c r="L696" s="119"/>
      <c r="M696" s="119"/>
      <c r="N696" s="120"/>
      <c r="O696" s="118"/>
      <c r="P696" s="118"/>
      <c r="Q696" s="118"/>
      <c r="R696" s="121">
        <v>0.67</v>
      </c>
      <c r="S696" s="122">
        <f>IFERROR(__xludf.DUMMYFUNCTION("((IFERROR(MIN(FILTER({K696, N696, Q696}, ISNUMBER({K696, N696, Q696}), {K696, N696, Q696} &gt; 0)), """"))*R696)+IFERROR(MIN(FILTER({K696, N696, Q696}, ISNUMBER({K696, N696, Q696}), {K696, N696, Q696} &gt; 0)), """")"),0.0)</f>
        <v>0</v>
      </c>
      <c r="T696" s="123" t="str">
        <f t="shared" si="1"/>
        <v>#DIV/0!</v>
      </c>
    </row>
    <row r="697">
      <c r="A697" s="113"/>
      <c r="B697" s="113"/>
      <c r="C697" s="113"/>
      <c r="D697" s="114"/>
      <c r="E697" s="113"/>
      <c r="F697" s="113"/>
      <c r="G697" s="115"/>
      <c r="H697" s="116"/>
      <c r="I697" s="117" t="s">
        <v>261</v>
      </c>
      <c r="J697" s="117" t="s">
        <v>261</v>
      </c>
      <c r="K697" s="118"/>
      <c r="L697" s="119"/>
      <c r="M697" s="119"/>
      <c r="N697" s="120"/>
      <c r="O697" s="118"/>
      <c r="P697" s="118"/>
      <c r="Q697" s="118"/>
      <c r="R697" s="121">
        <v>0.67</v>
      </c>
      <c r="S697" s="122">
        <f>IFERROR(__xludf.DUMMYFUNCTION("((IFERROR(MIN(FILTER({K697, N697, Q697}, ISNUMBER({K697, N697, Q697}), {K697, N697, Q697} &gt; 0)), """"))*R697)+IFERROR(MIN(FILTER({K697, N697, Q697}, ISNUMBER({K697, N697, Q697}), {K697, N697, Q697} &gt; 0)), """")"),0.0)</f>
        <v>0</v>
      </c>
      <c r="T697" s="123" t="str">
        <f t="shared" si="1"/>
        <v>#DIV/0!</v>
      </c>
    </row>
    <row r="698">
      <c r="A698" s="113"/>
      <c r="B698" s="113"/>
      <c r="C698" s="113"/>
      <c r="D698" s="114"/>
      <c r="E698" s="113"/>
      <c r="F698" s="113"/>
      <c r="G698" s="115"/>
      <c r="H698" s="116"/>
      <c r="I698" s="117" t="s">
        <v>261</v>
      </c>
      <c r="J698" s="117" t="s">
        <v>261</v>
      </c>
      <c r="K698" s="118"/>
      <c r="L698" s="119"/>
      <c r="M698" s="119"/>
      <c r="N698" s="120"/>
      <c r="O698" s="118"/>
      <c r="P698" s="118"/>
      <c r="Q698" s="118"/>
      <c r="R698" s="121">
        <v>0.67</v>
      </c>
      <c r="S698" s="122">
        <f>IFERROR(__xludf.DUMMYFUNCTION("((IFERROR(MIN(FILTER({K698, N698, Q698}, ISNUMBER({K698, N698, Q698}), {K698, N698, Q698} &gt; 0)), """"))*R698)+IFERROR(MIN(FILTER({K698, N698, Q698}, ISNUMBER({K698, N698, Q698}), {K698, N698, Q698} &gt; 0)), """")"),0.0)</f>
        <v>0</v>
      </c>
      <c r="T698" s="123" t="str">
        <f t="shared" si="1"/>
        <v>#DIV/0!</v>
      </c>
    </row>
    <row r="699">
      <c r="A699" s="113"/>
      <c r="B699" s="113"/>
      <c r="C699" s="113"/>
      <c r="D699" s="114"/>
      <c r="E699" s="113"/>
      <c r="F699" s="113"/>
      <c r="G699" s="115"/>
      <c r="H699" s="116"/>
      <c r="I699" s="117" t="s">
        <v>261</v>
      </c>
      <c r="J699" s="117" t="s">
        <v>261</v>
      </c>
      <c r="K699" s="118"/>
      <c r="L699" s="119"/>
      <c r="M699" s="119"/>
      <c r="N699" s="120"/>
      <c r="O699" s="118"/>
      <c r="P699" s="118"/>
      <c r="Q699" s="118"/>
      <c r="R699" s="121">
        <v>0.67</v>
      </c>
      <c r="S699" s="122">
        <f>IFERROR(__xludf.DUMMYFUNCTION("((IFERROR(MIN(FILTER({K699, N699, Q699}, ISNUMBER({K699, N699, Q699}), {K699, N699, Q699} &gt; 0)), """"))*R699)+IFERROR(MIN(FILTER({K699, N699, Q699}, ISNUMBER({K699, N699, Q699}), {K699, N699, Q699} &gt; 0)), """")"),0.0)</f>
        <v>0</v>
      </c>
      <c r="T699" s="123" t="str">
        <f t="shared" si="1"/>
        <v>#DIV/0!</v>
      </c>
    </row>
    <row r="700">
      <c r="A700" s="113"/>
      <c r="B700" s="113"/>
      <c r="C700" s="113"/>
      <c r="D700" s="114"/>
      <c r="E700" s="113"/>
      <c r="F700" s="113"/>
      <c r="G700" s="115"/>
      <c r="H700" s="116"/>
      <c r="I700" s="117" t="s">
        <v>261</v>
      </c>
      <c r="J700" s="117" t="s">
        <v>261</v>
      </c>
      <c r="K700" s="118"/>
      <c r="L700" s="119"/>
      <c r="M700" s="119"/>
      <c r="N700" s="120"/>
      <c r="O700" s="118"/>
      <c r="P700" s="118"/>
      <c r="Q700" s="118"/>
      <c r="R700" s="121">
        <v>0.67</v>
      </c>
      <c r="S700" s="122">
        <f>IFERROR(__xludf.DUMMYFUNCTION("((IFERROR(MIN(FILTER({K700, N700, Q700}, ISNUMBER({K700, N700, Q700}), {K700, N700, Q700} &gt; 0)), """"))*R700)+IFERROR(MIN(FILTER({K700, N700, Q700}, ISNUMBER({K700, N700, Q700}), {K700, N700, Q700} &gt; 0)), """")"),0.0)</f>
        <v>0</v>
      </c>
      <c r="T700" s="123" t="str">
        <f t="shared" si="1"/>
        <v>#DIV/0!</v>
      </c>
    </row>
    <row r="701">
      <c r="A701" s="113"/>
      <c r="B701" s="113"/>
      <c r="C701" s="113"/>
      <c r="D701" s="114"/>
      <c r="E701" s="113"/>
      <c r="F701" s="113"/>
      <c r="G701" s="115"/>
      <c r="H701" s="116"/>
      <c r="I701" s="117" t="s">
        <v>261</v>
      </c>
      <c r="J701" s="117" t="s">
        <v>261</v>
      </c>
      <c r="K701" s="118"/>
      <c r="L701" s="119"/>
      <c r="M701" s="119"/>
      <c r="N701" s="120"/>
      <c r="O701" s="118"/>
      <c r="P701" s="118"/>
      <c r="Q701" s="118"/>
      <c r="R701" s="121">
        <v>0.67</v>
      </c>
      <c r="S701" s="122">
        <f>IFERROR(__xludf.DUMMYFUNCTION("((IFERROR(MIN(FILTER({K701, N701, Q701}, ISNUMBER({K701, N701, Q701}), {K701, N701, Q701} &gt; 0)), """"))*R701)+IFERROR(MIN(FILTER({K701, N701, Q701}, ISNUMBER({K701, N701, Q701}), {K701, N701, Q701} &gt; 0)), """")"),0.0)</f>
        <v>0</v>
      </c>
      <c r="T701" s="123" t="str">
        <f t="shared" si="1"/>
        <v>#DIV/0!</v>
      </c>
    </row>
    <row r="702">
      <c r="A702" s="113"/>
      <c r="B702" s="113"/>
      <c r="C702" s="113"/>
      <c r="D702" s="114"/>
      <c r="E702" s="113"/>
      <c r="F702" s="113"/>
      <c r="G702" s="115"/>
      <c r="H702" s="116"/>
      <c r="I702" s="117" t="s">
        <v>261</v>
      </c>
      <c r="J702" s="117" t="s">
        <v>261</v>
      </c>
      <c r="K702" s="118"/>
      <c r="L702" s="119"/>
      <c r="M702" s="119"/>
      <c r="N702" s="120"/>
      <c r="O702" s="118"/>
      <c r="P702" s="118"/>
      <c r="Q702" s="118"/>
      <c r="R702" s="121">
        <v>0.67</v>
      </c>
      <c r="S702" s="122">
        <f>IFERROR(__xludf.DUMMYFUNCTION("((IFERROR(MIN(FILTER({K702, N702, Q702}, ISNUMBER({K702, N702, Q702}), {K702, N702, Q702} &gt; 0)), """"))*R702)+IFERROR(MIN(FILTER({K702, N702, Q702}, ISNUMBER({K702, N702, Q702}), {K702, N702, Q702} &gt; 0)), """")"),0.0)</f>
        <v>0</v>
      </c>
      <c r="T702" s="123" t="str">
        <f t="shared" si="1"/>
        <v>#DIV/0!</v>
      </c>
    </row>
    <row r="703">
      <c r="A703" s="113"/>
      <c r="B703" s="113"/>
      <c r="C703" s="113"/>
      <c r="D703" s="114"/>
      <c r="E703" s="113"/>
      <c r="F703" s="113"/>
      <c r="G703" s="115"/>
      <c r="H703" s="116"/>
      <c r="I703" s="117" t="s">
        <v>261</v>
      </c>
      <c r="J703" s="117" t="s">
        <v>261</v>
      </c>
      <c r="K703" s="118"/>
      <c r="L703" s="119"/>
      <c r="M703" s="119"/>
      <c r="N703" s="120"/>
      <c r="O703" s="118"/>
      <c r="P703" s="118"/>
      <c r="Q703" s="118"/>
      <c r="R703" s="121">
        <v>0.67</v>
      </c>
      <c r="S703" s="122">
        <f>IFERROR(__xludf.DUMMYFUNCTION("((IFERROR(MIN(FILTER({K703, N703, Q703}, ISNUMBER({K703, N703, Q703}), {K703, N703, Q703} &gt; 0)), """"))*R703)+IFERROR(MIN(FILTER({K703, N703, Q703}, ISNUMBER({K703, N703, Q703}), {K703, N703, Q703} &gt; 0)), """")"),0.0)</f>
        <v>0</v>
      </c>
      <c r="T703" s="123" t="str">
        <f t="shared" si="1"/>
        <v>#DIV/0!</v>
      </c>
    </row>
    <row r="704">
      <c r="A704" s="113"/>
      <c r="B704" s="113"/>
      <c r="C704" s="113"/>
      <c r="D704" s="114"/>
      <c r="E704" s="113"/>
      <c r="F704" s="113"/>
      <c r="G704" s="115"/>
      <c r="H704" s="116"/>
      <c r="I704" s="117" t="s">
        <v>261</v>
      </c>
      <c r="J704" s="117" t="s">
        <v>261</v>
      </c>
      <c r="K704" s="118"/>
      <c r="L704" s="119"/>
      <c r="M704" s="119"/>
      <c r="N704" s="120"/>
      <c r="O704" s="118"/>
      <c r="P704" s="118"/>
      <c r="Q704" s="118"/>
      <c r="R704" s="121">
        <v>0.67</v>
      </c>
      <c r="S704" s="122">
        <f>IFERROR(__xludf.DUMMYFUNCTION("((IFERROR(MIN(FILTER({K704, N704, Q704}, ISNUMBER({K704, N704, Q704}), {K704, N704, Q704} &gt; 0)), """"))*R704)+IFERROR(MIN(FILTER({K704, N704, Q704}, ISNUMBER({K704, N704, Q704}), {K704, N704, Q704} &gt; 0)), """")"),0.0)</f>
        <v>0</v>
      </c>
      <c r="T704" s="123" t="str">
        <f t="shared" si="1"/>
        <v>#DIV/0!</v>
      </c>
    </row>
    <row r="705">
      <c r="A705" s="113"/>
      <c r="B705" s="113"/>
      <c r="C705" s="113"/>
      <c r="D705" s="114"/>
      <c r="E705" s="113"/>
      <c r="F705" s="113"/>
      <c r="G705" s="115"/>
      <c r="H705" s="116"/>
      <c r="I705" s="117" t="s">
        <v>261</v>
      </c>
      <c r="J705" s="117" t="s">
        <v>261</v>
      </c>
      <c r="K705" s="118"/>
      <c r="L705" s="119"/>
      <c r="M705" s="119"/>
      <c r="N705" s="120"/>
      <c r="O705" s="118"/>
      <c r="P705" s="118"/>
      <c r="Q705" s="118"/>
      <c r="R705" s="121">
        <v>0.67</v>
      </c>
      <c r="S705" s="122">
        <f>IFERROR(__xludf.DUMMYFUNCTION("((IFERROR(MIN(FILTER({K705, N705, Q705}, ISNUMBER({K705, N705, Q705}), {K705, N705, Q705} &gt; 0)), """"))*R705)+IFERROR(MIN(FILTER({K705, N705, Q705}, ISNUMBER({K705, N705, Q705}), {K705, N705, Q705} &gt; 0)), """")"),0.0)</f>
        <v>0</v>
      </c>
      <c r="T705" s="123" t="str">
        <f t="shared" si="1"/>
        <v>#DIV/0!</v>
      </c>
    </row>
    <row r="706">
      <c r="A706" s="113"/>
      <c r="B706" s="113"/>
      <c r="C706" s="113"/>
      <c r="D706" s="114"/>
      <c r="E706" s="113"/>
      <c r="F706" s="113"/>
      <c r="G706" s="115"/>
      <c r="H706" s="116"/>
      <c r="I706" s="117" t="s">
        <v>261</v>
      </c>
      <c r="J706" s="117" t="s">
        <v>261</v>
      </c>
      <c r="K706" s="118"/>
      <c r="L706" s="119"/>
      <c r="M706" s="119"/>
      <c r="N706" s="120"/>
      <c r="O706" s="118"/>
      <c r="P706" s="118"/>
      <c r="Q706" s="118"/>
      <c r="R706" s="121">
        <v>0.67</v>
      </c>
      <c r="S706" s="122">
        <f>IFERROR(__xludf.DUMMYFUNCTION("((IFERROR(MIN(FILTER({K706, N706, Q706}, ISNUMBER({K706, N706, Q706}), {K706, N706, Q706} &gt; 0)), """"))*R706)+IFERROR(MIN(FILTER({K706, N706, Q706}, ISNUMBER({K706, N706, Q706}), {K706, N706, Q706} &gt; 0)), """")"),0.0)</f>
        <v>0</v>
      </c>
      <c r="T706" s="123" t="str">
        <f t="shared" si="1"/>
        <v>#DIV/0!</v>
      </c>
    </row>
    <row r="707">
      <c r="A707" s="113"/>
      <c r="B707" s="113"/>
      <c r="C707" s="113"/>
      <c r="D707" s="114"/>
      <c r="E707" s="113"/>
      <c r="F707" s="113"/>
      <c r="G707" s="115"/>
      <c r="H707" s="116"/>
      <c r="I707" s="117" t="s">
        <v>261</v>
      </c>
      <c r="J707" s="117" t="s">
        <v>261</v>
      </c>
      <c r="K707" s="118"/>
      <c r="L707" s="119"/>
      <c r="M707" s="119"/>
      <c r="N707" s="120"/>
      <c r="O707" s="118"/>
      <c r="P707" s="118"/>
      <c r="Q707" s="118"/>
      <c r="R707" s="121">
        <v>0.67</v>
      </c>
      <c r="S707" s="122">
        <f>IFERROR(__xludf.DUMMYFUNCTION("((IFERROR(MIN(FILTER({K707, N707, Q707}, ISNUMBER({K707, N707, Q707}), {K707, N707, Q707} &gt; 0)), """"))*R707)+IFERROR(MIN(FILTER({K707, N707, Q707}, ISNUMBER({K707, N707, Q707}), {K707, N707, Q707} &gt; 0)), """")"),0.0)</f>
        <v>0</v>
      </c>
      <c r="T707" s="123" t="str">
        <f t="shared" si="1"/>
        <v>#DIV/0!</v>
      </c>
    </row>
    <row r="708">
      <c r="A708" s="113"/>
      <c r="B708" s="113"/>
      <c r="C708" s="113"/>
      <c r="D708" s="114"/>
      <c r="E708" s="113"/>
      <c r="F708" s="113"/>
      <c r="G708" s="115"/>
      <c r="H708" s="116"/>
      <c r="I708" s="117" t="s">
        <v>261</v>
      </c>
      <c r="J708" s="117" t="s">
        <v>261</v>
      </c>
      <c r="K708" s="118"/>
      <c r="L708" s="119"/>
      <c r="M708" s="119"/>
      <c r="N708" s="120"/>
      <c r="O708" s="118"/>
      <c r="P708" s="118"/>
      <c r="Q708" s="118"/>
      <c r="R708" s="121">
        <v>0.67</v>
      </c>
      <c r="S708" s="122">
        <f>IFERROR(__xludf.DUMMYFUNCTION("((IFERROR(MIN(FILTER({K708, N708, Q708}, ISNUMBER({K708, N708, Q708}), {K708, N708, Q708} &gt; 0)), """"))*R708)+IFERROR(MIN(FILTER({K708, N708, Q708}, ISNUMBER({K708, N708, Q708}), {K708, N708, Q708} &gt; 0)), """")"),0.0)</f>
        <v>0</v>
      </c>
      <c r="T708" s="123" t="str">
        <f t="shared" si="1"/>
        <v>#DIV/0!</v>
      </c>
    </row>
    <row r="709">
      <c r="A709" s="113"/>
      <c r="B709" s="113"/>
      <c r="C709" s="113"/>
      <c r="D709" s="114"/>
      <c r="E709" s="113"/>
      <c r="F709" s="113"/>
      <c r="G709" s="115"/>
      <c r="H709" s="116"/>
      <c r="I709" s="117" t="s">
        <v>261</v>
      </c>
      <c r="J709" s="117" t="s">
        <v>261</v>
      </c>
      <c r="K709" s="118"/>
      <c r="L709" s="119"/>
      <c r="M709" s="119"/>
      <c r="N709" s="120"/>
      <c r="O709" s="118"/>
      <c r="P709" s="118"/>
      <c r="Q709" s="118"/>
      <c r="R709" s="121">
        <v>0.67</v>
      </c>
      <c r="S709" s="122">
        <f>IFERROR(__xludf.DUMMYFUNCTION("((IFERROR(MIN(FILTER({K709, N709, Q709}, ISNUMBER({K709, N709, Q709}), {K709, N709, Q709} &gt; 0)), """"))*R709)+IFERROR(MIN(FILTER({K709, N709, Q709}, ISNUMBER({K709, N709, Q709}), {K709, N709, Q709} &gt; 0)), """")"),0.0)</f>
        <v>0</v>
      </c>
      <c r="T709" s="123" t="str">
        <f t="shared" si="1"/>
        <v>#DIV/0!</v>
      </c>
    </row>
    <row r="710">
      <c r="A710" s="113"/>
      <c r="B710" s="113"/>
      <c r="C710" s="113"/>
      <c r="D710" s="114"/>
      <c r="E710" s="113"/>
      <c r="F710" s="113"/>
      <c r="G710" s="115"/>
      <c r="H710" s="116"/>
      <c r="I710" s="117" t="s">
        <v>261</v>
      </c>
      <c r="J710" s="117" t="s">
        <v>261</v>
      </c>
      <c r="K710" s="118"/>
      <c r="L710" s="119"/>
      <c r="M710" s="119"/>
      <c r="N710" s="120"/>
      <c r="O710" s="118"/>
      <c r="P710" s="118"/>
      <c r="Q710" s="118"/>
      <c r="R710" s="121">
        <v>0.67</v>
      </c>
      <c r="S710" s="122">
        <f>IFERROR(__xludf.DUMMYFUNCTION("((IFERROR(MIN(FILTER({K710, N710, Q710}, ISNUMBER({K710, N710, Q710}), {K710, N710, Q710} &gt; 0)), """"))*R710)+IFERROR(MIN(FILTER({K710, N710, Q710}, ISNUMBER({K710, N710, Q710}), {K710, N710, Q710} &gt; 0)), """")"),0.0)</f>
        <v>0</v>
      </c>
      <c r="T710" s="123" t="str">
        <f t="shared" si="1"/>
        <v>#DIV/0!</v>
      </c>
    </row>
    <row r="711">
      <c r="A711" s="113"/>
      <c r="B711" s="113"/>
      <c r="C711" s="113"/>
      <c r="D711" s="114"/>
      <c r="E711" s="113"/>
      <c r="F711" s="113"/>
      <c r="G711" s="115"/>
      <c r="H711" s="116"/>
      <c r="I711" s="117" t="s">
        <v>261</v>
      </c>
      <c r="J711" s="117" t="s">
        <v>261</v>
      </c>
      <c r="K711" s="118"/>
      <c r="L711" s="119"/>
      <c r="M711" s="119"/>
      <c r="N711" s="120"/>
      <c r="O711" s="118"/>
      <c r="P711" s="118"/>
      <c r="Q711" s="118"/>
      <c r="R711" s="121">
        <v>0.67</v>
      </c>
      <c r="S711" s="122">
        <f>IFERROR(__xludf.DUMMYFUNCTION("((IFERROR(MIN(FILTER({K711, N711, Q711}, ISNUMBER({K711, N711, Q711}), {K711, N711, Q711} &gt; 0)), """"))*R711)+IFERROR(MIN(FILTER({K711, N711, Q711}, ISNUMBER({K711, N711, Q711}), {K711, N711, Q711} &gt; 0)), """")"),0.0)</f>
        <v>0</v>
      </c>
      <c r="T711" s="123" t="str">
        <f t="shared" si="1"/>
        <v>#DIV/0!</v>
      </c>
    </row>
    <row r="712">
      <c r="A712" s="113"/>
      <c r="B712" s="113"/>
      <c r="C712" s="113"/>
      <c r="D712" s="114"/>
      <c r="E712" s="113"/>
      <c r="F712" s="113"/>
      <c r="G712" s="115"/>
      <c r="H712" s="116"/>
      <c r="I712" s="117" t="s">
        <v>261</v>
      </c>
      <c r="J712" s="117" t="s">
        <v>261</v>
      </c>
      <c r="K712" s="118"/>
      <c r="L712" s="119"/>
      <c r="M712" s="119"/>
      <c r="N712" s="120"/>
      <c r="O712" s="118"/>
      <c r="P712" s="118"/>
      <c r="Q712" s="118"/>
      <c r="R712" s="121">
        <v>0.67</v>
      </c>
      <c r="S712" s="122">
        <f>IFERROR(__xludf.DUMMYFUNCTION("((IFERROR(MIN(FILTER({K712, N712, Q712}, ISNUMBER({K712, N712, Q712}), {K712, N712, Q712} &gt; 0)), """"))*R712)+IFERROR(MIN(FILTER({K712, N712, Q712}, ISNUMBER({K712, N712, Q712}), {K712, N712, Q712} &gt; 0)), """")"),0.0)</f>
        <v>0</v>
      </c>
      <c r="T712" s="123" t="str">
        <f t="shared" si="1"/>
        <v>#DIV/0!</v>
      </c>
    </row>
    <row r="713">
      <c r="A713" s="113"/>
      <c r="B713" s="113"/>
      <c r="C713" s="113"/>
      <c r="D713" s="114"/>
      <c r="E713" s="113"/>
      <c r="F713" s="113"/>
      <c r="G713" s="115"/>
      <c r="H713" s="116"/>
      <c r="I713" s="117" t="s">
        <v>261</v>
      </c>
      <c r="J713" s="117" t="s">
        <v>261</v>
      </c>
      <c r="K713" s="118"/>
      <c r="L713" s="119"/>
      <c r="M713" s="119"/>
      <c r="N713" s="120"/>
      <c r="O713" s="118"/>
      <c r="P713" s="118"/>
      <c r="Q713" s="118"/>
      <c r="R713" s="121">
        <v>0.67</v>
      </c>
      <c r="S713" s="122">
        <f>IFERROR(__xludf.DUMMYFUNCTION("((IFERROR(MIN(FILTER({K713, N713, Q713}, ISNUMBER({K713, N713, Q713}), {K713, N713, Q713} &gt; 0)), """"))*R713)+IFERROR(MIN(FILTER({K713, N713, Q713}, ISNUMBER({K713, N713, Q713}), {K713, N713, Q713} &gt; 0)), """")"),0.0)</f>
        <v>0</v>
      </c>
      <c r="T713" s="123" t="str">
        <f t="shared" si="1"/>
        <v>#DIV/0!</v>
      </c>
    </row>
    <row r="714">
      <c r="A714" s="113"/>
      <c r="B714" s="113"/>
      <c r="C714" s="113"/>
      <c r="D714" s="114"/>
      <c r="E714" s="113"/>
      <c r="F714" s="113"/>
      <c r="G714" s="115"/>
      <c r="H714" s="116"/>
      <c r="I714" s="117" t="s">
        <v>261</v>
      </c>
      <c r="J714" s="117" t="s">
        <v>261</v>
      </c>
      <c r="K714" s="118"/>
      <c r="L714" s="119"/>
      <c r="M714" s="119"/>
      <c r="N714" s="120"/>
      <c r="O714" s="118"/>
      <c r="P714" s="118"/>
      <c r="Q714" s="118"/>
      <c r="R714" s="121">
        <v>0.67</v>
      </c>
      <c r="S714" s="122">
        <f>IFERROR(__xludf.DUMMYFUNCTION("((IFERROR(MIN(FILTER({K714, N714, Q714}, ISNUMBER({K714, N714, Q714}), {K714, N714, Q714} &gt; 0)), """"))*R714)+IFERROR(MIN(FILTER({K714, N714, Q714}, ISNUMBER({K714, N714, Q714}), {K714, N714, Q714} &gt; 0)), """")"),0.0)</f>
        <v>0</v>
      </c>
      <c r="T714" s="123" t="str">
        <f t="shared" si="1"/>
        <v>#DIV/0!</v>
      </c>
    </row>
    <row r="715">
      <c r="A715" s="113"/>
      <c r="B715" s="113"/>
      <c r="C715" s="113"/>
      <c r="D715" s="114"/>
      <c r="E715" s="113"/>
      <c r="F715" s="113"/>
      <c r="G715" s="115"/>
      <c r="H715" s="116"/>
      <c r="I715" s="117" t="s">
        <v>261</v>
      </c>
      <c r="J715" s="117" t="s">
        <v>261</v>
      </c>
      <c r="K715" s="118"/>
      <c r="L715" s="119"/>
      <c r="M715" s="119"/>
      <c r="N715" s="120"/>
      <c r="O715" s="118"/>
      <c r="P715" s="118"/>
      <c r="Q715" s="118"/>
      <c r="R715" s="121">
        <v>0.67</v>
      </c>
      <c r="S715" s="122">
        <f>IFERROR(__xludf.DUMMYFUNCTION("((IFERROR(MIN(FILTER({K715, N715, Q715}, ISNUMBER({K715, N715, Q715}), {K715, N715, Q715} &gt; 0)), """"))*R715)+IFERROR(MIN(FILTER({K715, N715, Q715}, ISNUMBER({K715, N715, Q715}), {K715, N715, Q715} &gt; 0)), """")"),0.0)</f>
        <v>0</v>
      </c>
      <c r="T715" s="123" t="str">
        <f t="shared" si="1"/>
        <v>#DIV/0!</v>
      </c>
    </row>
    <row r="716">
      <c r="A716" s="113"/>
      <c r="B716" s="113"/>
      <c r="C716" s="113"/>
      <c r="D716" s="114"/>
      <c r="E716" s="113"/>
      <c r="F716" s="113"/>
      <c r="G716" s="115"/>
      <c r="H716" s="116"/>
      <c r="I716" s="117" t="s">
        <v>261</v>
      </c>
      <c r="J716" s="117" t="s">
        <v>261</v>
      </c>
      <c r="K716" s="118"/>
      <c r="L716" s="119"/>
      <c r="M716" s="119"/>
      <c r="N716" s="120"/>
      <c r="O716" s="118"/>
      <c r="P716" s="118"/>
      <c r="Q716" s="118"/>
      <c r="R716" s="121">
        <v>0.67</v>
      </c>
      <c r="S716" s="122">
        <f>IFERROR(__xludf.DUMMYFUNCTION("((IFERROR(MIN(FILTER({K716, N716, Q716}, ISNUMBER({K716, N716, Q716}), {K716, N716, Q716} &gt; 0)), """"))*R716)+IFERROR(MIN(FILTER({K716, N716, Q716}, ISNUMBER({K716, N716, Q716}), {K716, N716, Q716} &gt; 0)), """")"),0.0)</f>
        <v>0</v>
      </c>
      <c r="T716" s="123" t="str">
        <f t="shared" si="1"/>
        <v>#DIV/0!</v>
      </c>
    </row>
    <row r="717">
      <c r="A717" s="113"/>
      <c r="B717" s="113"/>
      <c r="C717" s="113"/>
      <c r="D717" s="114"/>
      <c r="E717" s="113"/>
      <c r="F717" s="113"/>
      <c r="G717" s="115"/>
      <c r="H717" s="116"/>
      <c r="I717" s="117" t="s">
        <v>261</v>
      </c>
      <c r="J717" s="117" t="s">
        <v>261</v>
      </c>
      <c r="K717" s="118"/>
      <c r="L717" s="119"/>
      <c r="M717" s="119"/>
      <c r="N717" s="120"/>
      <c r="O717" s="118"/>
      <c r="P717" s="118"/>
      <c r="Q717" s="118"/>
      <c r="R717" s="121">
        <v>0.67</v>
      </c>
      <c r="S717" s="122">
        <f>IFERROR(__xludf.DUMMYFUNCTION("((IFERROR(MIN(FILTER({K717, N717, Q717}, ISNUMBER({K717, N717, Q717}), {K717, N717, Q717} &gt; 0)), """"))*R717)+IFERROR(MIN(FILTER({K717, N717, Q717}, ISNUMBER({K717, N717, Q717}), {K717, N717, Q717} &gt; 0)), """")"),0.0)</f>
        <v>0</v>
      </c>
      <c r="T717" s="123" t="str">
        <f t="shared" si="1"/>
        <v>#DIV/0!</v>
      </c>
    </row>
    <row r="718">
      <c r="A718" s="113"/>
      <c r="B718" s="113"/>
      <c r="C718" s="113"/>
      <c r="D718" s="114"/>
      <c r="E718" s="113"/>
      <c r="F718" s="113"/>
      <c r="G718" s="115"/>
      <c r="H718" s="116"/>
      <c r="I718" s="117" t="s">
        <v>261</v>
      </c>
      <c r="J718" s="117" t="s">
        <v>261</v>
      </c>
      <c r="K718" s="118"/>
      <c r="L718" s="119"/>
      <c r="M718" s="119"/>
      <c r="N718" s="120"/>
      <c r="O718" s="118"/>
      <c r="P718" s="118"/>
      <c r="Q718" s="118"/>
      <c r="R718" s="121">
        <v>0.67</v>
      </c>
      <c r="S718" s="122">
        <f>IFERROR(__xludf.DUMMYFUNCTION("((IFERROR(MIN(FILTER({K718, N718, Q718}, ISNUMBER({K718, N718, Q718}), {K718, N718, Q718} &gt; 0)), """"))*R718)+IFERROR(MIN(FILTER({K718, N718, Q718}, ISNUMBER({K718, N718, Q718}), {K718, N718, Q718} &gt; 0)), """")"),0.0)</f>
        <v>0</v>
      </c>
      <c r="T718" s="123" t="str">
        <f t="shared" si="1"/>
        <v>#DIV/0!</v>
      </c>
    </row>
    <row r="719">
      <c r="A719" s="113"/>
      <c r="B719" s="113"/>
      <c r="C719" s="113"/>
      <c r="D719" s="114"/>
      <c r="E719" s="113"/>
      <c r="F719" s="113"/>
      <c r="G719" s="115"/>
      <c r="H719" s="116"/>
      <c r="I719" s="117" t="s">
        <v>261</v>
      </c>
      <c r="J719" s="117" t="s">
        <v>261</v>
      </c>
      <c r="K719" s="118"/>
      <c r="L719" s="119"/>
      <c r="M719" s="119"/>
      <c r="N719" s="120"/>
      <c r="O719" s="118"/>
      <c r="P719" s="118"/>
      <c r="Q719" s="118"/>
      <c r="R719" s="121">
        <v>0.67</v>
      </c>
      <c r="S719" s="122">
        <f>IFERROR(__xludf.DUMMYFUNCTION("((IFERROR(MIN(FILTER({K719, N719, Q719}, ISNUMBER({K719, N719, Q719}), {K719, N719, Q719} &gt; 0)), """"))*R719)+IFERROR(MIN(FILTER({K719, N719, Q719}, ISNUMBER({K719, N719, Q719}), {K719, N719, Q719} &gt; 0)), """")"),0.0)</f>
        <v>0</v>
      </c>
      <c r="T719" s="123" t="str">
        <f t="shared" si="1"/>
        <v>#DIV/0!</v>
      </c>
    </row>
    <row r="720">
      <c r="A720" s="113"/>
      <c r="B720" s="113"/>
      <c r="C720" s="113"/>
      <c r="D720" s="114"/>
      <c r="E720" s="113"/>
      <c r="F720" s="113"/>
      <c r="G720" s="115"/>
      <c r="H720" s="116"/>
      <c r="I720" s="117" t="s">
        <v>261</v>
      </c>
      <c r="J720" s="117" t="s">
        <v>261</v>
      </c>
      <c r="K720" s="118"/>
      <c r="L720" s="119"/>
      <c r="M720" s="119"/>
      <c r="N720" s="120"/>
      <c r="O720" s="118"/>
      <c r="P720" s="118"/>
      <c r="Q720" s="118"/>
      <c r="R720" s="121">
        <v>0.67</v>
      </c>
      <c r="S720" s="122">
        <f>IFERROR(__xludf.DUMMYFUNCTION("((IFERROR(MIN(FILTER({K720, N720, Q720}, ISNUMBER({K720, N720, Q720}), {K720, N720, Q720} &gt; 0)), """"))*R720)+IFERROR(MIN(FILTER({K720, N720, Q720}, ISNUMBER({K720, N720, Q720}), {K720, N720, Q720} &gt; 0)), """")"),0.0)</f>
        <v>0</v>
      </c>
      <c r="T720" s="123" t="str">
        <f t="shared" si="1"/>
        <v>#DIV/0!</v>
      </c>
    </row>
    <row r="721">
      <c r="A721" s="113"/>
      <c r="B721" s="113"/>
      <c r="C721" s="113"/>
      <c r="D721" s="114"/>
      <c r="E721" s="113"/>
      <c r="F721" s="113"/>
      <c r="G721" s="115"/>
      <c r="H721" s="116"/>
      <c r="I721" s="117" t="s">
        <v>261</v>
      </c>
      <c r="J721" s="117" t="s">
        <v>261</v>
      </c>
      <c r="K721" s="118"/>
      <c r="L721" s="119"/>
      <c r="M721" s="119"/>
      <c r="N721" s="120"/>
      <c r="O721" s="118"/>
      <c r="P721" s="118"/>
      <c r="Q721" s="118"/>
      <c r="R721" s="121">
        <v>0.67</v>
      </c>
      <c r="S721" s="122">
        <f>IFERROR(__xludf.DUMMYFUNCTION("((IFERROR(MIN(FILTER({K721, N721, Q721}, ISNUMBER({K721, N721, Q721}), {K721, N721, Q721} &gt; 0)), """"))*R721)+IFERROR(MIN(FILTER({K721, N721, Q721}, ISNUMBER({K721, N721, Q721}), {K721, N721, Q721} &gt; 0)), """")"),0.0)</f>
        <v>0</v>
      </c>
      <c r="T721" s="123" t="str">
        <f t="shared" si="1"/>
        <v>#DIV/0!</v>
      </c>
    </row>
    <row r="722">
      <c r="A722" s="113"/>
      <c r="B722" s="113"/>
      <c r="C722" s="113"/>
      <c r="D722" s="114"/>
      <c r="E722" s="113"/>
      <c r="F722" s="113"/>
      <c r="G722" s="115"/>
      <c r="H722" s="116"/>
      <c r="I722" s="117" t="s">
        <v>261</v>
      </c>
      <c r="J722" s="117" t="s">
        <v>261</v>
      </c>
      <c r="K722" s="118"/>
      <c r="L722" s="119"/>
      <c r="M722" s="119"/>
      <c r="N722" s="120"/>
      <c r="O722" s="118"/>
      <c r="P722" s="118"/>
      <c r="Q722" s="118"/>
      <c r="R722" s="121">
        <v>0.67</v>
      </c>
      <c r="S722" s="122">
        <f>IFERROR(__xludf.DUMMYFUNCTION("((IFERROR(MIN(FILTER({K722, N722, Q722}, ISNUMBER({K722, N722, Q722}), {K722, N722, Q722} &gt; 0)), """"))*R722)+IFERROR(MIN(FILTER({K722, N722, Q722}, ISNUMBER({K722, N722, Q722}), {K722, N722, Q722} &gt; 0)), """")"),0.0)</f>
        <v>0</v>
      </c>
      <c r="T722" s="123" t="str">
        <f t="shared" si="1"/>
        <v>#DIV/0!</v>
      </c>
    </row>
    <row r="723">
      <c r="A723" s="113"/>
      <c r="B723" s="113"/>
      <c r="C723" s="113"/>
      <c r="D723" s="114"/>
      <c r="E723" s="113"/>
      <c r="F723" s="113"/>
      <c r="G723" s="115"/>
      <c r="H723" s="116"/>
      <c r="I723" s="117" t="s">
        <v>261</v>
      </c>
      <c r="J723" s="117" t="s">
        <v>261</v>
      </c>
      <c r="K723" s="118"/>
      <c r="L723" s="119"/>
      <c r="M723" s="119"/>
      <c r="N723" s="120"/>
      <c r="O723" s="118"/>
      <c r="P723" s="118"/>
      <c r="Q723" s="118"/>
      <c r="R723" s="121">
        <v>0.67</v>
      </c>
      <c r="S723" s="122">
        <f>IFERROR(__xludf.DUMMYFUNCTION("((IFERROR(MIN(FILTER({K723, N723, Q723}, ISNUMBER({K723, N723, Q723}), {K723, N723, Q723} &gt; 0)), """"))*R723)+IFERROR(MIN(FILTER({K723, N723, Q723}, ISNUMBER({K723, N723, Q723}), {K723, N723, Q723} &gt; 0)), """")"),0.0)</f>
        <v>0</v>
      </c>
      <c r="T723" s="123" t="str">
        <f t="shared" si="1"/>
        <v>#DIV/0!</v>
      </c>
    </row>
    <row r="724">
      <c r="A724" s="113"/>
      <c r="B724" s="113"/>
      <c r="C724" s="113"/>
      <c r="D724" s="114"/>
      <c r="E724" s="113"/>
      <c r="F724" s="113"/>
      <c r="G724" s="115"/>
      <c r="H724" s="116"/>
      <c r="I724" s="117" t="s">
        <v>261</v>
      </c>
      <c r="J724" s="117" t="s">
        <v>261</v>
      </c>
      <c r="K724" s="118"/>
      <c r="L724" s="119"/>
      <c r="M724" s="119"/>
      <c r="N724" s="120"/>
      <c r="O724" s="118"/>
      <c r="P724" s="118"/>
      <c r="Q724" s="118"/>
      <c r="R724" s="121">
        <v>0.67</v>
      </c>
      <c r="S724" s="122">
        <f>IFERROR(__xludf.DUMMYFUNCTION("((IFERROR(MIN(FILTER({K724, N724, Q724}, ISNUMBER({K724, N724, Q724}), {K724, N724, Q724} &gt; 0)), """"))*R724)+IFERROR(MIN(FILTER({K724, N724, Q724}, ISNUMBER({K724, N724, Q724}), {K724, N724, Q724} &gt; 0)), """")"),0.0)</f>
        <v>0</v>
      </c>
      <c r="T724" s="123" t="str">
        <f t="shared" si="1"/>
        <v>#DIV/0!</v>
      </c>
    </row>
    <row r="725">
      <c r="A725" s="113"/>
      <c r="B725" s="113"/>
      <c r="C725" s="113"/>
      <c r="D725" s="114"/>
      <c r="E725" s="113"/>
      <c r="F725" s="113"/>
      <c r="G725" s="115"/>
      <c r="H725" s="116"/>
      <c r="I725" s="117" t="s">
        <v>261</v>
      </c>
      <c r="J725" s="117" t="s">
        <v>261</v>
      </c>
      <c r="K725" s="118"/>
      <c r="L725" s="119"/>
      <c r="M725" s="119"/>
      <c r="N725" s="120"/>
      <c r="O725" s="118"/>
      <c r="P725" s="118"/>
      <c r="Q725" s="118"/>
      <c r="R725" s="121">
        <v>0.67</v>
      </c>
      <c r="S725" s="122">
        <f>IFERROR(__xludf.DUMMYFUNCTION("((IFERROR(MIN(FILTER({K725, N725, Q725}, ISNUMBER({K725, N725, Q725}), {K725, N725, Q725} &gt; 0)), """"))*R725)+IFERROR(MIN(FILTER({K725, N725, Q725}, ISNUMBER({K725, N725, Q725}), {K725, N725, Q725} &gt; 0)), """")"),0.0)</f>
        <v>0</v>
      </c>
      <c r="T725" s="123" t="str">
        <f t="shared" si="1"/>
        <v>#DIV/0!</v>
      </c>
    </row>
    <row r="726">
      <c r="A726" s="113"/>
      <c r="B726" s="113"/>
      <c r="C726" s="113"/>
      <c r="D726" s="114"/>
      <c r="E726" s="113"/>
      <c r="F726" s="113"/>
      <c r="G726" s="115"/>
      <c r="H726" s="116"/>
      <c r="I726" s="117" t="s">
        <v>261</v>
      </c>
      <c r="J726" s="117" t="s">
        <v>261</v>
      </c>
      <c r="K726" s="118"/>
      <c r="L726" s="119"/>
      <c r="M726" s="119"/>
      <c r="N726" s="120"/>
      <c r="O726" s="118"/>
      <c r="P726" s="118"/>
      <c r="Q726" s="118"/>
      <c r="R726" s="121">
        <v>0.67</v>
      </c>
      <c r="S726" s="122">
        <f>IFERROR(__xludf.DUMMYFUNCTION("((IFERROR(MIN(FILTER({K726, N726, Q726}, ISNUMBER({K726, N726, Q726}), {K726, N726, Q726} &gt; 0)), """"))*R726)+IFERROR(MIN(FILTER({K726, N726, Q726}, ISNUMBER({K726, N726, Q726}), {K726, N726, Q726} &gt; 0)), """")"),0.0)</f>
        <v>0</v>
      </c>
      <c r="T726" s="123" t="str">
        <f t="shared" si="1"/>
        <v>#DIV/0!</v>
      </c>
    </row>
    <row r="727">
      <c r="A727" s="113"/>
      <c r="B727" s="113"/>
      <c r="C727" s="113"/>
      <c r="D727" s="114"/>
      <c r="E727" s="113"/>
      <c r="F727" s="113"/>
      <c r="G727" s="115"/>
      <c r="H727" s="116"/>
      <c r="I727" s="117" t="s">
        <v>261</v>
      </c>
      <c r="J727" s="117" t="s">
        <v>261</v>
      </c>
      <c r="K727" s="118"/>
      <c r="L727" s="119"/>
      <c r="M727" s="119"/>
      <c r="N727" s="120"/>
      <c r="O727" s="118"/>
      <c r="P727" s="118"/>
      <c r="Q727" s="118"/>
      <c r="R727" s="121">
        <v>0.67</v>
      </c>
      <c r="S727" s="122">
        <f>IFERROR(__xludf.DUMMYFUNCTION("((IFERROR(MIN(FILTER({K727, N727, Q727}, ISNUMBER({K727, N727, Q727}), {K727, N727, Q727} &gt; 0)), """"))*R727)+IFERROR(MIN(FILTER({K727, N727, Q727}, ISNUMBER({K727, N727, Q727}), {K727, N727, Q727} &gt; 0)), """")"),0.0)</f>
        <v>0</v>
      </c>
      <c r="T727" s="123" t="str">
        <f t="shared" si="1"/>
        <v>#DIV/0!</v>
      </c>
    </row>
    <row r="728">
      <c r="A728" s="113"/>
      <c r="B728" s="113"/>
      <c r="C728" s="113"/>
      <c r="D728" s="114"/>
      <c r="E728" s="113"/>
      <c r="F728" s="113"/>
      <c r="G728" s="115"/>
      <c r="H728" s="116"/>
      <c r="I728" s="117" t="s">
        <v>261</v>
      </c>
      <c r="J728" s="117" t="s">
        <v>261</v>
      </c>
      <c r="K728" s="118"/>
      <c r="L728" s="119"/>
      <c r="M728" s="119"/>
      <c r="N728" s="120"/>
      <c r="O728" s="118"/>
      <c r="P728" s="118"/>
      <c r="Q728" s="118"/>
      <c r="R728" s="121">
        <v>0.67</v>
      </c>
      <c r="S728" s="122">
        <f>IFERROR(__xludf.DUMMYFUNCTION("((IFERROR(MIN(FILTER({K728, N728, Q728}, ISNUMBER({K728, N728, Q728}), {K728, N728, Q728} &gt; 0)), """"))*R728)+IFERROR(MIN(FILTER({K728, N728, Q728}, ISNUMBER({K728, N728, Q728}), {K728, N728, Q728} &gt; 0)), """")"),0.0)</f>
        <v>0</v>
      </c>
      <c r="T728" s="123" t="str">
        <f t="shared" si="1"/>
        <v>#DIV/0!</v>
      </c>
    </row>
    <row r="729">
      <c r="A729" s="113"/>
      <c r="B729" s="113"/>
      <c r="C729" s="113"/>
      <c r="D729" s="114"/>
      <c r="E729" s="113"/>
      <c r="F729" s="113"/>
      <c r="G729" s="115"/>
      <c r="H729" s="116"/>
      <c r="I729" s="117" t="s">
        <v>261</v>
      </c>
      <c r="J729" s="117" t="s">
        <v>261</v>
      </c>
      <c r="K729" s="118"/>
      <c r="L729" s="119"/>
      <c r="M729" s="119"/>
      <c r="N729" s="120"/>
      <c r="O729" s="118"/>
      <c r="P729" s="118"/>
      <c r="Q729" s="118"/>
      <c r="R729" s="121">
        <v>0.67</v>
      </c>
      <c r="S729" s="122">
        <f>IFERROR(__xludf.DUMMYFUNCTION("((IFERROR(MIN(FILTER({K729, N729, Q729}, ISNUMBER({K729, N729, Q729}), {K729, N729, Q729} &gt; 0)), """"))*R729)+IFERROR(MIN(FILTER({K729, N729, Q729}, ISNUMBER({K729, N729, Q729}), {K729, N729, Q729} &gt; 0)), """")"),0.0)</f>
        <v>0</v>
      </c>
      <c r="T729" s="123" t="str">
        <f t="shared" si="1"/>
        <v>#DIV/0!</v>
      </c>
    </row>
    <row r="730">
      <c r="A730" s="113"/>
      <c r="B730" s="113"/>
      <c r="C730" s="113"/>
      <c r="D730" s="114"/>
      <c r="E730" s="113"/>
      <c r="F730" s="113"/>
      <c r="G730" s="115"/>
      <c r="H730" s="116"/>
      <c r="I730" s="117" t="s">
        <v>261</v>
      </c>
      <c r="J730" s="117" t="s">
        <v>261</v>
      </c>
      <c r="K730" s="118"/>
      <c r="L730" s="119"/>
      <c r="M730" s="119"/>
      <c r="N730" s="120"/>
      <c r="O730" s="118"/>
      <c r="P730" s="118"/>
      <c r="Q730" s="118"/>
      <c r="R730" s="121">
        <v>0.67</v>
      </c>
      <c r="S730" s="122">
        <f>IFERROR(__xludf.DUMMYFUNCTION("((IFERROR(MIN(FILTER({K730, N730, Q730}, ISNUMBER({K730, N730, Q730}), {K730, N730, Q730} &gt; 0)), """"))*R730)+IFERROR(MIN(FILTER({K730, N730, Q730}, ISNUMBER({K730, N730, Q730}), {K730, N730, Q730} &gt; 0)), """")"),0.0)</f>
        <v>0</v>
      </c>
      <c r="T730" s="123" t="str">
        <f t="shared" si="1"/>
        <v>#DIV/0!</v>
      </c>
    </row>
    <row r="731">
      <c r="A731" s="113"/>
      <c r="B731" s="113"/>
      <c r="C731" s="113"/>
      <c r="D731" s="114"/>
      <c r="E731" s="113"/>
      <c r="F731" s="113"/>
      <c r="G731" s="115"/>
      <c r="H731" s="116"/>
      <c r="I731" s="117" t="s">
        <v>261</v>
      </c>
      <c r="J731" s="117" t="s">
        <v>261</v>
      </c>
      <c r="K731" s="118"/>
      <c r="L731" s="119"/>
      <c r="M731" s="119"/>
      <c r="N731" s="120"/>
      <c r="O731" s="118"/>
      <c r="P731" s="118"/>
      <c r="Q731" s="118"/>
      <c r="R731" s="121">
        <v>0.67</v>
      </c>
      <c r="S731" s="122">
        <f>IFERROR(__xludf.DUMMYFUNCTION("((IFERROR(MIN(FILTER({K731, N731, Q731}, ISNUMBER({K731, N731, Q731}), {K731, N731, Q731} &gt; 0)), """"))*R731)+IFERROR(MIN(FILTER({K731, N731, Q731}, ISNUMBER({K731, N731, Q731}), {K731, N731, Q731} &gt; 0)), """")"),0.0)</f>
        <v>0</v>
      </c>
      <c r="T731" s="123" t="str">
        <f t="shared" si="1"/>
        <v>#DIV/0!</v>
      </c>
    </row>
    <row r="732">
      <c r="A732" s="113"/>
      <c r="B732" s="113"/>
      <c r="C732" s="113"/>
      <c r="D732" s="114"/>
      <c r="E732" s="113"/>
      <c r="F732" s="113"/>
      <c r="G732" s="115"/>
      <c r="H732" s="116"/>
      <c r="I732" s="117" t="s">
        <v>261</v>
      </c>
      <c r="J732" s="117" t="s">
        <v>261</v>
      </c>
      <c r="K732" s="118"/>
      <c r="L732" s="119"/>
      <c r="M732" s="119"/>
      <c r="N732" s="120"/>
      <c r="O732" s="118"/>
      <c r="P732" s="118"/>
      <c r="Q732" s="118"/>
      <c r="R732" s="121">
        <v>0.67</v>
      </c>
      <c r="S732" s="122">
        <f>IFERROR(__xludf.DUMMYFUNCTION("((IFERROR(MIN(FILTER({K732, N732, Q732}, ISNUMBER({K732, N732, Q732}), {K732, N732, Q732} &gt; 0)), """"))*R732)+IFERROR(MIN(FILTER({K732, N732, Q732}, ISNUMBER({K732, N732, Q732}), {K732, N732, Q732} &gt; 0)), """")"),0.0)</f>
        <v>0</v>
      </c>
      <c r="T732" s="123" t="str">
        <f t="shared" si="1"/>
        <v>#DIV/0!</v>
      </c>
    </row>
    <row r="733">
      <c r="A733" s="113"/>
      <c r="B733" s="113"/>
      <c r="C733" s="113"/>
      <c r="D733" s="114"/>
      <c r="E733" s="113"/>
      <c r="F733" s="113"/>
      <c r="G733" s="115"/>
      <c r="H733" s="116"/>
      <c r="I733" s="117" t="s">
        <v>261</v>
      </c>
      <c r="J733" s="117" t="s">
        <v>261</v>
      </c>
      <c r="K733" s="118"/>
      <c r="L733" s="119"/>
      <c r="M733" s="119"/>
      <c r="N733" s="120"/>
      <c r="O733" s="118"/>
      <c r="P733" s="118"/>
      <c r="Q733" s="118"/>
      <c r="R733" s="121">
        <v>0.67</v>
      </c>
      <c r="S733" s="122">
        <f>IFERROR(__xludf.DUMMYFUNCTION("((IFERROR(MIN(FILTER({K733, N733, Q733}, ISNUMBER({K733, N733, Q733}), {K733, N733, Q733} &gt; 0)), """"))*R733)+IFERROR(MIN(FILTER({K733, N733, Q733}, ISNUMBER({K733, N733, Q733}), {K733, N733, Q733} &gt; 0)), """")"),0.0)</f>
        <v>0</v>
      </c>
      <c r="T733" s="123" t="str">
        <f t="shared" si="1"/>
        <v>#DIV/0!</v>
      </c>
    </row>
    <row r="734">
      <c r="A734" s="113"/>
      <c r="B734" s="113"/>
      <c r="C734" s="113"/>
      <c r="D734" s="114"/>
      <c r="E734" s="113"/>
      <c r="F734" s="113"/>
      <c r="G734" s="115"/>
      <c r="H734" s="116"/>
      <c r="I734" s="117" t="s">
        <v>261</v>
      </c>
      <c r="J734" s="117" t="s">
        <v>261</v>
      </c>
      <c r="K734" s="118"/>
      <c r="L734" s="119"/>
      <c r="M734" s="119"/>
      <c r="N734" s="120"/>
      <c r="O734" s="118"/>
      <c r="P734" s="118"/>
      <c r="Q734" s="118"/>
      <c r="R734" s="121">
        <v>0.67</v>
      </c>
      <c r="S734" s="122">
        <f>IFERROR(__xludf.DUMMYFUNCTION("((IFERROR(MIN(FILTER({K734, N734, Q734}, ISNUMBER({K734, N734, Q734}), {K734, N734, Q734} &gt; 0)), """"))*R734)+IFERROR(MIN(FILTER({K734, N734, Q734}, ISNUMBER({K734, N734, Q734}), {K734, N734, Q734} &gt; 0)), """")"),0.0)</f>
        <v>0</v>
      </c>
      <c r="T734" s="123" t="str">
        <f t="shared" si="1"/>
        <v>#DIV/0!</v>
      </c>
    </row>
    <row r="735">
      <c r="A735" s="113"/>
      <c r="B735" s="113"/>
      <c r="C735" s="113"/>
      <c r="D735" s="114"/>
      <c r="E735" s="113"/>
      <c r="F735" s="113"/>
      <c r="G735" s="115"/>
      <c r="H735" s="116"/>
      <c r="I735" s="117" t="s">
        <v>261</v>
      </c>
      <c r="J735" s="117" t="s">
        <v>261</v>
      </c>
      <c r="K735" s="118"/>
      <c r="L735" s="119"/>
      <c r="M735" s="119"/>
      <c r="N735" s="120"/>
      <c r="O735" s="118"/>
      <c r="P735" s="118"/>
      <c r="Q735" s="118"/>
      <c r="R735" s="121">
        <v>0.67</v>
      </c>
      <c r="S735" s="122">
        <f>IFERROR(__xludf.DUMMYFUNCTION("((IFERROR(MIN(FILTER({K735, N735, Q735}, ISNUMBER({K735, N735, Q735}), {K735, N735, Q735} &gt; 0)), """"))*R735)+IFERROR(MIN(FILTER({K735, N735, Q735}, ISNUMBER({K735, N735, Q735}), {K735, N735, Q735} &gt; 0)), """")"),0.0)</f>
        <v>0</v>
      </c>
      <c r="T735" s="123" t="str">
        <f t="shared" si="1"/>
        <v>#DIV/0!</v>
      </c>
    </row>
    <row r="736">
      <c r="A736" s="113"/>
      <c r="B736" s="113"/>
      <c r="C736" s="113"/>
      <c r="D736" s="114"/>
      <c r="E736" s="113"/>
      <c r="F736" s="113"/>
      <c r="G736" s="115"/>
      <c r="H736" s="116"/>
      <c r="I736" s="117" t="s">
        <v>261</v>
      </c>
      <c r="J736" s="117" t="s">
        <v>261</v>
      </c>
      <c r="K736" s="118"/>
      <c r="L736" s="119"/>
      <c r="M736" s="119"/>
      <c r="N736" s="120"/>
      <c r="O736" s="118"/>
      <c r="P736" s="118"/>
      <c r="Q736" s="118"/>
      <c r="R736" s="121">
        <v>0.67</v>
      </c>
      <c r="S736" s="122">
        <f>IFERROR(__xludf.DUMMYFUNCTION("((IFERROR(MIN(FILTER({K736, N736, Q736}, ISNUMBER({K736, N736, Q736}), {K736, N736, Q736} &gt; 0)), """"))*R736)+IFERROR(MIN(FILTER({K736, N736, Q736}, ISNUMBER({K736, N736, Q736}), {K736, N736, Q736} &gt; 0)), """")"),0.0)</f>
        <v>0</v>
      </c>
      <c r="T736" s="123" t="str">
        <f t="shared" si="1"/>
        <v>#DIV/0!</v>
      </c>
    </row>
    <row r="737">
      <c r="A737" s="113"/>
      <c r="B737" s="113"/>
      <c r="C737" s="113"/>
      <c r="D737" s="114"/>
      <c r="E737" s="113"/>
      <c r="F737" s="113"/>
      <c r="G737" s="115"/>
      <c r="H737" s="116"/>
      <c r="I737" s="117" t="s">
        <v>261</v>
      </c>
      <c r="J737" s="117" t="s">
        <v>261</v>
      </c>
      <c r="K737" s="118"/>
      <c r="L737" s="119"/>
      <c r="M737" s="119"/>
      <c r="N737" s="120"/>
      <c r="O737" s="118"/>
      <c r="P737" s="118"/>
      <c r="Q737" s="118"/>
      <c r="R737" s="121">
        <v>0.67</v>
      </c>
      <c r="S737" s="122">
        <f>IFERROR(__xludf.DUMMYFUNCTION("((IFERROR(MIN(FILTER({K737, N737, Q737}, ISNUMBER({K737, N737, Q737}), {K737, N737, Q737} &gt; 0)), """"))*R737)+IFERROR(MIN(FILTER({K737, N737, Q737}, ISNUMBER({K737, N737, Q737}), {K737, N737, Q737} &gt; 0)), """")"),0.0)</f>
        <v>0</v>
      </c>
      <c r="T737" s="123" t="str">
        <f t="shared" si="1"/>
        <v>#DIV/0!</v>
      </c>
    </row>
    <row r="738">
      <c r="A738" s="113"/>
      <c r="B738" s="113"/>
      <c r="C738" s="113"/>
      <c r="D738" s="114"/>
      <c r="E738" s="113"/>
      <c r="F738" s="113"/>
      <c r="G738" s="115"/>
      <c r="H738" s="116"/>
      <c r="I738" s="117" t="s">
        <v>261</v>
      </c>
      <c r="J738" s="117" t="s">
        <v>261</v>
      </c>
      <c r="K738" s="118"/>
      <c r="L738" s="119"/>
      <c r="M738" s="119"/>
      <c r="N738" s="120"/>
      <c r="O738" s="118"/>
      <c r="P738" s="118"/>
      <c r="Q738" s="118"/>
      <c r="R738" s="121">
        <v>0.67</v>
      </c>
      <c r="S738" s="122">
        <f>IFERROR(__xludf.DUMMYFUNCTION("((IFERROR(MIN(FILTER({K738, N738, Q738}, ISNUMBER({K738, N738, Q738}), {K738, N738, Q738} &gt; 0)), """"))*R738)+IFERROR(MIN(FILTER({K738, N738, Q738}, ISNUMBER({K738, N738, Q738}), {K738, N738, Q738} &gt; 0)), """")"),0.0)</f>
        <v>0</v>
      </c>
      <c r="T738" s="123" t="str">
        <f t="shared" si="1"/>
        <v>#DIV/0!</v>
      </c>
    </row>
    <row r="739">
      <c r="A739" s="113"/>
      <c r="B739" s="113"/>
      <c r="C739" s="113"/>
      <c r="D739" s="114"/>
      <c r="E739" s="113"/>
      <c r="F739" s="113"/>
      <c r="G739" s="115"/>
      <c r="H739" s="116"/>
      <c r="I739" s="117" t="s">
        <v>261</v>
      </c>
      <c r="J739" s="117" t="s">
        <v>261</v>
      </c>
      <c r="K739" s="118"/>
      <c r="L739" s="119"/>
      <c r="M739" s="119"/>
      <c r="N739" s="120"/>
      <c r="O739" s="118"/>
      <c r="P739" s="118"/>
      <c r="Q739" s="118"/>
      <c r="R739" s="121">
        <v>0.67</v>
      </c>
      <c r="S739" s="122">
        <f>IFERROR(__xludf.DUMMYFUNCTION("((IFERROR(MIN(FILTER({K739, N739, Q739}, ISNUMBER({K739, N739, Q739}), {K739, N739, Q739} &gt; 0)), """"))*R739)+IFERROR(MIN(FILTER({K739, N739, Q739}, ISNUMBER({K739, N739, Q739}), {K739, N739, Q739} &gt; 0)), """")"),0.0)</f>
        <v>0</v>
      </c>
      <c r="T739" s="123" t="str">
        <f t="shared" si="1"/>
        <v>#DIV/0!</v>
      </c>
    </row>
    <row r="740">
      <c r="A740" s="113"/>
      <c r="B740" s="113"/>
      <c r="C740" s="113"/>
      <c r="D740" s="114"/>
      <c r="E740" s="113"/>
      <c r="F740" s="113"/>
      <c r="G740" s="115"/>
      <c r="H740" s="116"/>
      <c r="I740" s="117" t="s">
        <v>261</v>
      </c>
      <c r="J740" s="117" t="s">
        <v>261</v>
      </c>
      <c r="K740" s="118"/>
      <c r="L740" s="119"/>
      <c r="M740" s="119"/>
      <c r="N740" s="120"/>
      <c r="O740" s="118"/>
      <c r="P740" s="118"/>
      <c r="Q740" s="118"/>
      <c r="R740" s="121">
        <v>0.67</v>
      </c>
      <c r="S740" s="122">
        <f>IFERROR(__xludf.DUMMYFUNCTION("((IFERROR(MIN(FILTER({K740, N740, Q740}, ISNUMBER({K740, N740, Q740}), {K740, N740, Q740} &gt; 0)), """"))*R740)+IFERROR(MIN(FILTER({K740, N740, Q740}, ISNUMBER({K740, N740, Q740}), {K740, N740, Q740} &gt; 0)), """")"),0.0)</f>
        <v>0</v>
      </c>
      <c r="T740" s="123" t="str">
        <f t="shared" si="1"/>
        <v>#DIV/0!</v>
      </c>
    </row>
    <row r="741">
      <c r="A741" s="113"/>
      <c r="B741" s="113"/>
      <c r="C741" s="113"/>
      <c r="D741" s="114"/>
      <c r="E741" s="113"/>
      <c r="F741" s="113"/>
      <c r="G741" s="115"/>
      <c r="H741" s="116"/>
      <c r="I741" s="117" t="s">
        <v>261</v>
      </c>
      <c r="J741" s="117" t="s">
        <v>261</v>
      </c>
      <c r="K741" s="118"/>
      <c r="L741" s="119"/>
      <c r="M741" s="119"/>
      <c r="N741" s="120"/>
      <c r="O741" s="118"/>
      <c r="P741" s="118"/>
      <c r="Q741" s="118"/>
      <c r="R741" s="121">
        <v>0.67</v>
      </c>
      <c r="S741" s="122">
        <f>IFERROR(__xludf.DUMMYFUNCTION("((IFERROR(MIN(FILTER({K741, N741, Q741}, ISNUMBER({K741, N741, Q741}), {K741, N741, Q741} &gt; 0)), """"))*R741)+IFERROR(MIN(FILTER({K741, N741, Q741}, ISNUMBER({K741, N741, Q741}), {K741, N741, Q741} &gt; 0)), """")"),0.0)</f>
        <v>0</v>
      </c>
      <c r="T741" s="123" t="str">
        <f t="shared" si="1"/>
        <v>#DIV/0!</v>
      </c>
    </row>
    <row r="742">
      <c r="A742" s="113"/>
      <c r="B742" s="113"/>
      <c r="C742" s="113"/>
      <c r="D742" s="114"/>
      <c r="E742" s="113"/>
      <c r="F742" s="113"/>
      <c r="G742" s="115"/>
      <c r="H742" s="116"/>
      <c r="I742" s="117" t="s">
        <v>261</v>
      </c>
      <c r="J742" s="117" t="s">
        <v>261</v>
      </c>
      <c r="K742" s="118"/>
      <c r="L742" s="119"/>
      <c r="M742" s="119"/>
      <c r="N742" s="120"/>
      <c r="O742" s="118"/>
      <c r="P742" s="118"/>
      <c r="Q742" s="118"/>
      <c r="R742" s="121">
        <v>0.67</v>
      </c>
      <c r="S742" s="122">
        <f>IFERROR(__xludf.DUMMYFUNCTION("((IFERROR(MIN(FILTER({K742, N742, Q742}, ISNUMBER({K742, N742, Q742}), {K742, N742, Q742} &gt; 0)), """"))*R742)+IFERROR(MIN(FILTER({K742, N742, Q742}, ISNUMBER({K742, N742, Q742}), {K742, N742, Q742} &gt; 0)), """")"),0.0)</f>
        <v>0</v>
      </c>
      <c r="T742" s="123" t="str">
        <f t="shared" si="1"/>
        <v>#DIV/0!</v>
      </c>
    </row>
    <row r="743">
      <c r="A743" s="113"/>
      <c r="B743" s="113"/>
      <c r="C743" s="113"/>
      <c r="D743" s="114"/>
      <c r="E743" s="113"/>
      <c r="F743" s="113"/>
      <c r="G743" s="115"/>
      <c r="H743" s="116"/>
      <c r="I743" s="117" t="s">
        <v>261</v>
      </c>
      <c r="J743" s="117" t="s">
        <v>261</v>
      </c>
      <c r="K743" s="118"/>
      <c r="L743" s="119"/>
      <c r="M743" s="119"/>
      <c r="N743" s="120"/>
      <c r="O743" s="118"/>
      <c r="P743" s="118"/>
      <c r="Q743" s="118"/>
      <c r="R743" s="121">
        <v>0.67</v>
      </c>
      <c r="S743" s="122">
        <f>IFERROR(__xludf.DUMMYFUNCTION("((IFERROR(MIN(FILTER({K743, N743, Q743}, ISNUMBER({K743, N743, Q743}), {K743, N743, Q743} &gt; 0)), """"))*R743)+IFERROR(MIN(FILTER({K743, N743, Q743}, ISNUMBER({K743, N743, Q743}), {K743, N743, Q743} &gt; 0)), """")"),0.0)</f>
        <v>0</v>
      </c>
      <c r="T743" s="123" t="str">
        <f t="shared" si="1"/>
        <v>#DIV/0!</v>
      </c>
    </row>
    <row r="744">
      <c r="A744" s="113"/>
      <c r="B744" s="113"/>
      <c r="C744" s="113"/>
      <c r="D744" s="114"/>
      <c r="E744" s="113"/>
      <c r="F744" s="113"/>
      <c r="G744" s="115"/>
      <c r="H744" s="116"/>
      <c r="I744" s="117" t="s">
        <v>261</v>
      </c>
      <c r="J744" s="117" t="s">
        <v>261</v>
      </c>
      <c r="K744" s="118"/>
      <c r="L744" s="119"/>
      <c r="M744" s="119"/>
      <c r="N744" s="120"/>
      <c r="O744" s="118"/>
      <c r="P744" s="118"/>
      <c r="Q744" s="118"/>
      <c r="R744" s="121">
        <v>0.67</v>
      </c>
      <c r="S744" s="122">
        <f>IFERROR(__xludf.DUMMYFUNCTION("((IFERROR(MIN(FILTER({K744, N744, Q744}, ISNUMBER({K744, N744, Q744}), {K744, N744, Q744} &gt; 0)), """"))*R744)+IFERROR(MIN(FILTER({K744, N744, Q744}, ISNUMBER({K744, N744, Q744}), {K744, N744, Q744} &gt; 0)), """")"),0.0)</f>
        <v>0</v>
      </c>
      <c r="T744" s="123" t="str">
        <f t="shared" si="1"/>
        <v>#DIV/0!</v>
      </c>
    </row>
    <row r="745">
      <c r="A745" s="113"/>
      <c r="B745" s="113"/>
      <c r="C745" s="113"/>
      <c r="D745" s="114"/>
      <c r="E745" s="113"/>
      <c r="F745" s="113"/>
      <c r="G745" s="115"/>
      <c r="H745" s="116"/>
      <c r="I745" s="117" t="s">
        <v>261</v>
      </c>
      <c r="J745" s="117" t="s">
        <v>261</v>
      </c>
      <c r="K745" s="118"/>
      <c r="L745" s="119"/>
      <c r="M745" s="119"/>
      <c r="N745" s="120"/>
      <c r="O745" s="118"/>
      <c r="P745" s="118"/>
      <c r="Q745" s="118"/>
      <c r="R745" s="121">
        <v>0.67</v>
      </c>
      <c r="S745" s="122">
        <f>IFERROR(__xludf.DUMMYFUNCTION("((IFERROR(MIN(FILTER({K745, N745, Q745}, ISNUMBER({K745, N745, Q745}), {K745, N745, Q745} &gt; 0)), """"))*R745)+IFERROR(MIN(FILTER({K745, N745, Q745}, ISNUMBER({K745, N745, Q745}), {K745, N745, Q745} &gt; 0)), """")"),0.0)</f>
        <v>0</v>
      </c>
      <c r="T745" s="123" t="str">
        <f t="shared" si="1"/>
        <v>#DIV/0!</v>
      </c>
    </row>
    <row r="746">
      <c r="A746" s="113"/>
      <c r="B746" s="113"/>
      <c r="C746" s="113"/>
      <c r="D746" s="114"/>
      <c r="E746" s="113"/>
      <c r="F746" s="113"/>
      <c r="G746" s="115"/>
      <c r="H746" s="116"/>
      <c r="I746" s="117" t="s">
        <v>261</v>
      </c>
      <c r="J746" s="117" t="s">
        <v>261</v>
      </c>
      <c r="K746" s="118"/>
      <c r="L746" s="119"/>
      <c r="M746" s="119"/>
      <c r="N746" s="120"/>
      <c r="O746" s="118"/>
      <c r="P746" s="118"/>
      <c r="Q746" s="118"/>
      <c r="R746" s="121">
        <v>0.67</v>
      </c>
      <c r="S746" s="122">
        <f>IFERROR(__xludf.DUMMYFUNCTION("((IFERROR(MIN(FILTER({K746, N746, Q746}, ISNUMBER({K746, N746, Q746}), {K746, N746, Q746} &gt; 0)), """"))*R746)+IFERROR(MIN(FILTER({K746, N746, Q746}, ISNUMBER({K746, N746, Q746}), {K746, N746, Q746} &gt; 0)), """")"),0.0)</f>
        <v>0</v>
      </c>
      <c r="T746" s="123" t="str">
        <f t="shared" si="1"/>
        <v>#DIV/0!</v>
      </c>
    </row>
    <row r="747">
      <c r="A747" s="113"/>
      <c r="B747" s="113"/>
      <c r="C747" s="113"/>
      <c r="D747" s="114"/>
      <c r="E747" s="113"/>
      <c r="F747" s="113"/>
      <c r="G747" s="115"/>
      <c r="H747" s="116"/>
      <c r="I747" s="117" t="s">
        <v>261</v>
      </c>
      <c r="J747" s="117" t="s">
        <v>261</v>
      </c>
      <c r="K747" s="118"/>
      <c r="L747" s="119"/>
      <c r="M747" s="119"/>
      <c r="N747" s="120"/>
      <c r="O747" s="118"/>
      <c r="P747" s="118"/>
      <c r="Q747" s="118"/>
      <c r="R747" s="121">
        <v>0.67</v>
      </c>
      <c r="S747" s="122">
        <f>IFERROR(__xludf.DUMMYFUNCTION("((IFERROR(MIN(FILTER({K747, N747, Q747}, ISNUMBER({K747, N747, Q747}), {K747, N747, Q747} &gt; 0)), """"))*R747)+IFERROR(MIN(FILTER({K747, N747, Q747}, ISNUMBER({K747, N747, Q747}), {K747, N747, Q747} &gt; 0)), """")"),0.0)</f>
        <v>0</v>
      </c>
      <c r="T747" s="123" t="str">
        <f t="shared" si="1"/>
        <v>#DIV/0!</v>
      </c>
    </row>
    <row r="748">
      <c r="A748" s="113"/>
      <c r="B748" s="113"/>
      <c r="C748" s="113"/>
      <c r="D748" s="114"/>
      <c r="E748" s="113"/>
      <c r="F748" s="113"/>
      <c r="G748" s="115"/>
      <c r="H748" s="116"/>
      <c r="I748" s="117" t="s">
        <v>261</v>
      </c>
      <c r="J748" s="117" t="s">
        <v>261</v>
      </c>
      <c r="K748" s="118"/>
      <c r="L748" s="119"/>
      <c r="M748" s="119"/>
      <c r="N748" s="120"/>
      <c r="O748" s="118"/>
      <c r="P748" s="118"/>
      <c r="Q748" s="118"/>
      <c r="R748" s="121">
        <v>0.67</v>
      </c>
      <c r="S748" s="122">
        <f>IFERROR(__xludf.DUMMYFUNCTION("((IFERROR(MIN(FILTER({K748, N748, Q748}, ISNUMBER({K748, N748, Q748}), {K748, N748, Q748} &gt; 0)), """"))*R748)+IFERROR(MIN(FILTER({K748, N748, Q748}, ISNUMBER({K748, N748, Q748}), {K748, N748, Q748} &gt; 0)), """")"),0.0)</f>
        <v>0</v>
      </c>
      <c r="T748" s="123" t="str">
        <f t="shared" si="1"/>
        <v>#DIV/0!</v>
      </c>
    </row>
    <row r="749">
      <c r="A749" s="113"/>
      <c r="B749" s="113"/>
      <c r="C749" s="113"/>
      <c r="D749" s="114"/>
      <c r="E749" s="113"/>
      <c r="F749" s="113"/>
      <c r="G749" s="115"/>
      <c r="H749" s="116"/>
      <c r="I749" s="117" t="s">
        <v>261</v>
      </c>
      <c r="J749" s="117" t="s">
        <v>261</v>
      </c>
      <c r="K749" s="118"/>
      <c r="L749" s="119"/>
      <c r="M749" s="119"/>
      <c r="N749" s="120"/>
      <c r="O749" s="118"/>
      <c r="P749" s="118"/>
      <c r="Q749" s="118"/>
      <c r="R749" s="121">
        <v>0.67</v>
      </c>
      <c r="S749" s="122">
        <f>IFERROR(__xludf.DUMMYFUNCTION("((IFERROR(MIN(FILTER({K749, N749, Q749}, ISNUMBER({K749, N749, Q749}), {K749, N749, Q749} &gt; 0)), """"))*R749)+IFERROR(MIN(FILTER({K749, N749, Q749}, ISNUMBER({K749, N749, Q749}), {K749, N749, Q749} &gt; 0)), """")"),0.0)</f>
        <v>0</v>
      </c>
      <c r="T749" s="123" t="str">
        <f t="shared" si="1"/>
        <v>#DIV/0!</v>
      </c>
    </row>
    <row r="750">
      <c r="A750" s="113"/>
      <c r="B750" s="113"/>
      <c r="C750" s="113"/>
      <c r="D750" s="114"/>
      <c r="E750" s="113"/>
      <c r="F750" s="113"/>
      <c r="G750" s="115"/>
      <c r="H750" s="116"/>
      <c r="I750" s="117" t="s">
        <v>261</v>
      </c>
      <c r="J750" s="117" t="s">
        <v>261</v>
      </c>
      <c r="K750" s="118"/>
      <c r="L750" s="119"/>
      <c r="M750" s="119"/>
      <c r="N750" s="120"/>
      <c r="O750" s="118"/>
      <c r="P750" s="118"/>
      <c r="Q750" s="118"/>
      <c r="R750" s="121">
        <v>0.67</v>
      </c>
      <c r="S750" s="122">
        <f>IFERROR(__xludf.DUMMYFUNCTION("((IFERROR(MIN(FILTER({K750, N750, Q750}, ISNUMBER({K750, N750, Q750}), {K750, N750, Q750} &gt; 0)), """"))*R750)+IFERROR(MIN(FILTER({K750, N750, Q750}, ISNUMBER({K750, N750, Q750}), {K750, N750, Q750} &gt; 0)), """")"),0.0)</f>
        <v>0</v>
      </c>
      <c r="T750" s="123" t="str">
        <f t="shared" si="1"/>
        <v>#DIV/0!</v>
      </c>
    </row>
    <row r="751">
      <c r="A751" s="113"/>
      <c r="B751" s="113"/>
      <c r="C751" s="113"/>
      <c r="D751" s="114"/>
      <c r="E751" s="113"/>
      <c r="F751" s="113"/>
      <c r="G751" s="115"/>
      <c r="H751" s="116"/>
      <c r="I751" s="117" t="s">
        <v>261</v>
      </c>
      <c r="J751" s="117" t="s">
        <v>261</v>
      </c>
      <c r="K751" s="118"/>
      <c r="L751" s="119"/>
      <c r="M751" s="119"/>
      <c r="N751" s="120"/>
      <c r="O751" s="118"/>
      <c r="P751" s="118"/>
      <c r="Q751" s="118"/>
      <c r="R751" s="121">
        <v>0.67</v>
      </c>
      <c r="S751" s="122">
        <f>IFERROR(__xludf.DUMMYFUNCTION("((IFERROR(MIN(FILTER({K751, N751, Q751}, ISNUMBER({K751, N751, Q751}), {K751, N751, Q751} &gt; 0)), """"))*R751)+IFERROR(MIN(FILTER({K751, N751, Q751}, ISNUMBER({K751, N751, Q751}), {K751, N751, Q751} &gt; 0)), """")"),0.0)</f>
        <v>0</v>
      </c>
      <c r="T751" s="123" t="str">
        <f t="shared" si="1"/>
        <v>#DIV/0!</v>
      </c>
    </row>
    <row r="752">
      <c r="A752" s="113"/>
      <c r="B752" s="113"/>
      <c r="C752" s="113"/>
      <c r="D752" s="114"/>
      <c r="E752" s="113"/>
      <c r="F752" s="113"/>
      <c r="G752" s="115"/>
      <c r="H752" s="116"/>
      <c r="I752" s="117" t="s">
        <v>261</v>
      </c>
      <c r="J752" s="117" t="s">
        <v>261</v>
      </c>
      <c r="K752" s="118"/>
      <c r="L752" s="119"/>
      <c r="M752" s="119"/>
      <c r="N752" s="120"/>
      <c r="O752" s="118"/>
      <c r="P752" s="118"/>
      <c r="Q752" s="118"/>
      <c r="R752" s="121">
        <v>0.67</v>
      </c>
      <c r="S752" s="122">
        <f>IFERROR(__xludf.DUMMYFUNCTION("((IFERROR(MIN(FILTER({K752, N752, Q752}, ISNUMBER({K752, N752, Q752}), {K752, N752, Q752} &gt; 0)), """"))*R752)+IFERROR(MIN(FILTER({K752, N752, Q752}, ISNUMBER({K752, N752, Q752}), {K752, N752, Q752} &gt; 0)), """")"),0.0)</f>
        <v>0</v>
      </c>
      <c r="T752" s="123" t="str">
        <f t="shared" si="1"/>
        <v>#DIV/0!</v>
      </c>
    </row>
    <row r="753">
      <c r="A753" s="113"/>
      <c r="B753" s="113"/>
      <c r="C753" s="113"/>
      <c r="D753" s="114"/>
      <c r="E753" s="113"/>
      <c r="F753" s="113"/>
      <c r="G753" s="115"/>
      <c r="H753" s="116"/>
      <c r="I753" s="117" t="s">
        <v>261</v>
      </c>
      <c r="J753" s="117" t="s">
        <v>261</v>
      </c>
      <c r="K753" s="118"/>
      <c r="L753" s="119"/>
      <c r="M753" s="119"/>
      <c r="N753" s="120"/>
      <c r="O753" s="118"/>
      <c r="P753" s="118"/>
      <c r="Q753" s="118"/>
      <c r="R753" s="121">
        <v>0.67</v>
      </c>
      <c r="S753" s="122">
        <f>IFERROR(__xludf.DUMMYFUNCTION("((IFERROR(MIN(FILTER({K753, N753, Q753}, ISNUMBER({K753, N753, Q753}), {K753, N753, Q753} &gt; 0)), """"))*R753)+IFERROR(MIN(FILTER({K753, N753, Q753}, ISNUMBER({K753, N753, Q753}), {K753, N753, Q753} &gt; 0)), """")"),0.0)</f>
        <v>0</v>
      </c>
      <c r="T753" s="123" t="str">
        <f t="shared" si="1"/>
        <v>#DIV/0!</v>
      </c>
    </row>
    <row r="754">
      <c r="A754" s="113"/>
      <c r="B754" s="113"/>
      <c r="C754" s="113"/>
      <c r="D754" s="114"/>
      <c r="E754" s="113"/>
      <c r="F754" s="113"/>
      <c r="G754" s="115"/>
      <c r="H754" s="116"/>
      <c r="I754" s="117" t="s">
        <v>261</v>
      </c>
      <c r="J754" s="117" t="s">
        <v>261</v>
      </c>
      <c r="K754" s="118"/>
      <c r="L754" s="119"/>
      <c r="M754" s="119"/>
      <c r="N754" s="120"/>
      <c r="O754" s="118"/>
      <c r="P754" s="118"/>
      <c r="Q754" s="118"/>
      <c r="R754" s="121">
        <v>0.67</v>
      </c>
      <c r="S754" s="122">
        <f>IFERROR(__xludf.DUMMYFUNCTION("((IFERROR(MIN(FILTER({K754, N754, Q754}, ISNUMBER({K754, N754, Q754}), {K754, N754, Q754} &gt; 0)), """"))*R754)+IFERROR(MIN(FILTER({K754, N754, Q754}, ISNUMBER({K754, N754, Q754}), {K754, N754, Q754} &gt; 0)), """")"),0.0)</f>
        <v>0</v>
      </c>
      <c r="T754" s="123" t="str">
        <f t="shared" si="1"/>
        <v>#DIV/0!</v>
      </c>
    </row>
    <row r="755">
      <c r="A755" s="113"/>
      <c r="B755" s="113"/>
      <c r="C755" s="113"/>
      <c r="D755" s="114"/>
      <c r="E755" s="113"/>
      <c r="F755" s="113"/>
      <c r="G755" s="115"/>
      <c r="H755" s="116"/>
      <c r="I755" s="117" t="s">
        <v>261</v>
      </c>
      <c r="J755" s="117" t="s">
        <v>261</v>
      </c>
      <c r="K755" s="118"/>
      <c r="L755" s="119"/>
      <c r="M755" s="119"/>
      <c r="N755" s="120"/>
      <c r="O755" s="118"/>
      <c r="P755" s="118"/>
      <c r="Q755" s="118"/>
      <c r="R755" s="121">
        <v>0.67</v>
      </c>
      <c r="S755" s="122">
        <f>IFERROR(__xludf.DUMMYFUNCTION("((IFERROR(MIN(FILTER({K755, N755, Q755}, ISNUMBER({K755, N755, Q755}), {K755, N755, Q755} &gt; 0)), """"))*R755)+IFERROR(MIN(FILTER({K755, N755, Q755}, ISNUMBER({K755, N755, Q755}), {K755, N755, Q755} &gt; 0)), """")"),0.0)</f>
        <v>0</v>
      </c>
      <c r="T755" s="123" t="str">
        <f t="shared" si="1"/>
        <v>#DIV/0!</v>
      </c>
    </row>
    <row r="756">
      <c r="A756" s="113"/>
      <c r="B756" s="113"/>
      <c r="C756" s="113"/>
      <c r="D756" s="114"/>
      <c r="E756" s="113"/>
      <c r="F756" s="113"/>
      <c r="G756" s="115"/>
      <c r="H756" s="116"/>
      <c r="I756" s="117" t="s">
        <v>261</v>
      </c>
      <c r="J756" s="117" t="s">
        <v>261</v>
      </c>
      <c r="K756" s="118"/>
      <c r="L756" s="119"/>
      <c r="M756" s="119"/>
      <c r="N756" s="120"/>
      <c r="O756" s="118"/>
      <c r="P756" s="118"/>
      <c r="Q756" s="118"/>
      <c r="R756" s="121">
        <v>0.67</v>
      </c>
      <c r="S756" s="122">
        <f>IFERROR(__xludf.DUMMYFUNCTION("((IFERROR(MIN(FILTER({K756, N756, Q756}, ISNUMBER({K756, N756, Q756}), {K756, N756, Q756} &gt; 0)), """"))*R756)+IFERROR(MIN(FILTER({K756, N756, Q756}, ISNUMBER({K756, N756, Q756}), {K756, N756, Q756} &gt; 0)), """")"),0.0)</f>
        <v>0</v>
      </c>
      <c r="T756" s="123" t="str">
        <f t="shared" si="1"/>
        <v>#DIV/0!</v>
      </c>
    </row>
    <row r="757">
      <c r="A757" s="113"/>
      <c r="B757" s="113"/>
      <c r="C757" s="113"/>
      <c r="D757" s="114"/>
      <c r="E757" s="113"/>
      <c r="F757" s="113"/>
      <c r="G757" s="115"/>
      <c r="H757" s="116"/>
      <c r="I757" s="117" t="s">
        <v>261</v>
      </c>
      <c r="J757" s="117" t="s">
        <v>261</v>
      </c>
      <c r="K757" s="118"/>
      <c r="L757" s="119"/>
      <c r="M757" s="119"/>
      <c r="N757" s="120"/>
      <c r="O757" s="118"/>
      <c r="P757" s="118"/>
      <c r="Q757" s="118"/>
      <c r="R757" s="121">
        <v>0.67</v>
      </c>
      <c r="S757" s="122">
        <f>IFERROR(__xludf.DUMMYFUNCTION("((IFERROR(MIN(FILTER({K757, N757, Q757}, ISNUMBER({K757, N757, Q757}), {K757, N757, Q757} &gt; 0)), """"))*R757)+IFERROR(MIN(FILTER({K757, N757, Q757}, ISNUMBER({K757, N757, Q757}), {K757, N757, Q757} &gt; 0)), """")"),0.0)</f>
        <v>0</v>
      </c>
      <c r="T757" s="123" t="str">
        <f t="shared" si="1"/>
        <v>#DIV/0!</v>
      </c>
    </row>
    <row r="758">
      <c r="A758" s="113"/>
      <c r="B758" s="113"/>
      <c r="C758" s="113"/>
      <c r="D758" s="114"/>
      <c r="E758" s="113"/>
      <c r="F758" s="113"/>
      <c r="G758" s="115"/>
      <c r="H758" s="116"/>
      <c r="I758" s="117" t="s">
        <v>261</v>
      </c>
      <c r="J758" s="117" t="s">
        <v>261</v>
      </c>
      <c r="K758" s="118"/>
      <c r="L758" s="119"/>
      <c r="M758" s="119"/>
      <c r="N758" s="120"/>
      <c r="O758" s="118"/>
      <c r="P758" s="118"/>
      <c r="Q758" s="118"/>
      <c r="R758" s="121">
        <v>0.67</v>
      </c>
      <c r="S758" s="122">
        <f>IFERROR(__xludf.DUMMYFUNCTION("((IFERROR(MIN(FILTER({K758, N758, Q758}, ISNUMBER({K758, N758, Q758}), {K758, N758, Q758} &gt; 0)), """"))*R758)+IFERROR(MIN(FILTER({K758, N758, Q758}, ISNUMBER({K758, N758, Q758}), {K758, N758, Q758} &gt; 0)), """")"),0.0)</f>
        <v>0</v>
      </c>
      <c r="T758" s="123" t="str">
        <f t="shared" si="1"/>
        <v>#DIV/0!</v>
      </c>
    </row>
    <row r="759">
      <c r="A759" s="113"/>
      <c r="B759" s="113"/>
      <c r="C759" s="113"/>
      <c r="D759" s="114"/>
      <c r="E759" s="113"/>
      <c r="F759" s="113"/>
      <c r="G759" s="115"/>
      <c r="H759" s="116"/>
      <c r="I759" s="117" t="s">
        <v>261</v>
      </c>
      <c r="J759" s="117" t="s">
        <v>261</v>
      </c>
      <c r="K759" s="118"/>
      <c r="L759" s="119"/>
      <c r="M759" s="119"/>
      <c r="N759" s="120"/>
      <c r="O759" s="118"/>
      <c r="P759" s="118"/>
      <c r="Q759" s="118"/>
      <c r="R759" s="121">
        <v>0.67</v>
      </c>
      <c r="S759" s="122">
        <f>IFERROR(__xludf.DUMMYFUNCTION("((IFERROR(MIN(FILTER({K759, N759, Q759}, ISNUMBER({K759, N759, Q759}), {K759, N759, Q759} &gt; 0)), """"))*R759)+IFERROR(MIN(FILTER({K759, N759, Q759}, ISNUMBER({K759, N759, Q759}), {K759, N759, Q759} &gt; 0)), """")"),0.0)</f>
        <v>0</v>
      </c>
      <c r="T759" s="123" t="str">
        <f t="shared" si="1"/>
        <v>#DIV/0!</v>
      </c>
    </row>
    <row r="760">
      <c r="A760" s="113"/>
      <c r="B760" s="113"/>
      <c r="C760" s="113"/>
      <c r="D760" s="114"/>
      <c r="E760" s="113"/>
      <c r="F760" s="113"/>
      <c r="G760" s="115"/>
      <c r="H760" s="116"/>
      <c r="I760" s="117" t="s">
        <v>261</v>
      </c>
      <c r="J760" s="117" t="s">
        <v>261</v>
      </c>
      <c r="K760" s="118"/>
      <c r="L760" s="119"/>
      <c r="M760" s="119"/>
      <c r="N760" s="120"/>
      <c r="O760" s="118"/>
      <c r="P760" s="118"/>
      <c r="Q760" s="118"/>
      <c r="R760" s="121">
        <v>0.67</v>
      </c>
      <c r="S760" s="122">
        <f>IFERROR(__xludf.DUMMYFUNCTION("((IFERROR(MIN(FILTER({K760, N760, Q760}, ISNUMBER({K760, N760, Q760}), {K760, N760, Q760} &gt; 0)), """"))*R760)+IFERROR(MIN(FILTER({K760, N760, Q760}, ISNUMBER({K760, N760, Q760}), {K760, N760, Q760} &gt; 0)), """")"),0.0)</f>
        <v>0</v>
      </c>
      <c r="T760" s="123" t="str">
        <f t="shared" si="1"/>
        <v>#DIV/0!</v>
      </c>
    </row>
    <row r="761">
      <c r="A761" s="113"/>
      <c r="B761" s="113"/>
      <c r="C761" s="113"/>
      <c r="D761" s="114"/>
      <c r="E761" s="113"/>
      <c r="F761" s="113"/>
      <c r="G761" s="115"/>
      <c r="H761" s="116"/>
      <c r="I761" s="117" t="s">
        <v>261</v>
      </c>
      <c r="J761" s="117" t="s">
        <v>261</v>
      </c>
      <c r="K761" s="118"/>
      <c r="L761" s="119"/>
      <c r="M761" s="119"/>
      <c r="N761" s="120"/>
      <c r="O761" s="118"/>
      <c r="P761" s="118"/>
      <c r="Q761" s="118"/>
      <c r="R761" s="121">
        <v>0.67</v>
      </c>
      <c r="S761" s="122">
        <f>IFERROR(__xludf.DUMMYFUNCTION("((IFERROR(MIN(FILTER({K761, N761, Q761}, ISNUMBER({K761, N761, Q761}), {K761, N761, Q761} &gt; 0)), """"))*R761)+IFERROR(MIN(FILTER({K761, N761, Q761}, ISNUMBER({K761, N761, Q761}), {K761, N761, Q761} &gt; 0)), """")"),0.0)</f>
        <v>0</v>
      </c>
      <c r="T761" s="123" t="str">
        <f t="shared" si="1"/>
        <v>#DIV/0!</v>
      </c>
    </row>
    <row r="762">
      <c r="A762" s="113"/>
      <c r="B762" s="113"/>
      <c r="C762" s="113"/>
      <c r="D762" s="114"/>
      <c r="E762" s="113"/>
      <c r="F762" s="113"/>
      <c r="G762" s="115"/>
      <c r="H762" s="116"/>
      <c r="I762" s="117" t="s">
        <v>261</v>
      </c>
      <c r="J762" s="117" t="s">
        <v>261</v>
      </c>
      <c r="K762" s="118"/>
      <c r="L762" s="119"/>
      <c r="M762" s="119"/>
      <c r="N762" s="120"/>
      <c r="O762" s="118"/>
      <c r="P762" s="118"/>
      <c r="Q762" s="118"/>
      <c r="R762" s="121">
        <v>0.67</v>
      </c>
      <c r="S762" s="122">
        <f>IFERROR(__xludf.DUMMYFUNCTION("((IFERROR(MIN(FILTER({K762, N762, Q762}, ISNUMBER({K762, N762, Q762}), {K762, N762, Q762} &gt; 0)), """"))*R762)+IFERROR(MIN(FILTER({K762, N762, Q762}, ISNUMBER({K762, N762, Q762}), {K762, N762, Q762} &gt; 0)), """")"),0.0)</f>
        <v>0</v>
      </c>
      <c r="T762" s="123" t="str">
        <f t="shared" si="1"/>
        <v>#DIV/0!</v>
      </c>
    </row>
    <row r="763">
      <c r="A763" s="113"/>
      <c r="B763" s="113"/>
      <c r="C763" s="113"/>
      <c r="D763" s="114"/>
      <c r="E763" s="113"/>
      <c r="F763" s="113"/>
      <c r="G763" s="115"/>
      <c r="H763" s="116"/>
      <c r="I763" s="117" t="s">
        <v>261</v>
      </c>
      <c r="J763" s="117" t="s">
        <v>261</v>
      </c>
      <c r="K763" s="118"/>
      <c r="L763" s="119"/>
      <c r="M763" s="119"/>
      <c r="N763" s="120"/>
      <c r="O763" s="118"/>
      <c r="P763" s="118"/>
      <c r="Q763" s="118"/>
      <c r="R763" s="121">
        <v>0.67</v>
      </c>
      <c r="S763" s="122">
        <f>IFERROR(__xludf.DUMMYFUNCTION("((IFERROR(MIN(FILTER({K763, N763, Q763}, ISNUMBER({K763, N763, Q763}), {K763, N763, Q763} &gt; 0)), """"))*R763)+IFERROR(MIN(FILTER({K763, N763, Q763}, ISNUMBER({K763, N763, Q763}), {K763, N763, Q763} &gt; 0)), """")"),0.0)</f>
        <v>0</v>
      </c>
      <c r="T763" s="123" t="str">
        <f t="shared" si="1"/>
        <v>#DIV/0!</v>
      </c>
    </row>
    <row r="764">
      <c r="A764" s="113"/>
      <c r="B764" s="113"/>
      <c r="C764" s="113"/>
      <c r="D764" s="114"/>
      <c r="E764" s="113"/>
      <c r="F764" s="113"/>
      <c r="G764" s="115"/>
      <c r="H764" s="116"/>
      <c r="I764" s="117" t="s">
        <v>261</v>
      </c>
      <c r="J764" s="117" t="s">
        <v>261</v>
      </c>
      <c r="K764" s="118"/>
      <c r="L764" s="119"/>
      <c r="M764" s="119"/>
      <c r="N764" s="120"/>
      <c r="O764" s="118"/>
      <c r="P764" s="118"/>
      <c r="Q764" s="118"/>
      <c r="R764" s="121">
        <v>0.67</v>
      </c>
      <c r="S764" s="122">
        <f>IFERROR(__xludf.DUMMYFUNCTION("((IFERROR(MIN(FILTER({K764, N764, Q764}, ISNUMBER({K764, N764, Q764}), {K764, N764, Q764} &gt; 0)), """"))*R764)+IFERROR(MIN(FILTER({K764, N764, Q764}, ISNUMBER({K764, N764, Q764}), {K764, N764, Q764} &gt; 0)), """")"),0.0)</f>
        <v>0</v>
      </c>
      <c r="T764" s="123" t="str">
        <f t="shared" si="1"/>
        <v>#DIV/0!</v>
      </c>
    </row>
    <row r="765">
      <c r="A765" s="113"/>
      <c r="B765" s="113"/>
      <c r="C765" s="113"/>
      <c r="D765" s="114"/>
      <c r="E765" s="113"/>
      <c r="F765" s="113"/>
      <c r="G765" s="115"/>
      <c r="H765" s="116"/>
      <c r="I765" s="117" t="s">
        <v>261</v>
      </c>
      <c r="J765" s="117" t="s">
        <v>261</v>
      </c>
      <c r="K765" s="118"/>
      <c r="L765" s="119"/>
      <c r="M765" s="119"/>
      <c r="N765" s="120"/>
      <c r="O765" s="118"/>
      <c r="P765" s="118"/>
      <c r="Q765" s="118"/>
      <c r="R765" s="121">
        <v>0.67</v>
      </c>
      <c r="S765" s="122">
        <f>IFERROR(__xludf.DUMMYFUNCTION("((IFERROR(MIN(FILTER({K765, N765, Q765}, ISNUMBER({K765, N765, Q765}), {K765, N765, Q765} &gt; 0)), """"))*R765)+IFERROR(MIN(FILTER({K765, N765, Q765}, ISNUMBER({K765, N765, Q765}), {K765, N765, Q765} &gt; 0)), """")"),0.0)</f>
        <v>0</v>
      </c>
      <c r="T765" s="123" t="str">
        <f t="shared" si="1"/>
        <v>#DIV/0!</v>
      </c>
    </row>
    <row r="766">
      <c r="A766" s="113"/>
      <c r="B766" s="113"/>
      <c r="C766" s="113"/>
      <c r="D766" s="114"/>
      <c r="E766" s="113"/>
      <c r="F766" s="113"/>
      <c r="G766" s="115"/>
      <c r="H766" s="116"/>
      <c r="I766" s="117" t="s">
        <v>261</v>
      </c>
      <c r="J766" s="117" t="s">
        <v>261</v>
      </c>
      <c r="K766" s="118"/>
      <c r="L766" s="119"/>
      <c r="M766" s="119"/>
      <c r="N766" s="120"/>
      <c r="O766" s="118"/>
      <c r="P766" s="118"/>
      <c r="Q766" s="118"/>
      <c r="R766" s="121">
        <v>0.67</v>
      </c>
      <c r="S766" s="122">
        <f>IFERROR(__xludf.DUMMYFUNCTION("((IFERROR(MIN(FILTER({K766, N766, Q766}, ISNUMBER({K766, N766, Q766}), {K766, N766, Q766} &gt; 0)), """"))*R766)+IFERROR(MIN(FILTER({K766, N766, Q766}, ISNUMBER({K766, N766, Q766}), {K766, N766, Q766} &gt; 0)), """")"),0.0)</f>
        <v>0</v>
      </c>
      <c r="T766" s="123" t="str">
        <f t="shared" si="1"/>
        <v>#DIV/0!</v>
      </c>
    </row>
    <row r="767">
      <c r="A767" s="113"/>
      <c r="B767" s="113"/>
      <c r="C767" s="113"/>
      <c r="D767" s="114"/>
      <c r="E767" s="113"/>
      <c r="F767" s="113"/>
      <c r="G767" s="115"/>
      <c r="H767" s="116"/>
      <c r="I767" s="117" t="s">
        <v>261</v>
      </c>
      <c r="J767" s="117" t="s">
        <v>261</v>
      </c>
      <c r="K767" s="118"/>
      <c r="L767" s="119"/>
      <c r="M767" s="119"/>
      <c r="N767" s="120"/>
      <c r="O767" s="118"/>
      <c r="P767" s="118"/>
      <c r="Q767" s="118"/>
      <c r="R767" s="121">
        <v>0.67</v>
      </c>
      <c r="S767" s="122">
        <f>IFERROR(__xludf.DUMMYFUNCTION("((IFERROR(MIN(FILTER({K767, N767, Q767}, ISNUMBER({K767, N767, Q767}), {K767, N767, Q767} &gt; 0)), """"))*R767)+IFERROR(MIN(FILTER({K767, N767, Q767}, ISNUMBER({K767, N767, Q767}), {K767, N767, Q767} &gt; 0)), """")"),0.0)</f>
        <v>0</v>
      </c>
      <c r="T767" s="123" t="str">
        <f t="shared" si="1"/>
        <v>#DIV/0!</v>
      </c>
    </row>
    <row r="768">
      <c r="A768" s="113"/>
      <c r="B768" s="113"/>
      <c r="C768" s="113"/>
      <c r="D768" s="114"/>
      <c r="E768" s="113"/>
      <c r="F768" s="113"/>
      <c r="G768" s="115"/>
      <c r="H768" s="116"/>
      <c r="I768" s="117" t="s">
        <v>261</v>
      </c>
      <c r="J768" s="117" t="s">
        <v>261</v>
      </c>
      <c r="K768" s="118"/>
      <c r="L768" s="119"/>
      <c r="M768" s="119"/>
      <c r="N768" s="120"/>
      <c r="O768" s="118"/>
      <c r="P768" s="118"/>
      <c r="Q768" s="118"/>
      <c r="R768" s="121">
        <v>0.67</v>
      </c>
      <c r="S768" s="122">
        <f>IFERROR(__xludf.DUMMYFUNCTION("((IFERROR(MIN(FILTER({K768, N768, Q768}, ISNUMBER({K768, N768, Q768}), {K768, N768, Q768} &gt; 0)), """"))*R768)+IFERROR(MIN(FILTER({K768, N768, Q768}, ISNUMBER({K768, N768, Q768}), {K768, N768, Q768} &gt; 0)), """")"),0.0)</f>
        <v>0</v>
      </c>
      <c r="T768" s="123" t="str">
        <f t="shared" si="1"/>
        <v>#DIV/0!</v>
      </c>
    </row>
    <row r="769">
      <c r="A769" s="113"/>
      <c r="B769" s="113"/>
      <c r="C769" s="113"/>
      <c r="D769" s="114"/>
      <c r="E769" s="113"/>
      <c r="F769" s="113"/>
      <c r="G769" s="115"/>
      <c r="H769" s="116"/>
      <c r="I769" s="117" t="s">
        <v>261</v>
      </c>
      <c r="J769" s="117" t="s">
        <v>261</v>
      </c>
      <c r="K769" s="118"/>
      <c r="L769" s="119"/>
      <c r="M769" s="119"/>
      <c r="N769" s="120"/>
      <c r="O769" s="118"/>
      <c r="P769" s="118"/>
      <c r="Q769" s="118"/>
      <c r="R769" s="121">
        <v>0.67</v>
      </c>
      <c r="S769" s="122">
        <f>IFERROR(__xludf.DUMMYFUNCTION("((IFERROR(MIN(FILTER({K769, N769, Q769}, ISNUMBER({K769, N769, Q769}), {K769, N769, Q769} &gt; 0)), """"))*R769)+IFERROR(MIN(FILTER({K769, N769, Q769}, ISNUMBER({K769, N769, Q769}), {K769, N769, Q769} &gt; 0)), """")"),0.0)</f>
        <v>0</v>
      </c>
      <c r="T769" s="123" t="str">
        <f t="shared" si="1"/>
        <v>#DIV/0!</v>
      </c>
    </row>
    <row r="770">
      <c r="A770" s="113"/>
      <c r="B770" s="113"/>
      <c r="C770" s="113"/>
      <c r="D770" s="114"/>
      <c r="E770" s="113"/>
      <c r="F770" s="113"/>
      <c r="G770" s="115"/>
      <c r="H770" s="116"/>
      <c r="I770" s="117" t="s">
        <v>261</v>
      </c>
      <c r="J770" s="117" t="s">
        <v>261</v>
      </c>
      <c r="K770" s="118"/>
      <c r="L770" s="119"/>
      <c r="M770" s="119"/>
      <c r="N770" s="120"/>
      <c r="O770" s="118"/>
      <c r="P770" s="118"/>
      <c r="Q770" s="118"/>
      <c r="R770" s="121">
        <v>0.67</v>
      </c>
      <c r="S770" s="122">
        <f>IFERROR(__xludf.DUMMYFUNCTION("((IFERROR(MIN(FILTER({K770, N770, Q770}, ISNUMBER({K770, N770, Q770}), {K770, N770, Q770} &gt; 0)), """"))*R770)+IFERROR(MIN(FILTER({K770, N770, Q770}, ISNUMBER({K770, N770, Q770}), {K770, N770, Q770} &gt; 0)), """")"),0.0)</f>
        <v>0</v>
      </c>
      <c r="T770" s="123" t="str">
        <f t="shared" si="1"/>
        <v>#DIV/0!</v>
      </c>
    </row>
    <row r="771">
      <c r="A771" s="113"/>
      <c r="B771" s="113"/>
      <c r="C771" s="113"/>
      <c r="D771" s="114"/>
      <c r="E771" s="113"/>
      <c r="F771" s="113"/>
      <c r="G771" s="115"/>
      <c r="H771" s="116"/>
      <c r="I771" s="117" t="s">
        <v>261</v>
      </c>
      <c r="J771" s="117" t="s">
        <v>261</v>
      </c>
      <c r="K771" s="118"/>
      <c r="L771" s="119"/>
      <c r="M771" s="119"/>
      <c r="N771" s="120"/>
      <c r="O771" s="118"/>
      <c r="P771" s="118"/>
      <c r="Q771" s="118"/>
      <c r="R771" s="121">
        <v>0.67</v>
      </c>
      <c r="S771" s="122">
        <f>IFERROR(__xludf.DUMMYFUNCTION("((IFERROR(MIN(FILTER({K771, N771, Q771}, ISNUMBER({K771, N771, Q771}), {K771, N771, Q771} &gt; 0)), """"))*R771)+IFERROR(MIN(FILTER({K771, N771, Q771}, ISNUMBER({K771, N771, Q771}), {K771, N771, Q771} &gt; 0)), """")"),0.0)</f>
        <v>0</v>
      </c>
      <c r="T771" s="123" t="str">
        <f t="shared" si="1"/>
        <v>#DIV/0!</v>
      </c>
    </row>
    <row r="772">
      <c r="A772" s="113"/>
      <c r="B772" s="113"/>
      <c r="C772" s="113"/>
      <c r="D772" s="114"/>
      <c r="E772" s="113"/>
      <c r="F772" s="113"/>
      <c r="G772" s="115"/>
      <c r="H772" s="116"/>
      <c r="I772" s="117" t="s">
        <v>261</v>
      </c>
      <c r="J772" s="117" t="s">
        <v>261</v>
      </c>
      <c r="K772" s="118"/>
      <c r="L772" s="119"/>
      <c r="M772" s="119"/>
      <c r="N772" s="120"/>
      <c r="O772" s="118"/>
      <c r="P772" s="118"/>
      <c r="Q772" s="118"/>
      <c r="R772" s="121">
        <v>0.67</v>
      </c>
      <c r="S772" s="122">
        <f>IFERROR(__xludf.DUMMYFUNCTION("((IFERROR(MIN(FILTER({K772, N772, Q772}, ISNUMBER({K772, N772, Q772}), {K772, N772, Q772} &gt; 0)), """"))*R772)+IFERROR(MIN(FILTER({K772, N772, Q772}, ISNUMBER({K772, N772, Q772}), {K772, N772, Q772} &gt; 0)), """")"),0.0)</f>
        <v>0</v>
      </c>
      <c r="T772" s="123" t="str">
        <f t="shared" si="1"/>
        <v>#DIV/0!</v>
      </c>
    </row>
    <row r="773">
      <c r="A773" s="113"/>
      <c r="B773" s="113"/>
      <c r="C773" s="113"/>
      <c r="D773" s="114"/>
      <c r="E773" s="113"/>
      <c r="F773" s="113"/>
      <c r="G773" s="115"/>
      <c r="H773" s="116"/>
      <c r="I773" s="117" t="s">
        <v>261</v>
      </c>
      <c r="J773" s="117" t="s">
        <v>261</v>
      </c>
      <c r="K773" s="118"/>
      <c r="L773" s="119"/>
      <c r="M773" s="119"/>
      <c r="N773" s="120"/>
      <c r="O773" s="118"/>
      <c r="P773" s="118"/>
      <c r="Q773" s="118"/>
      <c r="R773" s="121">
        <v>0.67</v>
      </c>
      <c r="S773" s="122">
        <f>IFERROR(__xludf.DUMMYFUNCTION("((IFERROR(MIN(FILTER({K773, N773, Q773}, ISNUMBER({K773, N773, Q773}), {K773, N773, Q773} &gt; 0)), """"))*R773)+IFERROR(MIN(FILTER({K773, N773, Q773}, ISNUMBER({K773, N773, Q773}), {K773, N773, Q773} &gt; 0)), """")"),0.0)</f>
        <v>0</v>
      </c>
      <c r="T773" s="123" t="str">
        <f t="shared" si="1"/>
        <v>#DIV/0!</v>
      </c>
    </row>
    <row r="774">
      <c r="A774" s="113"/>
      <c r="B774" s="113"/>
      <c r="C774" s="113"/>
      <c r="D774" s="114"/>
      <c r="E774" s="113"/>
      <c r="F774" s="113"/>
      <c r="G774" s="115"/>
      <c r="H774" s="116"/>
      <c r="I774" s="117" t="s">
        <v>261</v>
      </c>
      <c r="J774" s="117" t="s">
        <v>261</v>
      </c>
      <c r="K774" s="118"/>
      <c r="L774" s="119"/>
      <c r="M774" s="119"/>
      <c r="N774" s="120"/>
      <c r="O774" s="118"/>
      <c r="P774" s="118"/>
      <c r="Q774" s="118"/>
      <c r="R774" s="121">
        <v>0.67</v>
      </c>
      <c r="S774" s="122">
        <f>IFERROR(__xludf.DUMMYFUNCTION("((IFERROR(MIN(FILTER({K774, N774, Q774}, ISNUMBER({K774, N774, Q774}), {K774, N774, Q774} &gt; 0)), """"))*R774)+IFERROR(MIN(FILTER({K774, N774, Q774}, ISNUMBER({K774, N774, Q774}), {K774, N774, Q774} &gt; 0)), """")"),0.0)</f>
        <v>0</v>
      </c>
      <c r="T774" s="123" t="str">
        <f t="shared" si="1"/>
        <v>#DIV/0!</v>
      </c>
    </row>
    <row r="775">
      <c r="A775" s="113"/>
      <c r="B775" s="113"/>
      <c r="C775" s="113"/>
      <c r="D775" s="114"/>
      <c r="E775" s="113"/>
      <c r="F775" s="113"/>
      <c r="G775" s="115"/>
      <c r="H775" s="116"/>
      <c r="I775" s="117" t="s">
        <v>261</v>
      </c>
      <c r="J775" s="117" t="s">
        <v>261</v>
      </c>
      <c r="K775" s="118"/>
      <c r="L775" s="119"/>
      <c r="M775" s="119"/>
      <c r="N775" s="120"/>
      <c r="O775" s="118"/>
      <c r="P775" s="118"/>
      <c r="Q775" s="118"/>
      <c r="R775" s="121">
        <v>0.67</v>
      </c>
      <c r="S775" s="122">
        <f>IFERROR(__xludf.DUMMYFUNCTION("((IFERROR(MIN(FILTER({K775, N775, Q775}, ISNUMBER({K775, N775, Q775}), {K775, N775, Q775} &gt; 0)), """"))*R775)+IFERROR(MIN(FILTER({K775, N775, Q775}, ISNUMBER({K775, N775, Q775}), {K775, N775, Q775} &gt; 0)), """")"),0.0)</f>
        <v>0</v>
      </c>
      <c r="T775" s="123" t="str">
        <f t="shared" si="1"/>
        <v>#DIV/0!</v>
      </c>
    </row>
    <row r="776">
      <c r="A776" s="113"/>
      <c r="B776" s="113"/>
      <c r="C776" s="113"/>
      <c r="D776" s="114"/>
      <c r="E776" s="113"/>
      <c r="F776" s="113"/>
      <c r="G776" s="115"/>
      <c r="H776" s="116"/>
      <c r="I776" s="117" t="s">
        <v>261</v>
      </c>
      <c r="J776" s="117" t="s">
        <v>261</v>
      </c>
      <c r="K776" s="118"/>
      <c r="L776" s="119"/>
      <c r="M776" s="119"/>
      <c r="N776" s="120"/>
      <c r="O776" s="118"/>
      <c r="P776" s="118"/>
      <c r="Q776" s="118"/>
      <c r="R776" s="121">
        <v>0.67</v>
      </c>
      <c r="S776" s="122">
        <f>IFERROR(__xludf.DUMMYFUNCTION("((IFERROR(MIN(FILTER({K776, N776, Q776}, ISNUMBER({K776, N776, Q776}), {K776, N776, Q776} &gt; 0)), """"))*R776)+IFERROR(MIN(FILTER({K776, N776, Q776}, ISNUMBER({K776, N776, Q776}), {K776, N776, Q776} &gt; 0)), """")"),0.0)</f>
        <v>0</v>
      </c>
      <c r="T776" s="123" t="str">
        <f t="shared" si="1"/>
        <v>#DIV/0!</v>
      </c>
    </row>
    <row r="777">
      <c r="A777" s="113"/>
      <c r="B777" s="113"/>
      <c r="C777" s="113"/>
      <c r="D777" s="114"/>
      <c r="E777" s="113"/>
      <c r="F777" s="113"/>
      <c r="G777" s="115"/>
      <c r="H777" s="116"/>
      <c r="I777" s="117" t="s">
        <v>261</v>
      </c>
      <c r="J777" s="117" t="s">
        <v>261</v>
      </c>
      <c r="K777" s="118"/>
      <c r="L777" s="119"/>
      <c r="M777" s="119"/>
      <c r="N777" s="120"/>
      <c r="O777" s="118"/>
      <c r="P777" s="118"/>
      <c r="Q777" s="118"/>
      <c r="R777" s="121">
        <v>0.67</v>
      </c>
      <c r="S777" s="122">
        <f>IFERROR(__xludf.DUMMYFUNCTION("((IFERROR(MIN(FILTER({K777, N777, Q777}, ISNUMBER({K777, N777, Q777}), {K777, N777, Q777} &gt; 0)), """"))*R777)+IFERROR(MIN(FILTER({K777, N777, Q777}, ISNUMBER({K777, N777, Q777}), {K777, N777, Q777} &gt; 0)), """")"),0.0)</f>
        <v>0</v>
      </c>
      <c r="T777" s="123" t="str">
        <f t="shared" si="1"/>
        <v>#DIV/0!</v>
      </c>
    </row>
    <row r="778">
      <c r="A778" s="113"/>
      <c r="B778" s="113"/>
      <c r="C778" s="113"/>
      <c r="D778" s="114"/>
      <c r="E778" s="113"/>
      <c r="F778" s="113"/>
      <c r="G778" s="115"/>
      <c r="H778" s="116"/>
      <c r="I778" s="117" t="s">
        <v>261</v>
      </c>
      <c r="J778" s="117" t="s">
        <v>261</v>
      </c>
      <c r="K778" s="118"/>
      <c r="L778" s="119"/>
      <c r="M778" s="119"/>
      <c r="N778" s="120"/>
      <c r="O778" s="118"/>
      <c r="P778" s="118"/>
      <c r="Q778" s="118"/>
      <c r="R778" s="121">
        <v>0.67</v>
      </c>
      <c r="S778" s="122">
        <f>IFERROR(__xludf.DUMMYFUNCTION("((IFERROR(MIN(FILTER({K778, N778, Q778}, ISNUMBER({K778, N778, Q778}), {K778, N778, Q778} &gt; 0)), """"))*R778)+IFERROR(MIN(FILTER({K778, N778, Q778}, ISNUMBER({K778, N778, Q778}), {K778, N778, Q778} &gt; 0)), """")"),0.0)</f>
        <v>0</v>
      </c>
      <c r="T778" s="123" t="str">
        <f t="shared" si="1"/>
        <v>#DIV/0!</v>
      </c>
    </row>
    <row r="779">
      <c r="A779" s="113"/>
      <c r="B779" s="113"/>
      <c r="C779" s="113"/>
      <c r="D779" s="114"/>
      <c r="E779" s="113"/>
      <c r="F779" s="113"/>
      <c r="G779" s="115"/>
      <c r="H779" s="116"/>
      <c r="I779" s="117" t="s">
        <v>261</v>
      </c>
      <c r="J779" s="117" t="s">
        <v>261</v>
      </c>
      <c r="K779" s="118"/>
      <c r="L779" s="119"/>
      <c r="M779" s="119"/>
      <c r="N779" s="120"/>
      <c r="O779" s="118"/>
      <c r="P779" s="118"/>
      <c r="Q779" s="118"/>
      <c r="R779" s="121">
        <v>0.67</v>
      </c>
      <c r="S779" s="122">
        <f>IFERROR(__xludf.DUMMYFUNCTION("((IFERROR(MIN(FILTER({K779, N779, Q779}, ISNUMBER({K779, N779, Q779}), {K779, N779, Q779} &gt; 0)), """"))*R779)+IFERROR(MIN(FILTER({K779, N779, Q779}, ISNUMBER({K779, N779, Q779}), {K779, N779, Q779} &gt; 0)), """")"),0.0)</f>
        <v>0</v>
      </c>
      <c r="T779" s="123" t="str">
        <f t="shared" si="1"/>
        <v>#DIV/0!</v>
      </c>
    </row>
    <row r="780">
      <c r="A780" s="113"/>
      <c r="B780" s="113"/>
      <c r="C780" s="113"/>
      <c r="D780" s="114"/>
      <c r="E780" s="113"/>
      <c r="F780" s="113"/>
      <c r="G780" s="115"/>
      <c r="H780" s="116"/>
      <c r="I780" s="117" t="s">
        <v>261</v>
      </c>
      <c r="J780" s="117" t="s">
        <v>261</v>
      </c>
      <c r="K780" s="118"/>
      <c r="L780" s="119"/>
      <c r="M780" s="119"/>
      <c r="N780" s="120"/>
      <c r="O780" s="118"/>
      <c r="P780" s="118"/>
      <c r="Q780" s="118"/>
      <c r="R780" s="121">
        <v>0.67</v>
      </c>
      <c r="S780" s="122">
        <f>IFERROR(__xludf.DUMMYFUNCTION("((IFERROR(MIN(FILTER({K780, N780, Q780}, ISNUMBER({K780, N780, Q780}), {K780, N780, Q780} &gt; 0)), """"))*R780)+IFERROR(MIN(FILTER({K780, N780, Q780}, ISNUMBER({K780, N780, Q780}), {K780, N780, Q780} &gt; 0)), """")"),0.0)</f>
        <v>0</v>
      </c>
      <c r="T780" s="123" t="str">
        <f t="shared" si="1"/>
        <v>#DIV/0!</v>
      </c>
    </row>
    <row r="781">
      <c r="A781" s="113"/>
      <c r="B781" s="113"/>
      <c r="C781" s="113"/>
      <c r="D781" s="114"/>
      <c r="E781" s="113"/>
      <c r="F781" s="113"/>
      <c r="G781" s="115"/>
      <c r="H781" s="116"/>
      <c r="I781" s="117" t="s">
        <v>261</v>
      </c>
      <c r="J781" s="117" t="s">
        <v>261</v>
      </c>
      <c r="K781" s="118"/>
      <c r="L781" s="119"/>
      <c r="M781" s="119"/>
      <c r="N781" s="120"/>
      <c r="O781" s="118"/>
      <c r="P781" s="118"/>
      <c r="Q781" s="118"/>
      <c r="R781" s="121">
        <v>0.67</v>
      </c>
      <c r="S781" s="122">
        <f>IFERROR(__xludf.DUMMYFUNCTION("((IFERROR(MIN(FILTER({K781, N781, Q781}, ISNUMBER({K781, N781, Q781}), {K781, N781, Q781} &gt; 0)), """"))*R781)+IFERROR(MIN(FILTER({K781, N781, Q781}, ISNUMBER({K781, N781, Q781}), {K781, N781, Q781} &gt; 0)), """")"),0.0)</f>
        <v>0</v>
      </c>
      <c r="T781" s="123" t="str">
        <f t="shared" si="1"/>
        <v>#DIV/0!</v>
      </c>
    </row>
    <row r="782">
      <c r="A782" s="113"/>
      <c r="B782" s="113"/>
      <c r="C782" s="113"/>
      <c r="D782" s="114"/>
      <c r="E782" s="113"/>
      <c r="F782" s="113"/>
      <c r="G782" s="115"/>
      <c r="H782" s="116"/>
      <c r="I782" s="117" t="s">
        <v>261</v>
      </c>
      <c r="J782" s="117" t="s">
        <v>261</v>
      </c>
      <c r="K782" s="118"/>
      <c r="L782" s="119"/>
      <c r="M782" s="119"/>
      <c r="N782" s="120"/>
      <c r="O782" s="118"/>
      <c r="P782" s="118"/>
      <c r="Q782" s="118"/>
      <c r="R782" s="121">
        <v>0.67</v>
      </c>
      <c r="S782" s="122">
        <f>IFERROR(__xludf.DUMMYFUNCTION("((IFERROR(MIN(FILTER({K782, N782, Q782}, ISNUMBER({K782, N782, Q782}), {K782, N782, Q782} &gt; 0)), """"))*R782)+IFERROR(MIN(FILTER({K782, N782, Q782}, ISNUMBER({K782, N782, Q782}), {K782, N782, Q782} &gt; 0)), """")"),0.0)</f>
        <v>0</v>
      </c>
      <c r="T782" s="123" t="str">
        <f t="shared" si="1"/>
        <v>#DIV/0!</v>
      </c>
    </row>
    <row r="783">
      <c r="A783" s="113"/>
      <c r="B783" s="113"/>
      <c r="C783" s="113"/>
      <c r="D783" s="114"/>
      <c r="E783" s="113"/>
      <c r="F783" s="113"/>
      <c r="G783" s="115"/>
      <c r="H783" s="116"/>
      <c r="I783" s="117" t="s">
        <v>261</v>
      </c>
      <c r="J783" s="117" t="s">
        <v>261</v>
      </c>
      <c r="K783" s="118"/>
      <c r="L783" s="119"/>
      <c r="M783" s="119"/>
      <c r="N783" s="120"/>
      <c r="O783" s="118"/>
      <c r="P783" s="118"/>
      <c r="Q783" s="118"/>
      <c r="R783" s="121">
        <v>0.67</v>
      </c>
      <c r="S783" s="122">
        <f>IFERROR(__xludf.DUMMYFUNCTION("((IFERROR(MIN(FILTER({K783, N783, Q783}, ISNUMBER({K783, N783, Q783}), {K783, N783, Q783} &gt; 0)), """"))*R783)+IFERROR(MIN(FILTER({K783, N783, Q783}, ISNUMBER({K783, N783, Q783}), {K783, N783, Q783} &gt; 0)), """")"),0.0)</f>
        <v>0</v>
      </c>
      <c r="T783" s="123" t="str">
        <f t="shared" si="1"/>
        <v>#DIV/0!</v>
      </c>
    </row>
    <row r="784">
      <c r="A784" s="113"/>
      <c r="B784" s="113"/>
      <c r="C784" s="113"/>
      <c r="D784" s="114"/>
      <c r="E784" s="113"/>
      <c r="F784" s="113"/>
      <c r="G784" s="115"/>
      <c r="H784" s="116"/>
      <c r="I784" s="117" t="s">
        <v>261</v>
      </c>
      <c r="J784" s="117" t="s">
        <v>261</v>
      </c>
      <c r="K784" s="118"/>
      <c r="L784" s="119"/>
      <c r="M784" s="119"/>
      <c r="N784" s="120"/>
      <c r="O784" s="118"/>
      <c r="P784" s="118"/>
      <c r="Q784" s="118"/>
      <c r="R784" s="121">
        <v>0.67</v>
      </c>
      <c r="S784" s="122">
        <f>IFERROR(__xludf.DUMMYFUNCTION("((IFERROR(MIN(FILTER({K784, N784, Q784}, ISNUMBER({K784, N784, Q784}), {K784, N784, Q784} &gt; 0)), """"))*R784)+IFERROR(MIN(FILTER({K784, N784, Q784}, ISNUMBER({K784, N784, Q784}), {K784, N784, Q784} &gt; 0)), """")"),0.0)</f>
        <v>0</v>
      </c>
      <c r="T784" s="123" t="str">
        <f t="shared" si="1"/>
        <v>#DIV/0!</v>
      </c>
    </row>
    <row r="785">
      <c r="A785" s="113"/>
      <c r="B785" s="113"/>
      <c r="C785" s="113"/>
      <c r="D785" s="114"/>
      <c r="E785" s="113"/>
      <c r="F785" s="113"/>
      <c r="G785" s="115"/>
      <c r="H785" s="116"/>
      <c r="I785" s="117" t="s">
        <v>261</v>
      </c>
      <c r="J785" s="117" t="s">
        <v>261</v>
      </c>
      <c r="K785" s="118"/>
      <c r="L785" s="119"/>
      <c r="M785" s="119"/>
      <c r="N785" s="120"/>
      <c r="O785" s="118"/>
      <c r="P785" s="118"/>
      <c r="Q785" s="118"/>
      <c r="R785" s="121">
        <v>0.67</v>
      </c>
      <c r="S785" s="122">
        <f>IFERROR(__xludf.DUMMYFUNCTION("((IFERROR(MIN(FILTER({K785, N785, Q785}, ISNUMBER({K785, N785, Q785}), {K785, N785, Q785} &gt; 0)), """"))*R785)+IFERROR(MIN(FILTER({K785, N785, Q785}, ISNUMBER({K785, N785, Q785}), {K785, N785, Q785} &gt; 0)), """")"),0.0)</f>
        <v>0</v>
      </c>
      <c r="T785" s="123" t="str">
        <f t="shared" si="1"/>
        <v>#DIV/0!</v>
      </c>
    </row>
    <row r="786">
      <c r="A786" s="113"/>
      <c r="B786" s="113"/>
      <c r="C786" s="113"/>
      <c r="D786" s="114"/>
      <c r="E786" s="113"/>
      <c r="F786" s="113"/>
      <c r="G786" s="115"/>
      <c r="H786" s="116"/>
      <c r="I786" s="117" t="s">
        <v>261</v>
      </c>
      <c r="J786" s="117" t="s">
        <v>261</v>
      </c>
      <c r="K786" s="118"/>
      <c r="L786" s="119"/>
      <c r="M786" s="119"/>
      <c r="N786" s="120"/>
      <c r="O786" s="118"/>
      <c r="P786" s="118"/>
      <c r="Q786" s="118"/>
      <c r="R786" s="121">
        <v>0.67</v>
      </c>
      <c r="S786" s="122">
        <f>IFERROR(__xludf.DUMMYFUNCTION("((IFERROR(MIN(FILTER({K786, N786, Q786}, ISNUMBER({K786, N786, Q786}), {K786, N786, Q786} &gt; 0)), """"))*R786)+IFERROR(MIN(FILTER({K786, N786, Q786}, ISNUMBER({K786, N786, Q786}), {K786, N786, Q786} &gt; 0)), """")"),0.0)</f>
        <v>0</v>
      </c>
      <c r="T786" s="123" t="str">
        <f t="shared" si="1"/>
        <v>#DIV/0!</v>
      </c>
    </row>
    <row r="787">
      <c r="A787" s="113"/>
      <c r="B787" s="113"/>
      <c r="C787" s="113"/>
      <c r="D787" s="114"/>
      <c r="E787" s="113"/>
      <c r="F787" s="113"/>
      <c r="G787" s="115"/>
      <c r="H787" s="116"/>
      <c r="I787" s="117" t="s">
        <v>261</v>
      </c>
      <c r="J787" s="117" t="s">
        <v>261</v>
      </c>
      <c r="K787" s="118"/>
      <c r="L787" s="119"/>
      <c r="M787" s="119"/>
      <c r="N787" s="120"/>
      <c r="O787" s="118"/>
      <c r="P787" s="118"/>
      <c r="Q787" s="118"/>
      <c r="R787" s="121">
        <v>0.67</v>
      </c>
      <c r="S787" s="122">
        <f>IFERROR(__xludf.DUMMYFUNCTION("((IFERROR(MIN(FILTER({K787, N787, Q787}, ISNUMBER({K787, N787, Q787}), {K787, N787, Q787} &gt; 0)), """"))*R787)+IFERROR(MIN(FILTER({K787, N787, Q787}, ISNUMBER({K787, N787, Q787}), {K787, N787, Q787} &gt; 0)), """")"),0.0)</f>
        <v>0</v>
      </c>
      <c r="T787" s="123" t="str">
        <f t="shared" si="1"/>
        <v>#DIV/0!</v>
      </c>
    </row>
    <row r="788">
      <c r="A788" s="113"/>
      <c r="B788" s="113"/>
      <c r="C788" s="113"/>
      <c r="D788" s="114"/>
      <c r="E788" s="113"/>
      <c r="F788" s="113"/>
      <c r="G788" s="115"/>
      <c r="H788" s="116"/>
      <c r="I788" s="117" t="s">
        <v>261</v>
      </c>
      <c r="J788" s="117" t="s">
        <v>261</v>
      </c>
      <c r="K788" s="118"/>
      <c r="L788" s="119"/>
      <c r="M788" s="119"/>
      <c r="N788" s="120"/>
      <c r="O788" s="118"/>
      <c r="P788" s="118"/>
      <c r="Q788" s="118"/>
      <c r="R788" s="121">
        <v>0.67</v>
      </c>
      <c r="S788" s="122">
        <f>IFERROR(__xludf.DUMMYFUNCTION("((IFERROR(MIN(FILTER({K788, N788, Q788}, ISNUMBER({K788, N788, Q788}), {K788, N788, Q788} &gt; 0)), """"))*R788)+IFERROR(MIN(FILTER({K788, N788, Q788}, ISNUMBER({K788, N788, Q788}), {K788, N788, Q788} &gt; 0)), """")"),0.0)</f>
        <v>0</v>
      </c>
      <c r="T788" s="123" t="str">
        <f t="shared" si="1"/>
        <v>#DIV/0!</v>
      </c>
    </row>
    <row r="789">
      <c r="A789" s="113"/>
      <c r="B789" s="113"/>
      <c r="C789" s="113"/>
      <c r="D789" s="114"/>
      <c r="E789" s="113"/>
      <c r="F789" s="113"/>
      <c r="G789" s="115"/>
      <c r="H789" s="116"/>
      <c r="I789" s="117" t="s">
        <v>261</v>
      </c>
      <c r="J789" s="117" t="s">
        <v>261</v>
      </c>
      <c r="K789" s="118"/>
      <c r="L789" s="119"/>
      <c r="M789" s="119"/>
      <c r="N789" s="120"/>
      <c r="O789" s="118"/>
      <c r="P789" s="118"/>
      <c r="Q789" s="118"/>
      <c r="R789" s="121">
        <v>0.67</v>
      </c>
      <c r="S789" s="122">
        <f>IFERROR(__xludf.DUMMYFUNCTION("((IFERROR(MIN(FILTER({K789, N789, Q789}, ISNUMBER({K789, N789, Q789}), {K789, N789, Q789} &gt; 0)), """"))*R789)+IFERROR(MIN(FILTER({K789, N789, Q789}, ISNUMBER({K789, N789, Q789}), {K789, N789, Q789} &gt; 0)), """")"),0.0)</f>
        <v>0</v>
      </c>
      <c r="T789" s="123" t="str">
        <f t="shared" si="1"/>
        <v>#DIV/0!</v>
      </c>
    </row>
    <row r="790">
      <c r="A790" s="113"/>
      <c r="B790" s="113"/>
      <c r="C790" s="113"/>
      <c r="D790" s="114"/>
      <c r="E790" s="113"/>
      <c r="F790" s="113"/>
      <c r="G790" s="115"/>
      <c r="H790" s="116"/>
      <c r="I790" s="117" t="s">
        <v>261</v>
      </c>
      <c r="J790" s="117" t="s">
        <v>261</v>
      </c>
      <c r="K790" s="118"/>
      <c r="L790" s="119"/>
      <c r="M790" s="119"/>
      <c r="N790" s="120"/>
      <c r="O790" s="118"/>
      <c r="P790" s="118"/>
      <c r="Q790" s="118"/>
      <c r="R790" s="121">
        <v>0.67</v>
      </c>
      <c r="S790" s="122">
        <f>IFERROR(__xludf.DUMMYFUNCTION("((IFERROR(MIN(FILTER({K790, N790, Q790}, ISNUMBER({K790, N790, Q790}), {K790, N790, Q790} &gt; 0)), """"))*R790)+IFERROR(MIN(FILTER({K790, N790, Q790}, ISNUMBER({K790, N790, Q790}), {K790, N790, Q790} &gt; 0)), """")"),0.0)</f>
        <v>0</v>
      </c>
      <c r="T790" s="123" t="str">
        <f t="shared" si="1"/>
        <v>#DIV/0!</v>
      </c>
    </row>
    <row r="791">
      <c r="A791" s="113"/>
      <c r="B791" s="113"/>
      <c r="C791" s="113"/>
      <c r="D791" s="114"/>
      <c r="E791" s="113"/>
      <c r="F791" s="113"/>
      <c r="G791" s="115"/>
      <c r="H791" s="116"/>
      <c r="I791" s="117" t="s">
        <v>261</v>
      </c>
      <c r="J791" s="117" t="s">
        <v>261</v>
      </c>
      <c r="K791" s="118"/>
      <c r="L791" s="119"/>
      <c r="M791" s="119"/>
      <c r="N791" s="120"/>
      <c r="O791" s="118"/>
      <c r="P791" s="118"/>
      <c r="Q791" s="118"/>
      <c r="R791" s="121">
        <v>0.67</v>
      </c>
      <c r="S791" s="122">
        <f>IFERROR(__xludf.DUMMYFUNCTION("((IFERROR(MIN(FILTER({K791, N791, Q791}, ISNUMBER({K791, N791, Q791}), {K791, N791, Q791} &gt; 0)), """"))*R791)+IFERROR(MIN(FILTER({K791, N791, Q791}, ISNUMBER({K791, N791, Q791}), {K791, N791, Q791} &gt; 0)), """")"),0.0)</f>
        <v>0</v>
      </c>
      <c r="T791" s="123" t="str">
        <f t="shared" si="1"/>
        <v>#DIV/0!</v>
      </c>
    </row>
    <row r="792">
      <c r="A792" s="113"/>
      <c r="B792" s="113"/>
      <c r="C792" s="113"/>
      <c r="D792" s="114"/>
      <c r="E792" s="113"/>
      <c r="F792" s="113"/>
      <c r="G792" s="115"/>
      <c r="H792" s="116"/>
      <c r="I792" s="117" t="s">
        <v>261</v>
      </c>
      <c r="J792" s="117" t="s">
        <v>261</v>
      </c>
      <c r="K792" s="118"/>
      <c r="L792" s="119"/>
      <c r="M792" s="119"/>
      <c r="N792" s="120"/>
      <c r="O792" s="118"/>
      <c r="P792" s="118"/>
      <c r="Q792" s="118"/>
      <c r="R792" s="121">
        <v>0.67</v>
      </c>
      <c r="S792" s="122">
        <f>IFERROR(__xludf.DUMMYFUNCTION("((IFERROR(MIN(FILTER({K792, N792, Q792}, ISNUMBER({K792, N792, Q792}), {K792, N792, Q792} &gt; 0)), """"))*R792)+IFERROR(MIN(FILTER({K792, N792, Q792}, ISNUMBER({K792, N792, Q792}), {K792, N792, Q792} &gt; 0)), """")"),0.0)</f>
        <v>0</v>
      </c>
      <c r="T792" s="123" t="str">
        <f t="shared" si="1"/>
        <v>#DIV/0!</v>
      </c>
    </row>
    <row r="793">
      <c r="A793" s="113"/>
      <c r="B793" s="113"/>
      <c r="C793" s="113"/>
      <c r="D793" s="114"/>
      <c r="E793" s="113"/>
      <c r="F793" s="113"/>
      <c r="G793" s="115"/>
      <c r="H793" s="116"/>
      <c r="I793" s="117" t="s">
        <v>261</v>
      </c>
      <c r="J793" s="117" t="s">
        <v>261</v>
      </c>
      <c r="K793" s="118"/>
      <c r="L793" s="119"/>
      <c r="M793" s="119"/>
      <c r="N793" s="120"/>
      <c r="O793" s="118"/>
      <c r="P793" s="118"/>
      <c r="Q793" s="118"/>
      <c r="R793" s="121">
        <v>0.67</v>
      </c>
      <c r="S793" s="122">
        <f>IFERROR(__xludf.DUMMYFUNCTION("((IFERROR(MIN(FILTER({K793, N793, Q793}, ISNUMBER({K793, N793, Q793}), {K793, N793, Q793} &gt; 0)), """"))*R793)+IFERROR(MIN(FILTER({K793, N793, Q793}, ISNUMBER({K793, N793, Q793}), {K793, N793, Q793} &gt; 0)), """")"),0.0)</f>
        <v>0</v>
      </c>
      <c r="T793" s="123" t="str">
        <f t="shared" si="1"/>
        <v>#DIV/0!</v>
      </c>
    </row>
    <row r="794">
      <c r="A794" s="113"/>
      <c r="B794" s="113"/>
      <c r="C794" s="113"/>
      <c r="D794" s="114"/>
      <c r="E794" s="113"/>
      <c r="F794" s="113"/>
      <c r="G794" s="115"/>
      <c r="H794" s="116"/>
      <c r="I794" s="117" t="s">
        <v>261</v>
      </c>
      <c r="J794" s="117" t="s">
        <v>261</v>
      </c>
      <c r="K794" s="118"/>
      <c r="L794" s="119"/>
      <c r="M794" s="119"/>
      <c r="N794" s="120"/>
      <c r="O794" s="118"/>
      <c r="P794" s="118"/>
      <c r="Q794" s="118"/>
      <c r="R794" s="121">
        <v>0.67</v>
      </c>
      <c r="S794" s="122">
        <f>IFERROR(__xludf.DUMMYFUNCTION("((IFERROR(MIN(FILTER({K794, N794, Q794}, ISNUMBER({K794, N794, Q794}), {K794, N794, Q794} &gt; 0)), """"))*R794)+IFERROR(MIN(FILTER({K794, N794, Q794}, ISNUMBER({K794, N794, Q794}), {K794, N794, Q794} &gt; 0)), """")"),0.0)</f>
        <v>0</v>
      </c>
      <c r="T794" s="123" t="str">
        <f t="shared" si="1"/>
        <v>#DIV/0!</v>
      </c>
    </row>
    <row r="795">
      <c r="A795" s="113"/>
      <c r="B795" s="113"/>
      <c r="C795" s="113"/>
      <c r="D795" s="114"/>
      <c r="E795" s="113"/>
      <c r="F795" s="113"/>
      <c r="G795" s="115"/>
      <c r="H795" s="116"/>
      <c r="I795" s="117" t="s">
        <v>261</v>
      </c>
      <c r="J795" s="117" t="s">
        <v>261</v>
      </c>
      <c r="K795" s="118"/>
      <c r="L795" s="119"/>
      <c r="M795" s="119"/>
      <c r="N795" s="120"/>
      <c r="O795" s="118"/>
      <c r="P795" s="118"/>
      <c r="Q795" s="118"/>
      <c r="R795" s="121">
        <v>0.67</v>
      </c>
      <c r="S795" s="122">
        <f>IFERROR(__xludf.DUMMYFUNCTION("((IFERROR(MIN(FILTER({K795, N795, Q795}, ISNUMBER({K795, N795, Q795}), {K795, N795, Q795} &gt; 0)), """"))*R795)+IFERROR(MIN(FILTER({K795, N795, Q795}, ISNUMBER({K795, N795, Q795}), {K795, N795, Q795} &gt; 0)), """")"),0.0)</f>
        <v>0</v>
      </c>
      <c r="T795" s="123" t="str">
        <f t="shared" si="1"/>
        <v>#DIV/0!</v>
      </c>
    </row>
    <row r="796">
      <c r="A796" s="113"/>
      <c r="B796" s="113"/>
      <c r="C796" s="113"/>
      <c r="D796" s="114"/>
      <c r="E796" s="113"/>
      <c r="F796" s="113"/>
      <c r="G796" s="115"/>
      <c r="H796" s="116"/>
      <c r="I796" s="117" t="s">
        <v>261</v>
      </c>
      <c r="J796" s="117" t="s">
        <v>261</v>
      </c>
      <c r="K796" s="118"/>
      <c r="L796" s="119"/>
      <c r="M796" s="119"/>
      <c r="N796" s="120"/>
      <c r="O796" s="118"/>
      <c r="P796" s="118"/>
      <c r="Q796" s="118"/>
      <c r="R796" s="121">
        <v>0.67</v>
      </c>
      <c r="S796" s="122">
        <f>IFERROR(__xludf.DUMMYFUNCTION("((IFERROR(MIN(FILTER({K796, N796, Q796}, ISNUMBER({K796, N796, Q796}), {K796, N796, Q796} &gt; 0)), """"))*R796)+IFERROR(MIN(FILTER({K796, N796, Q796}, ISNUMBER({K796, N796, Q796}), {K796, N796, Q796} &gt; 0)), """")"),0.0)</f>
        <v>0</v>
      </c>
      <c r="T796" s="123" t="str">
        <f t="shared" si="1"/>
        <v>#DIV/0!</v>
      </c>
    </row>
    <row r="797">
      <c r="A797" s="113"/>
      <c r="B797" s="113"/>
      <c r="C797" s="113"/>
      <c r="D797" s="114"/>
      <c r="E797" s="113"/>
      <c r="F797" s="113"/>
      <c r="G797" s="115"/>
      <c r="H797" s="116"/>
      <c r="I797" s="117" t="s">
        <v>261</v>
      </c>
      <c r="J797" s="117" t="s">
        <v>261</v>
      </c>
      <c r="K797" s="118"/>
      <c r="L797" s="119"/>
      <c r="M797" s="119"/>
      <c r="N797" s="120"/>
      <c r="O797" s="118"/>
      <c r="P797" s="118"/>
      <c r="Q797" s="118"/>
      <c r="R797" s="121">
        <v>0.67</v>
      </c>
      <c r="S797" s="122">
        <f>IFERROR(__xludf.DUMMYFUNCTION("((IFERROR(MIN(FILTER({K797, N797, Q797}, ISNUMBER({K797, N797, Q797}), {K797, N797, Q797} &gt; 0)), """"))*R797)+IFERROR(MIN(FILTER({K797, N797, Q797}, ISNUMBER({K797, N797, Q797}), {K797, N797, Q797} &gt; 0)), """")"),0.0)</f>
        <v>0</v>
      </c>
      <c r="T797" s="123" t="str">
        <f t="shared" si="1"/>
        <v>#DIV/0!</v>
      </c>
    </row>
    <row r="798">
      <c r="A798" s="113"/>
      <c r="B798" s="113"/>
      <c r="C798" s="113"/>
      <c r="D798" s="114"/>
      <c r="E798" s="113"/>
      <c r="F798" s="113"/>
      <c r="G798" s="115"/>
      <c r="H798" s="116"/>
      <c r="I798" s="117" t="s">
        <v>261</v>
      </c>
      <c r="J798" s="117" t="s">
        <v>261</v>
      </c>
      <c r="K798" s="118"/>
      <c r="L798" s="119"/>
      <c r="M798" s="119"/>
      <c r="N798" s="120"/>
      <c r="O798" s="118"/>
      <c r="P798" s="118"/>
      <c r="Q798" s="118"/>
      <c r="R798" s="121">
        <v>0.67</v>
      </c>
      <c r="S798" s="122">
        <f>IFERROR(__xludf.DUMMYFUNCTION("((IFERROR(MIN(FILTER({K798, N798, Q798}, ISNUMBER({K798, N798, Q798}), {K798, N798, Q798} &gt; 0)), """"))*R798)+IFERROR(MIN(FILTER({K798, N798, Q798}, ISNUMBER({K798, N798, Q798}), {K798, N798, Q798} &gt; 0)), """")"),0.0)</f>
        <v>0</v>
      </c>
      <c r="T798" s="123" t="str">
        <f t="shared" si="1"/>
        <v>#DIV/0!</v>
      </c>
    </row>
    <row r="799">
      <c r="A799" s="113"/>
      <c r="B799" s="113"/>
      <c r="C799" s="113"/>
      <c r="D799" s="114"/>
      <c r="E799" s="113"/>
      <c r="F799" s="113"/>
      <c r="G799" s="115"/>
      <c r="H799" s="116"/>
      <c r="I799" s="117" t="s">
        <v>261</v>
      </c>
      <c r="J799" s="117" t="s">
        <v>261</v>
      </c>
      <c r="K799" s="118"/>
      <c r="L799" s="119"/>
      <c r="M799" s="119"/>
      <c r="N799" s="120"/>
      <c r="O799" s="118"/>
      <c r="P799" s="118"/>
      <c r="Q799" s="118"/>
      <c r="R799" s="121">
        <v>0.67</v>
      </c>
      <c r="S799" s="122">
        <f>IFERROR(__xludf.DUMMYFUNCTION("((IFERROR(MIN(FILTER({K799, N799, Q799}, ISNUMBER({K799, N799, Q799}), {K799, N799, Q799} &gt; 0)), """"))*R799)+IFERROR(MIN(FILTER({K799, N799, Q799}, ISNUMBER({K799, N799, Q799}), {K799, N799, Q799} &gt; 0)), """")"),0.0)</f>
        <v>0</v>
      </c>
      <c r="T799" s="123" t="str">
        <f t="shared" si="1"/>
        <v>#DIV/0!</v>
      </c>
    </row>
    <row r="800">
      <c r="A800" s="113"/>
      <c r="B800" s="113"/>
      <c r="C800" s="113"/>
      <c r="D800" s="114"/>
      <c r="E800" s="113"/>
      <c r="F800" s="113"/>
      <c r="G800" s="115"/>
      <c r="H800" s="116"/>
      <c r="I800" s="117" t="s">
        <v>261</v>
      </c>
      <c r="J800" s="117" t="s">
        <v>261</v>
      </c>
      <c r="K800" s="118"/>
      <c r="L800" s="119"/>
      <c r="M800" s="119"/>
      <c r="N800" s="120"/>
      <c r="O800" s="118"/>
      <c r="P800" s="118"/>
      <c r="Q800" s="118"/>
      <c r="R800" s="121">
        <v>0.67</v>
      </c>
      <c r="S800" s="122">
        <f>IFERROR(__xludf.DUMMYFUNCTION("((IFERROR(MIN(FILTER({K800, N800, Q800}, ISNUMBER({K800, N800, Q800}), {K800, N800, Q800} &gt; 0)), """"))*R800)+IFERROR(MIN(FILTER({K800, N800, Q800}, ISNUMBER({K800, N800, Q800}), {K800, N800, Q800} &gt; 0)), """")"),0.0)</f>
        <v>0</v>
      </c>
      <c r="T800" s="123" t="str">
        <f t="shared" si="1"/>
        <v>#DIV/0!</v>
      </c>
    </row>
    <row r="801">
      <c r="A801" s="113"/>
      <c r="B801" s="113"/>
      <c r="C801" s="113"/>
      <c r="D801" s="114"/>
      <c r="E801" s="113"/>
      <c r="F801" s="113"/>
      <c r="G801" s="115"/>
      <c r="H801" s="116"/>
      <c r="I801" s="117" t="s">
        <v>261</v>
      </c>
      <c r="J801" s="117" t="s">
        <v>261</v>
      </c>
      <c r="K801" s="118"/>
      <c r="L801" s="119"/>
      <c r="M801" s="119"/>
      <c r="N801" s="120"/>
      <c r="O801" s="118"/>
      <c r="P801" s="118"/>
      <c r="Q801" s="118"/>
      <c r="R801" s="121">
        <v>0.67</v>
      </c>
      <c r="S801" s="122">
        <f>IFERROR(__xludf.DUMMYFUNCTION("((IFERROR(MIN(FILTER({K801, N801, Q801}, ISNUMBER({K801, N801, Q801}), {K801, N801, Q801} &gt; 0)), """"))*R801)+IFERROR(MIN(FILTER({K801, N801, Q801}, ISNUMBER({K801, N801, Q801}), {K801, N801, Q801} &gt; 0)), """")"),0.0)</f>
        <v>0</v>
      </c>
      <c r="T801" s="123" t="str">
        <f t="shared" si="1"/>
        <v>#DIV/0!</v>
      </c>
    </row>
    <row r="802">
      <c r="A802" s="113"/>
      <c r="B802" s="113"/>
      <c r="C802" s="113"/>
      <c r="D802" s="114"/>
      <c r="E802" s="113"/>
      <c r="F802" s="113"/>
      <c r="G802" s="115"/>
      <c r="H802" s="116"/>
      <c r="I802" s="117" t="s">
        <v>261</v>
      </c>
      <c r="J802" s="117" t="s">
        <v>261</v>
      </c>
      <c r="K802" s="118"/>
      <c r="L802" s="119"/>
      <c r="M802" s="119"/>
      <c r="N802" s="120"/>
      <c r="O802" s="118"/>
      <c r="P802" s="118"/>
      <c r="Q802" s="118"/>
      <c r="R802" s="121">
        <v>0.67</v>
      </c>
      <c r="S802" s="122">
        <f>IFERROR(__xludf.DUMMYFUNCTION("((IFERROR(MIN(FILTER({K802, N802, Q802}, ISNUMBER({K802, N802, Q802}), {K802, N802, Q802} &gt; 0)), """"))*R802)+IFERROR(MIN(FILTER({K802, N802, Q802}, ISNUMBER({K802, N802, Q802}), {K802, N802, Q802} &gt; 0)), """")"),0.0)</f>
        <v>0</v>
      </c>
      <c r="T802" s="123" t="str">
        <f t="shared" si="1"/>
        <v>#DIV/0!</v>
      </c>
    </row>
    <row r="803">
      <c r="A803" s="113"/>
      <c r="B803" s="113"/>
      <c r="C803" s="113"/>
      <c r="D803" s="114"/>
      <c r="E803" s="113"/>
      <c r="F803" s="113"/>
      <c r="G803" s="115"/>
      <c r="H803" s="116"/>
      <c r="I803" s="117" t="s">
        <v>261</v>
      </c>
      <c r="J803" s="117" t="s">
        <v>261</v>
      </c>
      <c r="K803" s="118"/>
      <c r="L803" s="119"/>
      <c r="M803" s="119"/>
      <c r="N803" s="120"/>
      <c r="O803" s="118"/>
      <c r="P803" s="118"/>
      <c r="Q803" s="118"/>
      <c r="R803" s="121">
        <v>0.67</v>
      </c>
      <c r="S803" s="122">
        <f>IFERROR(__xludf.DUMMYFUNCTION("((IFERROR(MIN(FILTER({K803, N803, Q803}, ISNUMBER({K803, N803, Q803}), {K803, N803, Q803} &gt; 0)), """"))*R803)+IFERROR(MIN(FILTER({K803, N803, Q803}, ISNUMBER({K803, N803, Q803}), {K803, N803, Q803} &gt; 0)), """")"),0.0)</f>
        <v>0</v>
      </c>
      <c r="T803" s="123" t="str">
        <f t="shared" si="1"/>
        <v>#DIV/0!</v>
      </c>
    </row>
    <row r="804">
      <c r="A804" s="113"/>
      <c r="B804" s="113"/>
      <c r="C804" s="113"/>
      <c r="D804" s="114"/>
      <c r="E804" s="113"/>
      <c r="F804" s="113"/>
      <c r="G804" s="115"/>
      <c r="H804" s="116"/>
      <c r="I804" s="117" t="s">
        <v>261</v>
      </c>
      <c r="J804" s="117" t="s">
        <v>261</v>
      </c>
      <c r="K804" s="118"/>
      <c r="L804" s="119"/>
      <c r="M804" s="119"/>
      <c r="N804" s="120"/>
      <c r="O804" s="118"/>
      <c r="P804" s="118"/>
      <c r="Q804" s="118"/>
      <c r="R804" s="121">
        <v>0.67</v>
      </c>
      <c r="S804" s="122">
        <f>IFERROR(__xludf.DUMMYFUNCTION("((IFERROR(MIN(FILTER({K804, N804, Q804}, ISNUMBER({K804, N804, Q804}), {K804, N804, Q804} &gt; 0)), """"))*R804)+IFERROR(MIN(FILTER({K804, N804, Q804}, ISNUMBER({K804, N804, Q804}), {K804, N804, Q804} &gt; 0)), """")"),0.0)</f>
        <v>0</v>
      </c>
      <c r="T804" s="123" t="str">
        <f t="shared" si="1"/>
        <v>#DIV/0!</v>
      </c>
    </row>
    <row r="805">
      <c r="A805" s="113"/>
      <c r="B805" s="113"/>
      <c r="C805" s="113"/>
      <c r="D805" s="114"/>
      <c r="E805" s="113"/>
      <c r="F805" s="113"/>
      <c r="G805" s="115"/>
      <c r="H805" s="116"/>
      <c r="I805" s="117" t="s">
        <v>261</v>
      </c>
      <c r="J805" s="117" t="s">
        <v>261</v>
      </c>
      <c r="K805" s="118"/>
      <c r="L805" s="119"/>
      <c r="M805" s="119"/>
      <c r="N805" s="120"/>
      <c r="O805" s="118"/>
      <c r="P805" s="118"/>
      <c r="Q805" s="118"/>
      <c r="R805" s="121">
        <v>0.67</v>
      </c>
      <c r="S805" s="122">
        <f>IFERROR(__xludf.DUMMYFUNCTION("((IFERROR(MIN(FILTER({K805, N805, Q805}, ISNUMBER({K805, N805, Q805}), {K805, N805, Q805} &gt; 0)), """"))*R805)+IFERROR(MIN(FILTER({K805, N805, Q805}, ISNUMBER({K805, N805, Q805}), {K805, N805, Q805} &gt; 0)), """")"),0.0)</f>
        <v>0</v>
      </c>
      <c r="T805" s="123" t="str">
        <f t="shared" si="1"/>
        <v>#DIV/0!</v>
      </c>
    </row>
    <row r="806">
      <c r="A806" s="113"/>
      <c r="B806" s="113"/>
      <c r="C806" s="113"/>
      <c r="D806" s="114"/>
      <c r="E806" s="113"/>
      <c r="F806" s="113"/>
      <c r="G806" s="115"/>
      <c r="H806" s="116"/>
      <c r="I806" s="117" t="s">
        <v>261</v>
      </c>
      <c r="J806" s="117" t="s">
        <v>261</v>
      </c>
      <c r="K806" s="118"/>
      <c r="L806" s="119"/>
      <c r="M806" s="119"/>
      <c r="N806" s="120"/>
      <c r="O806" s="118"/>
      <c r="P806" s="118"/>
      <c r="Q806" s="118"/>
      <c r="R806" s="121">
        <v>0.67</v>
      </c>
      <c r="S806" s="122">
        <f>IFERROR(__xludf.DUMMYFUNCTION("((IFERROR(MIN(FILTER({K806, N806, Q806}, ISNUMBER({K806, N806, Q806}), {K806, N806, Q806} &gt; 0)), """"))*R806)+IFERROR(MIN(FILTER({K806, N806, Q806}, ISNUMBER({K806, N806, Q806}), {K806, N806, Q806} &gt; 0)), """")"),0.0)</f>
        <v>0</v>
      </c>
      <c r="T806" s="123" t="str">
        <f t="shared" si="1"/>
        <v>#DIV/0!</v>
      </c>
    </row>
    <row r="807">
      <c r="A807" s="113"/>
      <c r="B807" s="113"/>
      <c r="C807" s="113"/>
      <c r="D807" s="114"/>
      <c r="E807" s="113"/>
      <c r="F807" s="113"/>
      <c r="G807" s="115"/>
      <c r="H807" s="116"/>
      <c r="I807" s="117" t="s">
        <v>261</v>
      </c>
      <c r="J807" s="117" t="s">
        <v>261</v>
      </c>
      <c r="K807" s="118"/>
      <c r="L807" s="119"/>
      <c r="M807" s="119"/>
      <c r="N807" s="120"/>
      <c r="O807" s="118"/>
      <c r="P807" s="118"/>
      <c r="Q807" s="118"/>
      <c r="R807" s="121">
        <v>0.67</v>
      </c>
      <c r="S807" s="122">
        <f>IFERROR(__xludf.DUMMYFUNCTION("((IFERROR(MIN(FILTER({K807, N807, Q807}, ISNUMBER({K807, N807, Q807}), {K807, N807, Q807} &gt; 0)), """"))*R807)+IFERROR(MIN(FILTER({K807, N807, Q807}, ISNUMBER({K807, N807, Q807}), {K807, N807, Q807} &gt; 0)), """")"),0.0)</f>
        <v>0</v>
      </c>
      <c r="T807" s="123" t="str">
        <f t="shared" si="1"/>
        <v>#DIV/0!</v>
      </c>
    </row>
    <row r="808">
      <c r="A808" s="113"/>
      <c r="B808" s="113"/>
      <c r="C808" s="113"/>
      <c r="D808" s="114"/>
      <c r="E808" s="113"/>
      <c r="F808" s="113"/>
      <c r="G808" s="115"/>
      <c r="H808" s="116"/>
      <c r="I808" s="117" t="s">
        <v>261</v>
      </c>
      <c r="J808" s="117" t="s">
        <v>261</v>
      </c>
      <c r="K808" s="118"/>
      <c r="L808" s="119"/>
      <c r="M808" s="119"/>
      <c r="N808" s="120"/>
      <c r="O808" s="118"/>
      <c r="P808" s="118"/>
      <c r="Q808" s="118"/>
      <c r="R808" s="121">
        <v>0.67</v>
      </c>
      <c r="S808" s="122">
        <f>IFERROR(__xludf.DUMMYFUNCTION("((IFERROR(MIN(FILTER({K808, N808, Q808}, ISNUMBER({K808, N808, Q808}), {K808, N808, Q808} &gt; 0)), """"))*R808)+IFERROR(MIN(FILTER({K808, N808, Q808}, ISNUMBER({K808, N808, Q808}), {K808, N808, Q808} &gt; 0)), """")"),0.0)</f>
        <v>0</v>
      </c>
      <c r="T808" s="123" t="str">
        <f t="shared" si="1"/>
        <v>#DIV/0!</v>
      </c>
    </row>
    <row r="809">
      <c r="A809" s="113"/>
      <c r="B809" s="113"/>
      <c r="C809" s="113"/>
      <c r="D809" s="114"/>
      <c r="E809" s="113"/>
      <c r="F809" s="113"/>
      <c r="G809" s="115"/>
      <c r="H809" s="116"/>
      <c r="I809" s="117" t="s">
        <v>261</v>
      </c>
      <c r="J809" s="117" t="s">
        <v>261</v>
      </c>
      <c r="K809" s="118"/>
      <c r="L809" s="119"/>
      <c r="M809" s="119"/>
      <c r="N809" s="120"/>
      <c r="O809" s="118"/>
      <c r="P809" s="118"/>
      <c r="Q809" s="118"/>
      <c r="R809" s="121">
        <v>0.67</v>
      </c>
      <c r="S809" s="122">
        <f>IFERROR(__xludf.DUMMYFUNCTION("((IFERROR(MIN(FILTER({K809, N809, Q809}, ISNUMBER({K809, N809, Q809}), {K809, N809, Q809} &gt; 0)), """"))*R809)+IFERROR(MIN(FILTER({K809, N809, Q809}, ISNUMBER({K809, N809, Q809}), {K809, N809, Q809} &gt; 0)), """")"),0.0)</f>
        <v>0</v>
      </c>
      <c r="T809" s="123" t="str">
        <f t="shared" si="1"/>
        <v>#DIV/0!</v>
      </c>
    </row>
    <row r="810">
      <c r="A810" s="113"/>
      <c r="B810" s="113"/>
      <c r="C810" s="113"/>
      <c r="D810" s="114"/>
      <c r="E810" s="113"/>
      <c r="F810" s="113"/>
      <c r="G810" s="115"/>
      <c r="H810" s="116"/>
      <c r="I810" s="117" t="s">
        <v>261</v>
      </c>
      <c r="J810" s="117" t="s">
        <v>261</v>
      </c>
      <c r="K810" s="118"/>
      <c r="L810" s="119"/>
      <c r="M810" s="119"/>
      <c r="N810" s="120"/>
      <c r="O810" s="118"/>
      <c r="P810" s="118"/>
      <c r="Q810" s="118"/>
      <c r="R810" s="121">
        <v>0.67</v>
      </c>
      <c r="S810" s="122">
        <f>IFERROR(__xludf.DUMMYFUNCTION("((IFERROR(MIN(FILTER({K810, N810, Q810}, ISNUMBER({K810, N810, Q810}), {K810, N810, Q810} &gt; 0)), """"))*R810)+IFERROR(MIN(FILTER({K810, N810, Q810}, ISNUMBER({K810, N810, Q810}), {K810, N810, Q810} &gt; 0)), """")"),0.0)</f>
        <v>0</v>
      </c>
      <c r="T810" s="123" t="str">
        <f t="shared" si="1"/>
        <v>#DIV/0!</v>
      </c>
    </row>
    <row r="811">
      <c r="A811" s="113"/>
      <c r="B811" s="113"/>
      <c r="C811" s="113"/>
      <c r="D811" s="114"/>
      <c r="E811" s="113"/>
      <c r="F811" s="113"/>
      <c r="G811" s="115"/>
      <c r="H811" s="116"/>
      <c r="I811" s="117" t="s">
        <v>261</v>
      </c>
      <c r="J811" s="117" t="s">
        <v>261</v>
      </c>
      <c r="K811" s="118"/>
      <c r="L811" s="119"/>
      <c r="M811" s="119"/>
      <c r="N811" s="120"/>
      <c r="O811" s="118"/>
      <c r="P811" s="118"/>
      <c r="Q811" s="118"/>
      <c r="R811" s="121">
        <v>0.67</v>
      </c>
      <c r="S811" s="122">
        <f>IFERROR(__xludf.DUMMYFUNCTION("((IFERROR(MIN(FILTER({K811, N811, Q811}, ISNUMBER({K811, N811, Q811}), {K811, N811, Q811} &gt; 0)), """"))*R811)+IFERROR(MIN(FILTER({K811, N811, Q811}, ISNUMBER({K811, N811, Q811}), {K811, N811, Q811} &gt; 0)), """")"),0.0)</f>
        <v>0</v>
      </c>
      <c r="T811" s="123" t="str">
        <f t="shared" si="1"/>
        <v>#DIV/0!</v>
      </c>
    </row>
    <row r="812">
      <c r="A812" s="113"/>
      <c r="B812" s="113"/>
      <c r="C812" s="113"/>
      <c r="D812" s="114"/>
      <c r="E812" s="113"/>
      <c r="F812" s="113"/>
      <c r="G812" s="115"/>
      <c r="H812" s="116"/>
      <c r="I812" s="117" t="s">
        <v>261</v>
      </c>
      <c r="J812" s="117" t="s">
        <v>261</v>
      </c>
      <c r="K812" s="118"/>
      <c r="L812" s="119"/>
      <c r="M812" s="119"/>
      <c r="N812" s="120"/>
      <c r="O812" s="118"/>
      <c r="P812" s="118"/>
      <c r="Q812" s="118"/>
      <c r="R812" s="121">
        <v>0.67</v>
      </c>
      <c r="S812" s="122">
        <f>IFERROR(__xludf.DUMMYFUNCTION("((IFERROR(MIN(FILTER({K812, N812, Q812}, ISNUMBER({K812, N812, Q812}), {K812, N812, Q812} &gt; 0)), """"))*R812)+IFERROR(MIN(FILTER({K812, N812, Q812}, ISNUMBER({K812, N812, Q812}), {K812, N812, Q812} &gt; 0)), """")"),0.0)</f>
        <v>0</v>
      </c>
      <c r="T812" s="123" t="str">
        <f t="shared" si="1"/>
        <v>#DIV/0!</v>
      </c>
    </row>
    <row r="813">
      <c r="A813" s="113"/>
      <c r="B813" s="113"/>
      <c r="C813" s="113"/>
      <c r="D813" s="114"/>
      <c r="E813" s="113"/>
      <c r="F813" s="113"/>
      <c r="G813" s="115"/>
      <c r="H813" s="116"/>
      <c r="I813" s="117" t="s">
        <v>261</v>
      </c>
      <c r="J813" s="117" t="s">
        <v>261</v>
      </c>
      <c r="K813" s="118"/>
      <c r="L813" s="119"/>
      <c r="M813" s="119"/>
      <c r="N813" s="120"/>
      <c r="O813" s="118"/>
      <c r="P813" s="118"/>
      <c r="Q813" s="118"/>
      <c r="R813" s="121">
        <v>0.67</v>
      </c>
      <c r="S813" s="122">
        <f>IFERROR(__xludf.DUMMYFUNCTION("((IFERROR(MIN(FILTER({K813, N813, Q813}, ISNUMBER({K813, N813, Q813}), {K813, N813, Q813} &gt; 0)), """"))*R813)+IFERROR(MIN(FILTER({K813, N813, Q813}, ISNUMBER({K813, N813, Q813}), {K813, N813, Q813} &gt; 0)), """")"),0.0)</f>
        <v>0</v>
      </c>
      <c r="T813" s="123" t="str">
        <f t="shared" si="1"/>
        <v>#DIV/0!</v>
      </c>
    </row>
    <row r="814">
      <c r="A814" s="113"/>
      <c r="B814" s="113"/>
      <c r="C814" s="113"/>
      <c r="D814" s="114"/>
      <c r="E814" s="113"/>
      <c r="F814" s="113"/>
      <c r="G814" s="115"/>
      <c r="H814" s="116"/>
      <c r="I814" s="117" t="s">
        <v>261</v>
      </c>
      <c r="J814" s="117" t="s">
        <v>261</v>
      </c>
      <c r="K814" s="118"/>
      <c r="L814" s="119"/>
      <c r="M814" s="119"/>
      <c r="N814" s="120"/>
      <c r="O814" s="118"/>
      <c r="P814" s="118"/>
      <c r="Q814" s="118"/>
      <c r="R814" s="121">
        <v>0.67</v>
      </c>
      <c r="S814" s="122">
        <f>IFERROR(__xludf.DUMMYFUNCTION("((IFERROR(MIN(FILTER({K814, N814, Q814}, ISNUMBER({K814, N814, Q814}), {K814, N814, Q814} &gt; 0)), """"))*R814)+IFERROR(MIN(FILTER({K814, N814, Q814}, ISNUMBER({K814, N814, Q814}), {K814, N814, Q814} &gt; 0)), """")"),0.0)</f>
        <v>0</v>
      </c>
      <c r="T814" s="123" t="str">
        <f t="shared" si="1"/>
        <v>#DIV/0!</v>
      </c>
    </row>
    <row r="815">
      <c r="A815" s="113"/>
      <c r="B815" s="113"/>
      <c r="C815" s="113"/>
      <c r="D815" s="114"/>
      <c r="E815" s="113"/>
      <c r="F815" s="113"/>
      <c r="G815" s="115"/>
      <c r="H815" s="116"/>
      <c r="I815" s="117" t="s">
        <v>261</v>
      </c>
      <c r="J815" s="117" t="s">
        <v>261</v>
      </c>
      <c r="K815" s="118"/>
      <c r="L815" s="119"/>
      <c r="M815" s="119"/>
      <c r="N815" s="120"/>
      <c r="O815" s="118"/>
      <c r="P815" s="118"/>
      <c r="Q815" s="118"/>
      <c r="R815" s="121">
        <v>0.67</v>
      </c>
      <c r="S815" s="122">
        <f>IFERROR(__xludf.DUMMYFUNCTION("((IFERROR(MIN(FILTER({K815, N815, Q815}, ISNUMBER({K815, N815, Q815}), {K815, N815, Q815} &gt; 0)), """"))*R815)+IFERROR(MIN(FILTER({K815, N815, Q815}, ISNUMBER({K815, N815, Q815}), {K815, N815, Q815} &gt; 0)), """")"),0.0)</f>
        <v>0</v>
      </c>
      <c r="T815" s="123" t="str">
        <f t="shared" si="1"/>
        <v>#DIV/0!</v>
      </c>
    </row>
    <row r="816">
      <c r="A816" s="113"/>
      <c r="B816" s="113"/>
      <c r="C816" s="113"/>
      <c r="D816" s="114"/>
      <c r="E816" s="113"/>
      <c r="F816" s="113"/>
      <c r="G816" s="115"/>
      <c r="H816" s="116"/>
      <c r="I816" s="117" t="s">
        <v>261</v>
      </c>
      <c r="J816" s="117" t="s">
        <v>261</v>
      </c>
      <c r="K816" s="118"/>
      <c r="L816" s="119"/>
      <c r="M816" s="119"/>
      <c r="N816" s="120"/>
      <c r="O816" s="118"/>
      <c r="P816" s="118"/>
      <c r="Q816" s="118"/>
      <c r="R816" s="121">
        <v>0.67</v>
      </c>
      <c r="S816" s="122">
        <f>IFERROR(__xludf.DUMMYFUNCTION("((IFERROR(MIN(FILTER({K816, N816, Q816}, ISNUMBER({K816, N816, Q816}), {K816, N816, Q816} &gt; 0)), """"))*R816)+IFERROR(MIN(FILTER({K816, N816, Q816}, ISNUMBER({K816, N816, Q816}), {K816, N816, Q816} &gt; 0)), """")"),0.0)</f>
        <v>0</v>
      </c>
      <c r="T816" s="123" t="str">
        <f t="shared" si="1"/>
        <v>#DIV/0!</v>
      </c>
    </row>
    <row r="817">
      <c r="A817" s="113"/>
      <c r="B817" s="113"/>
      <c r="C817" s="113"/>
      <c r="D817" s="114"/>
      <c r="E817" s="113"/>
      <c r="F817" s="113"/>
      <c r="G817" s="115"/>
      <c r="H817" s="116"/>
      <c r="I817" s="117" t="s">
        <v>261</v>
      </c>
      <c r="J817" s="117" t="s">
        <v>261</v>
      </c>
      <c r="K817" s="118"/>
      <c r="L817" s="119"/>
      <c r="M817" s="119"/>
      <c r="N817" s="120"/>
      <c r="O817" s="118"/>
      <c r="P817" s="118"/>
      <c r="Q817" s="118"/>
      <c r="R817" s="121">
        <v>0.67</v>
      </c>
      <c r="S817" s="122">
        <f>IFERROR(__xludf.DUMMYFUNCTION("((IFERROR(MIN(FILTER({K817, N817, Q817}, ISNUMBER({K817, N817, Q817}), {K817, N817, Q817} &gt; 0)), """"))*R817)+IFERROR(MIN(FILTER({K817, N817, Q817}, ISNUMBER({K817, N817, Q817}), {K817, N817, Q817} &gt; 0)), """")"),0.0)</f>
        <v>0</v>
      </c>
      <c r="T817" s="123" t="str">
        <f t="shared" si="1"/>
        <v>#DIV/0!</v>
      </c>
    </row>
    <row r="818">
      <c r="A818" s="113"/>
      <c r="B818" s="113"/>
      <c r="C818" s="113"/>
      <c r="D818" s="114"/>
      <c r="E818" s="113"/>
      <c r="F818" s="113"/>
      <c r="G818" s="115"/>
      <c r="H818" s="116"/>
      <c r="I818" s="117" t="s">
        <v>261</v>
      </c>
      <c r="J818" s="117" t="s">
        <v>261</v>
      </c>
      <c r="K818" s="118"/>
      <c r="L818" s="119"/>
      <c r="M818" s="119"/>
      <c r="N818" s="120"/>
      <c r="O818" s="118"/>
      <c r="P818" s="118"/>
      <c r="Q818" s="118"/>
      <c r="R818" s="121">
        <v>0.67</v>
      </c>
      <c r="S818" s="122">
        <f>IFERROR(__xludf.DUMMYFUNCTION("((IFERROR(MIN(FILTER({K818, N818, Q818}, ISNUMBER({K818, N818, Q818}), {K818, N818, Q818} &gt; 0)), """"))*R818)+IFERROR(MIN(FILTER({K818, N818, Q818}, ISNUMBER({K818, N818, Q818}), {K818, N818, Q818} &gt; 0)), """")"),0.0)</f>
        <v>0</v>
      </c>
      <c r="T818" s="123" t="str">
        <f t="shared" si="1"/>
        <v>#DIV/0!</v>
      </c>
    </row>
    <row r="819">
      <c r="A819" s="113"/>
      <c r="B819" s="113"/>
      <c r="C819" s="113"/>
      <c r="D819" s="114"/>
      <c r="E819" s="113"/>
      <c r="F819" s="113"/>
      <c r="G819" s="115"/>
      <c r="H819" s="116"/>
      <c r="I819" s="117" t="s">
        <v>261</v>
      </c>
      <c r="J819" s="117" t="s">
        <v>261</v>
      </c>
      <c r="K819" s="118"/>
      <c r="L819" s="119"/>
      <c r="M819" s="119"/>
      <c r="N819" s="120"/>
      <c r="O819" s="118"/>
      <c r="P819" s="118"/>
      <c r="Q819" s="118"/>
      <c r="R819" s="121">
        <v>0.67</v>
      </c>
      <c r="S819" s="122">
        <f>IFERROR(__xludf.DUMMYFUNCTION("((IFERROR(MIN(FILTER({K819, N819, Q819}, ISNUMBER({K819, N819, Q819}), {K819, N819, Q819} &gt; 0)), """"))*R819)+IFERROR(MIN(FILTER({K819, N819, Q819}, ISNUMBER({K819, N819, Q819}), {K819, N819, Q819} &gt; 0)), """")"),0.0)</f>
        <v>0</v>
      </c>
      <c r="T819" s="123" t="str">
        <f t="shared" si="1"/>
        <v>#DIV/0!</v>
      </c>
    </row>
    <row r="820">
      <c r="A820" s="113"/>
      <c r="B820" s="113"/>
      <c r="C820" s="113"/>
      <c r="D820" s="114"/>
      <c r="E820" s="113"/>
      <c r="F820" s="113"/>
      <c r="G820" s="115"/>
      <c r="H820" s="116"/>
      <c r="I820" s="117" t="s">
        <v>261</v>
      </c>
      <c r="J820" s="117" t="s">
        <v>261</v>
      </c>
      <c r="K820" s="118"/>
      <c r="L820" s="119"/>
      <c r="M820" s="119"/>
      <c r="N820" s="120"/>
      <c r="O820" s="118"/>
      <c r="P820" s="118"/>
      <c r="Q820" s="118"/>
      <c r="R820" s="121">
        <v>0.67</v>
      </c>
      <c r="S820" s="122">
        <f>IFERROR(__xludf.DUMMYFUNCTION("((IFERROR(MIN(FILTER({K820, N820, Q820}, ISNUMBER({K820, N820, Q820}), {K820, N820, Q820} &gt; 0)), """"))*R820)+IFERROR(MIN(FILTER({K820, N820, Q820}, ISNUMBER({K820, N820, Q820}), {K820, N820, Q820} &gt; 0)), """")"),0.0)</f>
        <v>0</v>
      </c>
      <c r="T820" s="123" t="str">
        <f t="shared" si="1"/>
        <v>#DIV/0!</v>
      </c>
    </row>
    <row r="821">
      <c r="A821" s="113"/>
      <c r="B821" s="113"/>
      <c r="C821" s="113"/>
      <c r="D821" s="114"/>
      <c r="E821" s="113"/>
      <c r="F821" s="113"/>
      <c r="G821" s="115"/>
      <c r="H821" s="116"/>
      <c r="I821" s="117" t="s">
        <v>261</v>
      </c>
      <c r="J821" s="117" t="s">
        <v>261</v>
      </c>
      <c r="K821" s="118"/>
      <c r="L821" s="119"/>
      <c r="M821" s="119"/>
      <c r="N821" s="120"/>
      <c r="O821" s="118"/>
      <c r="P821" s="118"/>
      <c r="Q821" s="118"/>
      <c r="R821" s="121">
        <v>0.67</v>
      </c>
      <c r="S821" s="122">
        <f>IFERROR(__xludf.DUMMYFUNCTION("((IFERROR(MIN(FILTER({K821, N821, Q821}, ISNUMBER({K821, N821, Q821}), {K821, N821, Q821} &gt; 0)), """"))*R821)+IFERROR(MIN(FILTER({K821, N821, Q821}, ISNUMBER({K821, N821, Q821}), {K821, N821, Q821} &gt; 0)), """")"),0.0)</f>
        <v>0</v>
      </c>
      <c r="T821" s="123" t="str">
        <f t="shared" si="1"/>
        <v>#DIV/0!</v>
      </c>
    </row>
    <row r="822">
      <c r="A822" s="113"/>
      <c r="B822" s="113"/>
      <c r="C822" s="113"/>
      <c r="D822" s="114"/>
      <c r="E822" s="113"/>
      <c r="F822" s="113"/>
      <c r="G822" s="115"/>
      <c r="H822" s="116"/>
      <c r="I822" s="117" t="s">
        <v>261</v>
      </c>
      <c r="J822" s="117" t="s">
        <v>261</v>
      </c>
      <c r="K822" s="118"/>
      <c r="L822" s="119"/>
      <c r="M822" s="119"/>
      <c r="N822" s="120"/>
      <c r="O822" s="118"/>
      <c r="P822" s="118"/>
      <c r="Q822" s="118"/>
      <c r="R822" s="121">
        <v>0.67</v>
      </c>
      <c r="S822" s="122">
        <f>IFERROR(__xludf.DUMMYFUNCTION("((IFERROR(MIN(FILTER({K822, N822, Q822}, ISNUMBER({K822, N822, Q822}), {K822, N822, Q822} &gt; 0)), """"))*R822)+IFERROR(MIN(FILTER({K822, N822, Q822}, ISNUMBER({K822, N822, Q822}), {K822, N822, Q822} &gt; 0)), """")"),0.0)</f>
        <v>0</v>
      </c>
      <c r="T822" s="123" t="str">
        <f t="shared" si="1"/>
        <v>#DIV/0!</v>
      </c>
    </row>
    <row r="823">
      <c r="A823" s="113"/>
      <c r="B823" s="113"/>
      <c r="C823" s="113"/>
      <c r="D823" s="114"/>
      <c r="E823" s="113"/>
      <c r="F823" s="113"/>
      <c r="G823" s="115"/>
      <c r="H823" s="116"/>
      <c r="I823" s="117" t="s">
        <v>261</v>
      </c>
      <c r="J823" s="117" t="s">
        <v>261</v>
      </c>
      <c r="K823" s="118"/>
      <c r="L823" s="119"/>
      <c r="M823" s="119"/>
      <c r="N823" s="120"/>
      <c r="O823" s="118"/>
      <c r="P823" s="118"/>
      <c r="Q823" s="118"/>
      <c r="R823" s="121">
        <v>0.67</v>
      </c>
      <c r="S823" s="122">
        <f>IFERROR(__xludf.DUMMYFUNCTION("((IFERROR(MIN(FILTER({K823, N823, Q823}, ISNUMBER({K823, N823, Q823}), {K823, N823, Q823} &gt; 0)), """"))*R823)+IFERROR(MIN(FILTER({K823, N823, Q823}, ISNUMBER({K823, N823, Q823}), {K823, N823, Q823} &gt; 0)), """")"),0.0)</f>
        <v>0</v>
      </c>
      <c r="T823" s="123" t="str">
        <f t="shared" si="1"/>
        <v>#DIV/0!</v>
      </c>
    </row>
    <row r="824">
      <c r="A824" s="113"/>
      <c r="B824" s="113"/>
      <c r="C824" s="113"/>
      <c r="D824" s="114"/>
      <c r="E824" s="113"/>
      <c r="F824" s="113"/>
      <c r="G824" s="115"/>
      <c r="H824" s="116"/>
      <c r="I824" s="117" t="s">
        <v>261</v>
      </c>
      <c r="J824" s="117" t="s">
        <v>261</v>
      </c>
      <c r="K824" s="118"/>
      <c r="L824" s="119"/>
      <c r="M824" s="119"/>
      <c r="N824" s="120"/>
      <c r="O824" s="118"/>
      <c r="P824" s="118"/>
      <c r="Q824" s="118"/>
      <c r="R824" s="121">
        <v>0.67</v>
      </c>
      <c r="S824" s="122">
        <f>IFERROR(__xludf.DUMMYFUNCTION("((IFERROR(MIN(FILTER({K824, N824, Q824}, ISNUMBER({K824, N824, Q824}), {K824, N824, Q824} &gt; 0)), """"))*R824)+IFERROR(MIN(FILTER({K824, N824, Q824}, ISNUMBER({K824, N824, Q824}), {K824, N824, Q824} &gt; 0)), """")"),0.0)</f>
        <v>0</v>
      </c>
      <c r="T824" s="123" t="str">
        <f t="shared" si="1"/>
        <v>#DIV/0!</v>
      </c>
    </row>
    <row r="825">
      <c r="A825" s="113"/>
      <c r="B825" s="113"/>
      <c r="C825" s="113"/>
      <c r="D825" s="114"/>
      <c r="E825" s="113"/>
      <c r="F825" s="113"/>
      <c r="G825" s="115"/>
      <c r="H825" s="116"/>
      <c r="I825" s="117" t="s">
        <v>261</v>
      </c>
      <c r="J825" s="117" t="s">
        <v>261</v>
      </c>
      <c r="K825" s="118"/>
      <c r="L825" s="119"/>
      <c r="M825" s="119"/>
      <c r="N825" s="120"/>
      <c r="O825" s="118"/>
      <c r="P825" s="118"/>
      <c r="Q825" s="118"/>
      <c r="R825" s="121">
        <v>0.67</v>
      </c>
      <c r="S825" s="122">
        <f>IFERROR(__xludf.DUMMYFUNCTION("((IFERROR(MIN(FILTER({K825, N825, Q825}, ISNUMBER({K825, N825, Q825}), {K825, N825, Q825} &gt; 0)), """"))*R825)+IFERROR(MIN(FILTER({K825, N825, Q825}, ISNUMBER({K825, N825, Q825}), {K825, N825, Q825} &gt; 0)), """")"),0.0)</f>
        <v>0</v>
      </c>
      <c r="T825" s="123" t="str">
        <f t="shared" si="1"/>
        <v>#DIV/0!</v>
      </c>
    </row>
    <row r="826">
      <c r="A826" s="113"/>
      <c r="B826" s="113"/>
      <c r="C826" s="113"/>
      <c r="D826" s="114"/>
      <c r="E826" s="113"/>
      <c r="F826" s="113"/>
      <c r="G826" s="115"/>
      <c r="H826" s="116"/>
      <c r="I826" s="117" t="s">
        <v>261</v>
      </c>
      <c r="J826" s="117" t="s">
        <v>261</v>
      </c>
      <c r="K826" s="118"/>
      <c r="L826" s="119"/>
      <c r="M826" s="119"/>
      <c r="N826" s="120"/>
      <c r="O826" s="118"/>
      <c r="P826" s="118"/>
      <c r="Q826" s="118"/>
      <c r="R826" s="121">
        <v>0.67</v>
      </c>
      <c r="S826" s="122">
        <f>IFERROR(__xludf.DUMMYFUNCTION("((IFERROR(MIN(FILTER({K826, N826, Q826}, ISNUMBER({K826, N826, Q826}), {K826, N826, Q826} &gt; 0)), """"))*R826)+IFERROR(MIN(FILTER({K826, N826, Q826}, ISNUMBER({K826, N826, Q826}), {K826, N826, Q826} &gt; 0)), """")"),0.0)</f>
        <v>0</v>
      </c>
      <c r="T826" s="123" t="str">
        <f t="shared" si="1"/>
        <v>#DIV/0!</v>
      </c>
    </row>
    <row r="827">
      <c r="A827" s="113"/>
      <c r="B827" s="113"/>
      <c r="C827" s="113"/>
      <c r="D827" s="114"/>
      <c r="E827" s="113"/>
      <c r="F827" s="113"/>
      <c r="G827" s="115"/>
      <c r="H827" s="116"/>
      <c r="I827" s="117" t="s">
        <v>261</v>
      </c>
      <c r="J827" s="117" t="s">
        <v>261</v>
      </c>
      <c r="K827" s="118"/>
      <c r="L827" s="119"/>
      <c r="M827" s="119"/>
      <c r="N827" s="120"/>
      <c r="O827" s="118"/>
      <c r="P827" s="118"/>
      <c r="Q827" s="118"/>
      <c r="R827" s="121">
        <v>0.67</v>
      </c>
      <c r="S827" s="122">
        <f>IFERROR(__xludf.DUMMYFUNCTION("((IFERROR(MIN(FILTER({K827, N827, Q827}, ISNUMBER({K827, N827, Q827}), {K827, N827, Q827} &gt; 0)), """"))*R827)+IFERROR(MIN(FILTER({K827, N827, Q827}, ISNUMBER({K827, N827, Q827}), {K827, N827, Q827} &gt; 0)), """")"),0.0)</f>
        <v>0</v>
      </c>
      <c r="T827" s="123" t="str">
        <f t="shared" si="1"/>
        <v>#DIV/0!</v>
      </c>
    </row>
    <row r="828">
      <c r="A828" s="113"/>
      <c r="B828" s="113"/>
      <c r="C828" s="113"/>
      <c r="D828" s="114"/>
      <c r="E828" s="113"/>
      <c r="F828" s="113"/>
      <c r="G828" s="115"/>
      <c r="H828" s="116"/>
      <c r="I828" s="117" t="s">
        <v>261</v>
      </c>
      <c r="J828" s="117" t="s">
        <v>261</v>
      </c>
      <c r="K828" s="118"/>
      <c r="L828" s="119"/>
      <c r="M828" s="119"/>
      <c r="N828" s="120"/>
      <c r="O828" s="118"/>
      <c r="P828" s="118"/>
      <c r="Q828" s="118"/>
      <c r="R828" s="121">
        <v>0.67</v>
      </c>
      <c r="S828" s="122">
        <f>IFERROR(__xludf.DUMMYFUNCTION("((IFERROR(MIN(FILTER({K828, N828, Q828}, ISNUMBER({K828, N828, Q828}), {K828, N828, Q828} &gt; 0)), """"))*R828)+IFERROR(MIN(FILTER({K828, N828, Q828}, ISNUMBER({K828, N828, Q828}), {K828, N828, Q828} &gt; 0)), """")"),0.0)</f>
        <v>0</v>
      </c>
      <c r="T828" s="123" t="str">
        <f t="shared" si="1"/>
        <v>#DIV/0!</v>
      </c>
    </row>
    <row r="829">
      <c r="A829" s="113"/>
      <c r="B829" s="113"/>
      <c r="C829" s="113"/>
      <c r="D829" s="114"/>
      <c r="E829" s="113"/>
      <c r="F829" s="113"/>
      <c r="G829" s="115"/>
      <c r="H829" s="116"/>
      <c r="I829" s="117" t="s">
        <v>261</v>
      </c>
      <c r="J829" s="117" t="s">
        <v>261</v>
      </c>
      <c r="K829" s="118"/>
      <c r="L829" s="119"/>
      <c r="M829" s="119"/>
      <c r="N829" s="120"/>
      <c r="O829" s="118"/>
      <c r="P829" s="118"/>
      <c r="Q829" s="118"/>
      <c r="R829" s="121">
        <v>0.67</v>
      </c>
      <c r="S829" s="122">
        <f>IFERROR(__xludf.DUMMYFUNCTION("((IFERROR(MIN(FILTER({K829, N829, Q829}, ISNUMBER({K829, N829, Q829}), {K829, N829, Q829} &gt; 0)), """"))*R829)+IFERROR(MIN(FILTER({K829, N829, Q829}, ISNUMBER({K829, N829, Q829}), {K829, N829, Q829} &gt; 0)), """")"),0.0)</f>
        <v>0</v>
      </c>
      <c r="T829" s="123" t="str">
        <f t="shared" si="1"/>
        <v>#DIV/0!</v>
      </c>
    </row>
    <row r="830">
      <c r="A830" s="113"/>
      <c r="B830" s="113"/>
      <c r="C830" s="113"/>
      <c r="D830" s="114"/>
      <c r="E830" s="113"/>
      <c r="F830" s="113"/>
      <c r="G830" s="115"/>
      <c r="H830" s="116"/>
      <c r="I830" s="117" t="s">
        <v>261</v>
      </c>
      <c r="J830" s="117" t="s">
        <v>261</v>
      </c>
      <c r="K830" s="118"/>
      <c r="L830" s="119"/>
      <c r="M830" s="119"/>
      <c r="N830" s="120"/>
      <c r="O830" s="118"/>
      <c r="P830" s="118"/>
      <c r="Q830" s="118"/>
      <c r="R830" s="121">
        <v>0.67</v>
      </c>
      <c r="S830" s="122">
        <f>IFERROR(__xludf.DUMMYFUNCTION("((IFERROR(MIN(FILTER({K830, N830, Q830}, ISNUMBER({K830, N830, Q830}), {K830, N830, Q830} &gt; 0)), """"))*R830)+IFERROR(MIN(FILTER({K830, N830, Q830}, ISNUMBER({K830, N830, Q830}), {K830, N830, Q830} &gt; 0)), """")"),0.0)</f>
        <v>0</v>
      </c>
      <c r="T830" s="123" t="str">
        <f t="shared" si="1"/>
        <v>#DIV/0!</v>
      </c>
    </row>
    <row r="831">
      <c r="A831" s="113"/>
      <c r="B831" s="113"/>
      <c r="C831" s="113"/>
      <c r="D831" s="114"/>
      <c r="E831" s="113"/>
      <c r="F831" s="113"/>
      <c r="G831" s="115"/>
      <c r="H831" s="116"/>
      <c r="I831" s="117" t="s">
        <v>261</v>
      </c>
      <c r="J831" s="117" t="s">
        <v>261</v>
      </c>
      <c r="K831" s="118"/>
      <c r="L831" s="119"/>
      <c r="M831" s="119"/>
      <c r="N831" s="120"/>
      <c r="O831" s="118"/>
      <c r="P831" s="118"/>
      <c r="Q831" s="118"/>
      <c r="R831" s="121">
        <v>0.67</v>
      </c>
      <c r="S831" s="122">
        <f>IFERROR(__xludf.DUMMYFUNCTION("((IFERROR(MIN(FILTER({K831, N831, Q831}, ISNUMBER({K831, N831, Q831}), {K831, N831, Q831} &gt; 0)), """"))*R831)+IFERROR(MIN(FILTER({K831, N831, Q831}, ISNUMBER({K831, N831, Q831}), {K831, N831, Q831} &gt; 0)), """")"),0.0)</f>
        <v>0</v>
      </c>
      <c r="T831" s="123" t="str">
        <f t="shared" si="1"/>
        <v>#DIV/0!</v>
      </c>
    </row>
    <row r="832">
      <c r="A832" s="113"/>
      <c r="B832" s="113"/>
      <c r="C832" s="113"/>
      <c r="D832" s="114"/>
      <c r="E832" s="113"/>
      <c r="F832" s="113"/>
      <c r="G832" s="115"/>
      <c r="H832" s="116"/>
      <c r="I832" s="117" t="s">
        <v>261</v>
      </c>
      <c r="J832" s="117" t="s">
        <v>261</v>
      </c>
      <c r="K832" s="118"/>
      <c r="L832" s="119"/>
      <c r="M832" s="119"/>
      <c r="N832" s="120"/>
      <c r="O832" s="118"/>
      <c r="P832" s="118"/>
      <c r="Q832" s="118"/>
      <c r="R832" s="121">
        <v>0.67</v>
      </c>
      <c r="S832" s="122">
        <f>IFERROR(__xludf.DUMMYFUNCTION("((IFERROR(MIN(FILTER({K832, N832, Q832}, ISNUMBER({K832, N832, Q832}), {K832, N832, Q832} &gt; 0)), """"))*R832)+IFERROR(MIN(FILTER({K832, N832, Q832}, ISNUMBER({K832, N832, Q832}), {K832, N832, Q832} &gt; 0)), """")"),0.0)</f>
        <v>0</v>
      </c>
      <c r="T832" s="123" t="str">
        <f t="shared" si="1"/>
        <v>#DIV/0!</v>
      </c>
    </row>
    <row r="833">
      <c r="A833" s="113"/>
      <c r="B833" s="113"/>
      <c r="C833" s="113"/>
      <c r="D833" s="114"/>
      <c r="E833" s="113"/>
      <c r="F833" s="113"/>
      <c r="G833" s="115"/>
      <c r="H833" s="116"/>
      <c r="I833" s="117" t="s">
        <v>261</v>
      </c>
      <c r="J833" s="117" t="s">
        <v>261</v>
      </c>
      <c r="K833" s="118"/>
      <c r="L833" s="119"/>
      <c r="M833" s="119"/>
      <c r="N833" s="120"/>
      <c r="O833" s="118"/>
      <c r="P833" s="118"/>
      <c r="Q833" s="118"/>
      <c r="R833" s="121">
        <v>0.67</v>
      </c>
      <c r="S833" s="122">
        <f>IFERROR(__xludf.DUMMYFUNCTION("((IFERROR(MIN(FILTER({K833, N833, Q833}, ISNUMBER({K833, N833, Q833}), {K833, N833, Q833} &gt; 0)), """"))*R833)+IFERROR(MIN(FILTER({K833, N833, Q833}, ISNUMBER({K833, N833, Q833}), {K833, N833, Q833} &gt; 0)), """")"),0.0)</f>
        <v>0</v>
      </c>
      <c r="T833" s="123" t="str">
        <f t="shared" si="1"/>
        <v>#DIV/0!</v>
      </c>
    </row>
    <row r="834">
      <c r="A834" s="113"/>
      <c r="B834" s="113"/>
      <c r="C834" s="113"/>
      <c r="D834" s="114"/>
      <c r="E834" s="113"/>
      <c r="F834" s="113"/>
      <c r="G834" s="115"/>
      <c r="H834" s="116"/>
      <c r="I834" s="117" t="s">
        <v>261</v>
      </c>
      <c r="J834" s="117" t="s">
        <v>261</v>
      </c>
      <c r="K834" s="118"/>
      <c r="L834" s="119"/>
      <c r="M834" s="119"/>
      <c r="N834" s="120"/>
      <c r="O834" s="118"/>
      <c r="P834" s="118"/>
      <c r="Q834" s="118"/>
      <c r="R834" s="121">
        <v>0.67</v>
      </c>
      <c r="S834" s="122">
        <f>IFERROR(__xludf.DUMMYFUNCTION("((IFERROR(MIN(FILTER({K834, N834, Q834}, ISNUMBER({K834, N834, Q834}), {K834, N834, Q834} &gt; 0)), """"))*R834)+IFERROR(MIN(FILTER({K834, N834, Q834}, ISNUMBER({K834, N834, Q834}), {K834, N834, Q834} &gt; 0)), """")"),0.0)</f>
        <v>0</v>
      </c>
      <c r="T834" s="123" t="str">
        <f t="shared" si="1"/>
        <v>#DIV/0!</v>
      </c>
    </row>
    <row r="835">
      <c r="A835" s="113"/>
      <c r="B835" s="113"/>
      <c r="C835" s="113"/>
      <c r="D835" s="114"/>
      <c r="E835" s="113"/>
      <c r="F835" s="113"/>
      <c r="G835" s="115"/>
      <c r="H835" s="116"/>
      <c r="I835" s="117" t="s">
        <v>261</v>
      </c>
      <c r="J835" s="117" t="s">
        <v>261</v>
      </c>
      <c r="K835" s="118"/>
      <c r="L835" s="119"/>
      <c r="M835" s="119"/>
      <c r="N835" s="120"/>
      <c r="O835" s="118"/>
      <c r="P835" s="118"/>
      <c r="Q835" s="118"/>
      <c r="R835" s="121">
        <v>0.67</v>
      </c>
      <c r="S835" s="122">
        <f>IFERROR(__xludf.DUMMYFUNCTION("((IFERROR(MIN(FILTER({K835, N835, Q835}, ISNUMBER({K835, N835, Q835}), {K835, N835, Q835} &gt; 0)), """"))*R835)+IFERROR(MIN(FILTER({K835, N835, Q835}, ISNUMBER({K835, N835, Q835}), {K835, N835, Q835} &gt; 0)), """")"),0.0)</f>
        <v>0</v>
      </c>
      <c r="T835" s="123" t="str">
        <f t="shared" si="1"/>
        <v>#DIV/0!</v>
      </c>
    </row>
    <row r="836">
      <c r="A836" s="113"/>
      <c r="B836" s="113"/>
      <c r="C836" s="113"/>
      <c r="D836" s="114"/>
      <c r="E836" s="113"/>
      <c r="F836" s="113"/>
      <c r="G836" s="115"/>
      <c r="H836" s="116"/>
      <c r="I836" s="117" t="s">
        <v>261</v>
      </c>
      <c r="J836" s="117" t="s">
        <v>261</v>
      </c>
      <c r="K836" s="118"/>
      <c r="L836" s="119"/>
      <c r="M836" s="119"/>
      <c r="N836" s="120"/>
      <c r="O836" s="118"/>
      <c r="P836" s="118"/>
      <c r="Q836" s="118"/>
      <c r="R836" s="121">
        <v>0.67</v>
      </c>
      <c r="S836" s="122">
        <f>IFERROR(__xludf.DUMMYFUNCTION("((IFERROR(MIN(FILTER({K836, N836, Q836}, ISNUMBER({K836, N836, Q836}), {K836, N836, Q836} &gt; 0)), """"))*R836)+IFERROR(MIN(FILTER({K836, N836, Q836}, ISNUMBER({K836, N836, Q836}), {K836, N836, Q836} &gt; 0)), """")"),0.0)</f>
        <v>0</v>
      </c>
      <c r="T836" s="123" t="str">
        <f t="shared" si="1"/>
        <v>#DIV/0!</v>
      </c>
    </row>
    <row r="837">
      <c r="A837" s="113"/>
      <c r="B837" s="113"/>
      <c r="C837" s="113"/>
      <c r="D837" s="114"/>
      <c r="E837" s="113"/>
      <c r="F837" s="113"/>
      <c r="G837" s="115"/>
      <c r="H837" s="116"/>
      <c r="I837" s="117" t="s">
        <v>261</v>
      </c>
      <c r="J837" s="117" t="s">
        <v>261</v>
      </c>
      <c r="K837" s="118"/>
      <c r="L837" s="119"/>
      <c r="M837" s="119"/>
      <c r="N837" s="120"/>
      <c r="O837" s="118"/>
      <c r="P837" s="118"/>
      <c r="Q837" s="118"/>
      <c r="R837" s="121">
        <v>0.67</v>
      </c>
      <c r="S837" s="122">
        <f>IFERROR(__xludf.DUMMYFUNCTION("((IFERROR(MIN(FILTER({K837, N837, Q837}, ISNUMBER({K837, N837, Q837}), {K837, N837, Q837} &gt; 0)), """"))*R837)+IFERROR(MIN(FILTER({K837, N837, Q837}, ISNUMBER({K837, N837, Q837}), {K837, N837, Q837} &gt; 0)), """")"),0.0)</f>
        <v>0</v>
      </c>
      <c r="T837" s="123" t="str">
        <f t="shared" si="1"/>
        <v>#DIV/0!</v>
      </c>
    </row>
    <row r="838">
      <c r="A838" s="113"/>
      <c r="B838" s="113"/>
      <c r="C838" s="113"/>
      <c r="D838" s="114"/>
      <c r="E838" s="113"/>
      <c r="F838" s="113"/>
      <c r="G838" s="115"/>
      <c r="H838" s="116"/>
      <c r="I838" s="117" t="s">
        <v>261</v>
      </c>
      <c r="J838" s="117" t="s">
        <v>261</v>
      </c>
      <c r="K838" s="118"/>
      <c r="L838" s="119"/>
      <c r="M838" s="119"/>
      <c r="N838" s="120"/>
      <c r="O838" s="118"/>
      <c r="P838" s="118"/>
      <c r="Q838" s="118"/>
      <c r="R838" s="121">
        <v>0.67</v>
      </c>
      <c r="S838" s="122">
        <f>IFERROR(__xludf.DUMMYFUNCTION("((IFERROR(MIN(FILTER({K838, N838, Q838}, ISNUMBER({K838, N838, Q838}), {K838, N838, Q838} &gt; 0)), """"))*R838)+IFERROR(MIN(FILTER({K838, N838, Q838}, ISNUMBER({K838, N838, Q838}), {K838, N838, Q838} &gt; 0)), """")"),0.0)</f>
        <v>0</v>
      </c>
      <c r="T838" s="123" t="str">
        <f t="shared" si="1"/>
        <v>#DIV/0!</v>
      </c>
    </row>
    <row r="839">
      <c r="A839" s="113"/>
      <c r="B839" s="113"/>
      <c r="C839" s="113"/>
      <c r="D839" s="114"/>
      <c r="E839" s="113"/>
      <c r="F839" s="113"/>
      <c r="G839" s="115"/>
      <c r="H839" s="116"/>
      <c r="I839" s="117" t="s">
        <v>261</v>
      </c>
      <c r="J839" s="117" t="s">
        <v>261</v>
      </c>
      <c r="K839" s="118"/>
      <c r="L839" s="119"/>
      <c r="M839" s="119"/>
      <c r="N839" s="120"/>
      <c r="O839" s="118"/>
      <c r="P839" s="118"/>
      <c r="Q839" s="118"/>
      <c r="R839" s="121">
        <v>0.67</v>
      </c>
      <c r="S839" s="122">
        <f>IFERROR(__xludf.DUMMYFUNCTION("((IFERROR(MIN(FILTER({K839, N839, Q839}, ISNUMBER({K839, N839, Q839}), {K839, N839, Q839} &gt; 0)), """"))*R839)+IFERROR(MIN(FILTER({K839, N839, Q839}, ISNUMBER({K839, N839, Q839}), {K839, N839, Q839} &gt; 0)), """")"),0.0)</f>
        <v>0</v>
      </c>
      <c r="T839" s="123" t="str">
        <f t="shared" si="1"/>
        <v>#DIV/0!</v>
      </c>
    </row>
    <row r="840">
      <c r="A840" s="113"/>
      <c r="B840" s="113"/>
      <c r="C840" s="113"/>
      <c r="D840" s="114"/>
      <c r="E840" s="113"/>
      <c r="F840" s="113"/>
      <c r="G840" s="115"/>
      <c r="H840" s="116"/>
      <c r="I840" s="117" t="s">
        <v>261</v>
      </c>
      <c r="J840" s="117" t="s">
        <v>261</v>
      </c>
      <c r="K840" s="118"/>
      <c r="L840" s="119"/>
      <c r="M840" s="119"/>
      <c r="N840" s="120"/>
      <c r="O840" s="118"/>
      <c r="P840" s="118"/>
      <c r="Q840" s="118"/>
      <c r="R840" s="121">
        <v>0.67</v>
      </c>
      <c r="S840" s="122">
        <f>IFERROR(__xludf.DUMMYFUNCTION("((IFERROR(MIN(FILTER({K840, N840, Q840}, ISNUMBER({K840, N840, Q840}), {K840, N840, Q840} &gt; 0)), """"))*R840)+IFERROR(MIN(FILTER({K840, N840, Q840}, ISNUMBER({K840, N840, Q840}), {K840, N840, Q840} &gt; 0)), """")"),0.0)</f>
        <v>0</v>
      </c>
      <c r="T840" s="123" t="str">
        <f t="shared" si="1"/>
        <v>#DIV/0!</v>
      </c>
    </row>
    <row r="841">
      <c r="A841" s="113"/>
      <c r="B841" s="113"/>
      <c r="C841" s="113"/>
      <c r="D841" s="114"/>
      <c r="E841" s="113"/>
      <c r="F841" s="113"/>
      <c r="G841" s="115"/>
      <c r="H841" s="116"/>
      <c r="I841" s="117" t="s">
        <v>261</v>
      </c>
      <c r="J841" s="117" t="s">
        <v>261</v>
      </c>
      <c r="K841" s="118"/>
      <c r="L841" s="119"/>
      <c r="M841" s="119"/>
      <c r="N841" s="120"/>
      <c r="O841" s="118"/>
      <c r="P841" s="118"/>
      <c r="Q841" s="118"/>
      <c r="R841" s="121">
        <v>0.67</v>
      </c>
      <c r="S841" s="122">
        <f>IFERROR(__xludf.DUMMYFUNCTION("((IFERROR(MIN(FILTER({K841, N841, Q841}, ISNUMBER({K841, N841, Q841}), {K841, N841, Q841} &gt; 0)), """"))*R841)+IFERROR(MIN(FILTER({K841, N841, Q841}, ISNUMBER({K841, N841, Q841}), {K841, N841, Q841} &gt; 0)), """")"),0.0)</f>
        <v>0</v>
      </c>
      <c r="T841" s="123" t="str">
        <f t="shared" si="1"/>
        <v>#DIV/0!</v>
      </c>
    </row>
    <row r="842">
      <c r="A842" s="113"/>
      <c r="B842" s="113"/>
      <c r="C842" s="113"/>
      <c r="D842" s="114"/>
      <c r="E842" s="113"/>
      <c r="F842" s="113"/>
      <c r="G842" s="115"/>
      <c r="H842" s="116"/>
      <c r="I842" s="117" t="s">
        <v>261</v>
      </c>
      <c r="J842" s="117" t="s">
        <v>261</v>
      </c>
      <c r="K842" s="118"/>
      <c r="L842" s="119"/>
      <c r="M842" s="119"/>
      <c r="N842" s="120"/>
      <c r="O842" s="118"/>
      <c r="P842" s="118"/>
      <c r="Q842" s="118"/>
      <c r="R842" s="121">
        <v>0.67</v>
      </c>
      <c r="S842" s="122">
        <f>IFERROR(__xludf.DUMMYFUNCTION("((IFERROR(MIN(FILTER({K842, N842, Q842}, ISNUMBER({K842, N842, Q842}), {K842, N842, Q842} &gt; 0)), """"))*R842)+IFERROR(MIN(FILTER({K842, N842, Q842}, ISNUMBER({K842, N842, Q842}), {K842, N842, Q842} &gt; 0)), """")"),0.0)</f>
        <v>0</v>
      </c>
      <c r="T842" s="123" t="str">
        <f t="shared" si="1"/>
        <v>#DIV/0!</v>
      </c>
    </row>
    <row r="843">
      <c r="A843" s="113"/>
      <c r="B843" s="113"/>
      <c r="C843" s="113"/>
      <c r="D843" s="114"/>
      <c r="E843" s="113"/>
      <c r="F843" s="113"/>
      <c r="G843" s="115"/>
      <c r="H843" s="116"/>
      <c r="I843" s="117" t="s">
        <v>261</v>
      </c>
      <c r="J843" s="117" t="s">
        <v>261</v>
      </c>
      <c r="K843" s="118"/>
      <c r="L843" s="119"/>
      <c r="M843" s="119"/>
      <c r="N843" s="120"/>
      <c r="O843" s="118"/>
      <c r="P843" s="118"/>
      <c r="Q843" s="118"/>
      <c r="R843" s="121">
        <v>0.67</v>
      </c>
      <c r="S843" s="122">
        <f>IFERROR(__xludf.DUMMYFUNCTION("((IFERROR(MIN(FILTER({K843, N843, Q843}, ISNUMBER({K843, N843, Q843}), {K843, N843, Q843} &gt; 0)), """"))*R843)+IFERROR(MIN(FILTER({K843, N843, Q843}, ISNUMBER({K843, N843, Q843}), {K843, N843, Q843} &gt; 0)), """")"),0.0)</f>
        <v>0</v>
      </c>
      <c r="T843" s="123" t="str">
        <f t="shared" si="1"/>
        <v>#DIV/0!</v>
      </c>
    </row>
    <row r="844">
      <c r="A844" s="113"/>
      <c r="B844" s="113"/>
      <c r="C844" s="113"/>
      <c r="D844" s="114"/>
      <c r="E844" s="113"/>
      <c r="F844" s="113"/>
      <c r="G844" s="115"/>
      <c r="H844" s="116"/>
      <c r="I844" s="117" t="s">
        <v>261</v>
      </c>
      <c r="J844" s="117" t="s">
        <v>261</v>
      </c>
      <c r="K844" s="118"/>
      <c r="L844" s="119"/>
      <c r="M844" s="119"/>
      <c r="N844" s="120"/>
      <c r="O844" s="118"/>
      <c r="P844" s="118"/>
      <c r="Q844" s="118"/>
      <c r="R844" s="121">
        <v>0.67</v>
      </c>
      <c r="S844" s="122">
        <f>IFERROR(__xludf.DUMMYFUNCTION("((IFERROR(MIN(FILTER({K844, N844, Q844}, ISNUMBER({K844, N844, Q844}), {K844, N844, Q844} &gt; 0)), """"))*R844)+IFERROR(MIN(FILTER({K844, N844, Q844}, ISNUMBER({K844, N844, Q844}), {K844, N844, Q844} &gt; 0)), """")"),0.0)</f>
        <v>0</v>
      </c>
      <c r="T844" s="123" t="str">
        <f t="shared" si="1"/>
        <v>#DIV/0!</v>
      </c>
    </row>
    <row r="845">
      <c r="A845" s="113"/>
      <c r="B845" s="113"/>
      <c r="C845" s="113"/>
      <c r="D845" s="114"/>
      <c r="E845" s="113"/>
      <c r="F845" s="113"/>
      <c r="G845" s="115"/>
      <c r="H845" s="116"/>
      <c r="I845" s="117" t="s">
        <v>261</v>
      </c>
      <c r="J845" s="117" t="s">
        <v>261</v>
      </c>
      <c r="K845" s="118"/>
      <c r="L845" s="119"/>
      <c r="M845" s="119"/>
      <c r="N845" s="120"/>
      <c r="O845" s="118"/>
      <c r="P845" s="118"/>
      <c r="Q845" s="118"/>
      <c r="R845" s="121">
        <v>0.67</v>
      </c>
      <c r="S845" s="122">
        <f>IFERROR(__xludf.DUMMYFUNCTION("((IFERROR(MIN(FILTER({K845, N845, Q845}, ISNUMBER({K845, N845, Q845}), {K845, N845, Q845} &gt; 0)), """"))*R845)+IFERROR(MIN(FILTER({K845, N845, Q845}, ISNUMBER({K845, N845, Q845}), {K845, N845, Q845} &gt; 0)), """")"),0.0)</f>
        <v>0</v>
      </c>
      <c r="T845" s="123" t="str">
        <f t="shared" si="1"/>
        <v>#DIV/0!</v>
      </c>
    </row>
    <row r="846">
      <c r="A846" s="113"/>
      <c r="B846" s="113"/>
      <c r="C846" s="113"/>
      <c r="D846" s="114"/>
      <c r="E846" s="113"/>
      <c r="F846" s="113"/>
      <c r="G846" s="115"/>
      <c r="H846" s="116"/>
      <c r="I846" s="117" t="s">
        <v>261</v>
      </c>
      <c r="J846" s="117" t="s">
        <v>261</v>
      </c>
      <c r="K846" s="118"/>
      <c r="L846" s="119"/>
      <c r="M846" s="119"/>
      <c r="N846" s="120"/>
      <c r="O846" s="118"/>
      <c r="P846" s="118"/>
      <c r="Q846" s="118"/>
      <c r="R846" s="121">
        <v>0.67</v>
      </c>
      <c r="S846" s="122">
        <f>IFERROR(__xludf.DUMMYFUNCTION("((IFERROR(MIN(FILTER({K846, N846, Q846}, ISNUMBER({K846, N846, Q846}), {K846, N846, Q846} &gt; 0)), """"))*R846)+IFERROR(MIN(FILTER({K846, N846, Q846}, ISNUMBER({K846, N846, Q846}), {K846, N846, Q846} &gt; 0)), """")"),0.0)</f>
        <v>0</v>
      </c>
      <c r="T846" s="123" t="str">
        <f t="shared" si="1"/>
        <v>#DIV/0!</v>
      </c>
    </row>
    <row r="847">
      <c r="A847" s="113"/>
      <c r="B847" s="113"/>
      <c r="C847" s="113"/>
      <c r="D847" s="114"/>
      <c r="E847" s="113"/>
      <c r="F847" s="113"/>
      <c r="G847" s="115"/>
      <c r="H847" s="116"/>
      <c r="I847" s="117" t="s">
        <v>261</v>
      </c>
      <c r="J847" s="117" t="s">
        <v>261</v>
      </c>
      <c r="K847" s="118"/>
      <c r="L847" s="119"/>
      <c r="M847" s="119"/>
      <c r="N847" s="120"/>
      <c r="O847" s="118"/>
      <c r="P847" s="118"/>
      <c r="Q847" s="118"/>
      <c r="R847" s="121">
        <v>0.67</v>
      </c>
      <c r="S847" s="122">
        <f>IFERROR(__xludf.DUMMYFUNCTION("((IFERROR(MIN(FILTER({K847, N847, Q847}, ISNUMBER({K847, N847, Q847}), {K847, N847, Q847} &gt; 0)), """"))*R847)+IFERROR(MIN(FILTER({K847, N847, Q847}, ISNUMBER({K847, N847, Q847}), {K847, N847, Q847} &gt; 0)), """")"),0.0)</f>
        <v>0</v>
      </c>
      <c r="T847" s="123" t="str">
        <f t="shared" si="1"/>
        <v>#DIV/0!</v>
      </c>
    </row>
    <row r="848">
      <c r="A848" s="113"/>
      <c r="B848" s="113"/>
      <c r="C848" s="113"/>
      <c r="D848" s="114"/>
      <c r="E848" s="113"/>
      <c r="F848" s="113"/>
      <c r="G848" s="115"/>
      <c r="H848" s="116"/>
      <c r="I848" s="117" t="s">
        <v>261</v>
      </c>
      <c r="J848" s="117" t="s">
        <v>261</v>
      </c>
      <c r="K848" s="118"/>
      <c r="L848" s="119"/>
      <c r="M848" s="119"/>
      <c r="N848" s="120"/>
      <c r="O848" s="118"/>
      <c r="P848" s="118"/>
      <c r="Q848" s="118"/>
      <c r="R848" s="121">
        <v>0.67</v>
      </c>
      <c r="S848" s="122">
        <f>IFERROR(__xludf.DUMMYFUNCTION("((IFERROR(MIN(FILTER({K848, N848, Q848}, ISNUMBER({K848, N848, Q848}), {K848, N848, Q848} &gt; 0)), """"))*R848)+IFERROR(MIN(FILTER({K848, N848, Q848}, ISNUMBER({K848, N848, Q848}), {K848, N848, Q848} &gt; 0)), """")"),0.0)</f>
        <v>0</v>
      </c>
      <c r="T848" s="123" t="str">
        <f t="shared" si="1"/>
        <v>#DIV/0!</v>
      </c>
    </row>
    <row r="849">
      <c r="A849" s="113"/>
      <c r="B849" s="113"/>
      <c r="C849" s="113"/>
      <c r="D849" s="114"/>
      <c r="E849" s="113"/>
      <c r="F849" s="113"/>
      <c r="G849" s="115"/>
      <c r="H849" s="116"/>
      <c r="I849" s="117" t="s">
        <v>261</v>
      </c>
      <c r="J849" s="117" t="s">
        <v>261</v>
      </c>
      <c r="K849" s="118"/>
      <c r="L849" s="119"/>
      <c r="M849" s="119"/>
      <c r="N849" s="120"/>
      <c r="O849" s="118"/>
      <c r="P849" s="118"/>
      <c r="Q849" s="118"/>
      <c r="R849" s="121">
        <v>0.67</v>
      </c>
      <c r="S849" s="122">
        <f>IFERROR(__xludf.DUMMYFUNCTION("((IFERROR(MIN(FILTER({K849, N849, Q849}, ISNUMBER({K849, N849, Q849}), {K849, N849, Q849} &gt; 0)), """"))*R849)+IFERROR(MIN(FILTER({K849, N849, Q849}, ISNUMBER({K849, N849, Q849}), {K849, N849, Q849} &gt; 0)), """")"),0.0)</f>
        <v>0</v>
      </c>
      <c r="T849" s="123" t="str">
        <f t="shared" si="1"/>
        <v>#DIV/0!</v>
      </c>
    </row>
    <row r="850">
      <c r="A850" s="113"/>
      <c r="B850" s="113"/>
      <c r="C850" s="113"/>
      <c r="D850" s="114"/>
      <c r="E850" s="113"/>
      <c r="F850" s="113"/>
      <c r="G850" s="115"/>
      <c r="H850" s="116"/>
      <c r="I850" s="117" t="s">
        <v>261</v>
      </c>
      <c r="J850" s="117" t="s">
        <v>261</v>
      </c>
      <c r="K850" s="118"/>
      <c r="L850" s="119"/>
      <c r="M850" s="119"/>
      <c r="N850" s="120"/>
      <c r="O850" s="118"/>
      <c r="P850" s="118"/>
      <c r="Q850" s="118"/>
      <c r="R850" s="121">
        <v>0.67</v>
      </c>
      <c r="S850" s="122">
        <f>IFERROR(__xludf.DUMMYFUNCTION("((IFERROR(MIN(FILTER({K850, N850, Q850}, ISNUMBER({K850, N850, Q850}), {K850, N850, Q850} &gt; 0)), """"))*R850)+IFERROR(MIN(FILTER({K850, N850, Q850}, ISNUMBER({K850, N850, Q850}), {K850, N850, Q850} &gt; 0)), """")"),0.0)</f>
        <v>0</v>
      </c>
      <c r="T850" s="123" t="str">
        <f t="shared" si="1"/>
        <v>#DIV/0!</v>
      </c>
    </row>
    <row r="851">
      <c r="A851" s="113"/>
      <c r="B851" s="113"/>
      <c r="C851" s="113"/>
      <c r="D851" s="114"/>
      <c r="E851" s="113"/>
      <c r="F851" s="113"/>
      <c r="G851" s="115"/>
      <c r="H851" s="116"/>
      <c r="I851" s="117" t="s">
        <v>261</v>
      </c>
      <c r="J851" s="117" t="s">
        <v>261</v>
      </c>
      <c r="K851" s="118"/>
      <c r="L851" s="119"/>
      <c r="M851" s="119"/>
      <c r="N851" s="120"/>
      <c r="O851" s="118"/>
      <c r="P851" s="118"/>
      <c r="Q851" s="118"/>
      <c r="R851" s="121">
        <v>0.67</v>
      </c>
      <c r="S851" s="122">
        <f>IFERROR(__xludf.DUMMYFUNCTION("((IFERROR(MIN(FILTER({K851, N851, Q851}, ISNUMBER({K851, N851, Q851}), {K851, N851, Q851} &gt; 0)), """"))*R851)+IFERROR(MIN(FILTER({K851, N851, Q851}, ISNUMBER({K851, N851, Q851}), {K851, N851, Q851} &gt; 0)), """")"),0.0)</f>
        <v>0</v>
      </c>
      <c r="T851" s="123" t="str">
        <f t="shared" si="1"/>
        <v>#DIV/0!</v>
      </c>
    </row>
    <row r="852">
      <c r="A852" s="113"/>
      <c r="B852" s="113"/>
      <c r="C852" s="113"/>
      <c r="D852" s="114"/>
      <c r="E852" s="113"/>
      <c r="F852" s="113"/>
      <c r="G852" s="115"/>
      <c r="H852" s="116"/>
      <c r="I852" s="117" t="s">
        <v>261</v>
      </c>
      <c r="J852" s="117" t="s">
        <v>261</v>
      </c>
      <c r="K852" s="118"/>
      <c r="L852" s="119"/>
      <c r="M852" s="119"/>
      <c r="N852" s="120"/>
      <c r="O852" s="118"/>
      <c r="P852" s="118"/>
      <c r="Q852" s="118"/>
      <c r="R852" s="121">
        <v>0.67</v>
      </c>
      <c r="S852" s="122">
        <f>IFERROR(__xludf.DUMMYFUNCTION("((IFERROR(MIN(FILTER({K852, N852, Q852}, ISNUMBER({K852, N852, Q852}), {K852, N852, Q852} &gt; 0)), """"))*R852)+IFERROR(MIN(FILTER({K852, N852, Q852}, ISNUMBER({K852, N852, Q852}), {K852, N852, Q852} &gt; 0)), """")"),0.0)</f>
        <v>0</v>
      </c>
      <c r="T852" s="123" t="str">
        <f t="shared" si="1"/>
        <v>#DIV/0!</v>
      </c>
    </row>
    <row r="853">
      <c r="A853" s="113"/>
      <c r="B853" s="113"/>
      <c r="C853" s="113"/>
      <c r="D853" s="114"/>
      <c r="E853" s="113"/>
      <c r="F853" s="113"/>
      <c r="G853" s="115"/>
      <c r="H853" s="116"/>
      <c r="I853" s="117" t="s">
        <v>261</v>
      </c>
      <c r="J853" s="117" t="s">
        <v>261</v>
      </c>
      <c r="K853" s="118"/>
      <c r="L853" s="119"/>
      <c r="M853" s="119"/>
      <c r="N853" s="120"/>
      <c r="O853" s="118"/>
      <c r="P853" s="118"/>
      <c r="Q853" s="118"/>
      <c r="R853" s="121">
        <v>0.67</v>
      </c>
      <c r="S853" s="122">
        <f>IFERROR(__xludf.DUMMYFUNCTION("((IFERROR(MIN(FILTER({K853, N853, Q853}, ISNUMBER({K853, N853, Q853}), {K853, N853, Q853} &gt; 0)), """"))*R853)+IFERROR(MIN(FILTER({K853, N853, Q853}, ISNUMBER({K853, N853, Q853}), {K853, N853, Q853} &gt; 0)), """")"),0.0)</f>
        <v>0</v>
      </c>
      <c r="T853" s="123" t="str">
        <f t="shared" si="1"/>
        <v>#DIV/0!</v>
      </c>
    </row>
    <row r="854">
      <c r="A854" s="113"/>
      <c r="B854" s="113"/>
      <c r="C854" s="113"/>
      <c r="D854" s="114"/>
      <c r="E854" s="113"/>
      <c r="F854" s="113"/>
      <c r="G854" s="115"/>
      <c r="H854" s="116"/>
      <c r="I854" s="117" t="s">
        <v>261</v>
      </c>
      <c r="J854" s="117" t="s">
        <v>261</v>
      </c>
      <c r="K854" s="118"/>
      <c r="L854" s="119"/>
      <c r="M854" s="119"/>
      <c r="N854" s="120"/>
      <c r="O854" s="118"/>
      <c r="P854" s="118"/>
      <c r="Q854" s="118"/>
      <c r="R854" s="121">
        <v>0.67</v>
      </c>
      <c r="S854" s="122">
        <f>IFERROR(__xludf.DUMMYFUNCTION("((IFERROR(MIN(FILTER({K854, N854, Q854}, ISNUMBER({K854, N854, Q854}), {K854, N854, Q854} &gt; 0)), """"))*R854)+IFERROR(MIN(FILTER({K854, N854, Q854}, ISNUMBER({K854, N854, Q854}), {K854, N854, Q854} &gt; 0)), """")"),0.0)</f>
        <v>0</v>
      </c>
      <c r="T854" s="123" t="str">
        <f t="shared" si="1"/>
        <v>#DIV/0!</v>
      </c>
    </row>
    <row r="855">
      <c r="A855" s="113"/>
      <c r="B855" s="113"/>
      <c r="C855" s="113"/>
      <c r="D855" s="114"/>
      <c r="E855" s="113"/>
      <c r="F855" s="113"/>
      <c r="G855" s="115"/>
      <c r="H855" s="116"/>
      <c r="I855" s="117" t="s">
        <v>261</v>
      </c>
      <c r="J855" s="117" t="s">
        <v>261</v>
      </c>
      <c r="K855" s="118"/>
      <c r="L855" s="119"/>
      <c r="M855" s="119"/>
      <c r="N855" s="120"/>
      <c r="O855" s="118"/>
      <c r="P855" s="118"/>
      <c r="Q855" s="118"/>
      <c r="R855" s="121">
        <v>0.67</v>
      </c>
      <c r="S855" s="122">
        <f>IFERROR(__xludf.DUMMYFUNCTION("((IFERROR(MIN(FILTER({K855, N855, Q855}, ISNUMBER({K855, N855, Q855}), {K855, N855, Q855} &gt; 0)), """"))*R855)+IFERROR(MIN(FILTER({K855, N855, Q855}, ISNUMBER({K855, N855, Q855}), {K855, N855, Q855} &gt; 0)), """")"),0.0)</f>
        <v>0</v>
      </c>
      <c r="T855" s="123" t="str">
        <f t="shared" si="1"/>
        <v>#DIV/0!</v>
      </c>
    </row>
    <row r="856">
      <c r="A856" s="113"/>
      <c r="B856" s="113"/>
      <c r="C856" s="113"/>
      <c r="D856" s="114"/>
      <c r="E856" s="113"/>
      <c r="F856" s="113"/>
      <c r="G856" s="115"/>
      <c r="H856" s="116"/>
      <c r="I856" s="117" t="s">
        <v>261</v>
      </c>
      <c r="J856" s="117" t="s">
        <v>261</v>
      </c>
      <c r="K856" s="118"/>
      <c r="L856" s="119"/>
      <c r="M856" s="119"/>
      <c r="N856" s="120"/>
      <c r="O856" s="118"/>
      <c r="P856" s="118"/>
      <c r="Q856" s="118"/>
      <c r="R856" s="121">
        <v>0.67</v>
      </c>
      <c r="S856" s="122">
        <f>IFERROR(__xludf.DUMMYFUNCTION("((IFERROR(MIN(FILTER({K856, N856, Q856}, ISNUMBER({K856, N856, Q856}), {K856, N856, Q856} &gt; 0)), """"))*R856)+IFERROR(MIN(FILTER({K856, N856, Q856}, ISNUMBER({K856, N856, Q856}), {K856, N856, Q856} &gt; 0)), """")"),0.0)</f>
        <v>0</v>
      </c>
      <c r="T856" s="123" t="str">
        <f t="shared" si="1"/>
        <v>#DIV/0!</v>
      </c>
    </row>
    <row r="857">
      <c r="A857" s="113"/>
      <c r="B857" s="113"/>
      <c r="C857" s="113"/>
      <c r="D857" s="114"/>
      <c r="E857" s="113"/>
      <c r="F857" s="113"/>
      <c r="G857" s="115"/>
      <c r="H857" s="116"/>
      <c r="I857" s="117" t="s">
        <v>261</v>
      </c>
      <c r="J857" s="117" t="s">
        <v>261</v>
      </c>
      <c r="K857" s="118"/>
      <c r="L857" s="119"/>
      <c r="M857" s="119"/>
      <c r="N857" s="120"/>
      <c r="O857" s="118"/>
      <c r="P857" s="118"/>
      <c r="Q857" s="118"/>
      <c r="R857" s="121">
        <v>0.67</v>
      </c>
      <c r="S857" s="122">
        <f>IFERROR(__xludf.DUMMYFUNCTION("((IFERROR(MIN(FILTER({K857, N857, Q857}, ISNUMBER({K857, N857, Q857}), {K857, N857, Q857} &gt; 0)), """"))*R857)+IFERROR(MIN(FILTER({K857, N857, Q857}, ISNUMBER({K857, N857, Q857}), {K857, N857, Q857} &gt; 0)), """")"),0.0)</f>
        <v>0</v>
      </c>
      <c r="T857" s="123" t="str">
        <f t="shared" si="1"/>
        <v>#DIV/0!</v>
      </c>
    </row>
    <row r="858">
      <c r="A858" s="113"/>
      <c r="B858" s="113"/>
      <c r="C858" s="113"/>
      <c r="D858" s="114"/>
      <c r="E858" s="113"/>
      <c r="F858" s="113"/>
      <c r="G858" s="115"/>
      <c r="H858" s="116"/>
      <c r="I858" s="117" t="s">
        <v>261</v>
      </c>
      <c r="J858" s="117" t="s">
        <v>261</v>
      </c>
      <c r="K858" s="118"/>
      <c r="L858" s="119"/>
      <c r="M858" s="119"/>
      <c r="N858" s="120"/>
      <c r="O858" s="118"/>
      <c r="P858" s="118"/>
      <c r="Q858" s="118"/>
      <c r="R858" s="121">
        <v>0.67</v>
      </c>
      <c r="S858" s="122">
        <f>IFERROR(__xludf.DUMMYFUNCTION("((IFERROR(MIN(FILTER({K858, N858, Q858}, ISNUMBER({K858, N858, Q858}), {K858, N858, Q858} &gt; 0)), """"))*R858)+IFERROR(MIN(FILTER({K858, N858, Q858}, ISNUMBER({K858, N858, Q858}), {K858, N858, Q858} &gt; 0)), """")"),0.0)</f>
        <v>0</v>
      </c>
      <c r="T858" s="123" t="str">
        <f t="shared" si="1"/>
        <v>#DIV/0!</v>
      </c>
    </row>
    <row r="859">
      <c r="A859" s="113"/>
      <c r="B859" s="113"/>
      <c r="C859" s="113"/>
      <c r="D859" s="114"/>
      <c r="E859" s="113"/>
      <c r="F859" s="113"/>
      <c r="G859" s="115"/>
      <c r="H859" s="116"/>
      <c r="I859" s="117" t="s">
        <v>261</v>
      </c>
      <c r="J859" s="117" t="s">
        <v>261</v>
      </c>
      <c r="K859" s="118"/>
      <c r="L859" s="119"/>
      <c r="M859" s="119"/>
      <c r="N859" s="120"/>
      <c r="O859" s="118"/>
      <c r="P859" s="118"/>
      <c r="Q859" s="118"/>
      <c r="R859" s="121">
        <v>0.67</v>
      </c>
      <c r="S859" s="122">
        <f>IFERROR(__xludf.DUMMYFUNCTION("((IFERROR(MIN(FILTER({K859, N859, Q859}, ISNUMBER({K859, N859, Q859}), {K859, N859, Q859} &gt; 0)), """"))*R859)+IFERROR(MIN(FILTER({K859, N859, Q859}, ISNUMBER({K859, N859, Q859}), {K859, N859, Q859} &gt; 0)), """")"),0.0)</f>
        <v>0</v>
      </c>
      <c r="T859" s="123" t="str">
        <f t="shared" si="1"/>
        <v>#DIV/0!</v>
      </c>
    </row>
    <row r="860">
      <c r="A860" s="113"/>
      <c r="B860" s="113"/>
      <c r="C860" s="113"/>
      <c r="D860" s="114"/>
      <c r="E860" s="113"/>
      <c r="F860" s="113"/>
      <c r="G860" s="115"/>
      <c r="H860" s="116"/>
      <c r="I860" s="117" t="s">
        <v>261</v>
      </c>
      <c r="J860" s="117" t="s">
        <v>261</v>
      </c>
      <c r="K860" s="118"/>
      <c r="L860" s="119"/>
      <c r="M860" s="119"/>
      <c r="N860" s="120"/>
      <c r="O860" s="118"/>
      <c r="P860" s="118"/>
      <c r="Q860" s="118"/>
      <c r="R860" s="121">
        <v>0.67</v>
      </c>
      <c r="S860" s="122">
        <f>IFERROR(__xludf.DUMMYFUNCTION("((IFERROR(MIN(FILTER({K860, N860, Q860}, ISNUMBER({K860, N860, Q860}), {K860, N860, Q860} &gt; 0)), """"))*R860)+IFERROR(MIN(FILTER({K860, N860, Q860}, ISNUMBER({K860, N860, Q860}), {K860, N860, Q860} &gt; 0)), """")"),0.0)</f>
        <v>0</v>
      </c>
      <c r="T860" s="123" t="str">
        <f t="shared" si="1"/>
        <v>#DIV/0!</v>
      </c>
    </row>
    <row r="861">
      <c r="A861" s="113"/>
      <c r="B861" s="113"/>
      <c r="C861" s="113"/>
      <c r="D861" s="114"/>
      <c r="E861" s="113"/>
      <c r="F861" s="113"/>
      <c r="G861" s="115"/>
      <c r="H861" s="116"/>
      <c r="I861" s="117" t="s">
        <v>261</v>
      </c>
      <c r="J861" s="117" t="s">
        <v>261</v>
      </c>
      <c r="K861" s="118"/>
      <c r="L861" s="119"/>
      <c r="M861" s="119"/>
      <c r="N861" s="120"/>
      <c r="O861" s="118"/>
      <c r="P861" s="118"/>
      <c r="Q861" s="118"/>
      <c r="R861" s="121">
        <v>0.67</v>
      </c>
      <c r="S861" s="122">
        <f>IFERROR(__xludf.DUMMYFUNCTION("((IFERROR(MIN(FILTER({K861, N861, Q861}, ISNUMBER({K861, N861, Q861}), {K861, N861, Q861} &gt; 0)), """"))*R861)+IFERROR(MIN(FILTER({K861, N861, Q861}, ISNUMBER({K861, N861, Q861}), {K861, N861, Q861} &gt; 0)), """")"),0.0)</f>
        <v>0</v>
      </c>
      <c r="T861" s="123" t="str">
        <f t="shared" si="1"/>
        <v>#DIV/0!</v>
      </c>
    </row>
    <row r="862">
      <c r="A862" s="113"/>
      <c r="B862" s="113"/>
      <c r="C862" s="113"/>
      <c r="D862" s="114"/>
      <c r="E862" s="113"/>
      <c r="F862" s="113"/>
      <c r="G862" s="115"/>
      <c r="H862" s="116"/>
      <c r="I862" s="117" t="s">
        <v>261</v>
      </c>
      <c r="J862" s="117" t="s">
        <v>261</v>
      </c>
      <c r="K862" s="118"/>
      <c r="L862" s="119"/>
      <c r="M862" s="119"/>
      <c r="N862" s="120"/>
      <c r="O862" s="118"/>
      <c r="P862" s="118"/>
      <c r="Q862" s="118"/>
      <c r="R862" s="121">
        <v>0.67</v>
      </c>
      <c r="S862" s="122">
        <f>IFERROR(__xludf.DUMMYFUNCTION("((IFERROR(MIN(FILTER({K862, N862, Q862}, ISNUMBER({K862, N862, Q862}), {K862, N862, Q862} &gt; 0)), """"))*R862)+IFERROR(MIN(FILTER({K862, N862, Q862}, ISNUMBER({K862, N862, Q862}), {K862, N862, Q862} &gt; 0)), """")"),0.0)</f>
        <v>0</v>
      </c>
      <c r="T862" s="123" t="str">
        <f t="shared" si="1"/>
        <v>#DIV/0!</v>
      </c>
    </row>
    <row r="863">
      <c r="A863" s="113"/>
      <c r="B863" s="113"/>
      <c r="C863" s="113"/>
      <c r="D863" s="114"/>
      <c r="E863" s="113"/>
      <c r="F863" s="113"/>
      <c r="G863" s="115"/>
      <c r="H863" s="116"/>
      <c r="I863" s="117" t="s">
        <v>261</v>
      </c>
      <c r="J863" s="117" t="s">
        <v>261</v>
      </c>
      <c r="K863" s="118"/>
      <c r="L863" s="119"/>
      <c r="M863" s="119"/>
      <c r="N863" s="120"/>
      <c r="O863" s="118"/>
      <c r="P863" s="118"/>
      <c r="Q863" s="118"/>
      <c r="R863" s="121">
        <v>0.67</v>
      </c>
      <c r="S863" s="122">
        <f>IFERROR(__xludf.DUMMYFUNCTION("((IFERROR(MIN(FILTER({K863, N863, Q863}, ISNUMBER({K863, N863, Q863}), {K863, N863, Q863} &gt; 0)), """"))*R863)+IFERROR(MIN(FILTER({K863, N863, Q863}, ISNUMBER({K863, N863, Q863}), {K863, N863, Q863} &gt; 0)), """")"),0.0)</f>
        <v>0</v>
      </c>
      <c r="T863" s="123" t="str">
        <f t="shared" si="1"/>
        <v>#DIV/0!</v>
      </c>
    </row>
    <row r="864">
      <c r="A864" s="113"/>
      <c r="B864" s="113"/>
      <c r="C864" s="113"/>
      <c r="D864" s="114"/>
      <c r="E864" s="113"/>
      <c r="F864" s="113"/>
      <c r="G864" s="115"/>
      <c r="H864" s="116"/>
      <c r="I864" s="117" t="s">
        <v>261</v>
      </c>
      <c r="J864" s="117" t="s">
        <v>261</v>
      </c>
      <c r="K864" s="118"/>
      <c r="L864" s="119"/>
      <c r="M864" s="119"/>
      <c r="N864" s="120"/>
      <c r="O864" s="118"/>
      <c r="P864" s="118"/>
      <c r="Q864" s="118"/>
      <c r="R864" s="121">
        <v>0.67</v>
      </c>
      <c r="S864" s="122">
        <f>IFERROR(__xludf.DUMMYFUNCTION("((IFERROR(MIN(FILTER({K864, N864, Q864}, ISNUMBER({K864, N864, Q864}), {K864, N864, Q864} &gt; 0)), """"))*R864)+IFERROR(MIN(FILTER({K864, N864, Q864}, ISNUMBER({K864, N864, Q864}), {K864, N864, Q864} &gt; 0)), """")"),0.0)</f>
        <v>0</v>
      </c>
      <c r="T864" s="123" t="str">
        <f t="shared" si="1"/>
        <v>#DIV/0!</v>
      </c>
    </row>
    <row r="865">
      <c r="A865" s="113"/>
      <c r="B865" s="113"/>
      <c r="C865" s="113"/>
      <c r="D865" s="114"/>
      <c r="E865" s="113"/>
      <c r="F865" s="113"/>
      <c r="G865" s="115"/>
      <c r="H865" s="116"/>
      <c r="I865" s="117" t="s">
        <v>261</v>
      </c>
      <c r="J865" s="117" t="s">
        <v>261</v>
      </c>
      <c r="K865" s="118"/>
      <c r="L865" s="119"/>
      <c r="M865" s="119"/>
      <c r="N865" s="120"/>
      <c r="O865" s="118"/>
      <c r="P865" s="118"/>
      <c r="Q865" s="118"/>
      <c r="R865" s="121">
        <v>0.67</v>
      </c>
      <c r="S865" s="122">
        <f>IFERROR(__xludf.DUMMYFUNCTION("((IFERROR(MIN(FILTER({K865, N865, Q865}, ISNUMBER({K865, N865, Q865}), {K865, N865, Q865} &gt; 0)), """"))*R865)+IFERROR(MIN(FILTER({K865, N865, Q865}, ISNUMBER({K865, N865, Q865}), {K865, N865, Q865} &gt; 0)), """")"),0.0)</f>
        <v>0</v>
      </c>
      <c r="T865" s="123" t="str">
        <f t="shared" si="1"/>
        <v>#DIV/0!</v>
      </c>
    </row>
    <row r="866">
      <c r="A866" s="113"/>
      <c r="B866" s="113"/>
      <c r="C866" s="113"/>
      <c r="D866" s="114"/>
      <c r="E866" s="113"/>
      <c r="F866" s="113"/>
      <c r="G866" s="115"/>
      <c r="H866" s="116"/>
      <c r="I866" s="117" t="s">
        <v>261</v>
      </c>
      <c r="J866" s="117" t="s">
        <v>261</v>
      </c>
      <c r="K866" s="118"/>
      <c r="L866" s="119"/>
      <c r="M866" s="119"/>
      <c r="N866" s="120"/>
      <c r="O866" s="118"/>
      <c r="P866" s="118"/>
      <c r="Q866" s="118"/>
      <c r="R866" s="121">
        <v>0.67</v>
      </c>
      <c r="S866" s="122">
        <f>IFERROR(__xludf.DUMMYFUNCTION("((IFERROR(MIN(FILTER({K866, N866, Q866}, ISNUMBER({K866, N866, Q866}), {K866, N866, Q866} &gt; 0)), """"))*R866)+IFERROR(MIN(FILTER({K866, N866, Q866}, ISNUMBER({K866, N866, Q866}), {K866, N866, Q866} &gt; 0)), """")"),0.0)</f>
        <v>0</v>
      </c>
      <c r="T866" s="123" t="str">
        <f t="shared" si="1"/>
        <v>#DIV/0!</v>
      </c>
    </row>
    <row r="867">
      <c r="A867" s="113"/>
      <c r="B867" s="113"/>
      <c r="C867" s="113"/>
      <c r="D867" s="114"/>
      <c r="E867" s="113"/>
      <c r="F867" s="113"/>
      <c r="G867" s="115"/>
      <c r="H867" s="116"/>
      <c r="I867" s="117" t="s">
        <v>261</v>
      </c>
      <c r="J867" s="117" t="s">
        <v>261</v>
      </c>
      <c r="K867" s="118"/>
      <c r="L867" s="119"/>
      <c r="M867" s="119"/>
      <c r="N867" s="120"/>
      <c r="O867" s="118"/>
      <c r="P867" s="118"/>
      <c r="Q867" s="118"/>
      <c r="R867" s="121">
        <v>0.67</v>
      </c>
      <c r="S867" s="122">
        <f>IFERROR(__xludf.DUMMYFUNCTION("((IFERROR(MIN(FILTER({K867, N867, Q867}, ISNUMBER({K867, N867, Q867}), {K867, N867, Q867} &gt; 0)), """"))*R867)+IFERROR(MIN(FILTER({K867, N867, Q867}, ISNUMBER({K867, N867, Q867}), {K867, N867, Q867} &gt; 0)), """")"),0.0)</f>
        <v>0</v>
      </c>
      <c r="T867" s="123" t="str">
        <f t="shared" si="1"/>
        <v>#DIV/0!</v>
      </c>
    </row>
    <row r="868">
      <c r="A868" s="113"/>
      <c r="B868" s="113"/>
      <c r="C868" s="113"/>
      <c r="D868" s="114"/>
      <c r="E868" s="113"/>
      <c r="F868" s="113"/>
      <c r="G868" s="115"/>
      <c r="H868" s="116"/>
      <c r="I868" s="117" t="s">
        <v>261</v>
      </c>
      <c r="J868" s="117" t="s">
        <v>261</v>
      </c>
      <c r="K868" s="118"/>
      <c r="L868" s="119"/>
      <c r="M868" s="119"/>
      <c r="N868" s="120"/>
      <c r="O868" s="118"/>
      <c r="P868" s="118"/>
      <c r="Q868" s="118"/>
      <c r="R868" s="121">
        <v>0.67</v>
      </c>
      <c r="S868" s="122">
        <f>IFERROR(__xludf.DUMMYFUNCTION("((IFERROR(MIN(FILTER({K868, N868, Q868}, ISNUMBER({K868, N868, Q868}), {K868, N868, Q868} &gt; 0)), """"))*R868)+IFERROR(MIN(FILTER({K868, N868, Q868}, ISNUMBER({K868, N868, Q868}), {K868, N868, Q868} &gt; 0)), """")"),0.0)</f>
        <v>0</v>
      </c>
      <c r="T868" s="123" t="str">
        <f t="shared" si="1"/>
        <v>#DIV/0!</v>
      </c>
    </row>
    <row r="869">
      <c r="A869" s="113"/>
      <c r="B869" s="113"/>
      <c r="C869" s="113"/>
      <c r="D869" s="114"/>
      <c r="E869" s="113"/>
      <c r="F869" s="113"/>
      <c r="G869" s="115"/>
      <c r="H869" s="116"/>
      <c r="I869" s="117" t="s">
        <v>261</v>
      </c>
      <c r="J869" s="117" t="s">
        <v>261</v>
      </c>
      <c r="K869" s="118"/>
      <c r="L869" s="119"/>
      <c r="M869" s="119"/>
      <c r="N869" s="120"/>
      <c r="O869" s="118"/>
      <c r="P869" s="118"/>
      <c r="Q869" s="118"/>
      <c r="R869" s="121">
        <v>0.67</v>
      </c>
      <c r="S869" s="122">
        <f>IFERROR(__xludf.DUMMYFUNCTION("((IFERROR(MIN(FILTER({K869, N869, Q869}, ISNUMBER({K869, N869, Q869}), {K869, N869, Q869} &gt; 0)), """"))*R869)+IFERROR(MIN(FILTER({K869, N869, Q869}, ISNUMBER({K869, N869, Q869}), {K869, N869, Q869} &gt; 0)), """")"),0.0)</f>
        <v>0</v>
      </c>
      <c r="T869" s="123" t="str">
        <f t="shared" si="1"/>
        <v>#DIV/0!</v>
      </c>
    </row>
    <row r="870">
      <c r="A870" s="113"/>
      <c r="B870" s="113"/>
      <c r="C870" s="113"/>
      <c r="D870" s="114"/>
      <c r="E870" s="113"/>
      <c r="F870" s="113"/>
      <c r="G870" s="115"/>
      <c r="H870" s="116"/>
      <c r="I870" s="117" t="s">
        <v>261</v>
      </c>
      <c r="J870" s="117" t="s">
        <v>261</v>
      </c>
      <c r="K870" s="118"/>
      <c r="L870" s="119"/>
      <c r="M870" s="119"/>
      <c r="N870" s="120"/>
      <c r="O870" s="118"/>
      <c r="P870" s="118"/>
      <c r="Q870" s="118"/>
      <c r="R870" s="121">
        <v>0.67</v>
      </c>
      <c r="S870" s="122">
        <f>IFERROR(__xludf.DUMMYFUNCTION("((IFERROR(MIN(FILTER({K870, N870, Q870}, ISNUMBER({K870, N870, Q870}), {K870, N870, Q870} &gt; 0)), """"))*R870)+IFERROR(MIN(FILTER({K870, N870, Q870}, ISNUMBER({K870, N870, Q870}), {K870, N870, Q870} &gt; 0)), """")"),0.0)</f>
        <v>0</v>
      </c>
      <c r="T870" s="123" t="str">
        <f t="shared" si="1"/>
        <v>#DIV/0!</v>
      </c>
    </row>
    <row r="871">
      <c r="A871" s="113"/>
      <c r="B871" s="113"/>
      <c r="C871" s="113"/>
      <c r="D871" s="114"/>
      <c r="E871" s="113"/>
      <c r="F871" s="113"/>
      <c r="G871" s="115"/>
      <c r="H871" s="116"/>
      <c r="I871" s="117" t="s">
        <v>261</v>
      </c>
      <c r="J871" s="117" t="s">
        <v>261</v>
      </c>
      <c r="K871" s="118"/>
      <c r="L871" s="119"/>
      <c r="M871" s="119"/>
      <c r="N871" s="120"/>
      <c r="O871" s="118"/>
      <c r="P871" s="118"/>
      <c r="Q871" s="118"/>
      <c r="R871" s="121">
        <v>0.67</v>
      </c>
      <c r="S871" s="122">
        <f>IFERROR(__xludf.DUMMYFUNCTION("((IFERROR(MIN(FILTER({K871, N871, Q871}, ISNUMBER({K871, N871, Q871}), {K871, N871, Q871} &gt; 0)), """"))*R871)+IFERROR(MIN(FILTER({K871, N871, Q871}, ISNUMBER({K871, N871, Q871}), {K871, N871, Q871} &gt; 0)), """")"),0.0)</f>
        <v>0</v>
      </c>
      <c r="T871" s="123" t="str">
        <f t="shared" si="1"/>
        <v>#DIV/0!</v>
      </c>
    </row>
    <row r="872">
      <c r="A872" s="113"/>
      <c r="B872" s="113"/>
      <c r="C872" s="113"/>
      <c r="D872" s="114"/>
      <c r="E872" s="113"/>
      <c r="F872" s="113"/>
      <c r="G872" s="115"/>
      <c r="H872" s="116"/>
      <c r="I872" s="117" t="s">
        <v>261</v>
      </c>
      <c r="J872" s="117" t="s">
        <v>261</v>
      </c>
      <c r="K872" s="118"/>
      <c r="L872" s="119"/>
      <c r="M872" s="119"/>
      <c r="N872" s="120"/>
      <c r="O872" s="118"/>
      <c r="P872" s="118"/>
      <c r="Q872" s="118"/>
      <c r="R872" s="121">
        <v>0.67</v>
      </c>
      <c r="S872" s="122">
        <f>IFERROR(__xludf.DUMMYFUNCTION("((IFERROR(MIN(FILTER({K872, N872, Q872}, ISNUMBER({K872, N872, Q872}), {K872, N872, Q872} &gt; 0)), """"))*R872)+IFERROR(MIN(FILTER({K872, N872, Q872}, ISNUMBER({K872, N872, Q872}), {K872, N872, Q872} &gt; 0)), """")"),0.0)</f>
        <v>0</v>
      </c>
      <c r="T872" s="123" t="str">
        <f t="shared" si="1"/>
        <v>#DIV/0!</v>
      </c>
    </row>
    <row r="873">
      <c r="A873" s="113"/>
      <c r="B873" s="113"/>
      <c r="C873" s="113"/>
      <c r="D873" s="114"/>
      <c r="E873" s="113"/>
      <c r="F873" s="113"/>
      <c r="G873" s="115"/>
      <c r="H873" s="116"/>
      <c r="I873" s="117" t="s">
        <v>261</v>
      </c>
      <c r="J873" s="117" t="s">
        <v>261</v>
      </c>
      <c r="K873" s="118"/>
      <c r="L873" s="119"/>
      <c r="M873" s="119"/>
      <c r="N873" s="120"/>
      <c r="O873" s="118"/>
      <c r="P873" s="118"/>
      <c r="Q873" s="118"/>
      <c r="R873" s="121">
        <v>0.67</v>
      </c>
      <c r="S873" s="122">
        <f>IFERROR(__xludf.DUMMYFUNCTION("((IFERROR(MIN(FILTER({K873, N873, Q873}, ISNUMBER({K873, N873, Q873}), {K873, N873, Q873} &gt; 0)), """"))*R873)+IFERROR(MIN(FILTER({K873, N873, Q873}, ISNUMBER({K873, N873, Q873}), {K873, N873, Q873} &gt; 0)), """")"),0.0)</f>
        <v>0</v>
      </c>
      <c r="T873" s="123" t="str">
        <f t="shared" si="1"/>
        <v>#DIV/0!</v>
      </c>
    </row>
    <row r="874">
      <c r="A874" s="113"/>
      <c r="B874" s="113"/>
      <c r="C874" s="113"/>
      <c r="D874" s="114"/>
      <c r="E874" s="113"/>
      <c r="F874" s="113"/>
      <c r="G874" s="115"/>
      <c r="H874" s="116"/>
      <c r="I874" s="117" t="s">
        <v>261</v>
      </c>
      <c r="J874" s="117" t="s">
        <v>261</v>
      </c>
      <c r="K874" s="118"/>
      <c r="L874" s="119"/>
      <c r="M874" s="119"/>
      <c r="N874" s="120"/>
      <c r="O874" s="118"/>
      <c r="P874" s="118"/>
      <c r="Q874" s="118"/>
      <c r="R874" s="121">
        <v>0.67</v>
      </c>
      <c r="S874" s="122">
        <f>IFERROR(__xludf.DUMMYFUNCTION("((IFERROR(MIN(FILTER({K874, N874, Q874}, ISNUMBER({K874, N874, Q874}), {K874, N874, Q874} &gt; 0)), """"))*R874)+IFERROR(MIN(FILTER({K874, N874, Q874}, ISNUMBER({K874, N874, Q874}), {K874, N874, Q874} &gt; 0)), """")"),0.0)</f>
        <v>0</v>
      </c>
      <c r="T874" s="123" t="str">
        <f t="shared" si="1"/>
        <v>#DIV/0!</v>
      </c>
    </row>
    <row r="875">
      <c r="A875" s="113"/>
      <c r="B875" s="113"/>
      <c r="C875" s="113"/>
      <c r="D875" s="114"/>
      <c r="E875" s="113"/>
      <c r="F875" s="113"/>
      <c r="G875" s="115"/>
      <c r="H875" s="116"/>
      <c r="I875" s="117" t="s">
        <v>261</v>
      </c>
      <c r="J875" s="117" t="s">
        <v>261</v>
      </c>
      <c r="K875" s="118"/>
      <c r="L875" s="119"/>
      <c r="M875" s="119"/>
      <c r="N875" s="120"/>
      <c r="O875" s="118"/>
      <c r="P875" s="118"/>
      <c r="Q875" s="118"/>
      <c r="R875" s="121">
        <v>0.67</v>
      </c>
      <c r="S875" s="122">
        <f>IFERROR(__xludf.DUMMYFUNCTION("((IFERROR(MIN(FILTER({K875, N875, Q875}, ISNUMBER({K875, N875, Q875}), {K875, N875, Q875} &gt; 0)), """"))*R875)+IFERROR(MIN(FILTER({K875, N875, Q875}, ISNUMBER({K875, N875, Q875}), {K875, N875, Q875} &gt; 0)), """")"),0.0)</f>
        <v>0</v>
      </c>
      <c r="T875" s="123" t="str">
        <f t="shared" si="1"/>
        <v>#DIV/0!</v>
      </c>
    </row>
    <row r="876">
      <c r="A876" s="113"/>
      <c r="B876" s="113"/>
      <c r="C876" s="113"/>
      <c r="D876" s="114"/>
      <c r="E876" s="113"/>
      <c r="F876" s="113"/>
      <c r="G876" s="115"/>
      <c r="H876" s="116"/>
      <c r="I876" s="117" t="s">
        <v>261</v>
      </c>
      <c r="J876" s="117" t="s">
        <v>261</v>
      </c>
      <c r="K876" s="118"/>
      <c r="L876" s="119"/>
      <c r="M876" s="119"/>
      <c r="N876" s="120"/>
      <c r="O876" s="118"/>
      <c r="P876" s="118"/>
      <c r="Q876" s="118"/>
      <c r="R876" s="121">
        <v>0.67</v>
      </c>
      <c r="S876" s="122">
        <f>IFERROR(__xludf.DUMMYFUNCTION("((IFERROR(MIN(FILTER({K876, N876, Q876}, ISNUMBER({K876, N876, Q876}), {K876, N876, Q876} &gt; 0)), """"))*R876)+IFERROR(MIN(FILTER({K876, N876, Q876}, ISNUMBER({K876, N876, Q876}), {K876, N876, Q876} &gt; 0)), """")"),0.0)</f>
        <v>0</v>
      </c>
      <c r="T876" s="123" t="str">
        <f t="shared" si="1"/>
        <v>#DIV/0!</v>
      </c>
    </row>
    <row r="877">
      <c r="A877" s="113"/>
      <c r="B877" s="113"/>
      <c r="C877" s="113"/>
      <c r="D877" s="114"/>
      <c r="E877" s="113"/>
      <c r="F877" s="113"/>
      <c r="G877" s="115"/>
      <c r="H877" s="116"/>
      <c r="I877" s="117" t="s">
        <v>261</v>
      </c>
      <c r="J877" s="117" t="s">
        <v>261</v>
      </c>
      <c r="K877" s="118"/>
      <c r="L877" s="119"/>
      <c r="M877" s="119"/>
      <c r="N877" s="120"/>
      <c r="O877" s="118"/>
      <c r="P877" s="118"/>
      <c r="Q877" s="118"/>
      <c r="R877" s="121">
        <v>0.67</v>
      </c>
      <c r="S877" s="122">
        <f>IFERROR(__xludf.DUMMYFUNCTION("((IFERROR(MIN(FILTER({K877, N877, Q877}, ISNUMBER({K877, N877, Q877}), {K877, N877, Q877} &gt; 0)), """"))*R877)+IFERROR(MIN(FILTER({K877, N877, Q877}, ISNUMBER({K877, N877, Q877}), {K877, N877, Q877} &gt; 0)), """")"),0.0)</f>
        <v>0</v>
      </c>
      <c r="T877" s="123" t="str">
        <f t="shared" si="1"/>
        <v>#DIV/0!</v>
      </c>
    </row>
    <row r="878">
      <c r="A878" s="113"/>
      <c r="B878" s="113"/>
      <c r="C878" s="113"/>
      <c r="D878" s="114"/>
      <c r="E878" s="113"/>
      <c r="F878" s="113"/>
      <c r="G878" s="115"/>
      <c r="H878" s="116"/>
      <c r="I878" s="117" t="s">
        <v>261</v>
      </c>
      <c r="J878" s="117" t="s">
        <v>261</v>
      </c>
      <c r="K878" s="118"/>
      <c r="L878" s="119"/>
      <c r="M878" s="119"/>
      <c r="N878" s="120"/>
      <c r="O878" s="118"/>
      <c r="P878" s="118"/>
      <c r="Q878" s="118"/>
      <c r="R878" s="121">
        <v>0.67</v>
      </c>
      <c r="S878" s="122">
        <f>IFERROR(__xludf.DUMMYFUNCTION("((IFERROR(MIN(FILTER({K878, N878, Q878}, ISNUMBER({K878, N878, Q878}), {K878, N878, Q878} &gt; 0)), """"))*R878)+IFERROR(MIN(FILTER({K878, N878, Q878}, ISNUMBER({K878, N878, Q878}), {K878, N878, Q878} &gt; 0)), """")"),0.0)</f>
        <v>0</v>
      </c>
      <c r="T878" s="123" t="str">
        <f t="shared" si="1"/>
        <v>#DIV/0!</v>
      </c>
    </row>
    <row r="879">
      <c r="A879" s="113"/>
      <c r="B879" s="113"/>
      <c r="C879" s="113"/>
      <c r="D879" s="114"/>
      <c r="E879" s="113"/>
      <c r="F879" s="113"/>
      <c r="G879" s="115"/>
      <c r="H879" s="116"/>
      <c r="I879" s="117" t="s">
        <v>261</v>
      </c>
      <c r="J879" s="117" t="s">
        <v>261</v>
      </c>
      <c r="K879" s="118"/>
      <c r="L879" s="119"/>
      <c r="M879" s="119"/>
      <c r="N879" s="120"/>
      <c r="O879" s="118"/>
      <c r="P879" s="118"/>
      <c r="Q879" s="118"/>
      <c r="R879" s="121">
        <v>0.67</v>
      </c>
      <c r="S879" s="122">
        <f>IFERROR(__xludf.DUMMYFUNCTION("((IFERROR(MIN(FILTER({K879, N879, Q879}, ISNUMBER({K879, N879, Q879}), {K879, N879, Q879} &gt; 0)), """"))*R879)+IFERROR(MIN(FILTER({K879, N879, Q879}, ISNUMBER({K879, N879, Q879}), {K879, N879, Q879} &gt; 0)), """")"),0.0)</f>
        <v>0</v>
      </c>
      <c r="T879" s="123" t="str">
        <f t="shared" si="1"/>
        <v>#DIV/0!</v>
      </c>
    </row>
    <row r="880">
      <c r="A880" s="113"/>
      <c r="B880" s="113"/>
      <c r="C880" s="113"/>
      <c r="D880" s="114"/>
      <c r="E880" s="113"/>
      <c r="F880" s="113"/>
      <c r="G880" s="115"/>
      <c r="H880" s="116"/>
      <c r="I880" s="117" t="s">
        <v>261</v>
      </c>
      <c r="J880" s="117" t="s">
        <v>261</v>
      </c>
      <c r="K880" s="118"/>
      <c r="L880" s="119"/>
      <c r="M880" s="119"/>
      <c r="N880" s="120"/>
      <c r="O880" s="118"/>
      <c r="P880" s="118"/>
      <c r="Q880" s="118"/>
      <c r="R880" s="121">
        <v>0.67</v>
      </c>
      <c r="S880" s="122">
        <f>IFERROR(__xludf.DUMMYFUNCTION("((IFERROR(MIN(FILTER({K880, N880, Q880}, ISNUMBER({K880, N880, Q880}), {K880, N880, Q880} &gt; 0)), """"))*R880)+IFERROR(MIN(FILTER({K880, N880, Q880}, ISNUMBER({K880, N880, Q880}), {K880, N880, Q880} &gt; 0)), """")"),0.0)</f>
        <v>0</v>
      </c>
      <c r="T880" s="123" t="str">
        <f t="shared" si="1"/>
        <v>#DIV/0!</v>
      </c>
    </row>
    <row r="881">
      <c r="A881" s="113"/>
      <c r="B881" s="113"/>
      <c r="C881" s="113"/>
      <c r="D881" s="114"/>
      <c r="E881" s="113"/>
      <c r="F881" s="113"/>
      <c r="G881" s="115"/>
      <c r="H881" s="116"/>
      <c r="I881" s="117" t="s">
        <v>261</v>
      </c>
      <c r="J881" s="117" t="s">
        <v>261</v>
      </c>
      <c r="K881" s="118"/>
      <c r="L881" s="119"/>
      <c r="M881" s="119"/>
      <c r="N881" s="120"/>
      <c r="O881" s="118"/>
      <c r="P881" s="118"/>
      <c r="Q881" s="118"/>
      <c r="R881" s="121">
        <v>0.67</v>
      </c>
      <c r="S881" s="122">
        <f>IFERROR(__xludf.DUMMYFUNCTION("((IFERROR(MIN(FILTER({K881, N881, Q881}, ISNUMBER({K881, N881, Q881}), {K881, N881, Q881} &gt; 0)), """"))*R881)+IFERROR(MIN(FILTER({K881, N881, Q881}, ISNUMBER({K881, N881, Q881}), {K881, N881, Q881} &gt; 0)), """")"),0.0)</f>
        <v>0</v>
      </c>
      <c r="T881" s="123" t="str">
        <f t="shared" si="1"/>
        <v>#DIV/0!</v>
      </c>
    </row>
    <row r="882">
      <c r="A882" s="113"/>
      <c r="B882" s="113"/>
      <c r="C882" s="113"/>
      <c r="D882" s="114"/>
      <c r="E882" s="113"/>
      <c r="F882" s="113"/>
      <c r="G882" s="115"/>
      <c r="H882" s="116"/>
      <c r="I882" s="117" t="s">
        <v>261</v>
      </c>
      <c r="J882" s="117" t="s">
        <v>261</v>
      </c>
      <c r="K882" s="118"/>
      <c r="L882" s="119"/>
      <c r="M882" s="119"/>
      <c r="N882" s="120"/>
      <c r="O882" s="118"/>
      <c r="P882" s="118"/>
      <c r="Q882" s="118"/>
      <c r="R882" s="121">
        <v>0.67</v>
      </c>
      <c r="S882" s="122">
        <f>IFERROR(__xludf.DUMMYFUNCTION("((IFERROR(MIN(FILTER({K882, N882, Q882}, ISNUMBER({K882, N882, Q882}), {K882, N882, Q882} &gt; 0)), """"))*R882)+IFERROR(MIN(FILTER({K882, N882, Q882}, ISNUMBER({K882, N882, Q882}), {K882, N882, Q882} &gt; 0)), """")"),0.0)</f>
        <v>0</v>
      </c>
      <c r="T882" s="123" t="str">
        <f t="shared" si="1"/>
        <v>#DIV/0!</v>
      </c>
    </row>
    <row r="883">
      <c r="A883" s="113"/>
      <c r="B883" s="113"/>
      <c r="C883" s="113"/>
      <c r="D883" s="114"/>
      <c r="E883" s="113"/>
      <c r="F883" s="113"/>
      <c r="G883" s="115"/>
      <c r="H883" s="116"/>
      <c r="I883" s="117" t="s">
        <v>261</v>
      </c>
      <c r="J883" s="117" t="s">
        <v>261</v>
      </c>
      <c r="K883" s="118"/>
      <c r="L883" s="119"/>
      <c r="M883" s="119"/>
      <c r="N883" s="120"/>
      <c r="O883" s="118"/>
      <c r="P883" s="118"/>
      <c r="Q883" s="118"/>
      <c r="R883" s="121">
        <v>0.67</v>
      </c>
      <c r="S883" s="122">
        <f>IFERROR(__xludf.DUMMYFUNCTION("((IFERROR(MIN(FILTER({K883, N883, Q883}, ISNUMBER({K883, N883, Q883}), {K883, N883, Q883} &gt; 0)), """"))*R883)+IFERROR(MIN(FILTER({K883, N883, Q883}, ISNUMBER({K883, N883, Q883}), {K883, N883, Q883} &gt; 0)), """")"),0.0)</f>
        <v>0</v>
      </c>
      <c r="T883" s="123" t="str">
        <f t="shared" si="1"/>
        <v>#DIV/0!</v>
      </c>
    </row>
    <row r="884">
      <c r="A884" s="113"/>
      <c r="B884" s="113"/>
      <c r="C884" s="113"/>
      <c r="D884" s="114"/>
      <c r="E884" s="113"/>
      <c r="F884" s="113"/>
      <c r="G884" s="115"/>
      <c r="H884" s="116"/>
      <c r="I884" s="117" t="s">
        <v>261</v>
      </c>
      <c r="J884" s="117" t="s">
        <v>261</v>
      </c>
      <c r="K884" s="118"/>
      <c r="L884" s="119"/>
      <c r="M884" s="119"/>
      <c r="N884" s="120"/>
      <c r="O884" s="118"/>
      <c r="P884" s="118"/>
      <c r="Q884" s="118"/>
      <c r="R884" s="121">
        <v>0.67</v>
      </c>
      <c r="S884" s="122">
        <f>IFERROR(__xludf.DUMMYFUNCTION("((IFERROR(MIN(FILTER({K884, N884, Q884}, ISNUMBER({K884, N884, Q884}), {K884, N884, Q884} &gt; 0)), """"))*R884)+IFERROR(MIN(FILTER({K884, N884, Q884}, ISNUMBER({K884, N884, Q884}), {K884, N884, Q884} &gt; 0)), """")"),0.0)</f>
        <v>0</v>
      </c>
      <c r="T884" s="123" t="str">
        <f t="shared" si="1"/>
        <v>#DIV/0!</v>
      </c>
    </row>
    <row r="885">
      <c r="A885" s="113"/>
      <c r="B885" s="113"/>
      <c r="C885" s="113"/>
      <c r="D885" s="114"/>
      <c r="E885" s="113"/>
      <c r="F885" s="113"/>
      <c r="G885" s="115"/>
      <c r="H885" s="116"/>
      <c r="I885" s="117" t="s">
        <v>261</v>
      </c>
      <c r="J885" s="117" t="s">
        <v>261</v>
      </c>
      <c r="K885" s="118"/>
      <c r="L885" s="119"/>
      <c r="M885" s="119"/>
      <c r="N885" s="120"/>
      <c r="O885" s="118"/>
      <c r="P885" s="118"/>
      <c r="Q885" s="118"/>
      <c r="R885" s="121">
        <v>0.67</v>
      </c>
      <c r="S885" s="122">
        <f>IFERROR(__xludf.DUMMYFUNCTION("((IFERROR(MIN(FILTER({K885, N885, Q885}, ISNUMBER({K885, N885, Q885}), {K885, N885, Q885} &gt; 0)), """"))*R885)+IFERROR(MIN(FILTER({K885, N885, Q885}, ISNUMBER({K885, N885, Q885}), {K885, N885, Q885} &gt; 0)), """")"),0.0)</f>
        <v>0</v>
      </c>
      <c r="T885" s="123" t="str">
        <f t="shared" si="1"/>
        <v>#DIV/0!</v>
      </c>
    </row>
    <row r="886">
      <c r="A886" s="113"/>
      <c r="B886" s="113"/>
      <c r="C886" s="113"/>
      <c r="D886" s="114"/>
      <c r="E886" s="113"/>
      <c r="F886" s="113"/>
      <c r="G886" s="115"/>
      <c r="H886" s="116"/>
      <c r="I886" s="117" t="s">
        <v>261</v>
      </c>
      <c r="J886" s="117" t="s">
        <v>261</v>
      </c>
      <c r="K886" s="118"/>
      <c r="L886" s="119"/>
      <c r="M886" s="119"/>
      <c r="N886" s="120"/>
      <c r="O886" s="118"/>
      <c r="P886" s="118"/>
      <c r="Q886" s="118"/>
      <c r="R886" s="121">
        <v>0.67</v>
      </c>
      <c r="S886" s="122">
        <f>IFERROR(__xludf.DUMMYFUNCTION("((IFERROR(MIN(FILTER({K886, N886, Q886}, ISNUMBER({K886, N886, Q886}), {K886, N886, Q886} &gt; 0)), """"))*R886)+IFERROR(MIN(FILTER({K886, N886, Q886}, ISNUMBER({K886, N886, Q886}), {K886, N886, Q886} &gt; 0)), """")"),0.0)</f>
        <v>0</v>
      </c>
      <c r="T886" s="123" t="str">
        <f t="shared" si="1"/>
        <v>#DIV/0!</v>
      </c>
    </row>
    <row r="887">
      <c r="A887" s="113"/>
      <c r="B887" s="113"/>
      <c r="C887" s="113"/>
      <c r="D887" s="114"/>
      <c r="E887" s="113"/>
      <c r="F887" s="113"/>
      <c r="G887" s="115"/>
      <c r="H887" s="116"/>
      <c r="I887" s="117" t="s">
        <v>261</v>
      </c>
      <c r="J887" s="117" t="s">
        <v>261</v>
      </c>
      <c r="K887" s="118"/>
      <c r="L887" s="119"/>
      <c r="M887" s="119"/>
      <c r="N887" s="120"/>
      <c r="O887" s="118"/>
      <c r="P887" s="118"/>
      <c r="Q887" s="118"/>
      <c r="R887" s="121">
        <v>0.67</v>
      </c>
      <c r="S887" s="122">
        <f>IFERROR(__xludf.DUMMYFUNCTION("((IFERROR(MIN(FILTER({K887, N887, Q887}, ISNUMBER({K887, N887, Q887}), {K887, N887, Q887} &gt; 0)), """"))*R887)+IFERROR(MIN(FILTER({K887, N887, Q887}, ISNUMBER({K887, N887, Q887}), {K887, N887, Q887} &gt; 0)), """")"),0.0)</f>
        <v>0</v>
      </c>
      <c r="T887" s="123" t="str">
        <f t="shared" si="1"/>
        <v>#DIV/0!</v>
      </c>
    </row>
    <row r="888">
      <c r="A888" s="113"/>
      <c r="B888" s="113"/>
      <c r="C888" s="113"/>
      <c r="D888" s="114"/>
      <c r="E888" s="113"/>
      <c r="F888" s="113"/>
      <c r="G888" s="115"/>
      <c r="H888" s="116"/>
      <c r="I888" s="117" t="s">
        <v>261</v>
      </c>
      <c r="J888" s="117" t="s">
        <v>261</v>
      </c>
      <c r="K888" s="118"/>
      <c r="L888" s="119"/>
      <c r="M888" s="119"/>
      <c r="N888" s="120"/>
      <c r="O888" s="118"/>
      <c r="P888" s="118"/>
      <c r="Q888" s="118"/>
      <c r="R888" s="121">
        <v>0.67</v>
      </c>
      <c r="S888" s="122">
        <f>IFERROR(__xludf.DUMMYFUNCTION("((IFERROR(MIN(FILTER({K888, N888, Q888}, ISNUMBER({K888, N888, Q888}), {K888, N888, Q888} &gt; 0)), """"))*R888)+IFERROR(MIN(FILTER({K888, N888, Q888}, ISNUMBER({K888, N888, Q888}), {K888, N888, Q888} &gt; 0)), """")"),0.0)</f>
        <v>0</v>
      </c>
      <c r="T888" s="123" t="str">
        <f t="shared" si="1"/>
        <v>#DIV/0!</v>
      </c>
    </row>
    <row r="889">
      <c r="A889" s="113"/>
      <c r="B889" s="113"/>
      <c r="C889" s="113"/>
      <c r="D889" s="114"/>
      <c r="E889" s="113"/>
      <c r="F889" s="113"/>
      <c r="G889" s="115"/>
      <c r="H889" s="116"/>
      <c r="I889" s="117" t="s">
        <v>261</v>
      </c>
      <c r="J889" s="117" t="s">
        <v>261</v>
      </c>
      <c r="K889" s="118"/>
      <c r="L889" s="119"/>
      <c r="M889" s="119"/>
      <c r="N889" s="120"/>
      <c r="O889" s="118"/>
      <c r="P889" s="118"/>
      <c r="Q889" s="118"/>
      <c r="R889" s="121">
        <v>0.67</v>
      </c>
      <c r="S889" s="122">
        <f>IFERROR(__xludf.DUMMYFUNCTION("((IFERROR(MIN(FILTER({K889, N889, Q889}, ISNUMBER({K889, N889, Q889}), {K889, N889, Q889} &gt; 0)), """"))*R889)+IFERROR(MIN(FILTER({K889, N889, Q889}, ISNUMBER({K889, N889, Q889}), {K889, N889, Q889} &gt; 0)), """")"),0.0)</f>
        <v>0</v>
      </c>
      <c r="T889" s="123" t="str">
        <f t="shared" si="1"/>
        <v>#DIV/0!</v>
      </c>
    </row>
    <row r="890">
      <c r="A890" s="113"/>
      <c r="B890" s="113"/>
      <c r="C890" s="113"/>
      <c r="D890" s="114"/>
      <c r="E890" s="113"/>
      <c r="F890" s="113"/>
      <c r="G890" s="115"/>
      <c r="H890" s="116"/>
      <c r="I890" s="117" t="s">
        <v>261</v>
      </c>
      <c r="J890" s="117" t="s">
        <v>261</v>
      </c>
      <c r="K890" s="118"/>
      <c r="L890" s="119"/>
      <c r="M890" s="119"/>
      <c r="N890" s="120"/>
      <c r="O890" s="118"/>
      <c r="P890" s="118"/>
      <c r="Q890" s="118"/>
      <c r="R890" s="121">
        <v>0.67</v>
      </c>
      <c r="S890" s="122">
        <f>IFERROR(__xludf.DUMMYFUNCTION("((IFERROR(MIN(FILTER({K890, N890, Q890}, ISNUMBER({K890, N890, Q890}), {K890, N890, Q890} &gt; 0)), """"))*R890)+IFERROR(MIN(FILTER({K890, N890, Q890}, ISNUMBER({K890, N890, Q890}), {K890, N890, Q890} &gt; 0)), """")"),0.0)</f>
        <v>0</v>
      </c>
      <c r="T890" s="123" t="str">
        <f t="shared" si="1"/>
        <v>#DIV/0!</v>
      </c>
    </row>
    <row r="891">
      <c r="A891" s="113"/>
      <c r="B891" s="113"/>
      <c r="C891" s="113"/>
      <c r="D891" s="114"/>
      <c r="E891" s="113"/>
      <c r="F891" s="113"/>
      <c r="G891" s="115"/>
      <c r="H891" s="116"/>
      <c r="I891" s="117" t="s">
        <v>261</v>
      </c>
      <c r="J891" s="117" t="s">
        <v>261</v>
      </c>
      <c r="K891" s="118"/>
      <c r="L891" s="119"/>
      <c r="M891" s="119"/>
      <c r="N891" s="120"/>
      <c r="O891" s="118"/>
      <c r="P891" s="118"/>
      <c r="Q891" s="118"/>
      <c r="R891" s="121">
        <v>0.67</v>
      </c>
      <c r="S891" s="122">
        <f>IFERROR(__xludf.DUMMYFUNCTION("((IFERROR(MIN(FILTER({K891, N891, Q891}, ISNUMBER({K891, N891, Q891}), {K891, N891, Q891} &gt; 0)), """"))*R891)+IFERROR(MIN(FILTER({K891, N891, Q891}, ISNUMBER({K891, N891, Q891}), {K891, N891, Q891} &gt; 0)), """")"),0.0)</f>
        <v>0</v>
      </c>
      <c r="T891" s="123" t="str">
        <f t="shared" si="1"/>
        <v>#DIV/0!</v>
      </c>
    </row>
    <row r="892">
      <c r="A892" s="113"/>
      <c r="B892" s="113"/>
      <c r="C892" s="113"/>
      <c r="D892" s="114"/>
      <c r="E892" s="113"/>
      <c r="F892" s="113"/>
      <c r="G892" s="115"/>
      <c r="H892" s="116"/>
      <c r="I892" s="117" t="s">
        <v>261</v>
      </c>
      <c r="J892" s="117" t="s">
        <v>261</v>
      </c>
      <c r="K892" s="118"/>
      <c r="L892" s="119"/>
      <c r="M892" s="119"/>
      <c r="N892" s="120"/>
      <c r="O892" s="118"/>
      <c r="P892" s="118"/>
      <c r="Q892" s="118"/>
      <c r="R892" s="121">
        <v>0.67</v>
      </c>
      <c r="S892" s="122">
        <f>IFERROR(__xludf.DUMMYFUNCTION("((IFERROR(MIN(FILTER({K892, N892, Q892}, ISNUMBER({K892, N892, Q892}), {K892, N892, Q892} &gt; 0)), """"))*R892)+IFERROR(MIN(FILTER({K892, N892, Q892}, ISNUMBER({K892, N892, Q892}), {K892, N892, Q892} &gt; 0)), """")"),0.0)</f>
        <v>0</v>
      </c>
      <c r="T892" s="123" t="str">
        <f t="shared" si="1"/>
        <v>#DIV/0!</v>
      </c>
    </row>
    <row r="893">
      <c r="A893" s="113"/>
      <c r="B893" s="113"/>
      <c r="C893" s="113"/>
      <c r="D893" s="114"/>
      <c r="E893" s="113"/>
      <c r="F893" s="113"/>
      <c r="G893" s="115"/>
      <c r="H893" s="116"/>
      <c r="I893" s="117" t="s">
        <v>261</v>
      </c>
      <c r="J893" s="117" t="s">
        <v>261</v>
      </c>
      <c r="K893" s="118"/>
      <c r="L893" s="119"/>
      <c r="M893" s="119"/>
      <c r="N893" s="120"/>
      <c r="O893" s="118"/>
      <c r="P893" s="118"/>
      <c r="Q893" s="118"/>
      <c r="R893" s="121">
        <v>0.67</v>
      </c>
      <c r="S893" s="122">
        <f>IFERROR(__xludf.DUMMYFUNCTION("((IFERROR(MIN(FILTER({K893, N893, Q893}, ISNUMBER({K893, N893, Q893}), {K893, N893, Q893} &gt; 0)), """"))*R893)+IFERROR(MIN(FILTER({K893, N893, Q893}, ISNUMBER({K893, N893, Q893}), {K893, N893, Q893} &gt; 0)), """")"),0.0)</f>
        <v>0</v>
      </c>
      <c r="T893" s="123" t="str">
        <f t="shared" si="1"/>
        <v>#DIV/0!</v>
      </c>
    </row>
    <row r="894">
      <c r="A894" s="113"/>
      <c r="B894" s="113"/>
      <c r="C894" s="113"/>
      <c r="D894" s="114"/>
      <c r="E894" s="113"/>
      <c r="F894" s="113"/>
      <c r="G894" s="115"/>
      <c r="H894" s="116"/>
      <c r="I894" s="117" t="s">
        <v>261</v>
      </c>
      <c r="J894" s="117" t="s">
        <v>261</v>
      </c>
      <c r="K894" s="118"/>
      <c r="L894" s="119"/>
      <c r="M894" s="119"/>
      <c r="N894" s="120"/>
      <c r="O894" s="118"/>
      <c r="P894" s="118"/>
      <c r="Q894" s="118"/>
      <c r="R894" s="121">
        <v>0.67</v>
      </c>
      <c r="S894" s="122">
        <f>IFERROR(__xludf.DUMMYFUNCTION("((IFERROR(MIN(FILTER({K894, N894, Q894}, ISNUMBER({K894, N894, Q894}), {K894, N894, Q894} &gt; 0)), """"))*R894)+IFERROR(MIN(FILTER({K894, N894, Q894}, ISNUMBER({K894, N894, Q894}), {K894, N894, Q894} &gt; 0)), """")"),0.0)</f>
        <v>0</v>
      </c>
      <c r="T894" s="123" t="str">
        <f t="shared" si="1"/>
        <v>#DIV/0!</v>
      </c>
    </row>
    <row r="895">
      <c r="A895" s="113"/>
      <c r="B895" s="113"/>
      <c r="C895" s="113"/>
      <c r="D895" s="114"/>
      <c r="E895" s="113"/>
      <c r="F895" s="113"/>
      <c r="G895" s="115"/>
      <c r="H895" s="116"/>
      <c r="I895" s="117" t="s">
        <v>261</v>
      </c>
      <c r="J895" s="117" t="s">
        <v>261</v>
      </c>
      <c r="K895" s="118"/>
      <c r="L895" s="119"/>
      <c r="M895" s="119"/>
      <c r="N895" s="120"/>
      <c r="O895" s="118"/>
      <c r="P895" s="118"/>
      <c r="Q895" s="118"/>
      <c r="R895" s="121">
        <v>0.67</v>
      </c>
      <c r="S895" s="122">
        <f>IFERROR(__xludf.DUMMYFUNCTION("((IFERROR(MIN(FILTER({K895, N895, Q895}, ISNUMBER({K895, N895, Q895}), {K895, N895, Q895} &gt; 0)), """"))*R895)+IFERROR(MIN(FILTER({K895, N895, Q895}, ISNUMBER({K895, N895, Q895}), {K895, N895, Q895} &gt; 0)), """")"),0.0)</f>
        <v>0</v>
      </c>
      <c r="T895" s="123" t="str">
        <f t="shared" si="1"/>
        <v>#DIV/0!</v>
      </c>
    </row>
    <row r="896">
      <c r="A896" s="113"/>
      <c r="B896" s="113"/>
      <c r="C896" s="113"/>
      <c r="D896" s="114"/>
      <c r="E896" s="113"/>
      <c r="F896" s="113"/>
      <c r="G896" s="115"/>
      <c r="H896" s="116"/>
      <c r="I896" s="117" t="s">
        <v>261</v>
      </c>
      <c r="J896" s="117" t="s">
        <v>261</v>
      </c>
      <c r="K896" s="118"/>
      <c r="L896" s="119"/>
      <c r="M896" s="119"/>
      <c r="N896" s="120"/>
      <c r="O896" s="118"/>
      <c r="P896" s="118"/>
      <c r="Q896" s="118"/>
      <c r="R896" s="121">
        <v>0.67</v>
      </c>
      <c r="S896" s="122">
        <f>IFERROR(__xludf.DUMMYFUNCTION("((IFERROR(MIN(FILTER({K896, N896, Q896}, ISNUMBER({K896, N896, Q896}), {K896, N896, Q896} &gt; 0)), """"))*R896)+IFERROR(MIN(FILTER({K896, N896, Q896}, ISNUMBER({K896, N896, Q896}), {K896, N896, Q896} &gt; 0)), """")"),0.0)</f>
        <v>0</v>
      </c>
      <c r="T896" s="123" t="str">
        <f t="shared" si="1"/>
        <v>#DIV/0!</v>
      </c>
    </row>
    <row r="897">
      <c r="A897" s="113"/>
      <c r="B897" s="113"/>
      <c r="C897" s="113"/>
      <c r="D897" s="114"/>
      <c r="E897" s="113"/>
      <c r="F897" s="113"/>
      <c r="G897" s="115"/>
      <c r="H897" s="116"/>
      <c r="I897" s="117" t="s">
        <v>261</v>
      </c>
      <c r="J897" s="117" t="s">
        <v>261</v>
      </c>
      <c r="K897" s="118"/>
      <c r="L897" s="119"/>
      <c r="M897" s="119"/>
      <c r="N897" s="120"/>
      <c r="O897" s="118"/>
      <c r="P897" s="118"/>
      <c r="Q897" s="118"/>
      <c r="R897" s="121">
        <v>0.67</v>
      </c>
      <c r="S897" s="122">
        <f>IFERROR(__xludf.DUMMYFUNCTION("((IFERROR(MIN(FILTER({K897, N897, Q897}, ISNUMBER({K897, N897, Q897}), {K897, N897, Q897} &gt; 0)), """"))*R897)+IFERROR(MIN(FILTER({K897, N897, Q897}, ISNUMBER({K897, N897, Q897}), {K897, N897, Q897} &gt; 0)), """")"),0.0)</f>
        <v>0</v>
      </c>
      <c r="T897" s="123" t="str">
        <f t="shared" si="1"/>
        <v>#DIV/0!</v>
      </c>
    </row>
    <row r="898">
      <c r="A898" s="113"/>
      <c r="B898" s="113"/>
      <c r="C898" s="113"/>
      <c r="D898" s="114"/>
      <c r="E898" s="113"/>
      <c r="F898" s="113"/>
      <c r="G898" s="115"/>
      <c r="H898" s="116"/>
      <c r="I898" s="117" t="s">
        <v>261</v>
      </c>
      <c r="J898" s="117" t="s">
        <v>261</v>
      </c>
      <c r="K898" s="118"/>
      <c r="L898" s="119"/>
      <c r="M898" s="119"/>
      <c r="N898" s="120"/>
      <c r="O898" s="118"/>
      <c r="P898" s="118"/>
      <c r="Q898" s="118"/>
      <c r="R898" s="121">
        <v>0.67</v>
      </c>
      <c r="S898" s="122">
        <f>IFERROR(__xludf.DUMMYFUNCTION("((IFERROR(MIN(FILTER({K898, N898, Q898}, ISNUMBER({K898, N898, Q898}), {K898, N898, Q898} &gt; 0)), """"))*R898)+IFERROR(MIN(FILTER({K898, N898, Q898}, ISNUMBER({K898, N898, Q898}), {K898, N898, Q898} &gt; 0)), """")"),0.0)</f>
        <v>0</v>
      </c>
      <c r="T898" s="123" t="str">
        <f t="shared" si="1"/>
        <v>#DIV/0!</v>
      </c>
    </row>
    <row r="899">
      <c r="A899" s="113"/>
      <c r="B899" s="113"/>
      <c r="C899" s="113"/>
      <c r="D899" s="114"/>
      <c r="E899" s="113"/>
      <c r="F899" s="113"/>
      <c r="G899" s="115"/>
      <c r="H899" s="116"/>
      <c r="I899" s="117" t="s">
        <v>261</v>
      </c>
      <c r="J899" s="117" t="s">
        <v>261</v>
      </c>
      <c r="K899" s="118"/>
      <c r="L899" s="119"/>
      <c r="M899" s="119"/>
      <c r="N899" s="120"/>
      <c r="O899" s="118"/>
      <c r="P899" s="118"/>
      <c r="Q899" s="118"/>
      <c r="R899" s="121">
        <v>0.67</v>
      </c>
      <c r="S899" s="122">
        <f>IFERROR(__xludf.DUMMYFUNCTION("((IFERROR(MIN(FILTER({K899, N899, Q899}, ISNUMBER({K899, N899, Q899}), {K899, N899, Q899} &gt; 0)), """"))*R899)+IFERROR(MIN(FILTER({K899, N899, Q899}, ISNUMBER({K899, N899, Q899}), {K899, N899, Q899} &gt; 0)), """")"),0.0)</f>
        <v>0</v>
      </c>
      <c r="T899" s="123" t="str">
        <f t="shared" si="1"/>
        <v>#DIV/0!</v>
      </c>
    </row>
    <row r="900">
      <c r="A900" s="113"/>
      <c r="B900" s="113"/>
      <c r="C900" s="113"/>
      <c r="D900" s="114"/>
      <c r="E900" s="113"/>
      <c r="F900" s="113"/>
      <c r="G900" s="115"/>
      <c r="H900" s="116"/>
      <c r="I900" s="117" t="s">
        <v>261</v>
      </c>
      <c r="J900" s="117" t="s">
        <v>261</v>
      </c>
      <c r="K900" s="118"/>
      <c r="L900" s="119"/>
      <c r="M900" s="119"/>
      <c r="N900" s="120"/>
      <c r="O900" s="118"/>
      <c r="P900" s="118"/>
      <c r="Q900" s="118"/>
      <c r="R900" s="121">
        <v>0.67</v>
      </c>
      <c r="S900" s="122">
        <f>IFERROR(__xludf.DUMMYFUNCTION("((IFERROR(MIN(FILTER({K900, N900, Q900}, ISNUMBER({K900, N900, Q900}), {K900, N900, Q900} &gt; 0)), """"))*R900)+IFERROR(MIN(FILTER({K900, N900, Q900}, ISNUMBER({K900, N900, Q900}), {K900, N900, Q900} &gt; 0)), """")"),0.0)</f>
        <v>0</v>
      </c>
      <c r="T900" s="123" t="str">
        <f t="shared" si="1"/>
        <v>#DIV/0!</v>
      </c>
    </row>
    <row r="901">
      <c r="A901" s="113"/>
      <c r="B901" s="113"/>
      <c r="C901" s="113"/>
      <c r="D901" s="114"/>
      <c r="E901" s="113"/>
      <c r="F901" s="113"/>
      <c r="G901" s="115"/>
      <c r="H901" s="116"/>
      <c r="I901" s="117" t="s">
        <v>261</v>
      </c>
      <c r="J901" s="117" t="s">
        <v>261</v>
      </c>
      <c r="K901" s="118"/>
      <c r="L901" s="119"/>
      <c r="M901" s="119"/>
      <c r="N901" s="120"/>
      <c r="O901" s="118"/>
      <c r="P901" s="118"/>
      <c r="Q901" s="118"/>
      <c r="R901" s="121">
        <v>0.67</v>
      </c>
      <c r="S901" s="122">
        <f>IFERROR(__xludf.DUMMYFUNCTION("((IFERROR(MIN(FILTER({K901, N901, Q901}, ISNUMBER({K901, N901, Q901}), {K901, N901, Q901} &gt; 0)), """"))*R901)+IFERROR(MIN(FILTER({K901, N901, Q901}, ISNUMBER({K901, N901, Q901}), {K901, N901, Q901} &gt; 0)), """")"),0.0)</f>
        <v>0</v>
      </c>
      <c r="T901" s="123" t="str">
        <f t="shared" si="1"/>
        <v>#DIV/0!</v>
      </c>
    </row>
    <row r="902">
      <c r="A902" s="113"/>
      <c r="B902" s="113"/>
      <c r="C902" s="113"/>
      <c r="D902" s="114"/>
      <c r="E902" s="113"/>
      <c r="F902" s="113"/>
      <c r="G902" s="115"/>
      <c r="H902" s="116"/>
      <c r="I902" s="117" t="s">
        <v>261</v>
      </c>
      <c r="J902" s="117" t="s">
        <v>261</v>
      </c>
      <c r="K902" s="118"/>
      <c r="L902" s="119"/>
      <c r="M902" s="119"/>
      <c r="N902" s="120"/>
      <c r="O902" s="118"/>
      <c r="P902" s="118"/>
      <c r="Q902" s="118"/>
      <c r="R902" s="121">
        <v>0.67</v>
      </c>
      <c r="S902" s="122">
        <f>IFERROR(__xludf.DUMMYFUNCTION("((IFERROR(MIN(FILTER({K902, N902, Q902}, ISNUMBER({K902, N902, Q902}), {K902, N902, Q902} &gt; 0)), """"))*R902)+IFERROR(MIN(FILTER({K902, N902, Q902}, ISNUMBER({K902, N902, Q902}), {K902, N902, Q902} &gt; 0)), """")"),0.0)</f>
        <v>0</v>
      </c>
      <c r="T902" s="123" t="str">
        <f t="shared" si="1"/>
        <v>#DIV/0!</v>
      </c>
    </row>
    <row r="903">
      <c r="A903" s="113"/>
      <c r="B903" s="113"/>
      <c r="C903" s="113"/>
      <c r="D903" s="114"/>
      <c r="E903" s="113"/>
      <c r="F903" s="113"/>
      <c r="G903" s="115"/>
      <c r="H903" s="116"/>
      <c r="I903" s="117" t="s">
        <v>261</v>
      </c>
      <c r="J903" s="117" t="s">
        <v>261</v>
      </c>
      <c r="K903" s="118"/>
      <c r="L903" s="119"/>
      <c r="M903" s="119"/>
      <c r="N903" s="120"/>
      <c r="O903" s="118"/>
      <c r="P903" s="118"/>
      <c r="Q903" s="118"/>
      <c r="R903" s="121">
        <v>0.67</v>
      </c>
      <c r="S903" s="122">
        <f>IFERROR(__xludf.DUMMYFUNCTION("((IFERROR(MIN(FILTER({K903, N903, Q903}, ISNUMBER({K903, N903, Q903}), {K903, N903, Q903} &gt; 0)), """"))*R903)+IFERROR(MIN(FILTER({K903, N903, Q903}, ISNUMBER({K903, N903, Q903}), {K903, N903, Q903} &gt; 0)), """")"),0.0)</f>
        <v>0</v>
      </c>
      <c r="T903" s="123" t="str">
        <f t="shared" si="1"/>
        <v>#DIV/0!</v>
      </c>
    </row>
    <row r="904">
      <c r="A904" s="113"/>
      <c r="B904" s="113"/>
      <c r="C904" s="113"/>
      <c r="D904" s="114"/>
      <c r="E904" s="113"/>
      <c r="F904" s="113"/>
      <c r="G904" s="115"/>
      <c r="H904" s="116"/>
      <c r="I904" s="117" t="s">
        <v>261</v>
      </c>
      <c r="J904" s="117" t="s">
        <v>261</v>
      </c>
      <c r="K904" s="118"/>
      <c r="L904" s="119"/>
      <c r="M904" s="119"/>
      <c r="N904" s="120"/>
      <c r="O904" s="118"/>
      <c r="P904" s="118"/>
      <c r="Q904" s="118"/>
      <c r="R904" s="121">
        <v>0.67</v>
      </c>
      <c r="S904" s="122">
        <f>IFERROR(__xludf.DUMMYFUNCTION("((IFERROR(MIN(FILTER({K904, N904, Q904}, ISNUMBER({K904, N904, Q904}), {K904, N904, Q904} &gt; 0)), """"))*R904)+IFERROR(MIN(FILTER({K904, N904, Q904}, ISNUMBER({K904, N904, Q904}), {K904, N904, Q904} &gt; 0)), """")"),0.0)</f>
        <v>0</v>
      </c>
      <c r="T904" s="123" t="str">
        <f t="shared" si="1"/>
        <v>#DIV/0!</v>
      </c>
    </row>
    <row r="905">
      <c r="A905" s="113"/>
      <c r="B905" s="113"/>
      <c r="C905" s="113"/>
      <c r="D905" s="114"/>
      <c r="E905" s="113"/>
      <c r="F905" s="113"/>
      <c r="G905" s="115"/>
      <c r="H905" s="116"/>
      <c r="I905" s="117" t="s">
        <v>261</v>
      </c>
      <c r="J905" s="117" t="s">
        <v>261</v>
      </c>
      <c r="K905" s="118"/>
      <c r="L905" s="119"/>
      <c r="M905" s="119"/>
      <c r="N905" s="120"/>
      <c r="O905" s="118"/>
      <c r="P905" s="118"/>
      <c r="Q905" s="118"/>
      <c r="R905" s="121">
        <v>0.67</v>
      </c>
      <c r="S905" s="122">
        <f>IFERROR(__xludf.DUMMYFUNCTION("((IFERROR(MIN(FILTER({K905, N905, Q905}, ISNUMBER({K905, N905, Q905}), {K905, N905, Q905} &gt; 0)), """"))*R905)+IFERROR(MIN(FILTER({K905, N905, Q905}, ISNUMBER({K905, N905, Q905}), {K905, N905, Q905} &gt; 0)), """")"),0.0)</f>
        <v>0</v>
      </c>
      <c r="T905" s="123" t="str">
        <f t="shared" si="1"/>
        <v>#DIV/0!</v>
      </c>
    </row>
    <row r="906">
      <c r="A906" s="113"/>
      <c r="B906" s="113"/>
      <c r="C906" s="113"/>
      <c r="D906" s="114"/>
      <c r="E906" s="113"/>
      <c r="F906" s="113"/>
      <c r="G906" s="115"/>
      <c r="H906" s="116"/>
      <c r="I906" s="117" t="s">
        <v>261</v>
      </c>
      <c r="J906" s="117" t="s">
        <v>261</v>
      </c>
      <c r="K906" s="118"/>
      <c r="L906" s="119"/>
      <c r="M906" s="119"/>
      <c r="N906" s="120"/>
      <c r="O906" s="118"/>
      <c r="P906" s="118"/>
      <c r="Q906" s="118"/>
      <c r="R906" s="121">
        <v>0.67</v>
      </c>
      <c r="S906" s="122">
        <f>IFERROR(__xludf.DUMMYFUNCTION("((IFERROR(MIN(FILTER({K906, N906, Q906}, ISNUMBER({K906, N906, Q906}), {K906, N906, Q906} &gt; 0)), """"))*R906)+IFERROR(MIN(FILTER({K906, N906, Q906}, ISNUMBER({K906, N906, Q906}), {K906, N906, Q906} &gt; 0)), """")"),0.0)</f>
        <v>0</v>
      </c>
      <c r="T906" s="123" t="str">
        <f t="shared" si="1"/>
        <v>#DIV/0!</v>
      </c>
    </row>
    <row r="907">
      <c r="A907" s="113"/>
      <c r="B907" s="113"/>
      <c r="C907" s="113"/>
      <c r="D907" s="114"/>
      <c r="E907" s="113"/>
      <c r="F907" s="113"/>
      <c r="G907" s="115"/>
      <c r="H907" s="116"/>
      <c r="I907" s="117" t="s">
        <v>261</v>
      </c>
      <c r="J907" s="117" t="s">
        <v>261</v>
      </c>
      <c r="K907" s="118"/>
      <c r="L907" s="119"/>
      <c r="M907" s="119"/>
      <c r="N907" s="120"/>
      <c r="O907" s="118"/>
      <c r="P907" s="118"/>
      <c r="Q907" s="118"/>
      <c r="R907" s="121">
        <v>0.67</v>
      </c>
      <c r="S907" s="122">
        <f>IFERROR(__xludf.DUMMYFUNCTION("((IFERROR(MIN(FILTER({K907, N907, Q907}, ISNUMBER({K907, N907, Q907}), {K907, N907, Q907} &gt; 0)), """"))*R907)+IFERROR(MIN(FILTER({K907, N907, Q907}, ISNUMBER({K907, N907, Q907}), {K907, N907, Q907} &gt; 0)), """")"),0.0)</f>
        <v>0</v>
      </c>
      <c r="T907" s="123" t="str">
        <f t="shared" si="1"/>
        <v>#DIV/0!</v>
      </c>
    </row>
    <row r="908">
      <c r="A908" s="113"/>
      <c r="B908" s="113"/>
      <c r="C908" s="113"/>
      <c r="D908" s="114"/>
      <c r="E908" s="113"/>
      <c r="F908" s="113"/>
      <c r="G908" s="115"/>
      <c r="H908" s="116"/>
      <c r="I908" s="117" t="s">
        <v>261</v>
      </c>
      <c r="J908" s="117" t="s">
        <v>261</v>
      </c>
      <c r="K908" s="118"/>
      <c r="L908" s="119"/>
      <c r="M908" s="119"/>
      <c r="N908" s="120"/>
      <c r="O908" s="118"/>
      <c r="P908" s="118"/>
      <c r="Q908" s="118"/>
      <c r="R908" s="121">
        <v>0.67</v>
      </c>
      <c r="S908" s="122">
        <f>IFERROR(__xludf.DUMMYFUNCTION("((IFERROR(MIN(FILTER({K908, N908, Q908}, ISNUMBER({K908, N908, Q908}), {K908, N908, Q908} &gt; 0)), """"))*R908)+IFERROR(MIN(FILTER({K908, N908, Q908}, ISNUMBER({K908, N908, Q908}), {K908, N908, Q908} &gt; 0)), """")"),0.0)</f>
        <v>0</v>
      </c>
      <c r="T908" s="123" t="str">
        <f t="shared" si="1"/>
        <v>#DIV/0!</v>
      </c>
    </row>
    <row r="909">
      <c r="A909" s="113"/>
      <c r="B909" s="113"/>
      <c r="C909" s="113"/>
      <c r="D909" s="114"/>
      <c r="E909" s="113"/>
      <c r="F909" s="113"/>
      <c r="G909" s="115"/>
      <c r="H909" s="116"/>
      <c r="I909" s="117" t="s">
        <v>261</v>
      </c>
      <c r="J909" s="117" t="s">
        <v>261</v>
      </c>
      <c r="K909" s="118"/>
      <c r="L909" s="119"/>
      <c r="M909" s="119"/>
      <c r="N909" s="120"/>
      <c r="O909" s="118"/>
      <c r="P909" s="118"/>
      <c r="Q909" s="118"/>
      <c r="R909" s="121">
        <v>0.67</v>
      </c>
      <c r="S909" s="122">
        <f>IFERROR(__xludf.DUMMYFUNCTION("((IFERROR(MIN(FILTER({K909, N909, Q909}, ISNUMBER({K909, N909, Q909}), {K909, N909, Q909} &gt; 0)), """"))*R909)+IFERROR(MIN(FILTER({K909, N909, Q909}, ISNUMBER({K909, N909, Q909}), {K909, N909, Q909} &gt; 0)), """")"),0.0)</f>
        <v>0</v>
      </c>
      <c r="T909" s="123" t="str">
        <f t="shared" si="1"/>
        <v>#DIV/0!</v>
      </c>
    </row>
    <row r="910">
      <c r="A910" s="113"/>
      <c r="B910" s="113"/>
      <c r="C910" s="113"/>
      <c r="D910" s="114"/>
      <c r="E910" s="113"/>
      <c r="F910" s="113"/>
      <c r="G910" s="115"/>
      <c r="H910" s="116"/>
      <c r="I910" s="117" t="s">
        <v>261</v>
      </c>
      <c r="J910" s="117" t="s">
        <v>261</v>
      </c>
      <c r="K910" s="118"/>
      <c r="L910" s="119"/>
      <c r="M910" s="119"/>
      <c r="N910" s="120"/>
      <c r="O910" s="118"/>
      <c r="P910" s="118"/>
      <c r="Q910" s="118"/>
      <c r="R910" s="121">
        <v>0.67</v>
      </c>
      <c r="S910" s="122">
        <f>IFERROR(__xludf.DUMMYFUNCTION("((IFERROR(MIN(FILTER({K910, N910, Q910}, ISNUMBER({K910, N910, Q910}), {K910, N910, Q910} &gt; 0)), """"))*R910)+IFERROR(MIN(FILTER({K910, N910, Q910}, ISNUMBER({K910, N910, Q910}), {K910, N910, Q910} &gt; 0)), """")"),0.0)</f>
        <v>0</v>
      </c>
      <c r="T910" s="123" t="str">
        <f t="shared" si="1"/>
        <v>#DIV/0!</v>
      </c>
    </row>
    <row r="911">
      <c r="A911" s="113"/>
      <c r="B911" s="113"/>
      <c r="C911" s="113"/>
      <c r="D911" s="114"/>
      <c r="E911" s="113"/>
      <c r="F911" s="113"/>
      <c r="G911" s="115"/>
      <c r="H911" s="116"/>
      <c r="I911" s="117" t="s">
        <v>261</v>
      </c>
      <c r="J911" s="117" t="s">
        <v>261</v>
      </c>
      <c r="K911" s="118"/>
      <c r="L911" s="119"/>
      <c r="M911" s="119"/>
      <c r="N911" s="120"/>
      <c r="O911" s="118"/>
      <c r="P911" s="118"/>
      <c r="Q911" s="118"/>
      <c r="R911" s="121">
        <v>0.67</v>
      </c>
      <c r="S911" s="122">
        <f>IFERROR(__xludf.DUMMYFUNCTION("((IFERROR(MIN(FILTER({K911, N911, Q911}, ISNUMBER({K911, N911, Q911}), {K911, N911, Q911} &gt; 0)), """"))*R911)+IFERROR(MIN(FILTER({K911, N911, Q911}, ISNUMBER({K911, N911, Q911}), {K911, N911, Q911} &gt; 0)), """")"),0.0)</f>
        <v>0</v>
      </c>
      <c r="T911" s="123" t="str">
        <f t="shared" si="1"/>
        <v>#DIV/0!</v>
      </c>
    </row>
    <row r="912">
      <c r="A912" s="113"/>
      <c r="B912" s="113"/>
      <c r="C912" s="113"/>
      <c r="D912" s="114"/>
      <c r="E912" s="113"/>
      <c r="F912" s="113"/>
      <c r="G912" s="115"/>
      <c r="H912" s="116"/>
      <c r="I912" s="117" t="s">
        <v>261</v>
      </c>
      <c r="J912" s="117" t="s">
        <v>261</v>
      </c>
      <c r="K912" s="118"/>
      <c r="L912" s="119"/>
      <c r="M912" s="119"/>
      <c r="N912" s="120"/>
      <c r="O912" s="118"/>
      <c r="P912" s="118"/>
      <c r="Q912" s="118"/>
      <c r="R912" s="121">
        <v>0.67</v>
      </c>
      <c r="S912" s="122">
        <f>IFERROR(__xludf.DUMMYFUNCTION("((IFERROR(MIN(FILTER({K912, N912, Q912}, ISNUMBER({K912, N912, Q912}), {K912, N912, Q912} &gt; 0)), """"))*R912)+IFERROR(MIN(FILTER({K912, N912, Q912}, ISNUMBER({K912, N912, Q912}), {K912, N912, Q912} &gt; 0)), """")"),0.0)</f>
        <v>0</v>
      </c>
      <c r="T912" s="123" t="str">
        <f t="shared" si="1"/>
        <v>#DIV/0!</v>
      </c>
    </row>
    <row r="913">
      <c r="A913" s="113"/>
      <c r="B913" s="113"/>
      <c r="C913" s="113"/>
      <c r="D913" s="114"/>
      <c r="E913" s="113"/>
      <c r="F913" s="113"/>
      <c r="G913" s="115"/>
      <c r="H913" s="116"/>
      <c r="I913" s="117" t="s">
        <v>261</v>
      </c>
      <c r="J913" s="117" t="s">
        <v>261</v>
      </c>
      <c r="K913" s="118"/>
      <c r="L913" s="119"/>
      <c r="M913" s="119"/>
      <c r="N913" s="120"/>
      <c r="O913" s="118"/>
      <c r="P913" s="118"/>
      <c r="Q913" s="118"/>
      <c r="R913" s="121">
        <v>0.67</v>
      </c>
      <c r="S913" s="122">
        <f>IFERROR(__xludf.DUMMYFUNCTION("((IFERROR(MIN(FILTER({K913, N913, Q913}, ISNUMBER({K913, N913, Q913}), {K913, N913, Q913} &gt; 0)), """"))*R913)+IFERROR(MIN(FILTER({K913, N913, Q913}, ISNUMBER({K913, N913, Q913}), {K913, N913, Q913} &gt; 0)), """")"),0.0)</f>
        <v>0</v>
      </c>
      <c r="T913" s="123" t="str">
        <f t="shared" si="1"/>
        <v>#DIV/0!</v>
      </c>
    </row>
    <row r="914">
      <c r="A914" s="113"/>
      <c r="B914" s="113"/>
      <c r="C914" s="113"/>
      <c r="D914" s="114"/>
      <c r="E914" s="113"/>
      <c r="F914" s="113"/>
      <c r="G914" s="115"/>
      <c r="H914" s="116"/>
      <c r="I914" s="117" t="s">
        <v>261</v>
      </c>
      <c r="J914" s="117" t="s">
        <v>261</v>
      </c>
      <c r="K914" s="118"/>
      <c r="L914" s="119"/>
      <c r="M914" s="119"/>
      <c r="N914" s="120"/>
      <c r="O914" s="118"/>
      <c r="P914" s="118"/>
      <c r="Q914" s="118"/>
      <c r="R914" s="121">
        <v>0.67</v>
      </c>
      <c r="S914" s="122">
        <f>IFERROR(__xludf.DUMMYFUNCTION("((IFERROR(MIN(FILTER({K914, N914, Q914}, ISNUMBER({K914, N914, Q914}), {K914, N914, Q914} &gt; 0)), """"))*R914)+IFERROR(MIN(FILTER({K914, N914, Q914}, ISNUMBER({K914, N914, Q914}), {K914, N914, Q914} &gt; 0)), """")"),0.0)</f>
        <v>0</v>
      </c>
      <c r="T914" s="123" t="str">
        <f t="shared" si="1"/>
        <v>#DIV/0!</v>
      </c>
    </row>
    <row r="915">
      <c r="A915" s="113"/>
      <c r="B915" s="113"/>
      <c r="C915" s="113"/>
      <c r="D915" s="114"/>
      <c r="E915" s="113"/>
      <c r="F915" s="113"/>
      <c r="G915" s="115"/>
      <c r="H915" s="116"/>
      <c r="I915" s="117" t="s">
        <v>261</v>
      </c>
      <c r="J915" s="117" t="s">
        <v>261</v>
      </c>
      <c r="K915" s="118"/>
      <c r="L915" s="119"/>
      <c r="M915" s="119"/>
      <c r="N915" s="120"/>
      <c r="O915" s="118"/>
      <c r="P915" s="118"/>
      <c r="Q915" s="118"/>
      <c r="R915" s="121">
        <v>0.67</v>
      </c>
      <c r="S915" s="122">
        <f>IFERROR(__xludf.DUMMYFUNCTION("((IFERROR(MIN(FILTER({K915, N915, Q915}, ISNUMBER({K915, N915, Q915}), {K915, N915, Q915} &gt; 0)), """"))*R915)+IFERROR(MIN(FILTER({K915, N915, Q915}, ISNUMBER({K915, N915, Q915}), {K915, N915, Q915} &gt; 0)), """")"),0.0)</f>
        <v>0</v>
      </c>
      <c r="T915" s="123" t="str">
        <f t="shared" si="1"/>
        <v>#DIV/0!</v>
      </c>
    </row>
    <row r="916">
      <c r="A916" s="113"/>
      <c r="B916" s="113"/>
      <c r="C916" s="113"/>
      <c r="D916" s="114"/>
      <c r="E916" s="113"/>
      <c r="F916" s="113"/>
      <c r="G916" s="115"/>
      <c r="H916" s="116"/>
      <c r="I916" s="117" t="s">
        <v>261</v>
      </c>
      <c r="J916" s="117" t="s">
        <v>261</v>
      </c>
      <c r="K916" s="118"/>
      <c r="L916" s="119"/>
      <c r="M916" s="119"/>
      <c r="N916" s="120"/>
      <c r="O916" s="118"/>
      <c r="P916" s="118"/>
      <c r="Q916" s="118"/>
      <c r="R916" s="121">
        <v>0.67</v>
      </c>
      <c r="S916" s="122">
        <f>IFERROR(__xludf.DUMMYFUNCTION("((IFERROR(MIN(FILTER({K916, N916, Q916}, ISNUMBER({K916, N916, Q916}), {K916, N916, Q916} &gt; 0)), """"))*R916)+IFERROR(MIN(FILTER({K916, N916, Q916}, ISNUMBER({K916, N916, Q916}), {K916, N916, Q916} &gt; 0)), """")"),0.0)</f>
        <v>0</v>
      </c>
      <c r="T916" s="123" t="str">
        <f t="shared" si="1"/>
        <v>#DIV/0!</v>
      </c>
    </row>
    <row r="917">
      <c r="A917" s="113"/>
      <c r="B917" s="113"/>
      <c r="C917" s="113"/>
      <c r="D917" s="114"/>
      <c r="E917" s="113"/>
      <c r="F917" s="113"/>
      <c r="G917" s="115"/>
      <c r="H917" s="116"/>
      <c r="I917" s="117" t="s">
        <v>261</v>
      </c>
      <c r="J917" s="117" t="s">
        <v>261</v>
      </c>
      <c r="K917" s="118"/>
      <c r="L917" s="119"/>
      <c r="M917" s="119"/>
      <c r="N917" s="120"/>
      <c r="O917" s="118"/>
      <c r="P917" s="118"/>
      <c r="Q917" s="118"/>
      <c r="R917" s="121">
        <v>0.67</v>
      </c>
      <c r="S917" s="122">
        <f>IFERROR(__xludf.DUMMYFUNCTION("((IFERROR(MIN(FILTER({K917, N917, Q917}, ISNUMBER({K917, N917, Q917}), {K917, N917, Q917} &gt; 0)), """"))*R917)+IFERROR(MIN(FILTER({K917, N917, Q917}, ISNUMBER({K917, N917, Q917}), {K917, N917, Q917} &gt; 0)), """")"),0.0)</f>
        <v>0</v>
      </c>
      <c r="T917" s="123" t="str">
        <f t="shared" si="1"/>
        <v>#DIV/0!</v>
      </c>
    </row>
    <row r="918">
      <c r="A918" s="113"/>
      <c r="B918" s="113"/>
      <c r="C918" s="113"/>
      <c r="D918" s="114"/>
      <c r="E918" s="113"/>
      <c r="F918" s="113"/>
      <c r="G918" s="115"/>
      <c r="H918" s="116"/>
      <c r="I918" s="117" t="s">
        <v>261</v>
      </c>
      <c r="J918" s="117" t="s">
        <v>261</v>
      </c>
      <c r="K918" s="118"/>
      <c r="L918" s="119"/>
      <c r="M918" s="119"/>
      <c r="N918" s="120"/>
      <c r="O918" s="118"/>
      <c r="P918" s="118"/>
      <c r="Q918" s="118"/>
      <c r="R918" s="121">
        <v>0.67</v>
      </c>
      <c r="S918" s="122">
        <f>IFERROR(__xludf.DUMMYFUNCTION("((IFERROR(MIN(FILTER({K918, N918, Q918}, ISNUMBER({K918, N918, Q918}), {K918, N918, Q918} &gt; 0)), """"))*R918)+IFERROR(MIN(FILTER({K918, N918, Q918}, ISNUMBER({K918, N918, Q918}), {K918, N918, Q918} &gt; 0)), """")"),0.0)</f>
        <v>0</v>
      </c>
      <c r="T918" s="123" t="str">
        <f t="shared" si="1"/>
        <v>#DIV/0!</v>
      </c>
    </row>
    <row r="919">
      <c r="A919" s="113"/>
      <c r="B919" s="113"/>
      <c r="C919" s="113"/>
      <c r="D919" s="114"/>
      <c r="E919" s="113"/>
      <c r="F919" s="113"/>
      <c r="G919" s="115"/>
      <c r="H919" s="116"/>
      <c r="I919" s="117" t="s">
        <v>261</v>
      </c>
      <c r="J919" s="117" t="s">
        <v>261</v>
      </c>
      <c r="K919" s="118"/>
      <c r="L919" s="119"/>
      <c r="M919" s="119"/>
      <c r="N919" s="120"/>
      <c r="O919" s="118"/>
      <c r="P919" s="118"/>
      <c r="Q919" s="118"/>
      <c r="R919" s="121">
        <v>0.67</v>
      </c>
      <c r="S919" s="122">
        <f>IFERROR(__xludf.DUMMYFUNCTION("((IFERROR(MIN(FILTER({K919, N919, Q919}, ISNUMBER({K919, N919, Q919}), {K919, N919, Q919} &gt; 0)), """"))*R919)+IFERROR(MIN(FILTER({K919, N919, Q919}, ISNUMBER({K919, N919, Q919}), {K919, N919, Q919} &gt; 0)), """")"),0.0)</f>
        <v>0</v>
      </c>
      <c r="T919" s="123" t="str">
        <f t="shared" si="1"/>
        <v>#DIV/0!</v>
      </c>
    </row>
    <row r="920">
      <c r="A920" s="113"/>
      <c r="B920" s="113"/>
      <c r="C920" s="113"/>
      <c r="D920" s="114"/>
      <c r="E920" s="113"/>
      <c r="F920" s="113"/>
      <c r="G920" s="115"/>
      <c r="H920" s="116"/>
      <c r="I920" s="117" t="s">
        <v>261</v>
      </c>
      <c r="J920" s="117" t="s">
        <v>261</v>
      </c>
      <c r="K920" s="118"/>
      <c r="L920" s="119"/>
      <c r="M920" s="119"/>
      <c r="N920" s="120"/>
      <c r="O920" s="118"/>
      <c r="P920" s="118"/>
      <c r="Q920" s="118"/>
      <c r="R920" s="121">
        <v>0.67</v>
      </c>
      <c r="S920" s="122">
        <f>IFERROR(__xludf.DUMMYFUNCTION("((IFERROR(MIN(FILTER({K920, N920, Q920}, ISNUMBER({K920, N920, Q920}), {K920, N920, Q920} &gt; 0)), """"))*R920)+IFERROR(MIN(FILTER({K920, N920, Q920}, ISNUMBER({K920, N920, Q920}), {K920, N920, Q920} &gt; 0)), """")"),0.0)</f>
        <v>0</v>
      </c>
      <c r="T920" s="123" t="str">
        <f t="shared" si="1"/>
        <v>#DIV/0!</v>
      </c>
    </row>
    <row r="921">
      <c r="A921" s="113"/>
      <c r="B921" s="113"/>
      <c r="C921" s="113"/>
      <c r="D921" s="114"/>
      <c r="E921" s="113"/>
      <c r="F921" s="113"/>
      <c r="G921" s="115"/>
      <c r="H921" s="116"/>
      <c r="I921" s="117" t="s">
        <v>261</v>
      </c>
      <c r="J921" s="117" t="s">
        <v>261</v>
      </c>
      <c r="K921" s="118"/>
      <c r="L921" s="119"/>
      <c r="M921" s="119"/>
      <c r="N921" s="120"/>
      <c r="O921" s="118"/>
      <c r="P921" s="118"/>
      <c r="Q921" s="118"/>
      <c r="R921" s="121">
        <v>0.67</v>
      </c>
      <c r="S921" s="122">
        <f>IFERROR(__xludf.DUMMYFUNCTION("((IFERROR(MIN(FILTER({K921, N921, Q921}, ISNUMBER({K921, N921, Q921}), {K921, N921, Q921} &gt; 0)), """"))*R921)+IFERROR(MIN(FILTER({K921, N921, Q921}, ISNUMBER({K921, N921, Q921}), {K921, N921, Q921} &gt; 0)), """")"),0.0)</f>
        <v>0</v>
      </c>
      <c r="T921" s="123" t="str">
        <f t="shared" si="1"/>
        <v>#DIV/0!</v>
      </c>
    </row>
    <row r="922">
      <c r="A922" s="113"/>
      <c r="B922" s="113"/>
      <c r="C922" s="113"/>
      <c r="D922" s="114"/>
      <c r="E922" s="113"/>
      <c r="F922" s="113"/>
      <c r="G922" s="115"/>
      <c r="H922" s="116"/>
      <c r="I922" s="117" t="s">
        <v>261</v>
      </c>
      <c r="J922" s="117" t="s">
        <v>261</v>
      </c>
      <c r="K922" s="118"/>
      <c r="L922" s="119"/>
      <c r="M922" s="119"/>
      <c r="N922" s="120"/>
      <c r="O922" s="118"/>
      <c r="P922" s="118"/>
      <c r="Q922" s="118"/>
      <c r="R922" s="121">
        <v>0.67</v>
      </c>
      <c r="S922" s="122">
        <f>IFERROR(__xludf.DUMMYFUNCTION("((IFERROR(MIN(FILTER({K922, N922, Q922}, ISNUMBER({K922, N922, Q922}), {K922, N922, Q922} &gt; 0)), """"))*R922)+IFERROR(MIN(FILTER({K922, N922, Q922}, ISNUMBER({K922, N922, Q922}), {K922, N922, Q922} &gt; 0)), """")"),0.0)</f>
        <v>0</v>
      </c>
      <c r="T922" s="123" t="str">
        <f t="shared" si="1"/>
        <v>#DIV/0!</v>
      </c>
    </row>
    <row r="923">
      <c r="A923" s="113"/>
      <c r="B923" s="113"/>
      <c r="C923" s="113"/>
      <c r="D923" s="114"/>
      <c r="E923" s="113"/>
      <c r="F923" s="113"/>
      <c r="G923" s="115"/>
      <c r="H923" s="116"/>
      <c r="I923" s="117" t="s">
        <v>261</v>
      </c>
      <c r="J923" s="117" t="s">
        <v>261</v>
      </c>
      <c r="K923" s="118"/>
      <c r="L923" s="119"/>
      <c r="M923" s="119"/>
      <c r="N923" s="120"/>
      <c r="O923" s="118"/>
      <c r="P923" s="118"/>
      <c r="Q923" s="118"/>
      <c r="R923" s="121">
        <v>0.67</v>
      </c>
      <c r="S923" s="122">
        <f>IFERROR(__xludf.DUMMYFUNCTION("((IFERROR(MIN(FILTER({K923, N923, Q923}, ISNUMBER({K923, N923, Q923}), {K923, N923, Q923} &gt; 0)), """"))*R923)+IFERROR(MIN(FILTER({K923, N923, Q923}, ISNUMBER({K923, N923, Q923}), {K923, N923, Q923} &gt; 0)), """")"),0.0)</f>
        <v>0</v>
      </c>
      <c r="T923" s="123" t="str">
        <f t="shared" si="1"/>
        <v>#DIV/0!</v>
      </c>
    </row>
    <row r="924">
      <c r="A924" s="113"/>
      <c r="B924" s="113"/>
      <c r="C924" s="113"/>
      <c r="D924" s="114"/>
      <c r="E924" s="113"/>
      <c r="F924" s="113"/>
      <c r="G924" s="115"/>
      <c r="H924" s="116"/>
      <c r="I924" s="117" t="s">
        <v>261</v>
      </c>
      <c r="J924" s="117" t="s">
        <v>261</v>
      </c>
      <c r="K924" s="118"/>
      <c r="L924" s="119"/>
      <c r="M924" s="119"/>
      <c r="N924" s="120"/>
      <c r="O924" s="118"/>
      <c r="P924" s="118"/>
      <c r="Q924" s="118"/>
      <c r="R924" s="121">
        <v>0.67</v>
      </c>
      <c r="S924" s="122">
        <f>IFERROR(__xludf.DUMMYFUNCTION("((IFERROR(MIN(FILTER({K924, N924, Q924}, ISNUMBER({K924, N924, Q924}), {K924, N924, Q924} &gt; 0)), """"))*R924)+IFERROR(MIN(FILTER({K924, N924, Q924}, ISNUMBER({K924, N924, Q924}), {K924, N924, Q924} &gt; 0)), """")"),0.0)</f>
        <v>0</v>
      </c>
      <c r="T924" s="123" t="str">
        <f t="shared" si="1"/>
        <v>#DIV/0!</v>
      </c>
    </row>
    <row r="925">
      <c r="A925" s="113"/>
      <c r="B925" s="113"/>
      <c r="C925" s="113"/>
      <c r="D925" s="114"/>
      <c r="E925" s="113"/>
      <c r="F925" s="113"/>
      <c r="G925" s="115"/>
      <c r="H925" s="116"/>
      <c r="I925" s="117" t="s">
        <v>261</v>
      </c>
      <c r="J925" s="117" t="s">
        <v>261</v>
      </c>
      <c r="K925" s="118"/>
      <c r="L925" s="119"/>
      <c r="M925" s="119"/>
      <c r="N925" s="120"/>
      <c r="O925" s="118"/>
      <c r="P925" s="118"/>
      <c r="Q925" s="118"/>
      <c r="R925" s="121">
        <v>0.67</v>
      </c>
      <c r="S925" s="122">
        <f>IFERROR(__xludf.DUMMYFUNCTION("((IFERROR(MIN(FILTER({K925, N925, Q925}, ISNUMBER({K925, N925, Q925}), {K925, N925, Q925} &gt; 0)), """"))*R925)+IFERROR(MIN(FILTER({K925, N925, Q925}, ISNUMBER({K925, N925, Q925}), {K925, N925, Q925} &gt; 0)), """")"),0.0)</f>
        <v>0</v>
      </c>
      <c r="T925" s="123" t="str">
        <f t="shared" si="1"/>
        <v>#DIV/0!</v>
      </c>
    </row>
    <row r="926">
      <c r="A926" s="113"/>
      <c r="B926" s="113"/>
      <c r="C926" s="113"/>
      <c r="D926" s="114"/>
      <c r="E926" s="113"/>
      <c r="F926" s="113"/>
      <c r="G926" s="115"/>
      <c r="H926" s="116"/>
      <c r="I926" s="117" t="s">
        <v>261</v>
      </c>
      <c r="J926" s="117" t="s">
        <v>261</v>
      </c>
      <c r="K926" s="118"/>
      <c r="L926" s="119"/>
      <c r="M926" s="119"/>
      <c r="N926" s="120"/>
      <c r="O926" s="118"/>
      <c r="P926" s="118"/>
      <c r="Q926" s="118"/>
      <c r="R926" s="121">
        <v>0.67</v>
      </c>
      <c r="S926" s="122">
        <f>IFERROR(__xludf.DUMMYFUNCTION("((IFERROR(MIN(FILTER({K926, N926, Q926}, ISNUMBER({K926, N926, Q926}), {K926, N926, Q926} &gt; 0)), """"))*R926)+IFERROR(MIN(FILTER({K926, N926, Q926}, ISNUMBER({K926, N926, Q926}), {K926, N926, Q926} &gt; 0)), """")"),0.0)</f>
        <v>0</v>
      </c>
      <c r="T926" s="123" t="str">
        <f t="shared" si="1"/>
        <v>#DIV/0!</v>
      </c>
    </row>
    <row r="927">
      <c r="A927" s="113"/>
      <c r="B927" s="113"/>
      <c r="C927" s="113"/>
      <c r="D927" s="114"/>
      <c r="E927" s="113"/>
      <c r="F927" s="113"/>
      <c r="G927" s="115"/>
      <c r="H927" s="116"/>
      <c r="I927" s="117" t="s">
        <v>261</v>
      </c>
      <c r="J927" s="117" t="s">
        <v>261</v>
      </c>
      <c r="K927" s="118"/>
      <c r="L927" s="119"/>
      <c r="M927" s="119"/>
      <c r="N927" s="120"/>
      <c r="O927" s="118"/>
      <c r="P927" s="118"/>
      <c r="Q927" s="118"/>
      <c r="R927" s="121">
        <v>0.67</v>
      </c>
      <c r="S927" s="122">
        <f>IFERROR(__xludf.DUMMYFUNCTION("((IFERROR(MIN(FILTER({K927, N927, Q927}, ISNUMBER({K927, N927, Q927}), {K927, N927, Q927} &gt; 0)), """"))*R927)+IFERROR(MIN(FILTER({K927, N927, Q927}, ISNUMBER({K927, N927, Q927}), {K927, N927, Q927} &gt; 0)), """")"),0.0)</f>
        <v>0</v>
      </c>
      <c r="T927" s="123" t="str">
        <f t="shared" si="1"/>
        <v>#DIV/0!</v>
      </c>
    </row>
    <row r="928">
      <c r="A928" s="113"/>
      <c r="B928" s="113"/>
      <c r="C928" s="113"/>
      <c r="D928" s="114"/>
      <c r="E928" s="113"/>
      <c r="F928" s="113"/>
      <c r="G928" s="115"/>
      <c r="H928" s="116"/>
      <c r="I928" s="117" t="s">
        <v>261</v>
      </c>
      <c r="J928" s="117" t="s">
        <v>261</v>
      </c>
      <c r="K928" s="118"/>
      <c r="L928" s="119"/>
      <c r="M928" s="119"/>
      <c r="N928" s="120"/>
      <c r="O928" s="118"/>
      <c r="P928" s="118"/>
      <c r="Q928" s="118"/>
      <c r="R928" s="121">
        <v>0.67</v>
      </c>
      <c r="S928" s="122">
        <f>IFERROR(__xludf.DUMMYFUNCTION("((IFERROR(MIN(FILTER({K928, N928, Q928}, ISNUMBER({K928, N928, Q928}), {K928, N928, Q928} &gt; 0)), """"))*R928)+IFERROR(MIN(FILTER({K928, N928, Q928}, ISNUMBER({K928, N928, Q928}), {K928, N928, Q928} &gt; 0)), """")"),0.0)</f>
        <v>0</v>
      </c>
      <c r="T928" s="123" t="str">
        <f t="shared" si="1"/>
        <v>#DIV/0!</v>
      </c>
    </row>
    <row r="929">
      <c r="A929" s="113"/>
      <c r="B929" s="113"/>
      <c r="C929" s="113"/>
      <c r="D929" s="114"/>
      <c r="E929" s="113"/>
      <c r="F929" s="113"/>
      <c r="G929" s="115"/>
      <c r="H929" s="116"/>
      <c r="I929" s="117" t="s">
        <v>261</v>
      </c>
      <c r="J929" s="117" t="s">
        <v>261</v>
      </c>
      <c r="K929" s="118"/>
      <c r="L929" s="119"/>
      <c r="M929" s="119"/>
      <c r="N929" s="120"/>
      <c r="O929" s="118"/>
      <c r="P929" s="118"/>
      <c r="Q929" s="118"/>
      <c r="R929" s="121">
        <v>0.67</v>
      </c>
      <c r="S929" s="122">
        <f>IFERROR(__xludf.DUMMYFUNCTION("((IFERROR(MIN(FILTER({K929, N929, Q929}, ISNUMBER({K929, N929, Q929}), {K929, N929, Q929} &gt; 0)), """"))*R929)+IFERROR(MIN(FILTER({K929, N929, Q929}, ISNUMBER({K929, N929, Q929}), {K929, N929, Q929} &gt; 0)), """")"),0.0)</f>
        <v>0</v>
      </c>
      <c r="T929" s="123" t="str">
        <f t="shared" si="1"/>
        <v>#DIV/0!</v>
      </c>
    </row>
    <row r="930">
      <c r="A930" s="113"/>
      <c r="B930" s="113"/>
      <c r="C930" s="113"/>
      <c r="D930" s="114"/>
      <c r="E930" s="113"/>
      <c r="F930" s="113"/>
      <c r="G930" s="115"/>
      <c r="H930" s="116"/>
      <c r="I930" s="117" t="s">
        <v>261</v>
      </c>
      <c r="J930" s="117" t="s">
        <v>261</v>
      </c>
      <c r="K930" s="118"/>
      <c r="L930" s="119"/>
      <c r="M930" s="119"/>
      <c r="N930" s="120"/>
      <c r="O930" s="118"/>
      <c r="P930" s="118"/>
      <c r="Q930" s="118"/>
      <c r="R930" s="121">
        <v>0.67</v>
      </c>
      <c r="S930" s="122">
        <f>IFERROR(__xludf.DUMMYFUNCTION("((IFERROR(MIN(FILTER({K930, N930, Q930}, ISNUMBER({K930, N930, Q930}), {K930, N930, Q930} &gt; 0)), """"))*R930)+IFERROR(MIN(FILTER({K930, N930, Q930}, ISNUMBER({K930, N930, Q930}), {K930, N930, Q930} &gt; 0)), """")"),0.0)</f>
        <v>0</v>
      </c>
      <c r="T930" s="123" t="str">
        <f t="shared" si="1"/>
        <v>#DIV/0!</v>
      </c>
    </row>
    <row r="931">
      <c r="A931" s="113"/>
      <c r="B931" s="113"/>
      <c r="C931" s="113"/>
      <c r="D931" s="114"/>
      <c r="E931" s="113"/>
      <c r="F931" s="113"/>
      <c r="G931" s="115"/>
      <c r="H931" s="116"/>
      <c r="I931" s="117" t="s">
        <v>261</v>
      </c>
      <c r="J931" s="117" t="s">
        <v>261</v>
      </c>
      <c r="K931" s="118"/>
      <c r="L931" s="119"/>
      <c r="M931" s="119"/>
      <c r="N931" s="120"/>
      <c r="O931" s="118"/>
      <c r="P931" s="118"/>
      <c r="Q931" s="118"/>
      <c r="R931" s="121">
        <v>0.67</v>
      </c>
      <c r="S931" s="122">
        <f>IFERROR(__xludf.DUMMYFUNCTION("((IFERROR(MIN(FILTER({K931, N931, Q931}, ISNUMBER({K931, N931, Q931}), {K931, N931, Q931} &gt; 0)), """"))*R931)+IFERROR(MIN(FILTER({K931, N931, Q931}, ISNUMBER({K931, N931, Q931}), {K931, N931, Q931} &gt; 0)), """")"),0.0)</f>
        <v>0</v>
      </c>
      <c r="T931" s="123" t="str">
        <f t="shared" si="1"/>
        <v>#DIV/0!</v>
      </c>
    </row>
    <row r="932">
      <c r="A932" s="113"/>
      <c r="B932" s="113"/>
      <c r="C932" s="113"/>
      <c r="D932" s="114"/>
      <c r="E932" s="113"/>
      <c r="F932" s="113"/>
      <c r="G932" s="115"/>
      <c r="H932" s="116"/>
      <c r="I932" s="117" t="s">
        <v>261</v>
      </c>
      <c r="J932" s="117" t="s">
        <v>261</v>
      </c>
      <c r="K932" s="118"/>
      <c r="L932" s="119"/>
      <c r="M932" s="119"/>
      <c r="N932" s="120"/>
      <c r="O932" s="118"/>
      <c r="P932" s="118"/>
      <c r="Q932" s="118"/>
      <c r="R932" s="121">
        <v>0.67</v>
      </c>
      <c r="S932" s="122">
        <f>IFERROR(__xludf.DUMMYFUNCTION("((IFERROR(MIN(FILTER({K932, N932, Q932}, ISNUMBER({K932, N932, Q932}), {K932, N932, Q932} &gt; 0)), """"))*R932)+IFERROR(MIN(FILTER({K932, N932, Q932}, ISNUMBER({K932, N932, Q932}), {K932, N932, Q932} &gt; 0)), """")"),0.0)</f>
        <v>0</v>
      </c>
      <c r="T932" s="123" t="str">
        <f t="shared" si="1"/>
        <v>#DIV/0!</v>
      </c>
    </row>
    <row r="933">
      <c r="A933" s="113"/>
      <c r="B933" s="113"/>
      <c r="C933" s="113"/>
      <c r="D933" s="114"/>
      <c r="E933" s="113"/>
      <c r="F933" s="113"/>
      <c r="G933" s="115"/>
      <c r="H933" s="116"/>
      <c r="I933" s="117" t="s">
        <v>261</v>
      </c>
      <c r="J933" s="117" t="s">
        <v>261</v>
      </c>
      <c r="K933" s="118"/>
      <c r="L933" s="119"/>
      <c r="M933" s="119"/>
      <c r="N933" s="120"/>
      <c r="O933" s="118"/>
      <c r="P933" s="118"/>
      <c r="Q933" s="118"/>
      <c r="R933" s="121">
        <v>0.67</v>
      </c>
      <c r="S933" s="122">
        <f>IFERROR(__xludf.DUMMYFUNCTION("((IFERROR(MIN(FILTER({K933, N933, Q933}, ISNUMBER({K933, N933, Q933}), {K933, N933, Q933} &gt; 0)), """"))*R933)+IFERROR(MIN(FILTER({K933, N933, Q933}, ISNUMBER({K933, N933, Q933}), {K933, N933, Q933} &gt; 0)), """")"),0.0)</f>
        <v>0</v>
      </c>
      <c r="T933" s="123" t="str">
        <f t="shared" si="1"/>
        <v>#DIV/0!</v>
      </c>
    </row>
    <row r="934">
      <c r="A934" s="113"/>
      <c r="B934" s="113"/>
      <c r="C934" s="113"/>
      <c r="D934" s="114"/>
      <c r="E934" s="113"/>
      <c r="F934" s="113"/>
      <c r="G934" s="115"/>
      <c r="H934" s="116"/>
      <c r="I934" s="117" t="s">
        <v>261</v>
      </c>
      <c r="J934" s="117" t="s">
        <v>261</v>
      </c>
      <c r="K934" s="118"/>
      <c r="L934" s="119"/>
      <c r="M934" s="119"/>
      <c r="N934" s="120"/>
      <c r="O934" s="118"/>
      <c r="P934" s="118"/>
      <c r="Q934" s="118"/>
      <c r="R934" s="121">
        <v>0.67</v>
      </c>
      <c r="S934" s="122">
        <f>IFERROR(__xludf.DUMMYFUNCTION("((IFERROR(MIN(FILTER({K934, N934, Q934}, ISNUMBER({K934, N934, Q934}), {K934, N934, Q934} &gt; 0)), """"))*R934)+IFERROR(MIN(FILTER({K934, N934, Q934}, ISNUMBER({K934, N934, Q934}), {K934, N934, Q934} &gt; 0)), """")"),0.0)</f>
        <v>0</v>
      </c>
      <c r="T934" s="123" t="str">
        <f t="shared" si="1"/>
        <v>#DIV/0!</v>
      </c>
    </row>
    <row r="935">
      <c r="A935" s="113"/>
      <c r="B935" s="113"/>
      <c r="C935" s="113"/>
      <c r="D935" s="114"/>
      <c r="E935" s="113"/>
      <c r="F935" s="113"/>
      <c r="G935" s="115"/>
      <c r="H935" s="116"/>
      <c r="I935" s="117" t="s">
        <v>261</v>
      </c>
      <c r="J935" s="117" t="s">
        <v>261</v>
      </c>
      <c r="K935" s="118"/>
      <c r="L935" s="119"/>
      <c r="M935" s="119"/>
      <c r="N935" s="120"/>
      <c r="O935" s="118"/>
      <c r="P935" s="118"/>
      <c r="Q935" s="118"/>
      <c r="R935" s="121">
        <v>0.67</v>
      </c>
      <c r="S935" s="122">
        <f>IFERROR(__xludf.DUMMYFUNCTION("((IFERROR(MIN(FILTER({K935, N935, Q935}, ISNUMBER({K935, N935, Q935}), {K935, N935, Q935} &gt; 0)), """"))*R935)+IFERROR(MIN(FILTER({K935, N935, Q935}, ISNUMBER({K935, N935, Q935}), {K935, N935, Q935} &gt; 0)), """")"),0.0)</f>
        <v>0</v>
      </c>
      <c r="T935" s="123" t="str">
        <f t="shared" si="1"/>
        <v>#DIV/0!</v>
      </c>
    </row>
    <row r="936">
      <c r="A936" s="113"/>
      <c r="B936" s="113"/>
      <c r="C936" s="113"/>
      <c r="D936" s="114"/>
      <c r="E936" s="113"/>
      <c r="F936" s="113"/>
      <c r="G936" s="115"/>
      <c r="H936" s="116"/>
      <c r="I936" s="117" t="s">
        <v>261</v>
      </c>
      <c r="J936" s="117" t="s">
        <v>261</v>
      </c>
      <c r="K936" s="118"/>
      <c r="L936" s="119"/>
      <c r="M936" s="119"/>
      <c r="N936" s="120"/>
      <c r="O936" s="118"/>
      <c r="P936" s="118"/>
      <c r="Q936" s="118"/>
      <c r="R936" s="121">
        <v>0.67</v>
      </c>
      <c r="S936" s="122">
        <f>IFERROR(__xludf.DUMMYFUNCTION("((IFERROR(MIN(FILTER({K936, N936, Q936}, ISNUMBER({K936, N936, Q936}), {K936, N936, Q936} &gt; 0)), """"))*R936)+IFERROR(MIN(FILTER({K936, N936, Q936}, ISNUMBER({K936, N936, Q936}), {K936, N936, Q936} &gt; 0)), """")"),0.0)</f>
        <v>0</v>
      </c>
      <c r="T936" s="123" t="str">
        <f t="shared" si="1"/>
        <v>#DIV/0!</v>
      </c>
    </row>
    <row r="937">
      <c r="A937" s="113"/>
      <c r="B937" s="113"/>
      <c r="C937" s="113"/>
      <c r="D937" s="114"/>
      <c r="E937" s="113"/>
      <c r="F937" s="113"/>
      <c r="G937" s="115"/>
      <c r="H937" s="116"/>
      <c r="I937" s="117" t="s">
        <v>261</v>
      </c>
      <c r="J937" s="117" t="s">
        <v>261</v>
      </c>
      <c r="K937" s="118"/>
      <c r="L937" s="119"/>
      <c r="M937" s="119"/>
      <c r="N937" s="120"/>
      <c r="O937" s="118"/>
      <c r="P937" s="118"/>
      <c r="Q937" s="118"/>
      <c r="R937" s="121">
        <v>0.67</v>
      </c>
      <c r="S937" s="122">
        <f>IFERROR(__xludf.DUMMYFUNCTION("((IFERROR(MIN(FILTER({K937, N937, Q937}, ISNUMBER({K937, N937, Q937}), {K937, N937, Q937} &gt; 0)), """"))*R937)+IFERROR(MIN(FILTER({K937, N937, Q937}, ISNUMBER({K937, N937, Q937}), {K937, N937, Q937} &gt; 0)), """")"),0.0)</f>
        <v>0</v>
      </c>
      <c r="T937" s="123" t="str">
        <f t="shared" si="1"/>
        <v>#DIV/0!</v>
      </c>
    </row>
    <row r="938">
      <c r="A938" s="113"/>
      <c r="B938" s="113"/>
      <c r="C938" s="113"/>
      <c r="D938" s="114"/>
      <c r="E938" s="113"/>
      <c r="F938" s="113"/>
      <c r="G938" s="115"/>
      <c r="H938" s="116"/>
      <c r="I938" s="117" t="s">
        <v>261</v>
      </c>
      <c r="J938" s="117" t="s">
        <v>261</v>
      </c>
      <c r="K938" s="118"/>
      <c r="L938" s="119"/>
      <c r="M938" s="119"/>
      <c r="N938" s="120"/>
      <c r="O938" s="118"/>
      <c r="P938" s="118"/>
      <c r="Q938" s="118"/>
      <c r="R938" s="121">
        <v>0.67</v>
      </c>
      <c r="S938" s="122">
        <f>IFERROR(__xludf.DUMMYFUNCTION("((IFERROR(MIN(FILTER({K938, N938, Q938}, ISNUMBER({K938, N938, Q938}), {K938, N938, Q938} &gt; 0)), """"))*R938)+IFERROR(MIN(FILTER({K938, N938, Q938}, ISNUMBER({K938, N938, Q938}), {K938, N938, Q938} &gt; 0)), """")"),0.0)</f>
        <v>0</v>
      </c>
      <c r="T938" s="123" t="str">
        <f t="shared" si="1"/>
        <v>#DIV/0!</v>
      </c>
    </row>
    <row r="939">
      <c r="A939" s="113"/>
      <c r="B939" s="113"/>
      <c r="C939" s="113"/>
      <c r="D939" s="114"/>
      <c r="E939" s="113"/>
      <c r="F939" s="113"/>
      <c r="G939" s="115"/>
      <c r="H939" s="116"/>
      <c r="I939" s="117" t="s">
        <v>261</v>
      </c>
      <c r="J939" s="117" t="s">
        <v>261</v>
      </c>
      <c r="K939" s="118"/>
      <c r="L939" s="119"/>
      <c r="M939" s="119"/>
      <c r="N939" s="120"/>
      <c r="O939" s="118"/>
      <c r="P939" s="118"/>
      <c r="Q939" s="118"/>
      <c r="R939" s="121">
        <v>0.67</v>
      </c>
      <c r="S939" s="122">
        <f>IFERROR(__xludf.DUMMYFUNCTION("((IFERROR(MIN(FILTER({K939, N939, Q939}, ISNUMBER({K939, N939, Q939}), {K939, N939, Q939} &gt; 0)), """"))*R939)+IFERROR(MIN(FILTER({K939, N939, Q939}, ISNUMBER({K939, N939, Q939}), {K939, N939, Q939} &gt; 0)), """")"),0.0)</f>
        <v>0</v>
      </c>
      <c r="T939" s="123" t="str">
        <f t="shared" si="1"/>
        <v>#DIV/0!</v>
      </c>
    </row>
    <row r="940">
      <c r="A940" s="113"/>
      <c r="B940" s="113"/>
      <c r="C940" s="113"/>
      <c r="D940" s="114"/>
      <c r="E940" s="113"/>
      <c r="F940" s="113"/>
      <c r="G940" s="115"/>
      <c r="H940" s="116"/>
      <c r="I940" s="117" t="s">
        <v>261</v>
      </c>
      <c r="J940" s="117" t="s">
        <v>261</v>
      </c>
      <c r="K940" s="118"/>
      <c r="L940" s="119"/>
      <c r="M940" s="119"/>
      <c r="N940" s="120"/>
      <c r="O940" s="118"/>
      <c r="P940" s="118"/>
      <c r="Q940" s="118"/>
      <c r="R940" s="121">
        <v>0.67</v>
      </c>
      <c r="S940" s="122">
        <f>IFERROR(__xludf.DUMMYFUNCTION("((IFERROR(MIN(FILTER({K940, N940, Q940}, ISNUMBER({K940, N940, Q940}), {K940, N940, Q940} &gt; 0)), """"))*R940)+IFERROR(MIN(FILTER({K940, N940, Q940}, ISNUMBER({K940, N940, Q940}), {K940, N940, Q940} &gt; 0)), """")"),0.0)</f>
        <v>0</v>
      </c>
      <c r="T940" s="123" t="str">
        <f t="shared" si="1"/>
        <v>#DIV/0!</v>
      </c>
    </row>
    <row r="941">
      <c r="A941" s="113"/>
      <c r="B941" s="113"/>
      <c r="C941" s="113"/>
      <c r="D941" s="114"/>
      <c r="E941" s="113"/>
      <c r="F941" s="113"/>
      <c r="G941" s="115"/>
      <c r="H941" s="116"/>
      <c r="I941" s="117" t="s">
        <v>261</v>
      </c>
      <c r="J941" s="117" t="s">
        <v>261</v>
      </c>
      <c r="K941" s="118"/>
      <c r="L941" s="119"/>
      <c r="M941" s="119"/>
      <c r="N941" s="120"/>
      <c r="O941" s="118"/>
      <c r="P941" s="118"/>
      <c r="Q941" s="118"/>
      <c r="R941" s="121">
        <v>0.67</v>
      </c>
      <c r="S941" s="122">
        <f>IFERROR(__xludf.DUMMYFUNCTION("((IFERROR(MIN(FILTER({K941, N941, Q941}, ISNUMBER({K941, N941, Q941}), {K941, N941, Q941} &gt; 0)), """"))*R941)+IFERROR(MIN(FILTER({K941, N941, Q941}, ISNUMBER({K941, N941, Q941}), {K941, N941, Q941} &gt; 0)), """")"),0.0)</f>
        <v>0</v>
      </c>
      <c r="T941" s="123" t="str">
        <f t="shared" si="1"/>
        <v>#DIV/0!</v>
      </c>
    </row>
    <row r="942">
      <c r="A942" s="113"/>
      <c r="B942" s="113"/>
      <c r="C942" s="113"/>
      <c r="D942" s="114"/>
      <c r="E942" s="113"/>
      <c r="F942" s="113"/>
      <c r="G942" s="115"/>
      <c r="H942" s="116"/>
      <c r="I942" s="117" t="s">
        <v>261</v>
      </c>
      <c r="J942" s="117" t="s">
        <v>261</v>
      </c>
      <c r="K942" s="118"/>
      <c r="L942" s="119"/>
      <c r="M942" s="119"/>
      <c r="N942" s="120"/>
      <c r="O942" s="118"/>
      <c r="P942" s="118"/>
      <c r="Q942" s="118"/>
      <c r="R942" s="121">
        <v>0.67</v>
      </c>
      <c r="S942" s="122">
        <f>IFERROR(__xludf.DUMMYFUNCTION("((IFERROR(MIN(FILTER({K942, N942, Q942}, ISNUMBER({K942, N942, Q942}), {K942, N942, Q942} &gt; 0)), """"))*R942)+IFERROR(MIN(FILTER({K942, N942, Q942}, ISNUMBER({K942, N942, Q942}), {K942, N942, Q942} &gt; 0)), """")"),0.0)</f>
        <v>0</v>
      </c>
      <c r="T942" s="123" t="str">
        <f t="shared" si="1"/>
        <v>#DIV/0!</v>
      </c>
    </row>
    <row r="943">
      <c r="A943" s="113"/>
      <c r="B943" s="113"/>
      <c r="C943" s="113"/>
      <c r="D943" s="114"/>
      <c r="E943" s="113"/>
      <c r="F943" s="113"/>
      <c r="G943" s="115"/>
      <c r="H943" s="116"/>
      <c r="I943" s="117" t="s">
        <v>261</v>
      </c>
      <c r="J943" s="117" t="s">
        <v>261</v>
      </c>
      <c r="K943" s="118"/>
      <c r="L943" s="119"/>
      <c r="M943" s="119"/>
      <c r="N943" s="120"/>
      <c r="O943" s="118"/>
      <c r="P943" s="118"/>
      <c r="Q943" s="118"/>
      <c r="R943" s="121">
        <v>0.67</v>
      </c>
      <c r="S943" s="122">
        <f>IFERROR(__xludf.DUMMYFUNCTION("((IFERROR(MIN(FILTER({K943, N943, Q943}, ISNUMBER({K943, N943, Q943}), {K943, N943, Q943} &gt; 0)), """"))*R943)+IFERROR(MIN(FILTER({K943, N943, Q943}, ISNUMBER({K943, N943, Q943}), {K943, N943, Q943} &gt; 0)), """")"),0.0)</f>
        <v>0</v>
      </c>
      <c r="T943" s="123" t="str">
        <f t="shared" si="1"/>
        <v>#DIV/0!</v>
      </c>
    </row>
    <row r="944">
      <c r="A944" s="113"/>
      <c r="B944" s="113"/>
      <c r="C944" s="113"/>
      <c r="D944" s="114"/>
      <c r="E944" s="113"/>
      <c r="F944" s="113"/>
      <c r="G944" s="115"/>
      <c r="H944" s="116"/>
      <c r="I944" s="117" t="s">
        <v>261</v>
      </c>
      <c r="J944" s="117" t="s">
        <v>261</v>
      </c>
      <c r="K944" s="118"/>
      <c r="L944" s="119"/>
      <c r="M944" s="119"/>
      <c r="N944" s="120"/>
      <c r="O944" s="118"/>
      <c r="P944" s="118"/>
      <c r="Q944" s="118"/>
      <c r="R944" s="121">
        <v>0.67</v>
      </c>
      <c r="S944" s="122">
        <f>IFERROR(__xludf.DUMMYFUNCTION("((IFERROR(MIN(FILTER({K944, N944, Q944}, ISNUMBER({K944, N944, Q944}), {K944, N944, Q944} &gt; 0)), """"))*R944)+IFERROR(MIN(FILTER({K944, N944, Q944}, ISNUMBER({K944, N944, Q944}), {K944, N944, Q944} &gt; 0)), """")"),0.0)</f>
        <v>0</v>
      </c>
      <c r="T944" s="123" t="str">
        <f t="shared" si="1"/>
        <v>#DIV/0!</v>
      </c>
    </row>
    <row r="945">
      <c r="A945" s="113"/>
      <c r="B945" s="113"/>
      <c r="C945" s="113"/>
      <c r="D945" s="114"/>
      <c r="E945" s="113"/>
      <c r="F945" s="113"/>
      <c r="G945" s="115"/>
      <c r="H945" s="116"/>
      <c r="I945" s="117" t="s">
        <v>261</v>
      </c>
      <c r="J945" s="117" t="s">
        <v>261</v>
      </c>
      <c r="K945" s="118"/>
      <c r="L945" s="119"/>
      <c r="M945" s="119"/>
      <c r="N945" s="120"/>
      <c r="O945" s="118"/>
      <c r="P945" s="118"/>
      <c r="Q945" s="118"/>
      <c r="R945" s="121">
        <v>0.67</v>
      </c>
      <c r="S945" s="122">
        <f>IFERROR(__xludf.DUMMYFUNCTION("((IFERROR(MIN(FILTER({K945, N945, Q945}, ISNUMBER({K945, N945, Q945}), {K945, N945, Q945} &gt; 0)), """"))*R945)+IFERROR(MIN(FILTER({K945, N945, Q945}, ISNUMBER({K945, N945, Q945}), {K945, N945, Q945} &gt; 0)), """")"),0.0)</f>
        <v>0</v>
      </c>
      <c r="T945" s="123" t="str">
        <f t="shared" si="1"/>
        <v>#DIV/0!</v>
      </c>
    </row>
    <row r="946">
      <c r="A946" s="113"/>
      <c r="B946" s="113"/>
      <c r="C946" s="113"/>
      <c r="D946" s="114"/>
      <c r="E946" s="113"/>
      <c r="F946" s="113"/>
      <c r="G946" s="115"/>
      <c r="H946" s="116"/>
      <c r="I946" s="117" t="s">
        <v>261</v>
      </c>
      <c r="J946" s="117" t="s">
        <v>261</v>
      </c>
      <c r="K946" s="118"/>
      <c r="L946" s="119"/>
      <c r="M946" s="119"/>
      <c r="N946" s="120"/>
      <c r="O946" s="118"/>
      <c r="P946" s="118"/>
      <c r="Q946" s="118"/>
      <c r="R946" s="121">
        <v>0.67</v>
      </c>
      <c r="S946" s="122">
        <f>IFERROR(__xludf.DUMMYFUNCTION("((IFERROR(MIN(FILTER({K946, N946, Q946}, ISNUMBER({K946, N946, Q946}), {K946, N946, Q946} &gt; 0)), """"))*R946)+IFERROR(MIN(FILTER({K946, N946, Q946}, ISNUMBER({K946, N946, Q946}), {K946, N946, Q946} &gt; 0)), """")"),0.0)</f>
        <v>0</v>
      </c>
      <c r="T946" s="123" t="str">
        <f t="shared" si="1"/>
        <v>#DIV/0!</v>
      </c>
    </row>
    <row r="947">
      <c r="A947" s="113"/>
      <c r="B947" s="113"/>
      <c r="C947" s="113"/>
      <c r="D947" s="114"/>
      <c r="E947" s="113"/>
      <c r="F947" s="113"/>
      <c r="G947" s="115"/>
      <c r="H947" s="116"/>
      <c r="I947" s="117" t="s">
        <v>261</v>
      </c>
      <c r="J947" s="117" t="s">
        <v>261</v>
      </c>
      <c r="K947" s="118"/>
      <c r="L947" s="119"/>
      <c r="M947" s="119"/>
      <c r="N947" s="120"/>
      <c r="O947" s="118"/>
      <c r="P947" s="118"/>
      <c r="Q947" s="118"/>
      <c r="R947" s="121">
        <v>0.67</v>
      </c>
      <c r="S947" s="122">
        <f>IFERROR(__xludf.DUMMYFUNCTION("((IFERROR(MIN(FILTER({K947, N947, Q947}, ISNUMBER({K947, N947, Q947}), {K947, N947, Q947} &gt; 0)), """"))*R947)+IFERROR(MIN(FILTER({K947, N947, Q947}, ISNUMBER({K947, N947, Q947}), {K947, N947, Q947} &gt; 0)), """")"),0.0)</f>
        <v>0</v>
      </c>
      <c r="T947" s="123" t="str">
        <f t="shared" si="1"/>
        <v>#DIV/0!</v>
      </c>
    </row>
    <row r="948">
      <c r="A948" s="113"/>
      <c r="B948" s="113"/>
      <c r="C948" s="113"/>
      <c r="D948" s="114"/>
      <c r="E948" s="113"/>
      <c r="F948" s="113"/>
      <c r="G948" s="115"/>
      <c r="H948" s="116"/>
      <c r="I948" s="117" t="s">
        <v>261</v>
      </c>
      <c r="J948" s="117" t="s">
        <v>261</v>
      </c>
      <c r="K948" s="118"/>
      <c r="L948" s="119"/>
      <c r="M948" s="119"/>
      <c r="N948" s="120"/>
      <c r="O948" s="118"/>
      <c r="P948" s="118"/>
      <c r="Q948" s="118"/>
      <c r="R948" s="121">
        <v>0.67</v>
      </c>
      <c r="S948" s="122">
        <f>IFERROR(__xludf.DUMMYFUNCTION("((IFERROR(MIN(FILTER({K948, N948, Q948}, ISNUMBER({K948, N948, Q948}), {K948, N948, Q948} &gt; 0)), """"))*R948)+IFERROR(MIN(FILTER({K948, N948, Q948}, ISNUMBER({K948, N948, Q948}), {K948, N948, Q948} &gt; 0)), """")"),0.0)</f>
        <v>0</v>
      </c>
      <c r="T948" s="123" t="str">
        <f t="shared" si="1"/>
        <v>#DIV/0!</v>
      </c>
    </row>
    <row r="949">
      <c r="A949" s="113"/>
      <c r="B949" s="113"/>
      <c r="C949" s="113"/>
      <c r="D949" s="114"/>
      <c r="E949" s="113"/>
      <c r="F949" s="113"/>
      <c r="G949" s="115"/>
      <c r="H949" s="116"/>
      <c r="I949" s="117" t="s">
        <v>261</v>
      </c>
      <c r="J949" s="117" t="s">
        <v>261</v>
      </c>
      <c r="K949" s="118"/>
      <c r="L949" s="119"/>
      <c r="M949" s="119"/>
      <c r="N949" s="120"/>
      <c r="O949" s="118"/>
      <c r="P949" s="118"/>
      <c r="Q949" s="118"/>
      <c r="R949" s="121">
        <v>0.67</v>
      </c>
      <c r="S949" s="122">
        <f>IFERROR(__xludf.DUMMYFUNCTION("((IFERROR(MIN(FILTER({K949, N949, Q949}, ISNUMBER({K949, N949, Q949}), {K949, N949, Q949} &gt; 0)), """"))*R949)+IFERROR(MIN(FILTER({K949, N949, Q949}, ISNUMBER({K949, N949, Q949}), {K949, N949, Q949} &gt; 0)), """")"),0.0)</f>
        <v>0</v>
      </c>
      <c r="T949" s="123" t="str">
        <f t="shared" si="1"/>
        <v>#DIV/0!</v>
      </c>
    </row>
    <row r="950">
      <c r="A950" s="113"/>
      <c r="B950" s="113"/>
      <c r="C950" s="113"/>
      <c r="D950" s="114"/>
      <c r="E950" s="113"/>
      <c r="F950" s="113"/>
      <c r="G950" s="115"/>
      <c r="H950" s="116"/>
      <c r="I950" s="117" t="s">
        <v>261</v>
      </c>
      <c r="J950" s="117" t="s">
        <v>261</v>
      </c>
      <c r="K950" s="118"/>
      <c r="L950" s="119"/>
      <c r="M950" s="119"/>
      <c r="N950" s="120"/>
      <c r="O950" s="118"/>
      <c r="P950" s="118"/>
      <c r="Q950" s="118"/>
      <c r="R950" s="121">
        <v>0.67</v>
      </c>
      <c r="S950" s="122">
        <f>IFERROR(__xludf.DUMMYFUNCTION("((IFERROR(MIN(FILTER({K950, N950, Q950}, ISNUMBER({K950, N950, Q950}), {K950, N950, Q950} &gt; 0)), """"))*R950)+IFERROR(MIN(FILTER({K950, N950, Q950}, ISNUMBER({K950, N950, Q950}), {K950, N950, Q950} &gt; 0)), """")"),0.0)</f>
        <v>0</v>
      </c>
      <c r="T950" s="123" t="str">
        <f t="shared" si="1"/>
        <v>#DIV/0!</v>
      </c>
    </row>
    <row r="951">
      <c r="A951" s="113"/>
      <c r="B951" s="113"/>
      <c r="C951" s="113"/>
      <c r="D951" s="114"/>
      <c r="E951" s="113"/>
      <c r="F951" s="113"/>
      <c r="G951" s="115"/>
      <c r="H951" s="116"/>
      <c r="I951" s="117" t="s">
        <v>261</v>
      </c>
      <c r="J951" s="117" t="s">
        <v>261</v>
      </c>
      <c r="K951" s="118"/>
      <c r="L951" s="119"/>
      <c r="M951" s="119"/>
      <c r="N951" s="120"/>
      <c r="O951" s="118"/>
      <c r="P951" s="118"/>
      <c r="Q951" s="118"/>
      <c r="R951" s="121">
        <v>0.67</v>
      </c>
      <c r="S951" s="122">
        <f>IFERROR(__xludf.DUMMYFUNCTION("((IFERROR(MIN(FILTER({K951, N951, Q951}, ISNUMBER({K951, N951, Q951}), {K951, N951, Q951} &gt; 0)), """"))*R951)+IFERROR(MIN(FILTER({K951, N951, Q951}, ISNUMBER({K951, N951, Q951}), {K951, N951, Q951} &gt; 0)), """")"),0.0)</f>
        <v>0</v>
      </c>
      <c r="T951" s="123" t="str">
        <f t="shared" si="1"/>
        <v>#DIV/0!</v>
      </c>
    </row>
    <row r="952">
      <c r="A952" s="113"/>
      <c r="B952" s="113"/>
      <c r="C952" s="113"/>
      <c r="D952" s="114"/>
      <c r="E952" s="113"/>
      <c r="F952" s="113"/>
      <c r="G952" s="115"/>
      <c r="H952" s="116"/>
      <c r="I952" s="117" t="s">
        <v>261</v>
      </c>
      <c r="J952" s="117" t="s">
        <v>261</v>
      </c>
      <c r="K952" s="118"/>
      <c r="L952" s="119"/>
      <c r="M952" s="119"/>
      <c r="N952" s="120"/>
      <c r="O952" s="118"/>
      <c r="P952" s="118"/>
      <c r="Q952" s="118"/>
      <c r="R952" s="121">
        <v>0.67</v>
      </c>
      <c r="S952" s="122">
        <f>IFERROR(__xludf.DUMMYFUNCTION("((IFERROR(MIN(FILTER({K952, N952, Q952}, ISNUMBER({K952, N952, Q952}), {K952, N952, Q952} &gt; 0)), """"))*R952)+IFERROR(MIN(FILTER({K952, N952, Q952}, ISNUMBER({K952, N952, Q952}), {K952, N952, Q952} &gt; 0)), """")"),0.0)</f>
        <v>0</v>
      </c>
      <c r="T952" s="123" t="str">
        <f t="shared" si="1"/>
        <v>#DIV/0!</v>
      </c>
    </row>
    <row r="953">
      <c r="A953" s="113"/>
      <c r="B953" s="113"/>
      <c r="C953" s="113"/>
      <c r="D953" s="114"/>
      <c r="E953" s="113"/>
      <c r="F953" s="113"/>
      <c r="G953" s="115"/>
      <c r="H953" s="116"/>
      <c r="I953" s="117" t="s">
        <v>261</v>
      </c>
      <c r="J953" s="117" t="s">
        <v>261</v>
      </c>
      <c r="K953" s="118"/>
      <c r="L953" s="119"/>
      <c r="M953" s="119"/>
      <c r="N953" s="120"/>
      <c r="O953" s="118"/>
      <c r="P953" s="118"/>
      <c r="Q953" s="118"/>
      <c r="R953" s="121">
        <v>0.67</v>
      </c>
      <c r="S953" s="122">
        <f>IFERROR(__xludf.DUMMYFUNCTION("((IFERROR(MIN(FILTER({K953, N953, Q953}, ISNUMBER({K953, N953, Q953}), {K953, N953, Q953} &gt; 0)), """"))*R953)+IFERROR(MIN(FILTER({K953, N953, Q953}, ISNUMBER({K953, N953, Q953}), {K953, N953, Q953} &gt; 0)), """")"),0.0)</f>
        <v>0</v>
      </c>
      <c r="T953" s="123" t="str">
        <f t="shared" si="1"/>
        <v>#DIV/0!</v>
      </c>
    </row>
    <row r="954">
      <c r="A954" s="113"/>
      <c r="B954" s="113"/>
      <c r="C954" s="113"/>
      <c r="D954" s="114"/>
      <c r="E954" s="113"/>
      <c r="F954" s="113"/>
      <c r="G954" s="115"/>
      <c r="H954" s="116"/>
      <c r="I954" s="117" t="s">
        <v>261</v>
      </c>
      <c r="J954" s="117" t="s">
        <v>261</v>
      </c>
      <c r="K954" s="118"/>
      <c r="L954" s="119"/>
      <c r="M954" s="119"/>
      <c r="N954" s="120"/>
      <c r="O954" s="118"/>
      <c r="P954" s="118"/>
      <c r="Q954" s="118"/>
      <c r="R954" s="121">
        <v>0.67</v>
      </c>
      <c r="S954" s="122">
        <f>IFERROR(__xludf.DUMMYFUNCTION("((IFERROR(MIN(FILTER({K954, N954, Q954}, ISNUMBER({K954, N954, Q954}), {K954, N954, Q954} &gt; 0)), """"))*R954)+IFERROR(MIN(FILTER({K954, N954, Q954}, ISNUMBER({K954, N954, Q954}), {K954, N954, Q954} &gt; 0)), """")"),0.0)</f>
        <v>0</v>
      </c>
      <c r="T954" s="123" t="str">
        <f t="shared" si="1"/>
        <v>#DIV/0!</v>
      </c>
    </row>
    <row r="955">
      <c r="A955" s="113"/>
      <c r="B955" s="113"/>
      <c r="C955" s="113"/>
      <c r="D955" s="114"/>
      <c r="E955" s="113"/>
      <c r="F955" s="113"/>
      <c r="G955" s="115"/>
      <c r="H955" s="116"/>
      <c r="I955" s="117" t="s">
        <v>261</v>
      </c>
      <c r="J955" s="117" t="s">
        <v>261</v>
      </c>
      <c r="K955" s="118"/>
      <c r="L955" s="119"/>
      <c r="M955" s="119"/>
      <c r="N955" s="120"/>
      <c r="O955" s="118"/>
      <c r="P955" s="118"/>
      <c r="Q955" s="118"/>
      <c r="R955" s="121">
        <v>0.67</v>
      </c>
      <c r="S955" s="122">
        <f>IFERROR(__xludf.DUMMYFUNCTION("((IFERROR(MIN(FILTER({K955, N955, Q955}, ISNUMBER({K955, N955, Q955}), {K955, N955, Q955} &gt; 0)), """"))*R955)+IFERROR(MIN(FILTER({K955, N955, Q955}, ISNUMBER({K955, N955, Q955}), {K955, N955, Q955} &gt; 0)), """")"),0.0)</f>
        <v>0</v>
      </c>
      <c r="T955" s="123" t="str">
        <f t="shared" si="1"/>
        <v>#DIV/0!</v>
      </c>
    </row>
    <row r="956">
      <c r="A956" s="113"/>
      <c r="B956" s="113"/>
      <c r="C956" s="113"/>
      <c r="D956" s="114"/>
      <c r="E956" s="113"/>
      <c r="F956" s="113"/>
      <c r="G956" s="115"/>
      <c r="H956" s="116"/>
      <c r="I956" s="117" t="s">
        <v>261</v>
      </c>
      <c r="J956" s="117" t="s">
        <v>261</v>
      </c>
      <c r="K956" s="118"/>
      <c r="L956" s="119"/>
      <c r="M956" s="119"/>
      <c r="N956" s="120"/>
      <c r="O956" s="118"/>
      <c r="P956" s="118"/>
      <c r="Q956" s="118"/>
      <c r="R956" s="121">
        <v>0.67</v>
      </c>
      <c r="S956" s="122">
        <f>IFERROR(__xludf.DUMMYFUNCTION("((IFERROR(MIN(FILTER({K956, N956, Q956}, ISNUMBER({K956, N956, Q956}), {K956, N956, Q956} &gt; 0)), """"))*R956)+IFERROR(MIN(FILTER({K956, N956, Q956}, ISNUMBER({K956, N956, Q956}), {K956, N956, Q956} &gt; 0)), """")"),0.0)</f>
        <v>0</v>
      </c>
      <c r="T956" s="123" t="str">
        <f t="shared" si="1"/>
        <v>#DIV/0!</v>
      </c>
    </row>
    <row r="957">
      <c r="A957" s="113"/>
      <c r="B957" s="113"/>
      <c r="C957" s="113"/>
      <c r="D957" s="114"/>
      <c r="E957" s="113"/>
      <c r="F957" s="113"/>
      <c r="G957" s="115"/>
      <c r="H957" s="116"/>
      <c r="I957" s="117" t="s">
        <v>261</v>
      </c>
      <c r="J957" s="117" t="s">
        <v>261</v>
      </c>
      <c r="K957" s="118"/>
      <c r="L957" s="119"/>
      <c r="M957" s="119"/>
      <c r="N957" s="120"/>
      <c r="O957" s="118"/>
      <c r="P957" s="118"/>
      <c r="Q957" s="118"/>
      <c r="R957" s="121">
        <v>0.67</v>
      </c>
      <c r="S957" s="122">
        <f>IFERROR(__xludf.DUMMYFUNCTION("((IFERROR(MIN(FILTER({K957, N957, Q957}, ISNUMBER({K957, N957, Q957}), {K957, N957, Q957} &gt; 0)), """"))*R957)+IFERROR(MIN(FILTER({K957, N957, Q957}, ISNUMBER({K957, N957, Q957}), {K957, N957, Q957} &gt; 0)), """")"),0.0)</f>
        <v>0</v>
      </c>
      <c r="T957" s="123" t="str">
        <f t="shared" si="1"/>
        <v>#DIV/0!</v>
      </c>
    </row>
    <row r="958">
      <c r="A958" s="113"/>
      <c r="B958" s="113"/>
      <c r="C958" s="113"/>
      <c r="D958" s="114"/>
      <c r="E958" s="113"/>
      <c r="F958" s="113"/>
      <c r="G958" s="115"/>
      <c r="H958" s="116"/>
      <c r="I958" s="117" t="s">
        <v>261</v>
      </c>
      <c r="J958" s="117" t="s">
        <v>261</v>
      </c>
      <c r="K958" s="118"/>
      <c r="L958" s="119"/>
      <c r="M958" s="119"/>
      <c r="N958" s="120"/>
      <c r="O958" s="118"/>
      <c r="P958" s="118"/>
      <c r="Q958" s="118"/>
      <c r="R958" s="121">
        <v>0.67</v>
      </c>
      <c r="S958" s="122">
        <f>IFERROR(__xludf.DUMMYFUNCTION("((IFERROR(MIN(FILTER({K958, N958, Q958}, ISNUMBER({K958, N958, Q958}), {K958, N958, Q958} &gt; 0)), """"))*R958)+IFERROR(MIN(FILTER({K958, N958, Q958}, ISNUMBER({K958, N958, Q958}), {K958, N958, Q958} &gt; 0)), """")"),0.0)</f>
        <v>0</v>
      </c>
      <c r="T958" s="123" t="str">
        <f t="shared" si="1"/>
        <v>#DIV/0!</v>
      </c>
    </row>
    <row r="959">
      <c r="A959" s="113"/>
      <c r="B959" s="113"/>
      <c r="C959" s="113"/>
      <c r="D959" s="114"/>
      <c r="E959" s="113"/>
      <c r="F959" s="113"/>
      <c r="G959" s="115"/>
      <c r="H959" s="116"/>
      <c r="I959" s="117" t="s">
        <v>261</v>
      </c>
      <c r="J959" s="117" t="s">
        <v>261</v>
      </c>
      <c r="K959" s="118"/>
      <c r="L959" s="119"/>
      <c r="M959" s="119"/>
      <c r="N959" s="120"/>
      <c r="O959" s="118"/>
      <c r="P959" s="118"/>
      <c r="Q959" s="118"/>
      <c r="R959" s="121">
        <v>0.67</v>
      </c>
      <c r="S959" s="122">
        <f>IFERROR(__xludf.DUMMYFUNCTION("((IFERROR(MIN(FILTER({K959, N959, Q959}, ISNUMBER({K959, N959, Q959}), {K959, N959, Q959} &gt; 0)), """"))*R959)+IFERROR(MIN(FILTER({K959, N959, Q959}, ISNUMBER({K959, N959, Q959}), {K959, N959, Q959} &gt; 0)), """")"),0.0)</f>
        <v>0</v>
      </c>
      <c r="T959" s="123" t="str">
        <f t="shared" si="1"/>
        <v>#DIV/0!</v>
      </c>
    </row>
    <row r="960">
      <c r="A960" s="113"/>
      <c r="B960" s="113"/>
      <c r="C960" s="113"/>
      <c r="D960" s="114"/>
      <c r="E960" s="113"/>
      <c r="F960" s="113"/>
      <c r="G960" s="115"/>
      <c r="H960" s="116"/>
      <c r="I960" s="117" t="s">
        <v>261</v>
      </c>
      <c r="J960" s="117" t="s">
        <v>261</v>
      </c>
      <c r="K960" s="118"/>
      <c r="L960" s="119"/>
      <c r="M960" s="119"/>
      <c r="N960" s="120"/>
      <c r="O960" s="118"/>
      <c r="P960" s="118"/>
      <c r="Q960" s="118"/>
      <c r="R960" s="121">
        <v>0.67</v>
      </c>
      <c r="S960" s="122">
        <f>IFERROR(__xludf.DUMMYFUNCTION("((IFERROR(MIN(FILTER({K960, N960, Q960}, ISNUMBER({K960, N960, Q960}), {K960, N960, Q960} &gt; 0)), """"))*R960)+IFERROR(MIN(FILTER({K960, N960, Q960}, ISNUMBER({K960, N960, Q960}), {K960, N960, Q960} &gt; 0)), """")"),0.0)</f>
        <v>0</v>
      </c>
      <c r="T960" s="123" t="str">
        <f t="shared" si="1"/>
        <v>#DIV/0!</v>
      </c>
    </row>
    <row r="961">
      <c r="A961" s="113"/>
      <c r="B961" s="113"/>
      <c r="C961" s="113"/>
      <c r="D961" s="114"/>
      <c r="E961" s="113"/>
      <c r="F961" s="113"/>
      <c r="G961" s="115"/>
      <c r="H961" s="116"/>
      <c r="I961" s="117" t="s">
        <v>261</v>
      </c>
      <c r="J961" s="117" t="s">
        <v>261</v>
      </c>
      <c r="K961" s="118"/>
      <c r="L961" s="119"/>
      <c r="M961" s="119"/>
      <c r="N961" s="120"/>
      <c r="O961" s="118"/>
      <c r="P961" s="118"/>
      <c r="Q961" s="118"/>
      <c r="R961" s="121">
        <v>0.67</v>
      </c>
      <c r="S961" s="122">
        <f>IFERROR(__xludf.DUMMYFUNCTION("((IFERROR(MIN(FILTER({K961, N961, Q961}, ISNUMBER({K961, N961, Q961}), {K961, N961, Q961} &gt; 0)), """"))*R961)+IFERROR(MIN(FILTER({K961, N961, Q961}, ISNUMBER({K961, N961, Q961}), {K961, N961, Q961} &gt; 0)), """")"),0.0)</f>
        <v>0</v>
      </c>
      <c r="T961" s="123" t="str">
        <f t="shared" si="1"/>
        <v>#DIV/0!</v>
      </c>
    </row>
    <row r="962">
      <c r="A962" s="113"/>
      <c r="B962" s="113"/>
      <c r="C962" s="113"/>
      <c r="D962" s="114"/>
      <c r="E962" s="113"/>
      <c r="F962" s="113"/>
      <c r="G962" s="115"/>
      <c r="H962" s="116"/>
      <c r="I962" s="117" t="s">
        <v>261</v>
      </c>
      <c r="J962" s="117" t="s">
        <v>261</v>
      </c>
      <c r="K962" s="118"/>
      <c r="L962" s="119"/>
      <c r="M962" s="119"/>
      <c r="N962" s="120"/>
      <c r="O962" s="118"/>
      <c r="P962" s="118"/>
      <c r="Q962" s="118"/>
      <c r="R962" s="121">
        <v>0.67</v>
      </c>
      <c r="S962" s="122">
        <f>IFERROR(__xludf.DUMMYFUNCTION("((IFERROR(MIN(FILTER({K962, N962, Q962}, ISNUMBER({K962, N962, Q962}), {K962, N962, Q962} &gt; 0)), """"))*R962)+IFERROR(MIN(FILTER({K962, N962, Q962}, ISNUMBER({K962, N962, Q962}), {K962, N962, Q962} &gt; 0)), """")"),0.0)</f>
        <v>0</v>
      </c>
      <c r="T962" s="123" t="str">
        <f t="shared" si="1"/>
        <v>#DIV/0!</v>
      </c>
    </row>
    <row r="963">
      <c r="A963" s="113"/>
      <c r="B963" s="113"/>
      <c r="C963" s="113"/>
      <c r="D963" s="114"/>
      <c r="E963" s="113"/>
      <c r="F963" s="113"/>
      <c r="G963" s="115"/>
      <c r="H963" s="116"/>
      <c r="I963" s="117" t="s">
        <v>261</v>
      </c>
      <c r="J963" s="117" t="s">
        <v>261</v>
      </c>
      <c r="K963" s="118"/>
      <c r="L963" s="119"/>
      <c r="M963" s="119"/>
      <c r="N963" s="120"/>
      <c r="O963" s="118"/>
      <c r="P963" s="118"/>
      <c r="Q963" s="118"/>
      <c r="R963" s="121">
        <v>0.67</v>
      </c>
      <c r="S963" s="122">
        <f>IFERROR(__xludf.DUMMYFUNCTION("((IFERROR(MIN(FILTER({K963, N963, Q963}, ISNUMBER({K963, N963, Q963}), {K963, N963, Q963} &gt; 0)), """"))*R963)+IFERROR(MIN(FILTER({K963, N963, Q963}, ISNUMBER({K963, N963, Q963}), {K963, N963, Q963} &gt; 0)), """")"),0.0)</f>
        <v>0</v>
      </c>
      <c r="T963" s="123" t="str">
        <f t="shared" si="1"/>
        <v>#DIV/0!</v>
      </c>
    </row>
    <row r="964">
      <c r="A964" s="113"/>
      <c r="B964" s="113"/>
      <c r="C964" s="113"/>
      <c r="D964" s="114"/>
      <c r="E964" s="113"/>
      <c r="F964" s="113"/>
      <c r="G964" s="115"/>
      <c r="H964" s="116"/>
      <c r="I964" s="117" t="s">
        <v>261</v>
      </c>
      <c r="J964" s="117" t="s">
        <v>261</v>
      </c>
      <c r="K964" s="118"/>
      <c r="L964" s="119"/>
      <c r="M964" s="119"/>
      <c r="N964" s="120"/>
      <c r="O964" s="118"/>
      <c r="P964" s="118"/>
      <c r="Q964" s="118"/>
      <c r="R964" s="121">
        <v>0.67</v>
      </c>
      <c r="S964" s="122">
        <f>IFERROR(__xludf.DUMMYFUNCTION("((IFERROR(MIN(FILTER({K964, N964, Q964}, ISNUMBER({K964, N964, Q964}), {K964, N964, Q964} &gt; 0)), """"))*R964)+IFERROR(MIN(FILTER({K964, N964, Q964}, ISNUMBER({K964, N964, Q964}), {K964, N964, Q964} &gt; 0)), """")"),0.0)</f>
        <v>0</v>
      </c>
      <c r="T964" s="123" t="str">
        <f t="shared" si="1"/>
        <v>#DIV/0!</v>
      </c>
    </row>
    <row r="965">
      <c r="A965" s="113"/>
      <c r="B965" s="113"/>
      <c r="C965" s="113"/>
      <c r="D965" s="114"/>
      <c r="E965" s="113"/>
      <c r="F965" s="113"/>
      <c r="G965" s="115"/>
      <c r="H965" s="116"/>
      <c r="I965" s="117" t="s">
        <v>261</v>
      </c>
      <c r="J965" s="117" t="s">
        <v>261</v>
      </c>
      <c r="K965" s="118"/>
      <c r="L965" s="119"/>
      <c r="M965" s="119"/>
      <c r="N965" s="120"/>
      <c r="O965" s="118"/>
      <c r="P965" s="118"/>
      <c r="Q965" s="118"/>
      <c r="R965" s="121">
        <v>0.67</v>
      </c>
      <c r="S965" s="122">
        <f>IFERROR(__xludf.DUMMYFUNCTION("((IFERROR(MIN(FILTER({K965, N965, Q965}, ISNUMBER({K965, N965, Q965}), {K965, N965, Q965} &gt; 0)), """"))*R965)+IFERROR(MIN(FILTER({K965, N965, Q965}, ISNUMBER({K965, N965, Q965}), {K965, N965, Q965} &gt; 0)), """")"),0.0)</f>
        <v>0</v>
      </c>
      <c r="T965" s="123" t="str">
        <f t="shared" si="1"/>
        <v>#DIV/0!</v>
      </c>
    </row>
  </sheetData>
  <mergeCells count="8">
    <mergeCell ref="A1:B4"/>
    <mergeCell ref="C1:H4"/>
    <mergeCell ref="I1:Q2"/>
    <mergeCell ref="R1:T2"/>
    <mergeCell ref="I3:K4"/>
    <mergeCell ref="L3:N4"/>
    <mergeCell ref="O3:Q4"/>
    <mergeCell ref="R3:T4"/>
  </mergeCells>
  <dataValidations>
    <dataValidation type="list" allowBlank="1" showErrorMessage="1" sqref="G67:G364">
      <formula1>"RTU,Sablon,Custom"</formula1>
    </dataValidation>
    <dataValidation type="custom" allowBlank="1" showDropDown="1" sqref="N6:N369">
      <formula1>AND(ISNUMBER(N6),(NOT(OR(NOT(ISERROR(DATEVALUE(N6))), AND(ISNUMBER(N6), LEFT(CELL("format", N6))="D")))))</formula1>
    </dataValidation>
    <dataValidation type="list" allowBlank="1" sqref="E6:E369">
      <formula1>"0/0,1/0,2/0,3/0,4/0"</formula1>
    </dataValidation>
    <dataValidation type="list" allowBlank="1" showErrorMessage="1" sqref="G6:G66">
      <formula1>"RTU,Sablon,Custom"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min="1" max="1" width="17.63"/>
    <col customWidth="1" min="2" max="2" width="16.0"/>
    <col customWidth="1" min="3" max="3" width="15.0"/>
    <col customWidth="1" min="6" max="6" width="16.75"/>
    <col hidden="1" min="18" max="18" width="12.63"/>
  </cols>
  <sheetData>
    <row r="1">
      <c r="A1" s="1"/>
      <c r="C1" s="2" t="s">
        <v>1</v>
      </c>
      <c r="I1" s="3" t="s">
        <v>2</v>
      </c>
      <c r="R1" s="4" t="s">
        <v>4</v>
      </c>
    </row>
    <row r="3">
      <c r="I3" s="6" t="s">
        <v>7</v>
      </c>
      <c r="J3" s="7"/>
      <c r="K3" s="8"/>
      <c r="L3" s="9" t="s">
        <v>8</v>
      </c>
      <c r="M3" s="7"/>
      <c r="N3" s="8"/>
      <c r="O3" s="6" t="s">
        <v>9</v>
      </c>
      <c r="P3" s="7"/>
      <c r="Q3" s="8"/>
      <c r="R3" s="10" t="s">
        <v>10</v>
      </c>
      <c r="S3" s="7"/>
      <c r="T3" s="8"/>
    </row>
    <row r="4">
      <c r="I4" s="11"/>
      <c r="J4" s="11"/>
      <c r="K4" s="12"/>
      <c r="L4" s="11"/>
      <c r="M4" s="11"/>
      <c r="N4" s="12"/>
      <c r="O4" s="11"/>
      <c r="P4" s="11"/>
      <c r="Q4" s="12"/>
      <c r="R4" s="11"/>
      <c r="S4" s="11"/>
      <c r="T4" s="12"/>
    </row>
    <row r="5" ht="22.5" customHeight="1">
      <c r="A5" s="15" t="s">
        <v>11</v>
      </c>
      <c r="B5" s="19" t="s">
        <v>13</v>
      </c>
      <c r="C5" s="21" t="s">
        <v>14</v>
      </c>
      <c r="D5" s="21" t="s">
        <v>15</v>
      </c>
      <c r="E5" s="21" t="s">
        <v>16</v>
      </c>
      <c r="F5" s="19" t="s">
        <v>18</v>
      </c>
      <c r="G5" s="21" t="s">
        <v>19</v>
      </c>
      <c r="H5" s="21" t="s">
        <v>20</v>
      </c>
      <c r="I5" s="24" t="s">
        <v>21</v>
      </c>
      <c r="J5" s="24" t="s">
        <v>22</v>
      </c>
      <c r="K5" s="24" t="s">
        <v>23</v>
      </c>
      <c r="L5" s="27" t="s">
        <v>24</v>
      </c>
      <c r="M5" s="27" t="s">
        <v>25</v>
      </c>
      <c r="N5" s="27" t="s">
        <v>26</v>
      </c>
      <c r="O5" s="24" t="s">
        <v>27</v>
      </c>
      <c r="P5" s="24" t="s">
        <v>28</v>
      </c>
      <c r="Q5" s="24" t="s">
        <v>29</v>
      </c>
      <c r="R5" s="32" t="s">
        <v>30</v>
      </c>
      <c r="S5" s="27" t="s">
        <v>10</v>
      </c>
      <c r="T5" s="32" t="s">
        <v>31</v>
      </c>
    </row>
    <row r="6" ht="22.5" customHeight="1">
      <c r="A6" s="34" t="s">
        <v>38</v>
      </c>
      <c r="B6" s="34" t="s">
        <v>39</v>
      </c>
      <c r="C6" s="37" t="s">
        <v>42</v>
      </c>
      <c r="D6" s="38" t="s">
        <v>45</v>
      </c>
      <c r="E6" s="40" t="s">
        <v>46</v>
      </c>
      <c r="F6" s="34" t="s">
        <v>47</v>
      </c>
      <c r="G6" s="43" t="s">
        <v>41</v>
      </c>
      <c r="H6" s="34" t="s">
        <v>49</v>
      </c>
      <c r="I6" s="39">
        <v>2000.0</v>
      </c>
      <c r="J6" s="39">
        <v>2000.0</v>
      </c>
      <c r="K6" s="41"/>
      <c r="L6" s="42">
        <v>2000.0</v>
      </c>
      <c r="M6" s="42">
        <v>2000.0</v>
      </c>
      <c r="N6" s="42"/>
      <c r="O6" s="39">
        <v>2000.0</v>
      </c>
      <c r="P6" s="39">
        <v>2000.0</v>
      </c>
      <c r="Q6" s="39">
        <v>920.0</v>
      </c>
      <c r="R6" s="46">
        <v>0.67</v>
      </c>
      <c r="S6" s="50">
        <f>IFERROR(__xludf.DUMMYFUNCTION("((IFERROR(MIN(FILTER({K6, N6, Q6}, ISNUMBER({K6, N6, Q6}), {K6, N6, Q6} &gt; 0)), """"))*R6)+IFERROR(MIN(FILTER({K6, N6, Q6}, ISNUMBER({K6, N6, Q6}), {K6, N6, Q6} &gt; 0)), """")"),1536.4)</f>
        <v>1536.4</v>
      </c>
      <c r="T6" s="53">
        <f>IFERROR(__xludf.DUMMYFUNCTION("(S6-(IFERROR(MIN(FILTER({K6, N6, Q6}, ISNUMBER({K6, N6, Q6}), {K6, N6, Q6} &gt; 0)), """")))/S6"),0.4011976047904192)</f>
        <v>0.4011976048</v>
      </c>
    </row>
    <row r="7" ht="22.5" customHeight="1">
      <c r="A7" s="34" t="s">
        <v>60</v>
      </c>
      <c r="B7" s="34" t="s">
        <v>39</v>
      </c>
      <c r="C7" s="37" t="s">
        <v>61</v>
      </c>
      <c r="D7" s="38" t="s">
        <v>62</v>
      </c>
      <c r="E7" s="40" t="s">
        <v>63</v>
      </c>
      <c r="F7" s="34"/>
      <c r="G7" s="43" t="s">
        <v>41</v>
      </c>
      <c r="H7" s="34" t="s">
        <v>49</v>
      </c>
      <c r="I7" s="39">
        <v>2000.0</v>
      </c>
      <c r="J7" s="39">
        <v>2000.0</v>
      </c>
      <c r="K7" s="41"/>
      <c r="L7" s="42">
        <v>2000.0</v>
      </c>
      <c r="M7" s="42">
        <v>2000.0</v>
      </c>
      <c r="N7" s="42">
        <v>1094.0</v>
      </c>
      <c r="O7" s="39">
        <v>2000.0</v>
      </c>
      <c r="P7" s="39">
        <v>2000.0</v>
      </c>
      <c r="Q7" s="39"/>
      <c r="R7" s="46">
        <v>0.67</v>
      </c>
      <c r="S7" s="50">
        <f>IFERROR(__xludf.DUMMYFUNCTION("((IFERROR(MIN(FILTER({K7, N7, Q7}, ISNUMBER({K7, N7, Q7}), {K7, N7, Q7} &gt; 0)), """"))*R7)+IFERROR(MIN(FILTER({K7, N7, Q7}, ISNUMBER({K7, N7, Q7}), {K7, N7, Q7} &gt; 0)), """")"),1826.98)</f>
        <v>1826.98</v>
      </c>
      <c r="T7" s="53">
        <f>IFERROR(__xludf.DUMMYFUNCTION("(S7-(IFERROR(MIN(FILTER({K7, N7, Q7}, ISNUMBER({K7, N7, Q7}), {K7, N7, Q7} &gt; 0)), """")))/S7"),0.40119760479041916)</f>
        <v>0.4011976048</v>
      </c>
    </row>
    <row r="8" ht="22.5" customHeight="1">
      <c r="A8" s="34" t="s">
        <v>38</v>
      </c>
      <c r="B8" s="34" t="s">
        <v>39</v>
      </c>
      <c r="C8" s="37" t="s">
        <v>42</v>
      </c>
      <c r="D8" s="38" t="s">
        <v>45</v>
      </c>
      <c r="E8" s="40" t="s">
        <v>46</v>
      </c>
      <c r="F8" s="34" t="s">
        <v>47</v>
      </c>
      <c r="G8" s="43" t="s">
        <v>41</v>
      </c>
      <c r="H8" s="34" t="s">
        <v>49</v>
      </c>
      <c r="I8" s="39">
        <v>2000.0</v>
      </c>
      <c r="J8" s="39">
        <v>2000.0</v>
      </c>
      <c r="K8" s="41"/>
      <c r="L8" s="42">
        <v>2000.0</v>
      </c>
      <c r="M8" s="42">
        <v>2000.0</v>
      </c>
      <c r="N8" s="42"/>
      <c r="O8" s="39">
        <v>2000.0</v>
      </c>
      <c r="P8" s="39">
        <v>2000.0</v>
      </c>
      <c r="Q8" s="39">
        <v>920.0</v>
      </c>
      <c r="R8" s="46">
        <v>0.67</v>
      </c>
      <c r="S8" s="50">
        <f>IFERROR(__xludf.DUMMYFUNCTION("((IFERROR(MIN(FILTER({K8, N8, Q8}, ISNUMBER({K8, N8, Q8}), {K8, N8, Q8} &gt; 0)), """"))*R8)+IFERROR(MIN(FILTER({K8, N8, Q8}, ISNUMBER({K8, N8, Q8}), {K8, N8, Q8} &gt; 0)), """")"),1536.4)</f>
        <v>1536.4</v>
      </c>
      <c r="T8" s="53">
        <f>IFERROR(__xludf.DUMMYFUNCTION("(S8-(IFERROR(MIN(FILTER({K8, N8, Q8}, ISNUMBER({K8, N8, Q8}), {K8, N8, Q8} &gt; 0)), """")))/S8"),0.4011976047904192)</f>
        <v>0.4011976048</v>
      </c>
    </row>
    <row r="9" ht="22.5" customHeight="1">
      <c r="A9" s="34" t="s">
        <v>60</v>
      </c>
      <c r="B9" s="34" t="s">
        <v>39</v>
      </c>
      <c r="C9" s="37" t="s">
        <v>61</v>
      </c>
      <c r="D9" s="38" t="s">
        <v>62</v>
      </c>
      <c r="E9" s="40" t="s">
        <v>63</v>
      </c>
      <c r="F9" s="34"/>
      <c r="G9" s="43" t="s">
        <v>41</v>
      </c>
      <c r="H9" s="34" t="s">
        <v>49</v>
      </c>
      <c r="I9" s="39">
        <v>1000.0</v>
      </c>
      <c r="J9" s="39">
        <v>1000.0</v>
      </c>
      <c r="K9" s="41"/>
      <c r="L9" s="42">
        <v>1000.0</v>
      </c>
      <c r="M9" s="42">
        <v>1000.0</v>
      </c>
      <c r="N9" s="42">
        <v>1094.0</v>
      </c>
      <c r="O9" s="39">
        <v>1000.0</v>
      </c>
      <c r="P9" s="39">
        <v>1000.0</v>
      </c>
      <c r="Q9" s="39"/>
      <c r="R9" s="46">
        <v>0.67</v>
      </c>
      <c r="S9" s="50">
        <f>IFERROR(__xludf.DUMMYFUNCTION("((IFERROR(MIN(FILTER({K9, N9, Q9}, ISNUMBER({K9, N9, Q9}), {K9, N9, Q9} &gt; 0)), """"))*R9)+IFERROR(MIN(FILTER({K9, N9, Q9}, ISNUMBER({K9, N9, Q9}), {K9, N9, Q9} &gt; 0)), """")"),1826.98)</f>
        <v>1826.98</v>
      </c>
      <c r="T9" s="53">
        <f>IFERROR(__xludf.DUMMYFUNCTION("(S9-(IFERROR(MIN(FILTER({K9, N9, Q9}, ISNUMBER({K9, N9, Q9}), {K9, N9, Q9} &gt; 0)), """")))/S9"),0.40119760479041916)</f>
        <v>0.4011976048</v>
      </c>
    </row>
    <row r="10" ht="22.5" customHeight="1">
      <c r="E10" s="65"/>
    </row>
    <row r="11" ht="22.5" customHeight="1">
      <c r="E11" s="65"/>
    </row>
    <row r="12" ht="22.5" customHeight="1">
      <c r="E12" s="65"/>
    </row>
    <row r="13" ht="22.5" customHeight="1">
      <c r="E13" s="65"/>
    </row>
    <row r="14" ht="22.5" customHeight="1">
      <c r="E14" s="65"/>
    </row>
    <row r="15" ht="22.5" customHeight="1">
      <c r="E15" s="65"/>
    </row>
    <row r="16" ht="22.5" customHeight="1">
      <c r="E16" s="65"/>
    </row>
    <row r="17" ht="22.5" customHeight="1">
      <c r="E17" s="65"/>
    </row>
    <row r="18" ht="22.5" customHeight="1">
      <c r="E18" s="65"/>
    </row>
    <row r="19" ht="22.5" customHeight="1">
      <c r="E19" s="65"/>
    </row>
    <row r="20" ht="22.5" customHeight="1">
      <c r="E20" s="65"/>
    </row>
    <row r="21" ht="22.5" customHeight="1">
      <c r="E21" s="65"/>
    </row>
    <row r="22" ht="22.5" customHeight="1">
      <c r="E22" s="65"/>
    </row>
    <row r="23" ht="22.5" customHeight="1">
      <c r="E23" s="65"/>
    </row>
    <row r="24" ht="22.5" customHeight="1">
      <c r="E24" s="65"/>
    </row>
    <row r="25" ht="22.5" customHeight="1">
      <c r="E25" s="65"/>
    </row>
    <row r="26" ht="22.5" customHeight="1">
      <c r="E26" s="65"/>
    </row>
    <row r="27" ht="22.5" customHeight="1">
      <c r="E27" s="65"/>
    </row>
    <row r="28" ht="22.5" customHeight="1">
      <c r="E28" s="65"/>
    </row>
    <row r="29" ht="22.5" customHeight="1">
      <c r="E29" s="65"/>
    </row>
    <row r="30" ht="22.5" customHeight="1">
      <c r="E30" s="65"/>
    </row>
    <row r="31" ht="22.5" customHeight="1">
      <c r="E31" s="65"/>
    </row>
    <row r="32" ht="22.5" customHeight="1">
      <c r="E32" s="65"/>
    </row>
    <row r="33" ht="22.5" customHeight="1">
      <c r="E33" s="65"/>
    </row>
    <row r="34" ht="22.5" customHeight="1">
      <c r="E34" s="65"/>
    </row>
    <row r="35" ht="22.5" customHeight="1">
      <c r="E35" s="65"/>
    </row>
    <row r="36" ht="22.5" customHeight="1">
      <c r="E36" s="65"/>
    </row>
    <row r="37" ht="22.5" customHeight="1">
      <c r="E37" s="65"/>
    </row>
    <row r="38" ht="22.5" customHeight="1">
      <c r="E38" s="65"/>
    </row>
    <row r="39" ht="22.5" customHeight="1">
      <c r="E39" s="65"/>
    </row>
    <row r="40" ht="22.5" customHeight="1">
      <c r="E40" s="65"/>
    </row>
    <row r="41" ht="22.5" customHeight="1">
      <c r="E41" s="65"/>
    </row>
    <row r="42" ht="22.5" customHeight="1">
      <c r="E42" s="65"/>
    </row>
    <row r="43" ht="22.5" customHeight="1">
      <c r="E43" s="65"/>
    </row>
    <row r="44" ht="22.5" customHeight="1">
      <c r="E44" s="65"/>
    </row>
    <row r="45" ht="22.5" customHeight="1">
      <c r="E45" s="65"/>
    </row>
    <row r="46" ht="22.5" customHeight="1">
      <c r="E46" s="65"/>
    </row>
    <row r="47" ht="22.5" customHeight="1">
      <c r="E47" s="65"/>
    </row>
    <row r="48" ht="22.5" customHeight="1">
      <c r="E48" s="65"/>
    </row>
    <row r="49" ht="22.5" customHeight="1">
      <c r="E49" s="65"/>
    </row>
    <row r="50" ht="22.5" customHeight="1">
      <c r="E50" s="65"/>
    </row>
    <row r="51" ht="22.5" customHeight="1">
      <c r="E51" s="65"/>
    </row>
    <row r="52" ht="22.5" customHeight="1">
      <c r="E52" s="65"/>
    </row>
    <row r="53" ht="22.5" customHeight="1">
      <c r="E53" s="65"/>
    </row>
    <row r="54" ht="22.5" customHeight="1">
      <c r="E54" s="65"/>
    </row>
    <row r="55" ht="22.5" customHeight="1">
      <c r="E55" s="65"/>
    </row>
    <row r="56" ht="22.5" customHeight="1">
      <c r="E56" s="65"/>
    </row>
    <row r="57" ht="22.5" customHeight="1">
      <c r="E57" s="65"/>
    </row>
    <row r="58" ht="22.5" customHeight="1">
      <c r="E58" s="65"/>
    </row>
    <row r="59" ht="22.5" customHeight="1">
      <c r="E59" s="65"/>
    </row>
    <row r="60" ht="22.5" customHeight="1">
      <c r="E60" s="65"/>
    </row>
    <row r="61" ht="22.5" customHeight="1">
      <c r="E61" s="65"/>
    </row>
    <row r="62" ht="22.5" customHeight="1">
      <c r="E62" s="65"/>
    </row>
    <row r="63" ht="22.5" customHeight="1">
      <c r="E63" s="65"/>
    </row>
    <row r="64" ht="22.5" customHeight="1">
      <c r="E64" s="65"/>
    </row>
    <row r="65" ht="22.5" customHeight="1">
      <c r="E65" s="65"/>
    </row>
    <row r="66" ht="22.5" customHeight="1">
      <c r="E66" s="65"/>
    </row>
    <row r="67" ht="22.5" customHeight="1">
      <c r="E67" s="65"/>
    </row>
    <row r="68" ht="22.5" customHeight="1">
      <c r="E68" s="65"/>
    </row>
    <row r="69" ht="22.5" customHeight="1">
      <c r="E69" s="65"/>
    </row>
    <row r="70" ht="22.5" customHeight="1">
      <c r="E70" s="65"/>
    </row>
    <row r="71" ht="22.5" customHeight="1">
      <c r="E71" s="65"/>
    </row>
    <row r="72" ht="22.5" customHeight="1">
      <c r="E72" s="65"/>
    </row>
    <row r="73" ht="22.5" customHeight="1">
      <c r="E73" s="65"/>
    </row>
    <row r="74" ht="22.5" customHeight="1">
      <c r="E74" s="65"/>
    </row>
    <row r="75" ht="22.5" customHeight="1">
      <c r="E75" s="65"/>
    </row>
    <row r="76" ht="22.5" customHeight="1">
      <c r="E76" s="65"/>
    </row>
    <row r="77" ht="22.5" customHeight="1">
      <c r="E77" s="65"/>
    </row>
    <row r="78" ht="22.5" customHeight="1">
      <c r="E78" s="65"/>
    </row>
    <row r="79" ht="22.5" customHeight="1">
      <c r="E79" s="65"/>
    </row>
    <row r="80" ht="22.5" customHeight="1">
      <c r="E80" s="65"/>
    </row>
    <row r="81" ht="22.5" customHeight="1">
      <c r="E81" s="65"/>
    </row>
    <row r="82" ht="22.5" customHeight="1">
      <c r="E82" s="65"/>
    </row>
    <row r="83" ht="22.5" customHeight="1">
      <c r="E83" s="65"/>
    </row>
    <row r="84" ht="22.5" customHeight="1">
      <c r="E84" s="65"/>
    </row>
    <row r="85" ht="22.5" customHeight="1">
      <c r="E85" s="65"/>
    </row>
    <row r="86" ht="22.5" customHeight="1">
      <c r="E86" s="65"/>
    </row>
    <row r="87" ht="22.5" customHeight="1">
      <c r="E87" s="65"/>
    </row>
    <row r="88" ht="22.5" customHeight="1">
      <c r="E88" s="65"/>
    </row>
    <row r="89" ht="22.5" customHeight="1">
      <c r="E89" s="65"/>
    </row>
    <row r="90" ht="22.5" customHeight="1">
      <c r="E90" s="65"/>
    </row>
    <row r="91" ht="22.5" customHeight="1">
      <c r="E91" s="65"/>
    </row>
    <row r="92" ht="22.5" customHeight="1">
      <c r="E92" s="65"/>
    </row>
    <row r="93" ht="22.5" customHeight="1">
      <c r="E93" s="65"/>
    </row>
    <row r="94" ht="22.5" customHeight="1">
      <c r="E94" s="65"/>
    </row>
    <row r="95" ht="22.5" customHeight="1">
      <c r="E95" s="65"/>
    </row>
    <row r="96" ht="22.5" customHeight="1">
      <c r="E96" s="65"/>
    </row>
    <row r="97" ht="22.5" customHeight="1">
      <c r="E97" s="65"/>
    </row>
    <row r="98" ht="22.5" customHeight="1">
      <c r="E98" s="65"/>
    </row>
    <row r="99" ht="22.5" customHeight="1">
      <c r="E99" s="65"/>
    </row>
    <row r="100" ht="22.5" customHeight="1">
      <c r="E100" s="65"/>
    </row>
    <row r="101" ht="22.5" customHeight="1">
      <c r="E101" s="65"/>
    </row>
    <row r="102" ht="22.5" customHeight="1">
      <c r="E102" s="65"/>
    </row>
    <row r="103" ht="22.5" customHeight="1">
      <c r="E103" s="65"/>
    </row>
    <row r="104" ht="22.5" customHeight="1">
      <c r="E104" s="65"/>
    </row>
    <row r="105" ht="22.5" customHeight="1">
      <c r="E105" s="65"/>
    </row>
    <row r="106" ht="22.5" customHeight="1">
      <c r="E106" s="65"/>
    </row>
    <row r="107" ht="22.5" customHeight="1">
      <c r="E107" s="65"/>
    </row>
    <row r="108" ht="22.5" customHeight="1">
      <c r="E108" s="65"/>
    </row>
    <row r="109" ht="22.5" customHeight="1">
      <c r="E109" s="65"/>
    </row>
    <row r="110" ht="22.5" customHeight="1">
      <c r="E110" s="65"/>
    </row>
    <row r="111" ht="22.5" customHeight="1">
      <c r="E111" s="65"/>
    </row>
    <row r="112" ht="22.5" customHeight="1">
      <c r="E112" s="65"/>
    </row>
    <row r="113" ht="22.5" customHeight="1">
      <c r="E113" s="65"/>
    </row>
    <row r="114" ht="22.5" customHeight="1">
      <c r="E114" s="65"/>
    </row>
    <row r="115" ht="22.5" customHeight="1">
      <c r="E115" s="65"/>
    </row>
    <row r="116" ht="22.5" customHeight="1">
      <c r="E116" s="65"/>
    </row>
    <row r="117" ht="22.5" customHeight="1">
      <c r="E117" s="65"/>
    </row>
    <row r="118" ht="22.5" customHeight="1">
      <c r="E118" s="65"/>
    </row>
    <row r="119" ht="22.5" customHeight="1">
      <c r="E119" s="65"/>
    </row>
    <row r="120" ht="22.5" customHeight="1">
      <c r="E120" s="65"/>
    </row>
    <row r="121" ht="22.5" customHeight="1">
      <c r="E121" s="65"/>
    </row>
    <row r="122" ht="22.5" customHeight="1">
      <c r="E122" s="65"/>
    </row>
    <row r="123" ht="22.5" customHeight="1">
      <c r="E123" s="65"/>
    </row>
    <row r="124" ht="22.5" customHeight="1">
      <c r="E124" s="65"/>
    </row>
    <row r="125" ht="22.5" customHeight="1">
      <c r="E125" s="65"/>
    </row>
    <row r="126" ht="22.5" customHeight="1">
      <c r="E126" s="65"/>
    </row>
    <row r="127" ht="22.5" customHeight="1">
      <c r="E127" s="65"/>
    </row>
    <row r="128" ht="22.5" customHeight="1">
      <c r="E128" s="65"/>
    </row>
    <row r="129" ht="22.5" customHeight="1">
      <c r="E129" s="65"/>
    </row>
    <row r="130" ht="22.5" customHeight="1">
      <c r="E130" s="65"/>
    </row>
    <row r="131" ht="22.5" customHeight="1">
      <c r="E131" s="65"/>
    </row>
    <row r="132" ht="22.5" customHeight="1">
      <c r="E132" s="65"/>
    </row>
    <row r="133" ht="22.5" customHeight="1">
      <c r="E133" s="65"/>
    </row>
    <row r="134" ht="22.5" customHeight="1">
      <c r="E134" s="65"/>
    </row>
    <row r="135" ht="22.5" customHeight="1">
      <c r="E135" s="65"/>
    </row>
    <row r="136" ht="22.5" customHeight="1">
      <c r="E136" s="65"/>
    </row>
    <row r="137" ht="22.5" customHeight="1">
      <c r="E137" s="65"/>
    </row>
    <row r="138" ht="22.5" customHeight="1">
      <c r="E138" s="65"/>
    </row>
    <row r="139" ht="22.5" customHeight="1">
      <c r="E139" s="65"/>
    </row>
    <row r="140" ht="22.5" customHeight="1">
      <c r="E140" s="65"/>
    </row>
    <row r="141" ht="22.5" customHeight="1">
      <c r="E141" s="65"/>
    </row>
    <row r="142" ht="22.5" customHeight="1">
      <c r="E142" s="65"/>
    </row>
    <row r="143" ht="22.5" customHeight="1">
      <c r="E143" s="65"/>
    </row>
    <row r="144" ht="22.5" customHeight="1">
      <c r="E144" s="65"/>
    </row>
    <row r="145" ht="22.5" customHeight="1">
      <c r="E145" s="65"/>
    </row>
    <row r="146" ht="22.5" customHeight="1">
      <c r="E146" s="65"/>
    </row>
    <row r="147" ht="22.5" customHeight="1">
      <c r="E147" s="65"/>
    </row>
    <row r="148" ht="22.5" customHeight="1">
      <c r="E148" s="65"/>
    </row>
    <row r="149" ht="22.5" customHeight="1">
      <c r="E149" s="65"/>
    </row>
    <row r="150" ht="22.5" customHeight="1">
      <c r="E150" s="65"/>
    </row>
    <row r="151" ht="22.5" customHeight="1">
      <c r="E151" s="65"/>
    </row>
    <row r="152" ht="22.5" customHeight="1">
      <c r="E152" s="65"/>
    </row>
    <row r="153" ht="22.5" customHeight="1">
      <c r="E153" s="65"/>
    </row>
    <row r="154" ht="22.5" customHeight="1">
      <c r="E154" s="65"/>
    </row>
    <row r="155" ht="22.5" customHeight="1">
      <c r="E155" s="65"/>
    </row>
    <row r="156" ht="22.5" customHeight="1">
      <c r="E156" s="65"/>
    </row>
    <row r="157" ht="22.5" customHeight="1">
      <c r="E157" s="65"/>
    </row>
    <row r="158" ht="22.5" customHeight="1">
      <c r="E158" s="65"/>
    </row>
    <row r="159" ht="22.5" customHeight="1">
      <c r="E159" s="65"/>
    </row>
    <row r="160" ht="22.5" customHeight="1">
      <c r="E160" s="65"/>
    </row>
    <row r="161" ht="22.5" customHeight="1">
      <c r="E161" s="65"/>
    </row>
    <row r="162" ht="22.5" customHeight="1">
      <c r="E162" s="65"/>
    </row>
    <row r="163" ht="22.5" customHeight="1">
      <c r="E163" s="65"/>
    </row>
    <row r="164" ht="22.5" customHeight="1">
      <c r="E164" s="65"/>
    </row>
    <row r="165" ht="22.5" customHeight="1">
      <c r="E165" s="65"/>
    </row>
    <row r="166" ht="22.5" customHeight="1">
      <c r="E166" s="65"/>
    </row>
    <row r="167" ht="22.5" customHeight="1">
      <c r="E167" s="65"/>
    </row>
    <row r="168" ht="22.5" customHeight="1">
      <c r="E168" s="65"/>
    </row>
    <row r="169" ht="22.5" customHeight="1">
      <c r="E169" s="65"/>
    </row>
    <row r="170" ht="22.5" customHeight="1">
      <c r="E170" s="65"/>
    </row>
    <row r="171" ht="22.5" customHeight="1">
      <c r="E171" s="65"/>
    </row>
    <row r="172" ht="22.5" customHeight="1">
      <c r="E172" s="65"/>
    </row>
    <row r="173" ht="22.5" customHeight="1">
      <c r="E173" s="65"/>
    </row>
    <row r="174" ht="22.5" customHeight="1">
      <c r="E174" s="65"/>
    </row>
    <row r="175" ht="22.5" customHeight="1">
      <c r="E175" s="65"/>
    </row>
    <row r="176" ht="22.5" customHeight="1">
      <c r="E176" s="65"/>
    </row>
    <row r="177" ht="22.5" customHeight="1">
      <c r="E177" s="65"/>
    </row>
    <row r="178" ht="22.5" customHeight="1">
      <c r="E178" s="65"/>
    </row>
    <row r="179" ht="22.5" customHeight="1">
      <c r="E179" s="65"/>
    </row>
    <row r="180" ht="22.5" customHeight="1">
      <c r="E180" s="65"/>
    </row>
    <row r="181" ht="22.5" customHeight="1">
      <c r="E181" s="65"/>
    </row>
    <row r="182" ht="22.5" customHeight="1">
      <c r="E182" s="65"/>
    </row>
    <row r="183" ht="22.5" customHeight="1">
      <c r="E183" s="65"/>
    </row>
    <row r="184" ht="22.5" customHeight="1">
      <c r="E184" s="65"/>
    </row>
    <row r="185" ht="22.5" customHeight="1">
      <c r="E185" s="65"/>
    </row>
    <row r="186" ht="22.5" customHeight="1">
      <c r="E186" s="65"/>
    </row>
    <row r="187" ht="22.5" customHeight="1">
      <c r="E187" s="65"/>
    </row>
    <row r="188" ht="22.5" customHeight="1">
      <c r="E188" s="65"/>
    </row>
    <row r="189" ht="22.5" customHeight="1">
      <c r="E189" s="65"/>
    </row>
    <row r="190" ht="22.5" customHeight="1">
      <c r="E190" s="65"/>
    </row>
    <row r="191" ht="22.5" customHeight="1">
      <c r="E191" s="65"/>
    </row>
    <row r="192" ht="22.5" customHeight="1">
      <c r="E192" s="65"/>
    </row>
    <row r="193" ht="22.5" customHeight="1">
      <c r="E193" s="65"/>
    </row>
    <row r="194" ht="22.5" customHeight="1">
      <c r="E194" s="65"/>
    </row>
    <row r="195" ht="22.5" customHeight="1">
      <c r="E195" s="65"/>
    </row>
    <row r="196" ht="22.5" customHeight="1">
      <c r="E196" s="65"/>
    </row>
    <row r="197" ht="22.5" customHeight="1">
      <c r="E197" s="65"/>
    </row>
    <row r="198" ht="22.5" customHeight="1">
      <c r="E198" s="65"/>
    </row>
    <row r="199" ht="22.5" customHeight="1">
      <c r="E199" s="65"/>
    </row>
    <row r="200" ht="22.5" customHeight="1">
      <c r="E200" s="65"/>
    </row>
    <row r="201" ht="22.5" customHeight="1">
      <c r="E201" s="65"/>
    </row>
    <row r="202" ht="22.5" customHeight="1">
      <c r="E202" s="65"/>
    </row>
    <row r="203" ht="22.5" customHeight="1">
      <c r="E203" s="65"/>
    </row>
    <row r="204" ht="22.5" customHeight="1">
      <c r="E204" s="65"/>
    </row>
    <row r="205" ht="22.5" customHeight="1">
      <c r="E205" s="65"/>
    </row>
    <row r="206" ht="22.5" customHeight="1">
      <c r="E206" s="65"/>
    </row>
    <row r="207" ht="22.5" customHeight="1">
      <c r="E207" s="65"/>
    </row>
    <row r="208" ht="22.5" customHeight="1">
      <c r="E208" s="65"/>
    </row>
    <row r="209" ht="22.5" customHeight="1">
      <c r="E209" s="65"/>
    </row>
    <row r="210" ht="22.5" customHeight="1">
      <c r="E210" s="65"/>
    </row>
    <row r="211" ht="22.5" customHeight="1">
      <c r="E211" s="65"/>
    </row>
    <row r="212" ht="22.5" customHeight="1">
      <c r="E212" s="65"/>
    </row>
    <row r="213" ht="22.5" customHeight="1">
      <c r="E213" s="65"/>
    </row>
    <row r="214" ht="22.5" customHeight="1">
      <c r="E214" s="65"/>
    </row>
    <row r="215" ht="22.5" customHeight="1">
      <c r="E215" s="65"/>
    </row>
    <row r="216" ht="22.5" customHeight="1">
      <c r="E216" s="65"/>
    </row>
    <row r="217" ht="22.5" customHeight="1">
      <c r="E217" s="65"/>
    </row>
    <row r="218" ht="22.5" customHeight="1">
      <c r="E218" s="65"/>
    </row>
    <row r="219" ht="22.5" customHeight="1">
      <c r="E219" s="65"/>
    </row>
    <row r="220" ht="22.5" customHeight="1">
      <c r="E220" s="65"/>
    </row>
    <row r="221" ht="22.5" customHeight="1">
      <c r="E221" s="65"/>
    </row>
    <row r="222" ht="22.5" customHeight="1">
      <c r="E222" s="65"/>
    </row>
    <row r="223" ht="22.5" customHeight="1">
      <c r="E223" s="65"/>
    </row>
    <row r="224" ht="22.5" customHeight="1">
      <c r="E224" s="65"/>
    </row>
    <row r="225" ht="22.5" customHeight="1">
      <c r="E225" s="65"/>
    </row>
    <row r="226" ht="22.5" customHeight="1">
      <c r="E226" s="65"/>
    </row>
    <row r="227" ht="22.5" customHeight="1">
      <c r="E227" s="65"/>
    </row>
    <row r="228" ht="22.5" customHeight="1">
      <c r="E228" s="65"/>
    </row>
    <row r="229" ht="22.5" customHeight="1">
      <c r="E229" s="65"/>
    </row>
    <row r="230" ht="22.5" customHeight="1">
      <c r="E230" s="65"/>
    </row>
    <row r="231" ht="22.5" customHeight="1">
      <c r="E231" s="65"/>
    </row>
    <row r="232" ht="22.5" customHeight="1">
      <c r="E232" s="65"/>
    </row>
    <row r="233" ht="22.5" customHeight="1">
      <c r="E233" s="65"/>
    </row>
    <row r="234" ht="22.5" customHeight="1">
      <c r="E234" s="65"/>
    </row>
    <row r="235" ht="22.5" customHeight="1">
      <c r="E235" s="65"/>
    </row>
    <row r="236" ht="22.5" customHeight="1">
      <c r="E236" s="65"/>
    </row>
    <row r="237" ht="22.5" customHeight="1">
      <c r="E237" s="65"/>
    </row>
    <row r="238" ht="22.5" customHeight="1">
      <c r="E238" s="65"/>
    </row>
    <row r="239" ht="22.5" customHeight="1">
      <c r="E239" s="65"/>
    </row>
    <row r="240" ht="22.5" customHeight="1">
      <c r="E240" s="65"/>
    </row>
    <row r="241" ht="22.5" customHeight="1">
      <c r="E241" s="65"/>
    </row>
    <row r="242" ht="22.5" customHeight="1">
      <c r="E242" s="65"/>
    </row>
    <row r="243" ht="22.5" customHeight="1">
      <c r="E243" s="65"/>
    </row>
    <row r="244" ht="22.5" customHeight="1">
      <c r="E244" s="65"/>
    </row>
    <row r="245" ht="22.5" customHeight="1">
      <c r="E245" s="65"/>
    </row>
    <row r="246" ht="22.5" customHeight="1">
      <c r="E246" s="65"/>
    </row>
    <row r="247" ht="22.5" customHeight="1">
      <c r="E247" s="65"/>
    </row>
    <row r="248" ht="22.5" customHeight="1">
      <c r="E248" s="65"/>
    </row>
    <row r="249" ht="22.5" customHeight="1">
      <c r="E249" s="65"/>
    </row>
    <row r="250" ht="22.5" customHeight="1">
      <c r="E250" s="65"/>
    </row>
    <row r="251" ht="22.5" customHeight="1">
      <c r="E251" s="65"/>
    </row>
    <row r="252" ht="22.5" customHeight="1">
      <c r="E252" s="65"/>
    </row>
    <row r="253" ht="22.5" customHeight="1">
      <c r="E253" s="65"/>
    </row>
    <row r="254" ht="22.5" customHeight="1">
      <c r="E254" s="65"/>
    </row>
    <row r="255" ht="22.5" customHeight="1">
      <c r="E255" s="65"/>
    </row>
    <row r="256" ht="22.5" customHeight="1">
      <c r="E256" s="65"/>
    </row>
    <row r="257" ht="22.5" customHeight="1">
      <c r="E257" s="65"/>
    </row>
    <row r="258" ht="22.5" customHeight="1">
      <c r="E258" s="65"/>
    </row>
    <row r="259" ht="22.5" customHeight="1">
      <c r="E259" s="65"/>
    </row>
    <row r="260" ht="22.5" customHeight="1">
      <c r="E260" s="65"/>
    </row>
    <row r="261" ht="22.5" customHeight="1">
      <c r="E261" s="65"/>
    </row>
    <row r="262" ht="22.5" customHeight="1">
      <c r="E262" s="65"/>
    </row>
    <row r="263" ht="22.5" customHeight="1">
      <c r="E263" s="65"/>
    </row>
    <row r="264" ht="22.5" customHeight="1">
      <c r="E264" s="65"/>
    </row>
    <row r="265" ht="22.5" customHeight="1">
      <c r="E265" s="65"/>
    </row>
    <row r="266" ht="22.5" customHeight="1">
      <c r="E266" s="65"/>
    </row>
    <row r="267" ht="22.5" customHeight="1">
      <c r="E267" s="65"/>
    </row>
    <row r="268" ht="22.5" customHeight="1">
      <c r="E268" s="65"/>
    </row>
    <row r="269" ht="22.5" customHeight="1">
      <c r="E269" s="65"/>
    </row>
    <row r="270" ht="22.5" customHeight="1">
      <c r="E270" s="65"/>
    </row>
    <row r="271" ht="22.5" customHeight="1">
      <c r="E271" s="65"/>
    </row>
    <row r="272" ht="22.5" customHeight="1">
      <c r="E272" s="65"/>
    </row>
    <row r="273" ht="22.5" customHeight="1">
      <c r="E273" s="65"/>
    </row>
    <row r="274" ht="22.5" customHeight="1">
      <c r="E274" s="65"/>
    </row>
    <row r="275" ht="22.5" customHeight="1">
      <c r="E275" s="65"/>
    </row>
    <row r="276" ht="22.5" customHeight="1">
      <c r="E276" s="65"/>
    </row>
    <row r="277" ht="22.5" customHeight="1">
      <c r="E277" s="65"/>
    </row>
    <row r="278" ht="22.5" customHeight="1">
      <c r="E278" s="65"/>
    </row>
    <row r="279" ht="22.5" customHeight="1">
      <c r="E279" s="65"/>
    </row>
    <row r="280" ht="22.5" customHeight="1">
      <c r="E280" s="65"/>
    </row>
    <row r="281" ht="22.5" customHeight="1">
      <c r="E281" s="65"/>
    </row>
    <row r="282" ht="22.5" customHeight="1">
      <c r="E282" s="65"/>
    </row>
    <row r="283" ht="22.5" customHeight="1">
      <c r="E283" s="65"/>
    </row>
    <row r="284" ht="22.5" customHeight="1">
      <c r="E284" s="65"/>
    </row>
    <row r="285" ht="22.5" customHeight="1">
      <c r="E285" s="65"/>
    </row>
    <row r="286" ht="22.5" customHeight="1">
      <c r="E286" s="65"/>
    </row>
    <row r="287" ht="22.5" customHeight="1">
      <c r="E287" s="65"/>
    </row>
    <row r="288" ht="22.5" customHeight="1">
      <c r="E288" s="65"/>
    </row>
    <row r="289" ht="22.5" customHeight="1">
      <c r="E289" s="65"/>
    </row>
    <row r="290" ht="22.5" customHeight="1">
      <c r="E290" s="65"/>
    </row>
    <row r="291" ht="22.5" customHeight="1">
      <c r="E291" s="65"/>
    </row>
    <row r="292" ht="22.5" customHeight="1">
      <c r="E292" s="65"/>
    </row>
    <row r="293" ht="22.5" customHeight="1">
      <c r="E293" s="65"/>
    </row>
    <row r="294" ht="22.5" customHeight="1">
      <c r="E294" s="65"/>
    </row>
    <row r="295" ht="22.5" customHeight="1">
      <c r="E295" s="65"/>
    </row>
    <row r="296" ht="22.5" customHeight="1">
      <c r="E296" s="65"/>
    </row>
    <row r="297" ht="22.5" customHeight="1">
      <c r="E297" s="65"/>
    </row>
    <row r="298" ht="22.5" customHeight="1">
      <c r="E298" s="65"/>
    </row>
    <row r="299" ht="22.5" customHeight="1">
      <c r="E299" s="65"/>
    </row>
    <row r="300" ht="22.5" customHeight="1">
      <c r="E300" s="65"/>
    </row>
    <row r="301" ht="22.5" customHeight="1">
      <c r="E301" s="65"/>
    </row>
    <row r="302" ht="22.5" customHeight="1">
      <c r="E302" s="65"/>
    </row>
    <row r="303" ht="22.5" customHeight="1">
      <c r="E303" s="65"/>
    </row>
    <row r="304" ht="22.5" customHeight="1">
      <c r="E304" s="65"/>
    </row>
    <row r="305" ht="22.5" customHeight="1">
      <c r="E305" s="65"/>
    </row>
    <row r="306" ht="22.5" customHeight="1">
      <c r="E306" s="65"/>
    </row>
    <row r="307" ht="22.5" customHeight="1">
      <c r="E307" s="65"/>
    </row>
    <row r="308" ht="22.5" customHeight="1">
      <c r="E308" s="65"/>
    </row>
    <row r="309" ht="22.5" customHeight="1">
      <c r="E309" s="65"/>
    </row>
    <row r="310" ht="22.5" customHeight="1">
      <c r="E310" s="65"/>
    </row>
    <row r="311" ht="22.5" customHeight="1">
      <c r="E311" s="65"/>
    </row>
    <row r="312" ht="22.5" customHeight="1">
      <c r="E312" s="65"/>
    </row>
    <row r="313" ht="22.5" customHeight="1">
      <c r="E313" s="65"/>
    </row>
    <row r="314" ht="22.5" customHeight="1">
      <c r="E314" s="65"/>
    </row>
    <row r="315" ht="22.5" customHeight="1">
      <c r="E315" s="65"/>
    </row>
    <row r="316" ht="22.5" customHeight="1">
      <c r="E316" s="65"/>
    </row>
    <row r="317" ht="22.5" customHeight="1">
      <c r="E317" s="65"/>
    </row>
    <row r="318" ht="22.5" customHeight="1">
      <c r="E318" s="65"/>
    </row>
    <row r="319" ht="22.5" customHeight="1">
      <c r="E319" s="65"/>
    </row>
    <row r="320" ht="22.5" customHeight="1">
      <c r="E320" s="65"/>
    </row>
    <row r="321" ht="22.5" customHeight="1">
      <c r="E321" s="65"/>
    </row>
    <row r="322" ht="22.5" customHeight="1">
      <c r="E322" s="65"/>
    </row>
    <row r="323" ht="22.5" customHeight="1">
      <c r="E323" s="65"/>
    </row>
    <row r="324" ht="22.5" customHeight="1">
      <c r="E324" s="65"/>
    </row>
    <row r="325" ht="22.5" customHeight="1">
      <c r="E325" s="65"/>
    </row>
    <row r="326" ht="22.5" customHeight="1">
      <c r="E326" s="65"/>
    </row>
    <row r="327" ht="22.5" customHeight="1">
      <c r="E327" s="65"/>
    </row>
    <row r="328" ht="22.5" customHeight="1">
      <c r="E328" s="65"/>
    </row>
    <row r="329" ht="22.5" customHeight="1">
      <c r="E329" s="65"/>
    </row>
    <row r="330" ht="22.5" customHeight="1">
      <c r="E330" s="65"/>
    </row>
    <row r="331" ht="22.5" customHeight="1">
      <c r="E331" s="65"/>
    </row>
    <row r="332" ht="22.5" customHeight="1">
      <c r="E332" s="65"/>
    </row>
    <row r="333" ht="22.5" customHeight="1">
      <c r="E333" s="65"/>
    </row>
    <row r="334" ht="22.5" customHeight="1">
      <c r="E334" s="65"/>
    </row>
    <row r="335" ht="22.5" customHeight="1">
      <c r="E335" s="65"/>
    </row>
    <row r="336" ht="22.5" customHeight="1">
      <c r="E336" s="65"/>
    </row>
    <row r="337" ht="22.5" customHeight="1">
      <c r="E337" s="65"/>
    </row>
    <row r="338" ht="22.5" customHeight="1">
      <c r="E338" s="65"/>
    </row>
    <row r="339" ht="22.5" customHeight="1">
      <c r="E339" s="65"/>
    </row>
    <row r="340" ht="22.5" customHeight="1">
      <c r="E340" s="65"/>
    </row>
    <row r="341" ht="22.5" customHeight="1">
      <c r="E341" s="65"/>
    </row>
    <row r="342" ht="22.5" customHeight="1">
      <c r="E342" s="65"/>
    </row>
    <row r="343" ht="22.5" customHeight="1">
      <c r="E343" s="65"/>
    </row>
    <row r="344" ht="22.5" customHeight="1">
      <c r="E344" s="65"/>
    </row>
    <row r="345" ht="22.5" customHeight="1">
      <c r="E345" s="65"/>
    </row>
    <row r="346" ht="22.5" customHeight="1">
      <c r="E346" s="65"/>
    </row>
    <row r="347" ht="22.5" customHeight="1">
      <c r="E347" s="65"/>
    </row>
    <row r="348" ht="22.5" customHeight="1">
      <c r="E348" s="65"/>
    </row>
    <row r="349" ht="22.5" customHeight="1">
      <c r="E349" s="65"/>
    </row>
    <row r="350" ht="22.5" customHeight="1">
      <c r="E350" s="65"/>
    </row>
    <row r="351" ht="22.5" customHeight="1">
      <c r="E351" s="65"/>
    </row>
    <row r="352" ht="22.5" customHeight="1">
      <c r="E352" s="65"/>
    </row>
    <row r="353" ht="22.5" customHeight="1">
      <c r="E353" s="65"/>
    </row>
    <row r="354" ht="22.5" customHeight="1">
      <c r="E354" s="65"/>
    </row>
    <row r="355" ht="22.5" customHeight="1">
      <c r="E355" s="65"/>
    </row>
    <row r="356" ht="22.5" customHeight="1">
      <c r="E356" s="65"/>
    </row>
    <row r="357" ht="22.5" customHeight="1">
      <c r="E357" s="65"/>
    </row>
    <row r="358" ht="22.5" customHeight="1">
      <c r="E358" s="65"/>
    </row>
    <row r="359" ht="22.5" customHeight="1">
      <c r="E359" s="65"/>
    </row>
    <row r="360" ht="22.5" customHeight="1">
      <c r="E360" s="65"/>
    </row>
    <row r="361" ht="22.5" customHeight="1">
      <c r="E361" s="65"/>
    </row>
    <row r="362" ht="22.5" customHeight="1">
      <c r="E362" s="65"/>
    </row>
    <row r="363" ht="22.5" customHeight="1">
      <c r="E363" s="65"/>
    </row>
    <row r="364" ht="22.5" customHeight="1">
      <c r="E364" s="65"/>
    </row>
    <row r="365" ht="22.5" customHeight="1">
      <c r="E365" s="65"/>
    </row>
    <row r="366" ht="22.5" customHeight="1">
      <c r="E366" s="65"/>
    </row>
    <row r="367" ht="22.5" customHeight="1">
      <c r="E367" s="65"/>
    </row>
    <row r="368" ht="22.5" customHeight="1">
      <c r="E368" s="65"/>
    </row>
    <row r="369" ht="22.5" customHeight="1">
      <c r="E369" s="65"/>
    </row>
    <row r="370" ht="22.5" customHeight="1">
      <c r="E370" s="65"/>
    </row>
    <row r="371" ht="22.5" customHeight="1">
      <c r="E371" s="65"/>
    </row>
    <row r="372" ht="22.5" customHeight="1">
      <c r="E372" s="65"/>
    </row>
    <row r="373" ht="22.5" customHeight="1">
      <c r="E373" s="65"/>
    </row>
    <row r="374" ht="22.5" customHeight="1">
      <c r="E374" s="65"/>
    </row>
    <row r="375" ht="22.5" customHeight="1">
      <c r="E375" s="65"/>
    </row>
    <row r="376" ht="22.5" customHeight="1">
      <c r="E376" s="65"/>
    </row>
    <row r="377" ht="22.5" customHeight="1">
      <c r="E377" s="65"/>
    </row>
    <row r="378" ht="22.5" customHeight="1">
      <c r="E378" s="65"/>
    </row>
    <row r="379" ht="22.5" customHeight="1">
      <c r="E379" s="65"/>
    </row>
    <row r="380" ht="22.5" customHeight="1">
      <c r="E380" s="65"/>
    </row>
    <row r="381" ht="22.5" customHeight="1">
      <c r="E381" s="65"/>
    </row>
    <row r="382" ht="22.5" customHeight="1">
      <c r="E382" s="65"/>
    </row>
    <row r="383" ht="22.5" customHeight="1">
      <c r="E383" s="65"/>
    </row>
    <row r="384" ht="22.5" customHeight="1">
      <c r="E384" s="65"/>
    </row>
    <row r="385" ht="22.5" customHeight="1">
      <c r="E385" s="65"/>
    </row>
    <row r="386" ht="22.5" customHeight="1">
      <c r="E386" s="65"/>
    </row>
    <row r="387" ht="22.5" customHeight="1">
      <c r="E387" s="65"/>
    </row>
    <row r="388" ht="22.5" customHeight="1">
      <c r="E388" s="65"/>
    </row>
    <row r="389" ht="22.5" customHeight="1">
      <c r="E389" s="65"/>
    </row>
    <row r="390" ht="22.5" customHeight="1">
      <c r="E390" s="65"/>
    </row>
    <row r="391" ht="22.5" customHeight="1">
      <c r="E391" s="65"/>
    </row>
    <row r="392" ht="22.5" customHeight="1">
      <c r="E392" s="65"/>
    </row>
    <row r="393" ht="22.5" customHeight="1">
      <c r="E393" s="65"/>
    </row>
    <row r="394" ht="22.5" customHeight="1">
      <c r="E394" s="65"/>
    </row>
    <row r="395" ht="22.5" customHeight="1">
      <c r="E395" s="65"/>
    </row>
    <row r="396" ht="22.5" customHeight="1">
      <c r="E396" s="65"/>
    </row>
    <row r="397" ht="22.5" customHeight="1">
      <c r="E397" s="65"/>
    </row>
    <row r="398" ht="22.5" customHeight="1">
      <c r="E398" s="65"/>
    </row>
    <row r="399" ht="22.5" customHeight="1">
      <c r="E399" s="65"/>
    </row>
    <row r="400" ht="22.5" customHeight="1">
      <c r="E400" s="65"/>
    </row>
    <row r="401" ht="22.5" customHeight="1">
      <c r="E401" s="65"/>
    </row>
    <row r="402" ht="22.5" customHeight="1">
      <c r="E402" s="65"/>
    </row>
    <row r="403" ht="22.5" customHeight="1">
      <c r="E403" s="65"/>
    </row>
    <row r="404" ht="22.5" customHeight="1">
      <c r="E404" s="65"/>
    </row>
    <row r="405" ht="22.5" customHeight="1">
      <c r="E405" s="65"/>
    </row>
    <row r="406" ht="22.5" customHeight="1">
      <c r="E406" s="65"/>
    </row>
    <row r="407" ht="22.5" customHeight="1">
      <c r="E407" s="65"/>
    </row>
    <row r="408" ht="22.5" customHeight="1">
      <c r="E408" s="65"/>
    </row>
    <row r="409" ht="22.5" customHeight="1">
      <c r="E409" s="65"/>
    </row>
    <row r="410" ht="22.5" customHeight="1">
      <c r="E410" s="65"/>
    </row>
    <row r="411" ht="22.5" customHeight="1">
      <c r="E411" s="65"/>
    </row>
    <row r="412" ht="22.5" customHeight="1">
      <c r="E412" s="65"/>
    </row>
    <row r="413" ht="22.5" customHeight="1">
      <c r="E413" s="65"/>
    </row>
    <row r="414" ht="22.5" customHeight="1">
      <c r="E414" s="65"/>
    </row>
    <row r="415" ht="22.5" customHeight="1">
      <c r="E415" s="65"/>
    </row>
    <row r="416" ht="22.5" customHeight="1">
      <c r="E416" s="65"/>
    </row>
    <row r="417" ht="22.5" customHeight="1">
      <c r="E417" s="65"/>
    </row>
    <row r="418" ht="22.5" customHeight="1">
      <c r="E418" s="65"/>
    </row>
    <row r="419" ht="22.5" customHeight="1">
      <c r="E419" s="65"/>
    </row>
    <row r="420" ht="22.5" customHeight="1">
      <c r="E420" s="65"/>
    </row>
    <row r="421" ht="22.5" customHeight="1">
      <c r="E421" s="65"/>
    </row>
    <row r="422" ht="22.5" customHeight="1">
      <c r="E422" s="65"/>
    </row>
    <row r="423" ht="22.5" customHeight="1">
      <c r="E423" s="65"/>
    </row>
    <row r="424" ht="22.5" customHeight="1">
      <c r="E424" s="65"/>
    </row>
    <row r="425" ht="22.5" customHeight="1">
      <c r="E425" s="65"/>
    </row>
    <row r="426" ht="22.5" customHeight="1">
      <c r="E426" s="65"/>
    </row>
    <row r="427" ht="22.5" customHeight="1">
      <c r="E427" s="65"/>
    </row>
    <row r="428" ht="22.5" customHeight="1">
      <c r="E428" s="65"/>
    </row>
    <row r="429" ht="22.5" customHeight="1">
      <c r="E429" s="65"/>
    </row>
    <row r="430" ht="22.5" customHeight="1">
      <c r="E430" s="65"/>
    </row>
    <row r="431" ht="22.5" customHeight="1">
      <c r="E431" s="65"/>
    </row>
    <row r="432" ht="22.5" customHeight="1">
      <c r="E432" s="65"/>
    </row>
    <row r="433" ht="22.5" customHeight="1">
      <c r="E433" s="65"/>
    </row>
    <row r="434" ht="22.5" customHeight="1">
      <c r="E434" s="65"/>
    </row>
    <row r="435" ht="22.5" customHeight="1">
      <c r="E435" s="65"/>
    </row>
    <row r="436" ht="22.5" customHeight="1">
      <c r="E436" s="65"/>
    </row>
    <row r="437" ht="22.5" customHeight="1">
      <c r="E437" s="65"/>
    </row>
    <row r="438" ht="22.5" customHeight="1">
      <c r="E438" s="65"/>
    </row>
    <row r="439" ht="22.5" customHeight="1">
      <c r="E439" s="65"/>
    </row>
    <row r="440" ht="22.5" customHeight="1">
      <c r="E440" s="65"/>
    </row>
    <row r="441" ht="22.5" customHeight="1">
      <c r="E441" s="65"/>
    </row>
    <row r="442" ht="22.5" customHeight="1">
      <c r="E442" s="65"/>
    </row>
    <row r="443" ht="22.5" customHeight="1">
      <c r="E443" s="65"/>
    </row>
    <row r="444" ht="22.5" customHeight="1">
      <c r="E444" s="65"/>
    </row>
    <row r="445" ht="22.5" customHeight="1">
      <c r="E445" s="65"/>
    </row>
    <row r="446" ht="22.5" customHeight="1">
      <c r="E446" s="65"/>
    </row>
    <row r="447" ht="22.5" customHeight="1">
      <c r="E447" s="65"/>
    </row>
    <row r="448" ht="22.5" customHeight="1">
      <c r="E448" s="65"/>
    </row>
    <row r="449" ht="22.5" customHeight="1">
      <c r="E449" s="65"/>
    </row>
    <row r="450" ht="22.5" customHeight="1">
      <c r="E450" s="65"/>
    </row>
    <row r="451" ht="22.5" customHeight="1">
      <c r="E451" s="65"/>
    </row>
    <row r="452" ht="22.5" customHeight="1">
      <c r="E452" s="65"/>
    </row>
    <row r="453" ht="22.5" customHeight="1">
      <c r="E453" s="65"/>
    </row>
    <row r="454" ht="22.5" customHeight="1">
      <c r="E454" s="65"/>
    </row>
    <row r="455" ht="22.5" customHeight="1">
      <c r="E455" s="65"/>
    </row>
    <row r="456" ht="22.5" customHeight="1">
      <c r="E456" s="65"/>
    </row>
    <row r="457" ht="22.5" customHeight="1">
      <c r="E457" s="65"/>
    </row>
    <row r="458" ht="22.5" customHeight="1">
      <c r="E458" s="65"/>
    </row>
    <row r="459" ht="22.5" customHeight="1">
      <c r="E459" s="65"/>
    </row>
    <row r="460" ht="22.5" customHeight="1">
      <c r="E460" s="65"/>
    </row>
    <row r="461" ht="22.5" customHeight="1">
      <c r="E461" s="65"/>
    </row>
    <row r="462" ht="22.5" customHeight="1">
      <c r="E462" s="65"/>
    </row>
    <row r="463" ht="22.5" customHeight="1">
      <c r="E463" s="65"/>
    </row>
    <row r="464" ht="22.5" customHeight="1">
      <c r="E464" s="65"/>
    </row>
    <row r="465" ht="22.5" customHeight="1">
      <c r="E465" s="65"/>
    </row>
    <row r="466" ht="22.5" customHeight="1">
      <c r="E466" s="65"/>
    </row>
    <row r="467" ht="22.5" customHeight="1">
      <c r="E467" s="65"/>
    </row>
    <row r="468" ht="22.5" customHeight="1">
      <c r="E468" s="65"/>
    </row>
    <row r="469" ht="22.5" customHeight="1">
      <c r="E469" s="65"/>
    </row>
    <row r="470" ht="22.5" customHeight="1">
      <c r="E470" s="65"/>
    </row>
    <row r="471" ht="22.5" customHeight="1">
      <c r="E471" s="65"/>
    </row>
    <row r="472" ht="22.5" customHeight="1">
      <c r="E472" s="65"/>
    </row>
    <row r="473" ht="22.5" customHeight="1">
      <c r="E473" s="65"/>
    </row>
    <row r="474" ht="22.5" customHeight="1">
      <c r="E474" s="65"/>
    </row>
    <row r="475" ht="22.5" customHeight="1">
      <c r="E475" s="65"/>
    </row>
    <row r="476" ht="22.5" customHeight="1">
      <c r="E476" s="65"/>
    </row>
    <row r="477" ht="22.5" customHeight="1">
      <c r="E477" s="65"/>
    </row>
    <row r="478" ht="22.5" customHeight="1">
      <c r="E478" s="65"/>
    </row>
    <row r="479" ht="22.5" customHeight="1">
      <c r="E479" s="65"/>
    </row>
    <row r="480" ht="22.5" customHeight="1">
      <c r="E480" s="65"/>
    </row>
    <row r="481" ht="22.5" customHeight="1">
      <c r="E481" s="65"/>
    </row>
    <row r="482" ht="22.5" customHeight="1">
      <c r="E482" s="65"/>
    </row>
    <row r="483" ht="22.5" customHeight="1">
      <c r="E483" s="65"/>
    </row>
    <row r="484" ht="22.5" customHeight="1">
      <c r="E484" s="65"/>
    </row>
    <row r="485" ht="22.5" customHeight="1">
      <c r="E485" s="65"/>
    </row>
    <row r="486" ht="22.5" customHeight="1">
      <c r="E486" s="65"/>
    </row>
    <row r="487" ht="22.5" customHeight="1">
      <c r="E487" s="65"/>
    </row>
    <row r="488" ht="22.5" customHeight="1">
      <c r="E488" s="65"/>
    </row>
    <row r="489" ht="22.5" customHeight="1">
      <c r="E489" s="65"/>
    </row>
    <row r="490" ht="22.5" customHeight="1">
      <c r="E490" s="65"/>
    </row>
    <row r="491" ht="22.5" customHeight="1">
      <c r="E491" s="65"/>
    </row>
    <row r="492" ht="22.5" customHeight="1">
      <c r="E492" s="65"/>
    </row>
    <row r="493" ht="22.5" customHeight="1">
      <c r="E493" s="65"/>
    </row>
    <row r="494" ht="22.5" customHeight="1">
      <c r="E494" s="65"/>
    </row>
    <row r="495" ht="22.5" customHeight="1">
      <c r="E495" s="65"/>
    </row>
    <row r="496" ht="22.5" customHeight="1">
      <c r="E496" s="65"/>
    </row>
    <row r="497" ht="22.5" customHeight="1">
      <c r="E497" s="65"/>
    </row>
    <row r="498" ht="22.5" customHeight="1">
      <c r="E498" s="65"/>
    </row>
    <row r="499" ht="22.5" customHeight="1">
      <c r="E499" s="65"/>
    </row>
    <row r="500" ht="22.5" customHeight="1">
      <c r="E500" s="65"/>
    </row>
    <row r="501" ht="22.5" customHeight="1">
      <c r="E501" s="65"/>
    </row>
    <row r="502" ht="22.5" customHeight="1">
      <c r="E502" s="65"/>
    </row>
    <row r="503" ht="22.5" customHeight="1">
      <c r="E503" s="65"/>
    </row>
    <row r="504" ht="22.5" customHeight="1">
      <c r="E504" s="65"/>
    </row>
    <row r="505" ht="22.5" customHeight="1">
      <c r="E505" s="65"/>
    </row>
    <row r="506" ht="22.5" customHeight="1">
      <c r="E506" s="65"/>
    </row>
    <row r="507" ht="22.5" customHeight="1">
      <c r="E507" s="65"/>
    </row>
    <row r="508" ht="22.5" customHeight="1">
      <c r="E508" s="65"/>
    </row>
    <row r="509" ht="22.5" customHeight="1">
      <c r="E509" s="65"/>
    </row>
    <row r="510" ht="22.5" customHeight="1">
      <c r="E510" s="65"/>
    </row>
    <row r="511" ht="22.5" customHeight="1">
      <c r="E511" s="65"/>
    </row>
    <row r="512" ht="22.5" customHeight="1">
      <c r="E512" s="65"/>
    </row>
    <row r="513" ht="22.5" customHeight="1">
      <c r="E513" s="65"/>
    </row>
    <row r="514" ht="22.5" customHeight="1">
      <c r="E514" s="65"/>
    </row>
    <row r="515" ht="22.5" customHeight="1">
      <c r="E515" s="65"/>
    </row>
    <row r="516" ht="22.5" customHeight="1">
      <c r="E516" s="65"/>
    </row>
    <row r="517" ht="22.5" customHeight="1">
      <c r="E517" s="65"/>
    </row>
    <row r="518" ht="22.5" customHeight="1">
      <c r="E518" s="65"/>
    </row>
    <row r="519" ht="22.5" customHeight="1">
      <c r="E519" s="65"/>
    </row>
    <row r="520" ht="22.5" customHeight="1">
      <c r="E520" s="65"/>
    </row>
    <row r="521" ht="22.5" customHeight="1">
      <c r="E521" s="65"/>
    </row>
    <row r="522" ht="22.5" customHeight="1">
      <c r="E522" s="65"/>
    </row>
    <row r="523" ht="22.5" customHeight="1">
      <c r="E523" s="65"/>
    </row>
    <row r="524" ht="22.5" customHeight="1">
      <c r="E524" s="65"/>
    </row>
    <row r="525" ht="22.5" customHeight="1">
      <c r="E525" s="65"/>
    </row>
    <row r="526" ht="22.5" customHeight="1">
      <c r="E526" s="65"/>
    </row>
    <row r="527" ht="22.5" customHeight="1">
      <c r="E527" s="65"/>
    </row>
    <row r="528" ht="22.5" customHeight="1">
      <c r="E528" s="65"/>
    </row>
    <row r="529" ht="22.5" customHeight="1">
      <c r="E529" s="65"/>
    </row>
    <row r="530" ht="22.5" customHeight="1">
      <c r="E530" s="65"/>
    </row>
    <row r="531" ht="22.5" customHeight="1">
      <c r="E531" s="65"/>
    </row>
    <row r="532" ht="22.5" customHeight="1">
      <c r="E532" s="65"/>
    </row>
    <row r="533" ht="22.5" customHeight="1">
      <c r="E533" s="65"/>
    </row>
    <row r="534" ht="22.5" customHeight="1">
      <c r="E534" s="65"/>
    </row>
    <row r="535" ht="22.5" customHeight="1">
      <c r="E535" s="65"/>
    </row>
    <row r="536" ht="22.5" customHeight="1">
      <c r="E536" s="65"/>
    </row>
    <row r="537" ht="22.5" customHeight="1">
      <c r="E537" s="65"/>
    </row>
    <row r="538" ht="22.5" customHeight="1">
      <c r="E538" s="65"/>
    </row>
    <row r="539" ht="22.5" customHeight="1">
      <c r="E539" s="65"/>
    </row>
    <row r="540" ht="22.5" customHeight="1">
      <c r="E540" s="65"/>
    </row>
    <row r="541" ht="22.5" customHeight="1">
      <c r="E541" s="65"/>
    </row>
    <row r="542" ht="22.5" customHeight="1">
      <c r="E542" s="65"/>
    </row>
    <row r="543" ht="22.5" customHeight="1">
      <c r="E543" s="65"/>
    </row>
    <row r="544" ht="22.5" customHeight="1">
      <c r="E544" s="65"/>
    </row>
    <row r="545" ht="22.5" customHeight="1">
      <c r="E545" s="65"/>
    </row>
    <row r="546" ht="22.5" customHeight="1">
      <c r="E546" s="65"/>
    </row>
    <row r="547" ht="22.5" customHeight="1">
      <c r="E547" s="65"/>
    </row>
    <row r="548" ht="22.5" customHeight="1">
      <c r="E548" s="65"/>
    </row>
    <row r="549" ht="22.5" customHeight="1">
      <c r="E549" s="65"/>
    </row>
    <row r="550" ht="22.5" customHeight="1">
      <c r="E550" s="65"/>
    </row>
    <row r="551" ht="22.5" customHeight="1">
      <c r="E551" s="65"/>
    </row>
    <row r="552" ht="22.5" customHeight="1">
      <c r="E552" s="65"/>
    </row>
    <row r="553" ht="22.5" customHeight="1">
      <c r="E553" s="65"/>
    </row>
    <row r="554" ht="22.5" customHeight="1">
      <c r="E554" s="65"/>
    </row>
    <row r="555" ht="22.5" customHeight="1">
      <c r="E555" s="65"/>
    </row>
    <row r="556" ht="22.5" customHeight="1">
      <c r="E556" s="65"/>
    </row>
    <row r="557" ht="22.5" customHeight="1">
      <c r="E557" s="65"/>
    </row>
    <row r="558" ht="22.5" customHeight="1">
      <c r="E558" s="65"/>
    </row>
    <row r="559" ht="22.5" customHeight="1">
      <c r="E559" s="65"/>
    </row>
    <row r="560" ht="22.5" customHeight="1">
      <c r="E560" s="65"/>
    </row>
    <row r="561" ht="22.5" customHeight="1">
      <c r="E561" s="65"/>
    </row>
    <row r="562" ht="22.5" customHeight="1">
      <c r="E562" s="65"/>
    </row>
    <row r="563" ht="22.5" customHeight="1">
      <c r="E563" s="65"/>
    </row>
    <row r="564" ht="22.5" customHeight="1">
      <c r="E564" s="65"/>
    </row>
    <row r="565" ht="22.5" customHeight="1">
      <c r="E565" s="65"/>
    </row>
    <row r="566" ht="22.5" customHeight="1">
      <c r="E566" s="65"/>
    </row>
    <row r="567" ht="22.5" customHeight="1">
      <c r="E567" s="65"/>
    </row>
    <row r="568" ht="22.5" customHeight="1">
      <c r="E568" s="65"/>
    </row>
    <row r="569" ht="22.5" customHeight="1">
      <c r="E569" s="65"/>
    </row>
    <row r="570" ht="22.5" customHeight="1">
      <c r="E570" s="65"/>
    </row>
    <row r="571" ht="22.5" customHeight="1">
      <c r="E571" s="65"/>
    </row>
    <row r="572" ht="22.5" customHeight="1">
      <c r="E572" s="65"/>
    </row>
    <row r="573" ht="22.5" customHeight="1">
      <c r="E573" s="65"/>
    </row>
    <row r="574" ht="22.5" customHeight="1">
      <c r="E574" s="65"/>
    </row>
    <row r="575" ht="22.5" customHeight="1">
      <c r="E575" s="65"/>
    </row>
    <row r="576" ht="22.5" customHeight="1">
      <c r="E576" s="65"/>
    </row>
    <row r="577" ht="22.5" customHeight="1">
      <c r="E577" s="65"/>
    </row>
    <row r="578" ht="22.5" customHeight="1">
      <c r="E578" s="65"/>
    </row>
    <row r="579" ht="22.5" customHeight="1">
      <c r="E579" s="65"/>
    </row>
    <row r="580" ht="22.5" customHeight="1">
      <c r="E580" s="65"/>
    </row>
    <row r="581" ht="22.5" customHeight="1">
      <c r="E581" s="65"/>
    </row>
    <row r="582" ht="22.5" customHeight="1">
      <c r="E582" s="65"/>
    </row>
    <row r="583" ht="22.5" customHeight="1">
      <c r="E583" s="65"/>
    </row>
    <row r="584" ht="22.5" customHeight="1">
      <c r="E584" s="65"/>
    </row>
    <row r="585" ht="22.5" customHeight="1">
      <c r="E585" s="65"/>
    </row>
    <row r="586" ht="22.5" customHeight="1">
      <c r="E586" s="65"/>
    </row>
    <row r="587" ht="22.5" customHeight="1">
      <c r="E587" s="65"/>
    </row>
    <row r="588" ht="22.5" customHeight="1">
      <c r="E588" s="65"/>
    </row>
    <row r="589" ht="22.5" customHeight="1">
      <c r="E589" s="65"/>
    </row>
    <row r="590" ht="22.5" customHeight="1">
      <c r="E590" s="65"/>
    </row>
    <row r="591" ht="22.5" customHeight="1">
      <c r="E591" s="65"/>
    </row>
    <row r="592" ht="22.5" customHeight="1">
      <c r="E592" s="65"/>
    </row>
    <row r="593" ht="22.5" customHeight="1">
      <c r="E593" s="65"/>
    </row>
    <row r="594" ht="22.5" customHeight="1">
      <c r="E594" s="65"/>
    </row>
    <row r="595" ht="22.5" customHeight="1">
      <c r="E595" s="65"/>
    </row>
    <row r="596" ht="22.5" customHeight="1">
      <c r="E596" s="65"/>
    </row>
    <row r="597" ht="22.5" customHeight="1">
      <c r="E597" s="65"/>
    </row>
    <row r="598" ht="22.5" customHeight="1">
      <c r="E598" s="65"/>
    </row>
    <row r="599" ht="22.5" customHeight="1">
      <c r="E599" s="65"/>
    </row>
    <row r="600" ht="22.5" customHeight="1">
      <c r="E600" s="65"/>
    </row>
    <row r="601" ht="22.5" customHeight="1">
      <c r="E601" s="65"/>
    </row>
    <row r="602" ht="22.5" customHeight="1">
      <c r="E602" s="65"/>
    </row>
    <row r="603" ht="22.5" customHeight="1">
      <c r="E603" s="65"/>
    </row>
    <row r="604" ht="22.5" customHeight="1">
      <c r="E604" s="65"/>
    </row>
    <row r="605" ht="22.5" customHeight="1">
      <c r="E605" s="65"/>
    </row>
    <row r="606" ht="22.5" customHeight="1">
      <c r="E606" s="65"/>
    </row>
    <row r="607" ht="22.5" customHeight="1">
      <c r="E607" s="65"/>
    </row>
    <row r="608" ht="22.5" customHeight="1">
      <c r="E608" s="65"/>
    </row>
    <row r="609" ht="22.5" customHeight="1">
      <c r="E609" s="65"/>
    </row>
    <row r="610" ht="22.5" customHeight="1">
      <c r="E610" s="65"/>
    </row>
    <row r="611" ht="22.5" customHeight="1">
      <c r="E611" s="65"/>
    </row>
    <row r="612" ht="22.5" customHeight="1">
      <c r="E612" s="65"/>
    </row>
    <row r="613" ht="22.5" customHeight="1">
      <c r="E613" s="65"/>
    </row>
    <row r="614" ht="22.5" customHeight="1">
      <c r="E614" s="65"/>
    </row>
    <row r="615" ht="22.5" customHeight="1">
      <c r="E615" s="65"/>
    </row>
    <row r="616" ht="22.5" customHeight="1">
      <c r="E616" s="65"/>
    </row>
    <row r="617" ht="22.5" customHeight="1">
      <c r="E617" s="65"/>
    </row>
    <row r="618" ht="22.5" customHeight="1">
      <c r="E618" s="65"/>
    </row>
    <row r="619" ht="22.5" customHeight="1">
      <c r="E619" s="65"/>
    </row>
    <row r="620" ht="22.5" customHeight="1">
      <c r="E620" s="65"/>
    </row>
    <row r="621" ht="22.5" customHeight="1">
      <c r="E621" s="65"/>
    </row>
    <row r="622" ht="22.5" customHeight="1">
      <c r="E622" s="65"/>
    </row>
    <row r="623" ht="22.5" customHeight="1">
      <c r="E623" s="65"/>
    </row>
    <row r="624" ht="22.5" customHeight="1">
      <c r="E624" s="65"/>
    </row>
    <row r="625" ht="22.5" customHeight="1">
      <c r="E625" s="65"/>
    </row>
    <row r="626" ht="22.5" customHeight="1">
      <c r="E626" s="65"/>
    </row>
    <row r="627" ht="22.5" customHeight="1">
      <c r="E627" s="65"/>
    </row>
    <row r="628" ht="22.5" customHeight="1">
      <c r="E628" s="65"/>
    </row>
    <row r="629" ht="22.5" customHeight="1">
      <c r="E629" s="65"/>
    </row>
    <row r="630" ht="22.5" customHeight="1">
      <c r="E630" s="65"/>
    </row>
    <row r="631" ht="22.5" customHeight="1">
      <c r="E631" s="65"/>
    </row>
    <row r="632" ht="22.5" customHeight="1">
      <c r="E632" s="65"/>
    </row>
    <row r="633" ht="22.5" customHeight="1">
      <c r="E633" s="65"/>
    </row>
    <row r="634" ht="22.5" customHeight="1">
      <c r="E634" s="65"/>
    </row>
    <row r="635" ht="22.5" customHeight="1">
      <c r="E635" s="65"/>
    </row>
    <row r="636" ht="22.5" customHeight="1">
      <c r="E636" s="65"/>
    </row>
    <row r="637" ht="22.5" customHeight="1">
      <c r="E637" s="65"/>
    </row>
    <row r="638" ht="22.5" customHeight="1">
      <c r="E638" s="65"/>
    </row>
    <row r="639" ht="22.5" customHeight="1">
      <c r="E639" s="65"/>
    </row>
    <row r="640" ht="22.5" customHeight="1">
      <c r="E640" s="65"/>
    </row>
    <row r="641" ht="22.5" customHeight="1">
      <c r="E641" s="65"/>
    </row>
    <row r="642" ht="22.5" customHeight="1">
      <c r="E642" s="65"/>
    </row>
    <row r="643" ht="22.5" customHeight="1">
      <c r="E643" s="65"/>
    </row>
    <row r="644" ht="22.5" customHeight="1">
      <c r="E644" s="65"/>
    </row>
    <row r="645" ht="22.5" customHeight="1">
      <c r="E645" s="65"/>
    </row>
    <row r="646" ht="22.5" customHeight="1">
      <c r="E646" s="65"/>
    </row>
    <row r="647" ht="22.5" customHeight="1">
      <c r="E647" s="65"/>
    </row>
    <row r="648" ht="22.5" customHeight="1">
      <c r="E648" s="65"/>
    </row>
    <row r="649" ht="22.5" customHeight="1">
      <c r="E649" s="65"/>
    </row>
    <row r="650" ht="22.5" customHeight="1">
      <c r="E650" s="65"/>
    </row>
    <row r="651" ht="22.5" customHeight="1">
      <c r="E651" s="65"/>
    </row>
    <row r="652" ht="22.5" customHeight="1">
      <c r="E652" s="65"/>
    </row>
    <row r="653" ht="22.5" customHeight="1">
      <c r="E653" s="65"/>
    </row>
    <row r="654" ht="22.5" customHeight="1">
      <c r="E654" s="65"/>
    </row>
    <row r="655" ht="22.5" customHeight="1">
      <c r="E655" s="65"/>
    </row>
    <row r="656" ht="22.5" customHeight="1">
      <c r="E656" s="65"/>
    </row>
    <row r="657" ht="22.5" customHeight="1">
      <c r="E657" s="65"/>
    </row>
    <row r="658" ht="22.5" customHeight="1">
      <c r="E658" s="65"/>
    </row>
    <row r="659" ht="22.5" customHeight="1">
      <c r="E659" s="65"/>
    </row>
    <row r="660" ht="22.5" customHeight="1">
      <c r="E660" s="65"/>
    </row>
    <row r="661" ht="22.5" customHeight="1">
      <c r="E661" s="65"/>
    </row>
    <row r="662" ht="22.5" customHeight="1">
      <c r="E662" s="65"/>
    </row>
    <row r="663" ht="22.5" customHeight="1">
      <c r="E663" s="65"/>
    </row>
    <row r="664" ht="22.5" customHeight="1">
      <c r="E664" s="65"/>
    </row>
    <row r="665" ht="22.5" customHeight="1">
      <c r="E665" s="65"/>
    </row>
    <row r="666" ht="22.5" customHeight="1">
      <c r="E666" s="65"/>
    </row>
    <row r="667" ht="22.5" customHeight="1">
      <c r="E667" s="65"/>
    </row>
    <row r="668" ht="22.5" customHeight="1">
      <c r="E668" s="65"/>
    </row>
    <row r="669" ht="22.5" customHeight="1">
      <c r="E669" s="65"/>
    </row>
    <row r="670" ht="22.5" customHeight="1">
      <c r="E670" s="65"/>
    </row>
    <row r="671" ht="22.5" customHeight="1">
      <c r="E671" s="65"/>
    </row>
    <row r="672" ht="22.5" customHeight="1">
      <c r="E672" s="65"/>
    </row>
    <row r="673" ht="22.5" customHeight="1">
      <c r="E673" s="65"/>
    </row>
    <row r="674" ht="22.5" customHeight="1">
      <c r="E674" s="65"/>
    </row>
    <row r="675" ht="22.5" customHeight="1">
      <c r="E675" s="65"/>
    </row>
    <row r="676" ht="22.5" customHeight="1">
      <c r="E676" s="65"/>
    </row>
    <row r="677" ht="22.5" customHeight="1">
      <c r="E677" s="65"/>
    </row>
    <row r="678" ht="22.5" customHeight="1">
      <c r="E678" s="65"/>
    </row>
    <row r="679" ht="22.5" customHeight="1">
      <c r="E679" s="65"/>
    </row>
    <row r="680" ht="22.5" customHeight="1">
      <c r="E680" s="65"/>
    </row>
    <row r="681" ht="22.5" customHeight="1">
      <c r="E681" s="65"/>
    </row>
    <row r="682" ht="22.5" customHeight="1">
      <c r="E682" s="65"/>
    </row>
    <row r="683" ht="22.5" customHeight="1">
      <c r="E683" s="65"/>
    </row>
    <row r="684" ht="22.5" customHeight="1">
      <c r="E684" s="65"/>
    </row>
    <row r="685" ht="22.5" customHeight="1">
      <c r="E685" s="65"/>
    </row>
    <row r="686" ht="22.5" customHeight="1">
      <c r="E686" s="65"/>
    </row>
    <row r="687" ht="22.5" customHeight="1">
      <c r="E687" s="65"/>
    </row>
    <row r="688" ht="22.5" customHeight="1">
      <c r="E688" s="65"/>
    </row>
    <row r="689" ht="22.5" customHeight="1">
      <c r="E689" s="65"/>
    </row>
    <row r="690" ht="22.5" customHeight="1">
      <c r="E690" s="65"/>
    </row>
    <row r="691" ht="22.5" customHeight="1">
      <c r="E691" s="65"/>
    </row>
    <row r="692" ht="22.5" customHeight="1">
      <c r="E692" s="65"/>
    </row>
    <row r="693" ht="22.5" customHeight="1">
      <c r="E693" s="65"/>
    </row>
    <row r="694" ht="22.5" customHeight="1">
      <c r="E694" s="65"/>
    </row>
    <row r="695" ht="22.5" customHeight="1">
      <c r="E695" s="65"/>
    </row>
    <row r="696" ht="22.5" customHeight="1">
      <c r="E696" s="65"/>
    </row>
    <row r="697" ht="22.5" customHeight="1">
      <c r="E697" s="65"/>
    </row>
    <row r="698" ht="22.5" customHeight="1">
      <c r="E698" s="65"/>
    </row>
    <row r="699" ht="22.5" customHeight="1">
      <c r="E699" s="65"/>
    </row>
    <row r="700" ht="22.5" customHeight="1">
      <c r="E700" s="65"/>
    </row>
    <row r="701" ht="22.5" customHeight="1">
      <c r="E701" s="65"/>
    </row>
    <row r="702" ht="22.5" customHeight="1">
      <c r="E702" s="65"/>
    </row>
    <row r="703" ht="22.5" customHeight="1">
      <c r="E703" s="65"/>
    </row>
    <row r="704" ht="22.5" customHeight="1">
      <c r="E704" s="65"/>
    </row>
    <row r="705" ht="22.5" customHeight="1">
      <c r="E705" s="65"/>
    </row>
    <row r="706" ht="22.5" customHeight="1">
      <c r="E706" s="65"/>
    </row>
    <row r="707" ht="22.5" customHeight="1">
      <c r="E707" s="65"/>
    </row>
    <row r="708" ht="22.5" customHeight="1">
      <c r="E708" s="65"/>
    </row>
    <row r="709" ht="22.5" customHeight="1">
      <c r="E709" s="65"/>
    </row>
    <row r="710" ht="22.5" customHeight="1">
      <c r="E710" s="65"/>
    </row>
    <row r="711" ht="22.5" customHeight="1">
      <c r="E711" s="65"/>
    </row>
    <row r="712" ht="22.5" customHeight="1">
      <c r="E712" s="65"/>
    </row>
    <row r="713" ht="22.5" customHeight="1">
      <c r="E713" s="65"/>
    </row>
    <row r="714" ht="22.5" customHeight="1">
      <c r="E714" s="65"/>
    </row>
    <row r="715" ht="22.5" customHeight="1">
      <c r="E715" s="65"/>
    </row>
    <row r="716" ht="22.5" customHeight="1">
      <c r="E716" s="65"/>
    </row>
    <row r="717" ht="22.5" customHeight="1">
      <c r="E717" s="65"/>
    </row>
    <row r="718" ht="22.5" customHeight="1">
      <c r="E718" s="65"/>
    </row>
    <row r="719" ht="22.5" customHeight="1">
      <c r="E719" s="65"/>
    </row>
    <row r="720" ht="22.5" customHeight="1">
      <c r="E720" s="65"/>
    </row>
    <row r="721" ht="22.5" customHeight="1">
      <c r="E721" s="65"/>
    </row>
    <row r="722" ht="22.5" customHeight="1">
      <c r="E722" s="65"/>
    </row>
    <row r="723" ht="22.5" customHeight="1">
      <c r="E723" s="65"/>
    </row>
    <row r="724" ht="22.5" customHeight="1">
      <c r="E724" s="65"/>
    </row>
    <row r="725" ht="22.5" customHeight="1">
      <c r="E725" s="65"/>
    </row>
    <row r="726" ht="22.5" customHeight="1">
      <c r="E726" s="65"/>
    </row>
    <row r="727" ht="22.5" customHeight="1">
      <c r="E727" s="65"/>
    </row>
    <row r="728" ht="22.5" customHeight="1">
      <c r="E728" s="65"/>
    </row>
    <row r="729" ht="22.5" customHeight="1">
      <c r="E729" s="65"/>
    </row>
    <row r="730" ht="22.5" customHeight="1">
      <c r="E730" s="65"/>
    </row>
    <row r="731" ht="22.5" customHeight="1">
      <c r="E731" s="65"/>
    </row>
    <row r="732" ht="22.5" customHeight="1">
      <c r="E732" s="65"/>
    </row>
    <row r="733" ht="22.5" customHeight="1">
      <c r="E733" s="65"/>
    </row>
    <row r="734" ht="22.5" customHeight="1">
      <c r="E734" s="65"/>
    </row>
    <row r="735" ht="22.5" customHeight="1">
      <c r="E735" s="65"/>
    </row>
    <row r="736" ht="22.5" customHeight="1">
      <c r="E736" s="65"/>
    </row>
    <row r="737" ht="22.5" customHeight="1">
      <c r="E737" s="65"/>
    </row>
    <row r="738" ht="22.5" customHeight="1">
      <c r="E738" s="65"/>
    </row>
    <row r="739" ht="22.5" customHeight="1">
      <c r="E739" s="65"/>
    </row>
    <row r="740" ht="22.5" customHeight="1">
      <c r="E740" s="65"/>
    </row>
    <row r="741" ht="22.5" customHeight="1">
      <c r="E741" s="65"/>
    </row>
    <row r="742" ht="22.5" customHeight="1">
      <c r="E742" s="65"/>
    </row>
    <row r="743" ht="22.5" customHeight="1">
      <c r="E743" s="65"/>
    </row>
    <row r="744" ht="22.5" customHeight="1">
      <c r="E744" s="65"/>
    </row>
    <row r="745" ht="22.5" customHeight="1">
      <c r="E745" s="65"/>
    </row>
    <row r="746" ht="22.5" customHeight="1">
      <c r="E746" s="65"/>
    </row>
    <row r="747" ht="22.5" customHeight="1">
      <c r="E747" s="65"/>
    </row>
    <row r="748" ht="22.5" customHeight="1">
      <c r="E748" s="65"/>
    </row>
    <row r="749" ht="22.5" customHeight="1">
      <c r="E749" s="65"/>
    </row>
    <row r="750" ht="22.5" customHeight="1">
      <c r="E750" s="65"/>
    </row>
    <row r="751" ht="22.5" customHeight="1">
      <c r="E751" s="65"/>
    </row>
    <row r="752" ht="22.5" customHeight="1">
      <c r="E752" s="65"/>
    </row>
    <row r="753" ht="22.5" customHeight="1">
      <c r="E753" s="65"/>
    </row>
    <row r="754" ht="22.5" customHeight="1">
      <c r="E754" s="65"/>
    </row>
    <row r="755" ht="22.5" customHeight="1">
      <c r="E755" s="65"/>
    </row>
    <row r="756" ht="22.5" customHeight="1">
      <c r="E756" s="65"/>
    </row>
    <row r="757" ht="22.5" customHeight="1">
      <c r="E757" s="65"/>
    </row>
    <row r="758" ht="22.5" customHeight="1">
      <c r="E758" s="65"/>
    </row>
    <row r="759" ht="22.5" customHeight="1">
      <c r="E759" s="65"/>
    </row>
    <row r="760" ht="22.5" customHeight="1">
      <c r="E760" s="65"/>
    </row>
    <row r="761" ht="22.5" customHeight="1">
      <c r="E761" s="65"/>
    </row>
    <row r="762" ht="22.5" customHeight="1">
      <c r="E762" s="65"/>
    </row>
    <row r="763" ht="22.5" customHeight="1">
      <c r="E763" s="65"/>
    </row>
    <row r="764" ht="22.5" customHeight="1">
      <c r="E764" s="65"/>
    </row>
    <row r="765" ht="22.5" customHeight="1">
      <c r="E765" s="65"/>
    </row>
    <row r="766" ht="22.5" customHeight="1">
      <c r="E766" s="65"/>
    </row>
    <row r="767" ht="22.5" customHeight="1">
      <c r="E767" s="65"/>
    </row>
    <row r="768" ht="22.5" customHeight="1">
      <c r="E768" s="65"/>
    </row>
    <row r="769" ht="22.5" customHeight="1">
      <c r="E769" s="65"/>
    </row>
    <row r="770" ht="22.5" customHeight="1">
      <c r="E770" s="65"/>
    </row>
    <row r="771" ht="22.5" customHeight="1">
      <c r="E771" s="65"/>
    </row>
    <row r="772" ht="22.5" customHeight="1">
      <c r="E772" s="65"/>
    </row>
    <row r="773" ht="22.5" customHeight="1">
      <c r="E773" s="65"/>
    </row>
    <row r="774" ht="22.5" customHeight="1">
      <c r="E774" s="65"/>
    </row>
    <row r="775" ht="22.5" customHeight="1">
      <c r="E775" s="65"/>
    </row>
    <row r="776" ht="22.5" customHeight="1">
      <c r="E776" s="65"/>
    </row>
    <row r="777" ht="22.5" customHeight="1">
      <c r="E777" s="65"/>
    </row>
    <row r="778" ht="22.5" customHeight="1">
      <c r="E778" s="65"/>
    </row>
    <row r="779" ht="22.5" customHeight="1">
      <c r="E779" s="65"/>
    </row>
    <row r="780" ht="22.5" customHeight="1">
      <c r="E780" s="65"/>
    </row>
    <row r="781" ht="22.5" customHeight="1">
      <c r="E781" s="65"/>
    </row>
    <row r="782" ht="22.5" customHeight="1">
      <c r="E782" s="65"/>
    </row>
    <row r="783" ht="22.5" customHeight="1">
      <c r="E783" s="65"/>
    </row>
    <row r="784" ht="22.5" customHeight="1">
      <c r="E784" s="65"/>
    </row>
    <row r="785" ht="22.5" customHeight="1">
      <c r="E785" s="65"/>
    </row>
    <row r="786" ht="22.5" customHeight="1">
      <c r="E786" s="65"/>
    </row>
    <row r="787" ht="22.5" customHeight="1">
      <c r="E787" s="65"/>
    </row>
    <row r="788" ht="22.5" customHeight="1">
      <c r="E788" s="65"/>
    </row>
    <row r="789" ht="22.5" customHeight="1">
      <c r="E789" s="65"/>
    </row>
    <row r="790" ht="22.5" customHeight="1">
      <c r="E790" s="65"/>
    </row>
    <row r="791" ht="22.5" customHeight="1">
      <c r="E791" s="65"/>
    </row>
    <row r="792" ht="22.5" customHeight="1">
      <c r="E792" s="65"/>
    </row>
    <row r="793" ht="22.5" customHeight="1">
      <c r="E793" s="65"/>
    </row>
    <row r="794" ht="22.5" customHeight="1">
      <c r="E794" s="65"/>
    </row>
    <row r="795" ht="22.5" customHeight="1">
      <c r="E795" s="65"/>
    </row>
    <row r="796" ht="22.5" customHeight="1">
      <c r="E796" s="65"/>
    </row>
    <row r="797" ht="22.5" customHeight="1">
      <c r="E797" s="65"/>
    </row>
    <row r="798" ht="22.5" customHeight="1">
      <c r="E798" s="65"/>
    </row>
    <row r="799" ht="22.5" customHeight="1">
      <c r="E799" s="65"/>
    </row>
    <row r="800" ht="22.5" customHeight="1">
      <c r="E800" s="65"/>
    </row>
    <row r="801" ht="22.5" customHeight="1">
      <c r="E801" s="65"/>
    </row>
    <row r="802" ht="22.5" customHeight="1">
      <c r="E802" s="65"/>
    </row>
    <row r="803" ht="22.5" customHeight="1">
      <c r="E803" s="65"/>
    </row>
    <row r="804" ht="22.5" customHeight="1">
      <c r="E804" s="65"/>
    </row>
    <row r="805" ht="22.5" customHeight="1">
      <c r="E805" s="65"/>
    </row>
    <row r="806" ht="22.5" customHeight="1">
      <c r="E806" s="65"/>
    </row>
    <row r="807" ht="22.5" customHeight="1">
      <c r="E807" s="65"/>
    </row>
    <row r="808" ht="22.5" customHeight="1">
      <c r="E808" s="65"/>
    </row>
    <row r="809" ht="22.5" customHeight="1">
      <c r="E809" s="65"/>
    </row>
    <row r="810" ht="22.5" customHeight="1">
      <c r="E810" s="65"/>
    </row>
    <row r="811" ht="22.5" customHeight="1">
      <c r="E811" s="65"/>
    </row>
    <row r="812" ht="22.5" customHeight="1">
      <c r="E812" s="65"/>
    </row>
    <row r="813" ht="22.5" customHeight="1">
      <c r="E813" s="65"/>
    </row>
    <row r="814" ht="22.5" customHeight="1">
      <c r="E814" s="65"/>
    </row>
    <row r="815" ht="22.5" customHeight="1">
      <c r="E815" s="65"/>
    </row>
    <row r="816" ht="22.5" customHeight="1">
      <c r="E816" s="65"/>
    </row>
    <row r="817" ht="22.5" customHeight="1">
      <c r="E817" s="65"/>
    </row>
    <row r="818" ht="22.5" customHeight="1">
      <c r="E818" s="65"/>
    </row>
    <row r="819" ht="22.5" customHeight="1">
      <c r="E819" s="65"/>
    </row>
    <row r="820" ht="22.5" customHeight="1">
      <c r="E820" s="65"/>
    </row>
    <row r="821" ht="22.5" customHeight="1">
      <c r="E821" s="65"/>
    </row>
    <row r="822" ht="22.5" customHeight="1">
      <c r="E822" s="65"/>
    </row>
    <row r="823" ht="22.5" customHeight="1">
      <c r="E823" s="65"/>
    </row>
    <row r="824" ht="22.5" customHeight="1">
      <c r="E824" s="65"/>
    </row>
    <row r="825" ht="22.5" customHeight="1">
      <c r="E825" s="65"/>
    </row>
    <row r="826" ht="22.5" customHeight="1">
      <c r="E826" s="65"/>
    </row>
    <row r="827" ht="22.5" customHeight="1">
      <c r="E827" s="65"/>
    </row>
    <row r="828" ht="22.5" customHeight="1">
      <c r="E828" s="65"/>
    </row>
    <row r="829" ht="22.5" customHeight="1">
      <c r="E829" s="65"/>
    </row>
    <row r="830" ht="22.5" customHeight="1">
      <c r="E830" s="65"/>
    </row>
    <row r="831" ht="22.5" customHeight="1">
      <c r="E831" s="65"/>
    </row>
    <row r="832" ht="22.5" customHeight="1">
      <c r="E832" s="65"/>
    </row>
    <row r="833" ht="22.5" customHeight="1">
      <c r="E833" s="65"/>
    </row>
    <row r="834" ht="22.5" customHeight="1">
      <c r="E834" s="65"/>
    </row>
    <row r="835" ht="22.5" customHeight="1">
      <c r="E835" s="65"/>
    </row>
    <row r="836" ht="22.5" customHeight="1">
      <c r="E836" s="65"/>
    </row>
    <row r="837" ht="22.5" customHeight="1">
      <c r="E837" s="65"/>
    </row>
    <row r="838" ht="22.5" customHeight="1">
      <c r="E838" s="65"/>
    </row>
    <row r="839" ht="22.5" customHeight="1">
      <c r="E839" s="65"/>
    </row>
    <row r="840" ht="22.5" customHeight="1">
      <c r="E840" s="65"/>
    </row>
    <row r="841" ht="22.5" customHeight="1">
      <c r="E841" s="65"/>
    </row>
    <row r="842" ht="22.5" customHeight="1">
      <c r="E842" s="65"/>
    </row>
    <row r="843" ht="22.5" customHeight="1">
      <c r="E843" s="65"/>
    </row>
    <row r="844" ht="22.5" customHeight="1">
      <c r="E844" s="65"/>
    </row>
    <row r="845" ht="22.5" customHeight="1">
      <c r="E845" s="65"/>
    </row>
    <row r="846" ht="22.5" customHeight="1">
      <c r="E846" s="65"/>
    </row>
    <row r="847" ht="22.5" customHeight="1">
      <c r="E847" s="65"/>
    </row>
    <row r="848" ht="22.5" customHeight="1">
      <c r="E848" s="65"/>
    </row>
    <row r="849" ht="22.5" customHeight="1">
      <c r="E849" s="65"/>
    </row>
    <row r="850" ht="22.5" customHeight="1">
      <c r="E850" s="65"/>
    </row>
    <row r="851" ht="22.5" customHeight="1">
      <c r="E851" s="65"/>
    </row>
    <row r="852" ht="22.5" customHeight="1">
      <c r="E852" s="65"/>
    </row>
    <row r="853" ht="22.5" customHeight="1">
      <c r="E853" s="65"/>
    </row>
    <row r="854" ht="22.5" customHeight="1">
      <c r="E854" s="65"/>
    </row>
    <row r="855" ht="22.5" customHeight="1">
      <c r="E855" s="65"/>
    </row>
    <row r="856" ht="22.5" customHeight="1">
      <c r="E856" s="65"/>
    </row>
    <row r="857" ht="22.5" customHeight="1">
      <c r="E857" s="65"/>
    </row>
    <row r="858" ht="22.5" customHeight="1">
      <c r="E858" s="65"/>
    </row>
    <row r="859" ht="22.5" customHeight="1">
      <c r="E859" s="65"/>
    </row>
    <row r="860" ht="22.5" customHeight="1">
      <c r="E860" s="65"/>
    </row>
    <row r="861" ht="22.5" customHeight="1">
      <c r="E861" s="65"/>
    </row>
    <row r="862" ht="22.5" customHeight="1">
      <c r="E862" s="65"/>
    </row>
    <row r="863" ht="22.5" customHeight="1">
      <c r="E863" s="65"/>
    </row>
    <row r="864" ht="22.5" customHeight="1">
      <c r="E864" s="65"/>
    </row>
    <row r="865" ht="22.5" customHeight="1">
      <c r="E865" s="65"/>
    </row>
    <row r="866" ht="22.5" customHeight="1">
      <c r="E866" s="65"/>
    </row>
    <row r="867" ht="22.5" customHeight="1">
      <c r="E867" s="65"/>
    </row>
    <row r="868" ht="22.5" customHeight="1">
      <c r="E868" s="65"/>
    </row>
    <row r="869" ht="22.5" customHeight="1">
      <c r="E869" s="65"/>
    </row>
    <row r="870" ht="22.5" customHeight="1">
      <c r="E870" s="65"/>
    </row>
    <row r="871" ht="22.5" customHeight="1">
      <c r="E871" s="65"/>
    </row>
    <row r="872" ht="22.5" customHeight="1">
      <c r="E872" s="65"/>
    </row>
    <row r="873" ht="22.5" customHeight="1">
      <c r="E873" s="65"/>
    </row>
    <row r="874" ht="22.5" customHeight="1">
      <c r="E874" s="65"/>
    </row>
    <row r="875" ht="22.5" customHeight="1">
      <c r="E875" s="65"/>
    </row>
    <row r="876" ht="22.5" customHeight="1">
      <c r="E876" s="65"/>
    </row>
    <row r="877" ht="22.5" customHeight="1">
      <c r="E877" s="65"/>
    </row>
    <row r="878" ht="22.5" customHeight="1">
      <c r="E878" s="65"/>
    </row>
    <row r="879" ht="22.5" customHeight="1">
      <c r="E879" s="65"/>
    </row>
    <row r="880" ht="22.5" customHeight="1">
      <c r="E880" s="65"/>
    </row>
    <row r="881" ht="22.5" customHeight="1">
      <c r="E881" s="65"/>
    </row>
    <row r="882" ht="22.5" customHeight="1">
      <c r="E882" s="65"/>
    </row>
    <row r="883" ht="22.5" customHeight="1">
      <c r="E883" s="65"/>
    </row>
    <row r="884" ht="22.5" customHeight="1">
      <c r="E884" s="65"/>
    </row>
    <row r="885" ht="22.5" customHeight="1">
      <c r="E885" s="65"/>
    </row>
    <row r="886" ht="22.5" customHeight="1">
      <c r="E886" s="65"/>
    </row>
    <row r="887" ht="22.5" customHeight="1">
      <c r="E887" s="65"/>
    </row>
    <row r="888" ht="22.5" customHeight="1">
      <c r="E888" s="65"/>
    </row>
    <row r="889" ht="22.5" customHeight="1">
      <c r="E889" s="65"/>
    </row>
    <row r="890" ht="22.5" customHeight="1">
      <c r="E890" s="65"/>
    </row>
    <row r="891" ht="22.5" customHeight="1">
      <c r="E891" s="65"/>
    </row>
    <row r="892" ht="22.5" customHeight="1">
      <c r="E892" s="65"/>
    </row>
    <row r="893" ht="22.5" customHeight="1">
      <c r="E893" s="65"/>
    </row>
    <row r="894" ht="22.5" customHeight="1">
      <c r="E894" s="65"/>
    </row>
    <row r="895" ht="22.5" customHeight="1">
      <c r="E895" s="65"/>
    </row>
    <row r="896" ht="22.5" customHeight="1">
      <c r="E896" s="65"/>
    </row>
    <row r="897" ht="22.5" customHeight="1">
      <c r="E897" s="65"/>
    </row>
    <row r="898" ht="22.5" customHeight="1">
      <c r="E898" s="65"/>
    </row>
    <row r="899" ht="22.5" customHeight="1">
      <c r="E899" s="65"/>
    </row>
    <row r="900" ht="22.5" customHeight="1">
      <c r="E900" s="65"/>
    </row>
    <row r="901" ht="22.5" customHeight="1">
      <c r="E901" s="65"/>
    </row>
    <row r="902" ht="22.5" customHeight="1">
      <c r="E902" s="65"/>
    </row>
    <row r="903" ht="22.5" customHeight="1">
      <c r="E903" s="65"/>
    </row>
    <row r="904" ht="22.5" customHeight="1">
      <c r="E904" s="65"/>
    </row>
    <row r="905" ht="22.5" customHeight="1">
      <c r="E905" s="65"/>
    </row>
    <row r="906" ht="22.5" customHeight="1">
      <c r="E906" s="65"/>
    </row>
    <row r="907" ht="22.5" customHeight="1">
      <c r="E907" s="65"/>
    </row>
    <row r="908" ht="22.5" customHeight="1">
      <c r="E908" s="65"/>
    </row>
    <row r="909" ht="22.5" customHeight="1">
      <c r="E909" s="65"/>
    </row>
    <row r="910" ht="22.5" customHeight="1">
      <c r="E910" s="65"/>
    </row>
    <row r="911" ht="22.5" customHeight="1">
      <c r="E911" s="65"/>
    </row>
    <row r="912" ht="22.5" customHeight="1">
      <c r="E912" s="65"/>
    </row>
    <row r="913" ht="22.5" customHeight="1">
      <c r="E913" s="65"/>
    </row>
    <row r="914" ht="22.5" customHeight="1">
      <c r="E914" s="65"/>
    </row>
    <row r="915" ht="22.5" customHeight="1">
      <c r="E915" s="65"/>
    </row>
    <row r="916" ht="22.5" customHeight="1">
      <c r="E916" s="65"/>
    </row>
    <row r="917" ht="22.5" customHeight="1">
      <c r="E917" s="65"/>
    </row>
    <row r="918" ht="22.5" customHeight="1">
      <c r="E918" s="65"/>
    </row>
    <row r="919" ht="22.5" customHeight="1">
      <c r="E919" s="65"/>
    </row>
    <row r="920" ht="22.5" customHeight="1">
      <c r="E920" s="65"/>
    </row>
    <row r="921" ht="22.5" customHeight="1">
      <c r="E921" s="65"/>
    </row>
    <row r="922" ht="22.5" customHeight="1">
      <c r="E922" s="65"/>
    </row>
    <row r="923" ht="22.5" customHeight="1">
      <c r="E923" s="65"/>
    </row>
    <row r="924" ht="22.5" customHeight="1">
      <c r="E924" s="65"/>
    </row>
    <row r="925" ht="22.5" customHeight="1">
      <c r="E925" s="65"/>
    </row>
    <row r="926" ht="22.5" customHeight="1">
      <c r="E926" s="65"/>
    </row>
    <row r="927" ht="22.5" customHeight="1">
      <c r="E927" s="65"/>
    </row>
    <row r="928" ht="22.5" customHeight="1">
      <c r="E928" s="65"/>
    </row>
    <row r="929" ht="22.5" customHeight="1">
      <c r="E929" s="65"/>
    </row>
    <row r="930" ht="22.5" customHeight="1">
      <c r="E930" s="65"/>
    </row>
    <row r="931" ht="22.5" customHeight="1">
      <c r="E931" s="65"/>
    </row>
    <row r="932" ht="22.5" customHeight="1">
      <c r="E932" s="65"/>
    </row>
    <row r="933" ht="22.5" customHeight="1">
      <c r="E933" s="65"/>
    </row>
    <row r="934" ht="22.5" customHeight="1">
      <c r="E934" s="65"/>
    </row>
    <row r="935" ht="22.5" customHeight="1">
      <c r="E935" s="65"/>
    </row>
    <row r="936" ht="22.5" customHeight="1">
      <c r="E936" s="65"/>
    </row>
    <row r="937" ht="22.5" customHeight="1">
      <c r="E937" s="65"/>
    </row>
    <row r="938" ht="22.5" customHeight="1">
      <c r="E938" s="65"/>
    </row>
    <row r="939" ht="22.5" customHeight="1">
      <c r="E939" s="65"/>
    </row>
    <row r="940" ht="22.5" customHeight="1">
      <c r="E940" s="65"/>
    </row>
    <row r="941" ht="22.5" customHeight="1">
      <c r="E941" s="65"/>
    </row>
    <row r="942" ht="22.5" customHeight="1">
      <c r="E942" s="65"/>
    </row>
    <row r="943" ht="22.5" customHeight="1">
      <c r="E943" s="65"/>
    </row>
    <row r="944" ht="22.5" customHeight="1">
      <c r="E944" s="65"/>
    </row>
    <row r="945" ht="22.5" customHeight="1">
      <c r="E945" s="65"/>
    </row>
    <row r="946" ht="22.5" customHeight="1">
      <c r="E946" s="65"/>
    </row>
    <row r="947" ht="22.5" customHeight="1">
      <c r="E947" s="65"/>
    </row>
    <row r="948" ht="22.5" customHeight="1">
      <c r="E948" s="65"/>
    </row>
    <row r="949" ht="22.5" customHeight="1">
      <c r="E949" s="65"/>
    </row>
    <row r="950" ht="22.5" customHeight="1">
      <c r="E950" s="65"/>
    </row>
    <row r="951" ht="22.5" customHeight="1">
      <c r="E951" s="65"/>
    </row>
    <row r="952" ht="22.5" customHeight="1">
      <c r="E952" s="65"/>
    </row>
    <row r="953" ht="22.5" customHeight="1">
      <c r="E953" s="65"/>
    </row>
    <row r="954" ht="22.5" customHeight="1">
      <c r="E954" s="65"/>
    </row>
    <row r="955" ht="22.5" customHeight="1">
      <c r="E955" s="65"/>
    </row>
    <row r="956" ht="22.5" customHeight="1">
      <c r="E956" s="65"/>
    </row>
    <row r="957" ht="22.5" customHeight="1">
      <c r="E957" s="65"/>
    </row>
    <row r="958" ht="22.5" customHeight="1">
      <c r="E958" s="65"/>
    </row>
    <row r="959" ht="22.5" customHeight="1">
      <c r="E959" s="65"/>
    </row>
    <row r="960" ht="22.5" customHeight="1">
      <c r="E960" s="65"/>
    </row>
    <row r="961" ht="22.5" customHeight="1">
      <c r="E961" s="65"/>
    </row>
    <row r="962" ht="22.5" customHeight="1">
      <c r="E962" s="65"/>
    </row>
    <row r="963" ht="22.5" customHeight="1">
      <c r="E963" s="65"/>
    </row>
    <row r="964" ht="22.5" customHeight="1">
      <c r="E964" s="65"/>
    </row>
    <row r="965" ht="22.5" customHeight="1">
      <c r="E965" s="65"/>
    </row>
    <row r="966" ht="22.5" customHeight="1">
      <c r="E966" s="65"/>
    </row>
    <row r="967" ht="22.5" customHeight="1">
      <c r="E967" s="65"/>
    </row>
    <row r="968" ht="22.5" customHeight="1">
      <c r="E968" s="65"/>
    </row>
    <row r="969" ht="22.5" customHeight="1">
      <c r="E969" s="65"/>
    </row>
    <row r="970" ht="22.5" customHeight="1">
      <c r="E970" s="65"/>
    </row>
    <row r="971" ht="22.5" customHeight="1">
      <c r="E971" s="65"/>
    </row>
    <row r="972" ht="22.5" customHeight="1">
      <c r="E972" s="65"/>
    </row>
    <row r="973" ht="22.5" customHeight="1">
      <c r="E973" s="65"/>
    </row>
    <row r="974" ht="22.5" customHeight="1">
      <c r="E974" s="65"/>
    </row>
    <row r="975" ht="22.5" customHeight="1">
      <c r="E975" s="65"/>
    </row>
    <row r="976" ht="22.5" customHeight="1">
      <c r="E976" s="65"/>
    </row>
    <row r="977" ht="22.5" customHeight="1">
      <c r="E977" s="65"/>
    </row>
    <row r="978" ht="22.5" customHeight="1">
      <c r="E978" s="65"/>
    </row>
    <row r="979" ht="22.5" customHeight="1">
      <c r="E979" s="65"/>
    </row>
    <row r="980" ht="22.5" customHeight="1">
      <c r="E980" s="65"/>
    </row>
    <row r="981" ht="22.5" customHeight="1">
      <c r="E981" s="65"/>
    </row>
    <row r="982" ht="22.5" customHeight="1">
      <c r="E982" s="65"/>
    </row>
    <row r="983" ht="22.5" customHeight="1">
      <c r="E983" s="65"/>
    </row>
    <row r="984" ht="22.5" customHeight="1">
      <c r="E984" s="65"/>
    </row>
    <row r="985" ht="22.5" customHeight="1">
      <c r="E985" s="65"/>
    </row>
    <row r="986" ht="22.5" customHeight="1">
      <c r="E986" s="65"/>
    </row>
    <row r="987" ht="22.5" customHeight="1">
      <c r="E987" s="65"/>
    </row>
    <row r="988" ht="22.5" customHeight="1">
      <c r="E988" s="65"/>
    </row>
    <row r="989" ht="22.5" customHeight="1">
      <c r="E989" s="65"/>
    </row>
    <row r="990" ht="22.5" customHeight="1">
      <c r="E990" s="65"/>
    </row>
    <row r="991" ht="22.5" customHeight="1">
      <c r="E991" s="65"/>
    </row>
    <row r="992" ht="22.5" customHeight="1">
      <c r="E992" s="65"/>
    </row>
    <row r="993" ht="22.5" customHeight="1">
      <c r="E993" s="65"/>
    </row>
    <row r="994" ht="22.5" customHeight="1">
      <c r="E994" s="65"/>
    </row>
    <row r="995" ht="22.5" customHeight="1">
      <c r="E995" s="65"/>
    </row>
    <row r="996" ht="22.5" customHeight="1">
      <c r="E996" s="65"/>
    </row>
    <row r="997" ht="22.5" customHeight="1">
      <c r="E997" s="65"/>
    </row>
    <row r="998" ht="22.5" customHeight="1">
      <c r="E998" s="65"/>
    </row>
    <row r="999" ht="22.5" customHeight="1">
      <c r="E999" s="65"/>
    </row>
    <row r="1000" ht="22.5" customHeight="1">
      <c r="E1000" s="65"/>
    </row>
  </sheetData>
  <mergeCells count="8">
    <mergeCell ref="A1:B4"/>
    <mergeCell ref="C1:H4"/>
    <mergeCell ref="I1:Q2"/>
    <mergeCell ref="R1:T2"/>
    <mergeCell ref="I3:K4"/>
    <mergeCell ref="L3:N4"/>
    <mergeCell ref="O3:Q4"/>
    <mergeCell ref="R3:T4"/>
  </mergeCells>
  <dataValidations>
    <dataValidation type="list" allowBlank="1" sqref="E6:E1000">
      <formula1>"0/0,1/0,2/0,3/0,4/0"</formula1>
    </dataValidation>
    <dataValidation type="list" allowBlank="1" showErrorMessage="1" sqref="G6:G9">
      <formula1>"RTU,Sablon,Custom"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min="1" max="1" width="22.88"/>
    <col customWidth="1" min="2" max="2" width="19.0"/>
    <col customWidth="1" min="3" max="3" width="18.88"/>
    <col hidden="1" min="18" max="18" width="12.63"/>
  </cols>
  <sheetData>
    <row r="1">
      <c r="A1" s="1"/>
      <c r="C1" s="2" t="s">
        <v>5</v>
      </c>
      <c r="I1" s="3" t="s">
        <v>2</v>
      </c>
      <c r="R1" s="4" t="s">
        <v>4</v>
      </c>
    </row>
    <row r="3">
      <c r="I3" s="6" t="s">
        <v>7</v>
      </c>
      <c r="J3" s="7"/>
      <c r="K3" s="8"/>
      <c r="L3" s="9" t="s">
        <v>8</v>
      </c>
      <c r="M3" s="7"/>
      <c r="N3" s="8"/>
      <c r="O3" s="6" t="s">
        <v>9</v>
      </c>
      <c r="P3" s="7"/>
      <c r="Q3" s="8"/>
      <c r="R3" s="10" t="s">
        <v>10</v>
      </c>
      <c r="S3" s="7"/>
      <c r="T3" s="8"/>
    </row>
    <row r="4">
      <c r="I4" s="11"/>
      <c r="J4" s="11"/>
      <c r="K4" s="12"/>
      <c r="L4" s="11"/>
      <c r="M4" s="11"/>
      <c r="N4" s="12"/>
      <c r="O4" s="11"/>
      <c r="P4" s="11"/>
      <c r="Q4" s="12"/>
      <c r="R4" s="11"/>
      <c r="S4" s="11"/>
      <c r="T4" s="12"/>
    </row>
    <row r="5" ht="22.5" customHeight="1">
      <c r="A5" s="14" t="s">
        <v>11</v>
      </c>
      <c r="B5" s="16" t="s">
        <v>13</v>
      </c>
      <c r="C5" s="17" t="s">
        <v>14</v>
      </c>
      <c r="D5" s="17" t="s">
        <v>15</v>
      </c>
      <c r="E5" s="17" t="s">
        <v>16</v>
      </c>
      <c r="F5" s="16" t="s">
        <v>18</v>
      </c>
      <c r="G5" s="17" t="s">
        <v>19</v>
      </c>
      <c r="H5" s="17" t="s">
        <v>20</v>
      </c>
      <c r="I5" s="22" t="s">
        <v>21</v>
      </c>
      <c r="J5" s="22" t="s">
        <v>22</v>
      </c>
      <c r="K5" s="22" t="s">
        <v>23</v>
      </c>
      <c r="L5" s="23" t="s">
        <v>24</v>
      </c>
      <c r="M5" s="23" t="s">
        <v>25</v>
      </c>
      <c r="N5" s="23" t="s">
        <v>26</v>
      </c>
      <c r="O5" s="22" t="s">
        <v>27</v>
      </c>
      <c r="P5" s="22" t="s">
        <v>28</v>
      </c>
      <c r="Q5" s="22" t="s">
        <v>29</v>
      </c>
      <c r="R5" s="25" t="s">
        <v>30</v>
      </c>
      <c r="S5" s="26" t="s">
        <v>10</v>
      </c>
      <c r="T5" s="25" t="s">
        <v>31</v>
      </c>
    </row>
    <row r="6" ht="22.5" customHeight="1">
      <c r="A6" s="28" t="s">
        <v>32</v>
      </c>
      <c r="B6" s="28" t="s">
        <v>33</v>
      </c>
      <c r="C6" s="30" t="s">
        <v>34</v>
      </c>
      <c r="D6" s="31" t="s">
        <v>35</v>
      </c>
      <c r="E6" s="33" t="s">
        <v>36</v>
      </c>
      <c r="F6" s="28" t="s">
        <v>37</v>
      </c>
      <c r="G6" s="36" t="s">
        <v>41</v>
      </c>
      <c r="H6" s="28" t="s">
        <v>44</v>
      </c>
      <c r="I6" s="39">
        <v>10000.0</v>
      </c>
      <c r="J6" s="39">
        <v>10000.0</v>
      </c>
      <c r="K6" s="41"/>
      <c r="L6" s="42">
        <v>10000.0</v>
      </c>
      <c r="M6" s="42">
        <v>10000.0</v>
      </c>
      <c r="N6" s="42"/>
      <c r="O6" s="39">
        <v>10000.0</v>
      </c>
      <c r="P6" s="39">
        <v>10000.0</v>
      </c>
      <c r="Q6" s="39">
        <v>4700.0</v>
      </c>
      <c r="R6" s="46">
        <v>0.67</v>
      </c>
      <c r="S6" s="50">
        <f>IFERROR(__xludf.DUMMYFUNCTION("((IFERROR(MIN(FILTER({K6, N6, Q6}, ISNUMBER({K6, N6, Q6}), {K6, N6, Q6} &gt; 0)), """"))*R6)+IFERROR(MIN(FILTER({K6, N6, Q6}, ISNUMBER({K6, N6, Q6}), {K6, N6, Q6} &gt; 0)), """")"),7849.0)</f>
        <v>7849</v>
      </c>
      <c r="T6" s="53">
        <f>IFERROR(__xludf.DUMMYFUNCTION("(S6-(IFERROR(MIN(FILTER({K6, N6, Q6}, ISNUMBER({K6, N6, Q6}), {K6, N6, Q6} &gt; 0)), """")))/S6"),0.40119760479041916)</f>
        <v>0.4011976048</v>
      </c>
    </row>
    <row r="7" ht="22.5" customHeight="1">
      <c r="A7" s="28" t="s">
        <v>32</v>
      </c>
      <c r="B7" s="28" t="s">
        <v>33</v>
      </c>
      <c r="C7" s="30" t="s">
        <v>34</v>
      </c>
      <c r="D7" s="31" t="s">
        <v>35</v>
      </c>
      <c r="E7" s="33" t="s">
        <v>36</v>
      </c>
      <c r="F7" s="28" t="s">
        <v>37</v>
      </c>
      <c r="G7" s="36" t="s">
        <v>41</v>
      </c>
      <c r="H7" s="28" t="s">
        <v>44</v>
      </c>
      <c r="I7" s="39">
        <v>15000.0</v>
      </c>
      <c r="J7" s="39">
        <v>15000.0</v>
      </c>
      <c r="K7" s="41"/>
      <c r="L7" s="42">
        <v>15000.0</v>
      </c>
      <c r="M7" s="42">
        <v>15000.0</v>
      </c>
      <c r="N7" s="42"/>
      <c r="O7" s="39">
        <v>15000.0</v>
      </c>
      <c r="P7" s="39">
        <v>15000.0</v>
      </c>
      <c r="Q7" s="39">
        <v>4300.0</v>
      </c>
      <c r="R7" s="46">
        <v>0.67</v>
      </c>
      <c r="S7" s="50">
        <f>IFERROR(__xludf.DUMMYFUNCTION("((IFERROR(MIN(FILTER({K7, N7, Q7}, ISNUMBER({K7, N7, Q7}), {K7, N7, Q7} &gt; 0)), """"))*R7)+IFERROR(MIN(FILTER({K7, N7, Q7}, ISNUMBER({K7, N7, Q7}), {K7, N7, Q7} &gt; 0)), """")"),7181.0)</f>
        <v>7181</v>
      </c>
      <c r="T7" s="53">
        <f>IFERROR(__xludf.DUMMYFUNCTION("(S7-(IFERROR(MIN(FILTER({K7, N7, Q7}, ISNUMBER({K7, N7, Q7}), {K7, N7, Q7} &gt; 0)), """")))/S7"),0.40119760479041916)</f>
        <v>0.4011976048</v>
      </c>
    </row>
    <row r="8" ht="22.5" customHeight="1">
      <c r="A8" s="28" t="s">
        <v>64</v>
      </c>
      <c r="B8" s="28" t="s">
        <v>65</v>
      </c>
      <c r="C8" s="30" t="s">
        <v>42</v>
      </c>
      <c r="D8" s="31" t="s">
        <v>66</v>
      </c>
      <c r="E8" s="33" t="s">
        <v>63</v>
      </c>
      <c r="F8" s="28" t="s">
        <v>67</v>
      </c>
      <c r="G8" s="36" t="s">
        <v>41</v>
      </c>
      <c r="H8" s="28" t="s">
        <v>44</v>
      </c>
      <c r="I8" s="39">
        <v>2000.0</v>
      </c>
      <c r="J8" s="39">
        <v>2000.0</v>
      </c>
      <c r="K8" s="41"/>
      <c r="L8" s="42">
        <v>2000.0</v>
      </c>
      <c r="M8" s="42">
        <v>2000.0</v>
      </c>
      <c r="N8" s="42"/>
      <c r="O8" s="39">
        <v>2000.0</v>
      </c>
      <c r="P8" s="39">
        <v>2000.0</v>
      </c>
      <c r="Q8" s="39">
        <v>3200.0</v>
      </c>
      <c r="R8" s="46">
        <v>0.67</v>
      </c>
      <c r="S8" s="50">
        <f>IFERROR(__xludf.DUMMYFUNCTION("((IFERROR(MIN(FILTER({K8, N8, Q8}, ISNUMBER({K8, N8, Q8}), {K8, N8, Q8} &gt; 0)), """"))*R8)+IFERROR(MIN(FILTER({K8, N8, Q8}, ISNUMBER({K8, N8, Q8}), {K8, N8, Q8} &gt; 0)), """")"),5344.0)</f>
        <v>5344</v>
      </c>
      <c r="T8" s="53">
        <f>IFERROR(__xludf.DUMMYFUNCTION("(S8-(IFERROR(MIN(FILTER({K8, N8, Q8}, ISNUMBER({K8, N8, Q8}), {K8, N8, Q8} &gt; 0)), """")))/S8"),0.40119760479041916)</f>
        <v>0.4011976048</v>
      </c>
    </row>
    <row r="9" ht="22.5" customHeight="1">
      <c r="A9" s="28" t="s">
        <v>70</v>
      </c>
      <c r="B9" s="28" t="s">
        <v>71</v>
      </c>
      <c r="C9" s="30" t="s">
        <v>72</v>
      </c>
      <c r="D9" s="31" t="s">
        <v>73</v>
      </c>
      <c r="E9" s="33" t="s">
        <v>55</v>
      </c>
      <c r="F9" s="28" t="s">
        <v>74</v>
      </c>
      <c r="G9" s="36" t="s">
        <v>41</v>
      </c>
      <c r="H9" s="28" t="s">
        <v>44</v>
      </c>
      <c r="I9" s="39">
        <v>2000.0</v>
      </c>
      <c r="J9" s="39">
        <v>2000.0</v>
      </c>
      <c r="K9" s="41"/>
      <c r="L9" s="42">
        <v>2000.0</v>
      </c>
      <c r="M9" s="42">
        <v>2000.0</v>
      </c>
      <c r="N9" s="42"/>
      <c r="O9" s="39">
        <v>2000.0</v>
      </c>
      <c r="P9" s="39">
        <v>2000.0</v>
      </c>
      <c r="Q9" s="39">
        <v>2400.0</v>
      </c>
      <c r="R9" s="46">
        <v>0.67</v>
      </c>
      <c r="S9" s="50">
        <f>IFERROR(__xludf.DUMMYFUNCTION("((IFERROR(MIN(FILTER({K9, N9, Q9}, ISNUMBER({K9, N9, Q9}), {K9, N9, Q9} &gt; 0)), """"))*R9)+IFERROR(MIN(FILTER({K9, N9, Q9}, ISNUMBER({K9, N9, Q9}), {K9, N9, Q9} &gt; 0)), """")"),4008.0)</f>
        <v>4008</v>
      </c>
      <c r="T9" s="53">
        <f>IFERROR(__xludf.DUMMYFUNCTION("(S9-(IFERROR(MIN(FILTER({K9, N9, Q9}, ISNUMBER({K9, N9, Q9}), {K9, N9, Q9} &gt; 0)), """")))/S9"),0.40119760479041916)</f>
        <v>0.4011976048</v>
      </c>
    </row>
    <row r="10" ht="22.5" customHeight="1">
      <c r="A10" s="28" t="s">
        <v>78</v>
      </c>
      <c r="B10" s="28" t="s">
        <v>71</v>
      </c>
      <c r="C10" s="30" t="s">
        <v>72</v>
      </c>
      <c r="D10" s="31" t="s">
        <v>79</v>
      </c>
      <c r="E10" s="33" t="s">
        <v>63</v>
      </c>
      <c r="F10" s="28" t="s">
        <v>67</v>
      </c>
      <c r="G10" s="36" t="s">
        <v>41</v>
      </c>
      <c r="H10" s="28" t="s">
        <v>44</v>
      </c>
      <c r="I10" s="39">
        <v>2000.0</v>
      </c>
      <c r="J10" s="39">
        <v>2000.0</v>
      </c>
      <c r="K10" s="41"/>
      <c r="L10" s="42">
        <v>2000.0</v>
      </c>
      <c r="M10" s="42">
        <v>2000.0</v>
      </c>
      <c r="N10" s="42"/>
      <c r="O10" s="39">
        <v>2000.0</v>
      </c>
      <c r="P10" s="39">
        <v>2000.0</v>
      </c>
      <c r="Q10" s="39">
        <v>1700.0</v>
      </c>
      <c r="R10" s="46">
        <v>0.67</v>
      </c>
      <c r="S10" s="50">
        <f>IFERROR(__xludf.DUMMYFUNCTION("((IFERROR(MIN(FILTER({K10, N10, Q10}, ISNUMBER({K10, N10, Q10}), {K10, N10, Q10} &gt; 0)), """"))*R10)+IFERROR(MIN(FILTER({K10, N10, Q10}, ISNUMBER({K10, N10, Q10}), {K10, N10, Q10} &gt; 0)), """")"),2839.0)</f>
        <v>2839</v>
      </c>
      <c r="T10" s="53">
        <f>IFERROR(__xludf.DUMMYFUNCTION("(S10-(IFERROR(MIN(FILTER({K10, N10, Q10}, ISNUMBER({K10, N10, Q10}), {K10, N10, Q10} &gt; 0)), """")))/S10"),0.40119760479041916)</f>
        <v>0.4011976048</v>
      </c>
    </row>
    <row r="11" ht="22.5" customHeight="1">
      <c r="A11" s="28" t="s">
        <v>83</v>
      </c>
      <c r="B11" s="28" t="s">
        <v>65</v>
      </c>
      <c r="C11" s="30" t="s">
        <v>42</v>
      </c>
      <c r="D11" s="31" t="s">
        <v>84</v>
      </c>
      <c r="E11" s="33" t="s">
        <v>55</v>
      </c>
      <c r="F11" s="28" t="s">
        <v>58</v>
      </c>
      <c r="G11" s="36" t="s">
        <v>41</v>
      </c>
      <c r="H11" s="28" t="s">
        <v>44</v>
      </c>
      <c r="I11" s="39">
        <v>1000.0</v>
      </c>
      <c r="J11" s="39">
        <v>1000.0</v>
      </c>
      <c r="K11" s="41"/>
      <c r="L11" s="42">
        <v>1000.0</v>
      </c>
      <c r="M11" s="42">
        <v>1000.0</v>
      </c>
      <c r="N11" s="42"/>
      <c r="O11" s="39">
        <v>1000.0</v>
      </c>
      <c r="P11" s="39">
        <v>1000.0</v>
      </c>
      <c r="Q11" s="39">
        <v>2350.0</v>
      </c>
      <c r="R11" s="46">
        <v>0.67</v>
      </c>
      <c r="S11" s="50">
        <f>IFERROR(__xludf.DUMMYFUNCTION("((IFERROR(MIN(FILTER({K11, N11, Q11}, ISNUMBER({K11, N11, Q11}), {K11, N11, Q11} &gt; 0)), """"))*R11)+IFERROR(MIN(FILTER({K11, N11, Q11}, ISNUMBER({K11, N11, Q11}), {K11, N11, Q11} &gt; 0)), """")"),3924.5)</f>
        <v>3924.5</v>
      </c>
      <c r="T11" s="53">
        <f>IFERROR(__xludf.DUMMYFUNCTION("(S11-(IFERROR(MIN(FILTER({K11, N11, Q11}, ISNUMBER({K11, N11, Q11}), {K11, N11, Q11} &gt; 0)), """")))/S11"),0.40119760479041916)</f>
        <v>0.4011976048</v>
      </c>
    </row>
    <row r="12" ht="22.5" customHeight="1">
      <c r="A12" s="28" t="s">
        <v>83</v>
      </c>
      <c r="B12" s="28" t="s">
        <v>65</v>
      </c>
      <c r="C12" s="30" t="s">
        <v>42</v>
      </c>
      <c r="D12" s="31" t="s">
        <v>84</v>
      </c>
      <c r="E12" s="33" t="s">
        <v>55</v>
      </c>
      <c r="F12" s="28" t="s">
        <v>58</v>
      </c>
      <c r="G12" s="36" t="s">
        <v>41</v>
      </c>
      <c r="H12" s="28" t="s">
        <v>44</v>
      </c>
      <c r="I12" s="39">
        <v>2000.0</v>
      </c>
      <c r="J12" s="39">
        <v>2000.0</v>
      </c>
      <c r="K12" s="41"/>
      <c r="L12" s="42">
        <v>2000.0</v>
      </c>
      <c r="M12" s="42">
        <v>2000.0</v>
      </c>
      <c r="N12" s="42"/>
      <c r="O12" s="39">
        <v>2000.0</v>
      </c>
      <c r="P12" s="39">
        <v>2000.0</v>
      </c>
      <c r="Q12" s="39">
        <v>2050.0</v>
      </c>
      <c r="R12" s="46">
        <v>0.67</v>
      </c>
      <c r="S12" s="50">
        <f>IFERROR(__xludf.DUMMYFUNCTION("((IFERROR(MIN(FILTER({K12, N12, Q12}, ISNUMBER({K12, N12, Q12}), {K12, N12, Q12} &gt; 0)), """"))*R12)+IFERROR(MIN(FILTER({K12, N12, Q12}, ISNUMBER({K12, N12, Q12}), {K12, N12, Q12} &gt; 0)), """")"),3423.5)</f>
        <v>3423.5</v>
      </c>
      <c r="T12" s="53">
        <f>IFERROR(__xludf.DUMMYFUNCTION("(S12-(IFERROR(MIN(FILTER({K12, N12, Q12}, ISNUMBER({K12, N12, Q12}), {K12, N12, Q12} &gt; 0)), """")))/S12"),0.40119760479041916)</f>
        <v>0.4011976048</v>
      </c>
    </row>
    <row r="13" ht="22.5" customHeight="1">
      <c r="A13" s="28" t="s">
        <v>88</v>
      </c>
      <c r="B13" s="28" t="s">
        <v>89</v>
      </c>
      <c r="C13" s="30" t="s">
        <v>42</v>
      </c>
      <c r="D13" s="31" t="s">
        <v>90</v>
      </c>
      <c r="E13" s="33" t="s">
        <v>36</v>
      </c>
      <c r="F13" s="28" t="s">
        <v>91</v>
      </c>
      <c r="G13" s="36" t="s">
        <v>41</v>
      </c>
      <c r="H13" s="28" t="s">
        <v>44</v>
      </c>
      <c r="I13" s="39">
        <v>1000.0</v>
      </c>
      <c r="J13" s="39">
        <v>1000.0</v>
      </c>
      <c r="K13" s="41"/>
      <c r="L13" s="42">
        <v>1000.0</v>
      </c>
      <c r="M13" s="42">
        <v>1000.0</v>
      </c>
      <c r="N13" s="42"/>
      <c r="O13" s="39">
        <v>1000.0</v>
      </c>
      <c r="P13" s="39">
        <v>1000.0</v>
      </c>
      <c r="Q13" s="39">
        <v>2100.0</v>
      </c>
      <c r="R13" s="46">
        <v>0.67</v>
      </c>
      <c r="S13" s="50">
        <f>IFERROR(__xludf.DUMMYFUNCTION("((IFERROR(MIN(FILTER({K13, N13, Q13}, ISNUMBER({K13, N13, Q13}), {K13, N13, Q13} &gt; 0)), """"))*R13)+IFERROR(MIN(FILTER({K13, N13, Q13}, ISNUMBER({K13, N13, Q13}), {K13, N13, Q13} &gt; 0)), """")"),3507.0)</f>
        <v>3507</v>
      </c>
      <c r="T13" s="53">
        <f>IFERROR(__xludf.DUMMYFUNCTION("(S13-(IFERROR(MIN(FILTER({K13, N13, Q13}, ISNUMBER({K13, N13, Q13}), {K13, N13, Q13} &gt; 0)), """")))/S13"),0.40119760479041916)</f>
        <v>0.4011976048</v>
      </c>
    </row>
    <row r="14" ht="22.5" customHeight="1">
      <c r="A14" s="28" t="s">
        <v>88</v>
      </c>
      <c r="B14" s="28" t="s">
        <v>89</v>
      </c>
      <c r="C14" s="30" t="s">
        <v>42</v>
      </c>
      <c r="D14" s="31" t="s">
        <v>90</v>
      </c>
      <c r="E14" s="33" t="s">
        <v>36</v>
      </c>
      <c r="F14" s="28" t="s">
        <v>91</v>
      </c>
      <c r="G14" s="36" t="s">
        <v>41</v>
      </c>
      <c r="H14" s="28" t="s">
        <v>44</v>
      </c>
      <c r="I14" s="39">
        <v>2000.0</v>
      </c>
      <c r="J14" s="39">
        <v>2000.0</v>
      </c>
      <c r="K14" s="41"/>
      <c r="L14" s="42">
        <v>2000.0</v>
      </c>
      <c r="M14" s="42">
        <v>2000.0</v>
      </c>
      <c r="N14" s="42"/>
      <c r="O14" s="39">
        <v>2000.0</v>
      </c>
      <c r="P14" s="39">
        <v>2000.0</v>
      </c>
      <c r="Q14" s="39">
        <v>1300.0</v>
      </c>
      <c r="R14" s="46">
        <v>0.67</v>
      </c>
      <c r="S14" s="50">
        <f>IFERROR(__xludf.DUMMYFUNCTION("((IFERROR(MIN(FILTER({K14, N14, Q14}, ISNUMBER({K14, N14, Q14}), {K14, N14, Q14} &gt; 0)), """"))*R14)+IFERROR(MIN(FILTER({K14, N14, Q14}, ISNUMBER({K14, N14, Q14}), {K14, N14, Q14} &gt; 0)), """")"),2171.0)</f>
        <v>2171</v>
      </c>
      <c r="T14" s="53">
        <f>IFERROR(__xludf.DUMMYFUNCTION("(S14-(IFERROR(MIN(FILTER({K14, N14, Q14}, ISNUMBER({K14, N14, Q14}), {K14, N14, Q14} &gt; 0)), """")))/S14"),0.40119760479041916)</f>
        <v>0.4011976048</v>
      </c>
    </row>
    <row r="15" ht="22.5" customHeight="1">
      <c r="A15" s="28" t="s">
        <v>101</v>
      </c>
      <c r="B15" s="28" t="s">
        <v>65</v>
      </c>
      <c r="C15" s="30" t="s">
        <v>72</v>
      </c>
      <c r="D15" s="31" t="s">
        <v>102</v>
      </c>
      <c r="E15" s="33" t="s">
        <v>36</v>
      </c>
      <c r="F15" s="28" t="s">
        <v>103</v>
      </c>
      <c r="G15" s="36" t="s">
        <v>41</v>
      </c>
      <c r="H15" s="28" t="s">
        <v>44</v>
      </c>
      <c r="I15" s="39">
        <v>1000.0</v>
      </c>
      <c r="J15" s="39">
        <v>1000.0</v>
      </c>
      <c r="K15" s="41"/>
      <c r="L15" s="42">
        <v>1000.0</v>
      </c>
      <c r="M15" s="42">
        <v>1000.0</v>
      </c>
      <c r="N15" s="42"/>
      <c r="O15" s="39">
        <v>1000.0</v>
      </c>
      <c r="P15" s="39">
        <v>1000.0</v>
      </c>
      <c r="Q15" s="39">
        <v>3100.0</v>
      </c>
      <c r="R15" s="46">
        <v>0.67</v>
      </c>
      <c r="S15" s="50">
        <f>IFERROR(__xludf.DUMMYFUNCTION("((IFERROR(MIN(FILTER({K15, N15, Q15}, ISNUMBER({K15, N15, Q15}), {K15, N15, Q15} &gt; 0)), """"))*R15)+IFERROR(MIN(FILTER({K15, N15, Q15}, ISNUMBER({K15, N15, Q15}), {K15, N15, Q15} &gt; 0)), """")"),5177.0)</f>
        <v>5177</v>
      </c>
      <c r="T15" s="53">
        <f>IFERROR(__xludf.DUMMYFUNCTION("(S15-(IFERROR(MIN(FILTER({K15, N15, Q15}, ISNUMBER({K15, N15, Q15}), {K15, N15, Q15} &gt; 0)), """")))/S15"),0.40119760479041916)</f>
        <v>0.4011976048</v>
      </c>
    </row>
    <row r="16" ht="22.5" customHeight="1">
      <c r="A16" s="28" t="s">
        <v>101</v>
      </c>
      <c r="B16" s="28" t="s">
        <v>65</v>
      </c>
      <c r="C16" s="30" t="s">
        <v>72</v>
      </c>
      <c r="D16" s="31" t="s">
        <v>102</v>
      </c>
      <c r="E16" s="33" t="s">
        <v>55</v>
      </c>
      <c r="F16" s="28" t="s">
        <v>103</v>
      </c>
      <c r="G16" s="36" t="s">
        <v>41</v>
      </c>
      <c r="H16" s="28" t="s">
        <v>44</v>
      </c>
      <c r="I16" s="39">
        <v>2000.0</v>
      </c>
      <c r="J16" s="39">
        <v>2000.0</v>
      </c>
      <c r="K16" s="41"/>
      <c r="L16" s="42">
        <v>2000.0</v>
      </c>
      <c r="M16" s="42">
        <v>2000.0</v>
      </c>
      <c r="N16" s="42"/>
      <c r="O16" s="39">
        <v>2000.0</v>
      </c>
      <c r="P16" s="39">
        <v>2000.0</v>
      </c>
      <c r="Q16" s="39">
        <v>2400.0</v>
      </c>
      <c r="R16" s="46">
        <v>0.67</v>
      </c>
      <c r="S16" s="50">
        <f>IFERROR(__xludf.DUMMYFUNCTION("((IFERROR(MIN(FILTER({K16, N16, Q16}, ISNUMBER({K16, N16, Q16}), {K16, N16, Q16} &gt; 0)), """"))*R16)+IFERROR(MIN(FILTER({K16, N16, Q16}, ISNUMBER({K16, N16, Q16}), {K16, N16, Q16} &gt; 0)), """")"),4008.0)</f>
        <v>4008</v>
      </c>
      <c r="T16" s="53">
        <f>IFERROR(__xludf.DUMMYFUNCTION("(S16-(IFERROR(MIN(FILTER({K16, N16, Q16}, ISNUMBER({K16, N16, Q16}), {K16, N16, Q16} &gt; 0)), """")))/S16"),0.40119760479041916)</f>
        <v>0.4011976048</v>
      </c>
    </row>
    <row r="17" ht="22.5" customHeight="1">
      <c r="A17" s="28" t="s">
        <v>113</v>
      </c>
      <c r="B17" s="28" t="s">
        <v>71</v>
      </c>
      <c r="C17" s="30" t="s">
        <v>42</v>
      </c>
      <c r="D17" s="31" t="s">
        <v>117</v>
      </c>
      <c r="E17" s="33" t="s">
        <v>36</v>
      </c>
      <c r="F17" s="28" t="s">
        <v>118</v>
      </c>
      <c r="G17" s="36" t="s">
        <v>41</v>
      </c>
      <c r="H17" s="28" t="s">
        <v>44</v>
      </c>
      <c r="I17" s="39">
        <v>10000.0</v>
      </c>
      <c r="J17" s="39">
        <v>10000.0</v>
      </c>
      <c r="K17" s="41"/>
      <c r="L17" s="42">
        <v>10000.0</v>
      </c>
      <c r="M17" s="42">
        <v>10000.0</v>
      </c>
      <c r="N17" s="42"/>
      <c r="O17" s="39">
        <v>10000.0</v>
      </c>
      <c r="P17" s="39">
        <v>10000.0</v>
      </c>
      <c r="Q17" s="39">
        <v>1050.0</v>
      </c>
      <c r="R17" s="46">
        <v>0.67</v>
      </c>
      <c r="S17" s="50">
        <f>IFERROR(__xludf.DUMMYFUNCTION("((IFERROR(MIN(FILTER({K17, N17, Q17}, ISNUMBER({K17, N17, Q17}), {K17, N17, Q17} &gt; 0)), """"))*R17)+IFERROR(MIN(FILTER({K17, N17, Q17}, ISNUMBER({K17, N17, Q17}), {K17, N17, Q17} &gt; 0)), """")"),1753.5)</f>
        <v>1753.5</v>
      </c>
      <c r="T17" s="53">
        <f>IFERROR(__xludf.DUMMYFUNCTION("(S17-(IFERROR(MIN(FILTER({K17, N17, Q17}, ISNUMBER({K17, N17, Q17}), {K17, N17, Q17} &gt; 0)), """")))/S17"),0.40119760479041916)</f>
        <v>0.4011976048</v>
      </c>
    </row>
    <row r="18" ht="22.5" customHeight="1">
      <c r="A18" s="28" t="s">
        <v>122</v>
      </c>
      <c r="B18" s="28" t="s">
        <v>65</v>
      </c>
      <c r="C18" s="30" t="s">
        <v>42</v>
      </c>
      <c r="D18" s="31" t="s">
        <v>124</v>
      </c>
      <c r="E18" s="33" t="s">
        <v>36</v>
      </c>
      <c r="F18" s="28" t="s">
        <v>125</v>
      </c>
      <c r="G18" s="36" t="s">
        <v>41</v>
      </c>
      <c r="H18" s="28" t="s">
        <v>44</v>
      </c>
      <c r="I18" s="39">
        <v>1000.0</v>
      </c>
      <c r="J18" s="39">
        <v>1000.0</v>
      </c>
      <c r="K18" s="41"/>
      <c r="L18" s="42">
        <v>1000.0</v>
      </c>
      <c r="M18" s="42">
        <v>1000.0</v>
      </c>
      <c r="N18" s="42"/>
      <c r="O18" s="39">
        <v>1000.0</v>
      </c>
      <c r="P18" s="39">
        <v>1000.0</v>
      </c>
      <c r="Q18" s="39">
        <v>2600.0</v>
      </c>
      <c r="R18" s="46">
        <v>0.67</v>
      </c>
      <c r="S18" s="50">
        <f>IFERROR(__xludf.DUMMYFUNCTION("((IFERROR(MIN(FILTER({K18, N18, Q18}, ISNUMBER({K18, N18, Q18}), {K18, N18, Q18} &gt; 0)), """"))*R18)+IFERROR(MIN(FILTER({K18, N18, Q18}, ISNUMBER({K18, N18, Q18}), {K18, N18, Q18} &gt; 0)), """")"),4342.0)</f>
        <v>4342</v>
      </c>
      <c r="T18" s="53">
        <f>IFERROR(__xludf.DUMMYFUNCTION("(S18-(IFERROR(MIN(FILTER({K18, N18, Q18}, ISNUMBER({K18, N18, Q18}), {K18, N18, Q18} &gt; 0)), """")))/S18"),0.40119760479041916)</f>
        <v>0.4011976048</v>
      </c>
    </row>
    <row r="19" ht="22.5" customHeight="1">
      <c r="A19" s="28" t="s">
        <v>122</v>
      </c>
      <c r="B19" s="28" t="s">
        <v>65</v>
      </c>
      <c r="C19" s="30" t="s">
        <v>42</v>
      </c>
      <c r="D19" s="31" t="s">
        <v>124</v>
      </c>
      <c r="E19" s="33" t="s">
        <v>36</v>
      </c>
      <c r="F19" s="28" t="s">
        <v>125</v>
      </c>
      <c r="G19" s="36" t="s">
        <v>41</v>
      </c>
      <c r="H19" s="28" t="s">
        <v>44</v>
      </c>
      <c r="I19" s="39">
        <v>2000.0</v>
      </c>
      <c r="J19" s="39">
        <v>2000.0</v>
      </c>
      <c r="K19" s="41"/>
      <c r="L19" s="42">
        <v>2000.0</v>
      </c>
      <c r="M19" s="42">
        <v>2000.0</v>
      </c>
      <c r="N19" s="42"/>
      <c r="O19" s="39">
        <v>2000.0</v>
      </c>
      <c r="P19" s="39">
        <v>2000.0</v>
      </c>
      <c r="Q19" s="39">
        <v>1900.0</v>
      </c>
      <c r="R19" s="46">
        <v>0.67</v>
      </c>
      <c r="S19" s="50">
        <f>IFERROR(__xludf.DUMMYFUNCTION("((IFERROR(MIN(FILTER({K19, N19, Q19}, ISNUMBER({K19, N19, Q19}), {K19, N19, Q19} &gt; 0)), """"))*R19)+IFERROR(MIN(FILTER({K19, N19, Q19}, ISNUMBER({K19, N19, Q19}), {K19, N19, Q19} &gt; 0)), """")"),3173.0)</f>
        <v>3173</v>
      </c>
      <c r="T19" s="53">
        <f>IFERROR(__xludf.DUMMYFUNCTION("(S19-(IFERROR(MIN(FILTER({K19, N19, Q19}, ISNUMBER({K19, N19, Q19}), {K19, N19, Q19} &gt; 0)), """")))/S19"),0.40119760479041916)</f>
        <v>0.4011976048</v>
      </c>
    </row>
    <row r="20" ht="22.5" customHeight="1">
      <c r="A20" s="28" t="s">
        <v>136</v>
      </c>
      <c r="B20" s="28" t="s">
        <v>65</v>
      </c>
      <c r="C20" s="30" t="s">
        <v>42</v>
      </c>
      <c r="D20" s="31" t="s">
        <v>137</v>
      </c>
      <c r="E20" s="33" t="s">
        <v>63</v>
      </c>
      <c r="F20" s="28" t="s">
        <v>67</v>
      </c>
      <c r="G20" s="36" t="s">
        <v>41</v>
      </c>
      <c r="H20" s="28" t="s">
        <v>44</v>
      </c>
      <c r="I20" s="39">
        <v>1000.0</v>
      </c>
      <c r="J20" s="39">
        <v>1000.0</v>
      </c>
      <c r="K20" s="41"/>
      <c r="L20" s="42">
        <v>1000.0</v>
      </c>
      <c r="M20" s="42">
        <v>1000.0</v>
      </c>
      <c r="N20" s="42"/>
      <c r="O20" s="39">
        <v>1000.0</v>
      </c>
      <c r="P20" s="39">
        <v>1000.0</v>
      </c>
      <c r="Q20" s="39">
        <v>3200.0</v>
      </c>
      <c r="R20" s="46">
        <v>0.67</v>
      </c>
      <c r="S20" s="50">
        <f>IFERROR(__xludf.DUMMYFUNCTION("((IFERROR(MIN(FILTER({K20, N20, Q20}, ISNUMBER({K20, N20, Q20}), {K20, N20, Q20} &gt; 0)), """"))*R20)+IFERROR(MIN(FILTER({K20, N20, Q20}, ISNUMBER({K20, N20, Q20}), {K20, N20, Q20} &gt; 0)), """")"),5344.0)</f>
        <v>5344</v>
      </c>
      <c r="T20" s="53">
        <f>IFERROR(__xludf.DUMMYFUNCTION("(S20-(IFERROR(MIN(FILTER({K20, N20, Q20}, ISNUMBER({K20, N20, Q20}), {K20, N20, Q20} &gt; 0)), """")))/S20"),0.40119760479041916)</f>
        <v>0.4011976048</v>
      </c>
    </row>
    <row r="21" ht="22.5" customHeight="1">
      <c r="A21" s="28" t="s">
        <v>136</v>
      </c>
      <c r="B21" s="28" t="s">
        <v>65</v>
      </c>
      <c r="C21" s="30" t="s">
        <v>42</v>
      </c>
      <c r="D21" s="31" t="s">
        <v>137</v>
      </c>
      <c r="E21" s="33" t="s">
        <v>63</v>
      </c>
      <c r="F21" s="28" t="s">
        <v>67</v>
      </c>
      <c r="G21" s="36" t="s">
        <v>41</v>
      </c>
      <c r="H21" s="28" t="s">
        <v>44</v>
      </c>
      <c r="I21" s="39">
        <v>2000.0</v>
      </c>
      <c r="J21" s="39">
        <v>2000.0</v>
      </c>
      <c r="K21" s="41"/>
      <c r="L21" s="42">
        <v>2000.0</v>
      </c>
      <c r="M21" s="42">
        <v>2000.0</v>
      </c>
      <c r="N21" s="42"/>
      <c r="O21" s="39">
        <v>2000.0</v>
      </c>
      <c r="P21" s="39">
        <v>2000.0</v>
      </c>
      <c r="Q21" s="39">
        <v>2500.0</v>
      </c>
      <c r="R21" s="46">
        <v>0.67</v>
      </c>
      <c r="S21" s="50">
        <f>IFERROR(__xludf.DUMMYFUNCTION("((IFERROR(MIN(FILTER({K21, N21, Q21}, ISNUMBER({K21, N21, Q21}), {K21, N21, Q21} &gt; 0)), """"))*R21)+IFERROR(MIN(FILTER({K21, N21, Q21}, ISNUMBER({K21, N21, Q21}), {K21, N21, Q21} &gt; 0)), """")"),4175.0)</f>
        <v>4175</v>
      </c>
      <c r="T21" s="53">
        <f>IFERROR(__xludf.DUMMYFUNCTION("(S21-(IFERROR(MIN(FILTER({K21, N21, Q21}, ISNUMBER({K21, N21, Q21}), {K21, N21, Q21} &gt; 0)), """")))/S21"),0.40119760479041916)</f>
        <v>0.4011976048</v>
      </c>
    </row>
    <row r="22" ht="22.5" customHeight="1">
      <c r="A22" s="28" t="s">
        <v>136</v>
      </c>
      <c r="B22" s="28" t="s">
        <v>65</v>
      </c>
      <c r="C22" s="30" t="s">
        <v>42</v>
      </c>
      <c r="D22" s="31" t="s">
        <v>137</v>
      </c>
      <c r="E22" s="33" t="s">
        <v>63</v>
      </c>
      <c r="F22" s="28" t="s">
        <v>67</v>
      </c>
      <c r="G22" s="36" t="s">
        <v>41</v>
      </c>
      <c r="H22" s="28" t="s">
        <v>44</v>
      </c>
      <c r="I22" s="39">
        <v>3000.0</v>
      </c>
      <c r="J22" s="39">
        <v>3000.0</v>
      </c>
      <c r="K22" s="41"/>
      <c r="L22" s="42">
        <v>3000.0</v>
      </c>
      <c r="M22" s="42">
        <v>3000.0</v>
      </c>
      <c r="N22" s="42"/>
      <c r="O22" s="39">
        <v>3000.0</v>
      </c>
      <c r="P22" s="39">
        <v>3000.0</v>
      </c>
      <c r="Q22" s="39">
        <v>2100.0</v>
      </c>
      <c r="R22" s="46">
        <v>0.67</v>
      </c>
      <c r="S22" s="50">
        <f>IFERROR(__xludf.DUMMYFUNCTION("((IFERROR(MIN(FILTER({K22, N22, Q22}, ISNUMBER({K22, N22, Q22}), {K22, N22, Q22} &gt; 0)), """"))*R22)+IFERROR(MIN(FILTER({K22, N22, Q22}, ISNUMBER({K22, N22, Q22}), {K22, N22, Q22} &gt; 0)), """")"),3507.0)</f>
        <v>3507</v>
      </c>
      <c r="T22" s="53">
        <f>IFERROR(__xludf.DUMMYFUNCTION("(S22-(IFERROR(MIN(FILTER({K22, N22, Q22}, ISNUMBER({K22, N22, Q22}), {K22, N22, Q22} &gt; 0)), """")))/S22"),0.40119760479041916)</f>
        <v>0.4011976048</v>
      </c>
    </row>
    <row r="23" ht="22.5" customHeight="1">
      <c r="A23" s="28" t="s">
        <v>145</v>
      </c>
      <c r="B23" s="28" t="s">
        <v>146</v>
      </c>
      <c r="C23" s="30" t="s">
        <v>42</v>
      </c>
      <c r="D23" s="31" t="s">
        <v>148</v>
      </c>
      <c r="E23" s="33" t="s">
        <v>36</v>
      </c>
      <c r="F23" s="28" t="s">
        <v>151</v>
      </c>
      <c r="G23" s="36" t="s">
        <v>41</v>
      </c>
      <c r="H23" s="28" t="s">
        <v>44</v>
      </c>
      <c r="I23" s="39">
        <v>2000.0</v>
      </c>
      <c r="J23" s="39">
        <v>2000.0</v>
      </c>
      <c r="K23" s="41"/>
      <c r="L23" s="42">
        <v>2000.0</v>
      </c>
      <c r="M23" s="42">
        <v>2000.0</v>
      </c>
      <c r="N23" s="42"/>
      <c r="O23" s="39">
        <v>2000.0</v>
      </c>
      <c r="P23" s="39">
        <v>2000.0</v>
      </c>
      <c r="Q23" s="39">
        <v>1500.0</v>
      </c>
      <c r="R23" s="46">
        <v>0.67</v>
      </c>
      <c r="S23" s="50">
        <f>IFERROR(__xludf.DUMMYFUNCTION("((IFERROR(MIN(FILTER({K23, N23, Q23}, ISNUMBER({K23, N23, Q23}), {K23, N23, Q23} &gt; 0)), """"))*R23)+IFERROR(MIN(FILTER({K23, N23, Q23}, ISNUMBER({K23, N23, Q23}), {K23, N23, Q23} &gt; 0)), """")"),2505.0)</f>
        <v>2505</v>
      </c>
      <c r="T23" s="53">
        <f>IFERROR(__xludf.DUMMYFUNCTION("(S23-(IFERROR(MIN(FILTER({K23, N23, Q23}, ISNUMBER({K23, N23, Q23}), {K23, N23, Q23} &gt; 0)), """")))/S23"),0.40119760479041916)</f>
        <v>0.4011976048</v>
      </c>
    </row>
    <row r="24" ht="22.5" customHeight="1">
      <c r="A24" s="28" t="s">
        <v>145</v>
      </c>
      <c r="B24" s="28" t="s">
        <v>146</v>
      </c>
      <c r="C24" s="30" t="s">
        <v>42</v>
      </c>
      <c r="D24" s="31" t="s">
        <v>153</v>
      </c>
      <c r="E24" s="33" t="s">
        <v>36</v>
      </c>
      <c r="F24" s="28" t="s">
        <v>151</v>
      </c>
      <c r="G24" s="36" t="s">
        <v>41</v>
      </c>
      <c r="H24" s="28" t="s">
        <v>44</v>
      </c>
      <c r="I24" s="39">
        <v>5000.0</v>
      </c>
      <c r="J24" s="39">
        <v>5000.0</v>
      </c>
      <c r="K24" s="41"/>
      <c r="L24" s="42">
        <v>5000.0</v>
      </c>
      <c r="M24" s="42">
        <v>5000.0</v>
      </c>
      <c r="N24" s="42"/>
      <c r="O24" s="39">
        <v>5000.0</v>
      </c>
      <c r="P24" s="39">
        <v>5000.0</v>
      </c>
      <c r="Q24" s="39">
        <v>1150.0</v>
      </c>
      <c r="R24" s="46">
        <v>0.67</v>
      </c>
      <c r="S24" s="50">
        <f>IFERROR(__xludf.DUMMYFUNCTION("((IFERROR(MIN(FILTER({K24, N24, Q24}, ISNUMBER({K24, N24, Q24}), {K24, N24, Q24} &gt; 0)), """"))*R24)+IFERROR(MIN(FILTER({K24, N24, Q24}, ISNUMBER({K24, N24, Q24}), {K24, N24, Q24} &gt; 0)), """")"),1920.5)</f>
        <v>1920.5</v>
      </c>
      <c r="T24" s="53">
        <f>IFERROR(__xludf.DUMMYFUNCTION("(S24-(IFERROR(MIN(FILTER({K24, N24, Q24}, ISNUMBER({K24, N24, Q24}), {K24, N24, Q24} &gt; 0)), """")))/S24"),0.40119760479041916)</f>
        <v>0.4011976048</v>
      </c>
    </row>
    <row r="25" ht="22.5" customHeight="1">
      <c r="A25" s="28" t="s">
        <v>154</v>
      </c>
      <c r="B25" s="28" t="s">
        <v>146</v>
      </c>
      <c r="C25" s="30" t="s">
        <v>155</v>
      </c>
      <c r="D25" s="31" t="s">
        <v>156</v>
      </c>
      <c r="E25" s="33" t="s">
        <v>55</v>
      </c>
      <c r="F25" s="28" t="s">
        <v>157</v>
      </c>
      <c r="G25" s="36" t="s">
        <v>41</v>
      </c>
      <c r="H25" s="28" t="s">
        <v>44</v>
      </c>
      <c r="I25" s="39">
        <v>1000.0</v>
      </c>
      <c r="J25" s="39">
        <v>1000.0</v>
      </c>
      <c r="K25" s="41"/>
      <c r="L25" s="42">
        <v>1000.0</v>
      </c>
      <c r="M25" s="42">
        <v>1000.0</v>
      </c>
      <c r="N25" s="42"/>
      <c r="O25" s="39">
        <v>1000.0</v>
      </c>
      <c r="P25" s="39">
        <v>1000.0</v>
      </c>
      <c r="Q25" s="39">
        <v>1700.0</v>
      </c>
      <c r="R25" s="46">
        <v>0.67</v>
      </c>
      <c r="S25" s="50">
        <f>IFERROR(__xludf.DUMMYFUNCTION("((IFERROR(MIN(FILTER({K25, N25, Q25}, ISNUMBER({K25, N25, Q25}), {K25, N25, Q25} &gt; 0)), """"))*R25)+IFERROR(MIN(FILTER({K25, N25, Q25}, ISNUMBER({K25, N25, Q25}), {K25, N25, Q25} &gt; 0)), """")"),2839.0)</f>
        <v>2839</v>
      </c>
      <c r="T25" s="53">
        <f>IFERROR(__xludf.DUMMYFUNCTION("(S25-(IFERROR(MIN(FILTER({K25, N25, Q25}, ISNUMBER({K25, N25, Q25}), {K25, N25, Q25} &gt; 0)), """")))/S25"),0.40119760479041916)</f>
        <v>0.4011976048</v>
      </c>
    </row>
    <row r="26" ht="22.5" customHeight="1">
      <c r="A26" s="28" t="s">
        <v>154</v>
      </c>
      <c r="B26" s="28" t="s">
        <v>146</v>
      </c>
      <c r="C26" s="30" t="s">
        <v>159</v>
      </c>
      <c r="D26" s="31" t="s">
        <v>161</v>
      </c>
      <c r="E26" s="33" t="s">
        <v>55</v>
      </c>
      <c r="F26" s="28" t="s">
        <v>157</v>
      </c>
      <c r="G26" s="36" t="s">
        <v>41</v>
      </c>
      <c r="H26" s="28" t="s">
        <v>44</v>
      </c>
      <c r="I26" s="39">
        <v>2000.0</v>
      </c>
      <c r="J26" s="39">
        <v>2000.0</v>
      </c>
      <c r="K26" s="41"/>
      <c r="L26" s="42">
        <v>2000.0</v>
      </c>
      <c r="M26" s="42">
        <v>2000.0</v>
      </c>
      <c r="N26" s="42"/>
      <c r="O26" s="39">
        <v>2000.0</v>
      </c>
      <c r="P26" s="39">
        <v>2000.0</v>
      </c>
      <c r="Q26" s="39">
        <v>1400.0</v>
      </c>
      <c r="R26" s="46">
        <v>0.67</v>
      </c>
      <c r="S26" s="50">
        <f>IFERROR(__xludf.DUMMYFUNCTION("((IFERROR(MIN(FILTER({K26, N26, Q26}, ISNUMBER({K26, N26, Q26}), {K26, N26, Q26} &gt; 0)), """"))*R26)+IFERROR(MIN(FILTER({K26, N26, Q26}, ISNUMBER({K26, N26, Q26}), {K26, N26, Q26} &gt; 0)), """")"),2338.0)</f>
        <v>2338</v>
      </c>
      <c r="T26" s="53">
        <f>IFERROR(__xludf.DUMMYFUNCTION("(S26-(IFERROR(MIN(FILTER({K26, N26, Q26}, ISNUMBER({K26, N26, Q26}), {K26, N26, Q26} &gt; 0)), """")))/S26"),0.40119760479041916)</f>
        <v>0.4011976048</v>
      </c>
    </row>
    <row r="27" ht="22.5" customHeight="1">
      <c r="A27" s="28" t="s">
        <v>154</v>
      </c>
      <c r="B27" s="28" t="s">
        <v>146</v>
      </c>
      <c r="C27" s="30" t="s">
        <v>165</v>
      </c>
      <c r="D27" s="31" t="s">
        <v>166</v>
      </c>
      <c r="E27" s="33" t="s">
        <v>55</v>
      </c>
      <c r="F27" s="28" t="s">
        <v>157</v>
      </c>
      <c r="G27" s="36" t="s">
        <v>41</v>
      </c>
      <c r="H27" s="28" t="s">
        <v>44</v>
      </c>
      <c r="I27" s="39">
        <v>5000.0</v>
      </c>
      <c r="J27" s="39">
        <v>5000.0</v>
      </c>
      <c r="K27" s="41"/>
      <c r="L27" s="42">
        <v>5000.0</v>
      </c>
      <c r="M27" s="42">
        <v>5000.0</v>
      </c>
      <c r="N27" s="42"/>
      <c r="O27" s="39">
        <v>5000.0</v>
      </c>
      <c r="P27" s="39">
        <v>5000.0</v>
      </c>
      <c r="Q27" s="39">
        <v>1200.0</v>
      </c>
      <c r="R27" s="46">
        <v>0.67</v>
      </c>
      <c r="S27" s="50">
        <f>IFERROR(__xludf.DUMMYFUNCTION("((IFERROR(MIN(FILTER({K27, N27, Q27}, ISNUMBER({K27, N27, Q27}), {K27, N27, Q27} &gt; 0)), """"))*R27)+IFERROR(MIN(FILTER({K27, N27, Q27}, ISNUMBER({K27, N27, Q27}), {K27, N27, Q27} &gt; 0)), """")"),2004.0)</f>
        <v>2004</v>
      </c>
      <c r="T27" s="53">
        <f>IFERROR(__xludf.DUMMYFUNCTION("(S27-(IFERROR(MIN(FILTER({K27, N27, Q27}, ISNUMBER({K27, N27, Q27}), {K27, N27, Q27} &gt; 0)), """")))/S27"),0.40119760479041916)</f>
        <v>0.4011976048</v>
      </c>
    </row>
    <row r="28" ht="22.5" customHeight="1">
      <c r="A28" s="28" t="s">
        <v>167</v>
      </c>
      <c r="B28" s="28" t="s">
        <v>146</v>
      </c>
      <c r="C28" s="30" t="s">
        <v>72</v>
      </c>
      <c r="D28" s="31" t="s">
        <v>168</v>
      </c>
      <c r="E28" s="33" t="s">
        <v>63</v>
      </c>
      <c r="F28" s="28" t="s">
        <v>67</v>
      </c>
      <c r="G28" s="36" t="s">
        <v>41</v>
      </c>
      <c r="H28" s="28" t="s">
        <v>44</v>
      </c>
      <c r="I28" s="39">
        <v>1000.0</v>
      </c>
      <c r="J28" s="39">
        <v>1000.0</v>
      </c>
      <c r="K28" s="41"/>
      <c r="L28" s="42">
        <v>1000.0</v>
      </c>
      <c r="M28" s="42">
        <v>1000.0</v>
      </c>
      <c r="N28" s="42"/>
      <c r="O28" s="39">
        <v>1000.0</v>
      </c>
      <c r="P28" s="39">
        <v>1000.0</v>
      </c>
      <c r="Q28" s="39">
        <v>2600.0</v>
      </c>
      <c r="R28" s="46">
        <v>0.67</v>
      </c>
      <c r="S28" s="50">
        <f>IFERROR(__xludf.DUMMYFUNCTION("((IFERROR(MIN(FILTER({K28, N28, Q28}, ISNUMBER({K28, N28, Q28}), {K28, N28, Q28} &gt; 0)), """"))*R28)+IFERROR(MIN(FILTER({K28, N28, Q28}, ISNUMBER({K28, N28, Q28}), {K28, N28, Q28} &gt; 0)), """")"),4342.0)</f>
        <v>4342</v>
      </c>
      <c r="T28" s="53">
        <f>IFERROR(__xludf.DUMMYFUNCTION("(S28-(IFERROR(MIN(FILTER({K28, N28, Q28}, ISNUMBER({K28, N28, Q28}), {K28, N28, Q28} &gt; 0)), """")))/S28"),0.40119760479041916)</f>
        <v>0.4011976048</v>
      </c>
    </row>
    <row r="29" ht="22.5" customHeight="1">
      <c r="A29" s="28" t="s">
        <v>167</v>
      </c>
      <c r="B29" s="28" t="s">
        <v>146</v>
      </c>
      <c r="C29" s="30" t="s">
        <v>72</v>
      </c>
      <c r="D29" s="31" t="s">
        <v>168</v>
      </c>
      <c r="E29" s="33" t="s">
        <v>63</v>
      </c>
      <c r="F29" s="28" t="s">
        <v>67</v>
      </c>
      <c r="G29" s="36" t="s">
        <v>41</v>
      </c>
      <c r="H29" s="28" t="s">
        <v>44</v>
      </c>
      <c r="I29" s="39">
        <v>5000.0</v>
      </c>
      <c r="J29" s="39">
        <v>5000.0</v>
      </c>
      <c r="K29" s="41"/>
      <c r="L29" s="42">
        <v>5000.0</v>
      </c>
      <c r="M29" s="42">
        <v>5000.0</v>
      </c>
      <c r="N29" s="42"/>
      <c r="O29" s="39">
        <v>5000.0</v>
      </c>
      <c r="P29" s="39">
        <v>5000.0</v>
      </c>
      <c r="Q29" s="39">
        <v>1100.0</v>
      </c>
      <c r="R29" s="46">
        <v>0.67</v>
      </c>
      <c r="S29" s="50">
        <f>IFERROR(__xludf.DUMMYFUNCTION("((IFERROR(MIN(FILTER({K29, N29, Q29}, ISNUMBER({K29, N29, Q29}), {K29, N29, Q29} &gt; 0)), """"))*R29)+IFERROR(MIN(FILTER({K29, N29, Q29}, ISNUMBER({K29, N29, Q29}), {K29, N29, Q29} &gt; 0)), """")"),1837.0)</f>
        <v>1837</v>
      </c>
      <c r="T29" s="53">
        <f>IFERROR(__xludf.DUMMYFUNCTION("(S29-(IFERROR(MIN(FILTER({K29, N29, Q29}, ISNUMBER({K29, N29, Q29}), {K29, N29, Q29} &gt; 0)), """")))/S29"),0.40119760479041916)</f>
        <v>0.4011976048</v>
      </c>
    </row>
    <row r="30" ht="22.5" customHeight="1">
      <c r="A30" s="28" t="s">
        <v>167</v>
      </c>
      <c r="B30" s="28" t="s">
        <v>146</v>
      </c>
      <c r="C30" s="30" t="s">
        <v>72</v>
      </c>
      <c r="D30" s="31" t="s">
        <v>168</v>
      </c>
      <c r="E30" s="33" t="s">
        <v>63</v>
      </c>
      <c r="F30" s="28" t="s">
        <v>67</v>
      </c>
      <c r="G30" s="36" t="s">
        <v>41</v>
      </c>
      <c r="H30" s="28" t="s">
        <v>44</v>
      </c>
      <c r="I30" s="39">
        <v>10000.0</v>
      </c>
      <c r="J30" s="39">
        <v>10000.0</v>
      </c>
      <c r="K30" s="41"/>
      <c r="L30" s="42">
        <v>10000.0</v>
      </c>
      <c r="M30" s="42">
        <v>10000.0</v>
      </c>
      <c r="N30" s="42"/>
      <c r="O30" s="39">
        <v>10000.0</v>
      </c>
      <c r="P30" s="39">
        <v>10000.0</v>
      </c>
      <c r="Q30" s="39">
        <v>900.0</v>
      </c>
      <c r="R30" s="46">
        <v>0.67</v>
      </c>
      <c r="S30" s="50">
        <f>IFERROR(__xludf.DUMMYFUNCTION("((IFERROR(MIN(FILTER({K30, N30, Q30}, ISNUMBER({K30, N30, Q30}), {K30, N30, Q30} &gt; 0)), """"))*R30)+IFERROR(MIN(FILTER({K30, N30, Q30}, ISNUMBER({K30, N30, Q30}), {K30, N30, Q30} &gt; 0)), """")"),1503.0)</f>
        <v>1503</v>
      </c>
      <c r="T30" s="53">
        <f>IFERROR(__xludf.DUMMYFUNCTION("(S30-(IFERROR(MIN(FILTER({K30, N30, Q30}, ISNUMBER({K30, N30, Q30}), {K30, N30, Q30} &gt; 0)), """")))/S30"),0.40119760479041916)</f>
        <v>0.4011976048</v>
      </c>
    </row>
    <row r="31" ht="22.5" customHeight="1">
      <c r="A31" s="28" t="s">
        <v>172</v>
      </c>
      <c r="B31" s="28" t="s">
        <v>146</v>
      </c>
      <c r="C31" s="30" t="s">
        <v>72</v>
      </c>
      <c r="D31" s="31" t="s">
        <v>173</v>
      </c>
      <c r="E31" s="33" t="s">
        <v>63</v>
      </c>
      <c r="F31" s="28" t="s">
        <v>67</v>
      </c>
      <c r="G31" s="36" t="s">
        <v>41</v>
      </c>
      <c r="H31" s="28" t="s">
        <v>44</v>
      </c>
      <c r="I31" s="39">
        <v>2000.0</v>
      </c>
      <c r="J31" s="39">
        <v>2000.0</v>
      </c>
      <c r="K31" s="41"/>
      <c r="L31" s="42">
        <v>2000.0</v>
      </c>
      <c r="M31" s="42">
        <v>2000.0</v>
      </c>
      <c r="N31" s="42"/>
      <c r="O31" s="39">
        <v>2000.0</v>
      </c>
      <c r="P31" s="39">
        <v>2000.0</v>
      </c>
      <c r="Q31" s="39">
        <v>1900.0</v>
      </c>
      <c r="R31" s="46">
        <v>0.67</v>
      </c>
      <c r="S31" s="50">
        <f>IFERROR(__xludf.DUMMYFUNCTION("((IFERROR(MIN(FILTER({K31, N31, Q31}, ISNUMBER({K31, N31, Q31}), {K31, N31, Q31} &gt; 0)), """"))*R31)+IFERROR(MIN(FILTER({K31, N31, Q31}, ISNUMBER({K31, N31, Q31}), {K31, N31, Q31} &gt; 0)), """")"),3173.0)</f>
        <v>3173</v>
      </c>
      <c r="T31" s="53">
        <f>IFERROR(__xludf.DUMMYFUNCTION("(S31-(IFERROR(MIN(FILTER({K31, N31, Q31}, ISNUMBER({K31, N31, Q31}), {K31, N31, Q31} &gt; 0)), """")))/S31"),0.40119760479041916)</f>
        <v>0.4011976048</v>
      </c>
    </row>
    <row r="32" ht="22.5" customHeight="1">
      <c r="A32" s="28" t="s">
        <v>172</v>
      </c>
      <c r="B32" s="28" t="s">
        <v>146</v>
      </c>
      <c r="C32" s="30" t="s">
        <v>72</v>
      </c>
      <c r="D32" s="31" t="s">
        <v>173</v>
      </c>
      <c r="E32" s="33" t="s">
        <v>63</v>
      </c>
      <c r="F32" s="28" t="s">
        <v>67</v>
      </c>
      <c r="G32" s="36" t="s">
        <v>41</v>
      </c>
      <c r="H32" s="28" t="s">
        <v>44</v>
      </c>
      <c r="I32" s="39">
        <v>5000.0</v>
      </c>
      <c r="J32" s="39">
        <v>5000.0</v>
      </c>
      <c r="K32" s="41"/>
      <c r="L32" s="42">
        <v>5000.0</v>
      </c>
      <c r="M32" s="42">
        <v>5000.0</v>
      </c>
      <c r="N32" s="42"/>
      <c r="O32" s="39">
        <v>5000.0</v>
      </c>
      <c r="P32" s="39">
        <v>5000.0</v>
      </c>
      <c r="Q32" s="39">
        <v>1500.0</v>
      </c>
      <c r="R32" s="46">
        <v>0.67</v>
      </c>
      <c r="S32" s="50">
        <f>IFERROR(__xludf.DUMMYFUNCTION("((IFERROR(MIN(FILTER({K32, N32, Q32}, ISNUMBER({K32, N32, Q32}), {K32, N32, Q32} &gt; 0)), """"))*R32)+IFERROR(MIN(FILTER({K32, N32, Q32}, ISNUMBER({K32, N32, Q32}), {K32, N32, Q32} &gt; 0)), """")"),2505.0)</f>
        <v>2505</v>
      </c>
      <c r="T32" s="53">
        <f>IFERROR(__xludf.DUMMYFUNCTION("(S32-(IFERROR(MIN(FILTER({K32, N32, Q32}, ISNUMBER({K32, N32, Q32}), {K32, N32, Q32} &gt; 0)), """")))/S32"),0.40119760479041916)</f>
        <v>0.4011976048</v>
      </c>
    </row>
    <row r="33" ht="22.5" customHeight="1">
      <c r="A33" s="28" t="s">
        <v>172</v>
      </c>
      <c r="B33" s="28" t="s">
        <v>146</v>
      </c>
      <c r="C33" s="30" t="s">
        <v>72</v>
      </c>
      <c r="D33" s="31" t="s">
        <v>173</v>
      </c>
      <c r="E33" s="33" t="s">
        <v>63</v>
      </c>
      <c r="F33" s="28" t="s">
        <v>67</v>
      </c>
      <c r="G33" s="36" t="s">
        <v>41</v>
      </c>
      <c r="H33" s="28" t="s">
        <v>44</v>
      </c>
      <c r="I33" s="39">
        <v>10000.0</v>
      </c>
      <c r="J33" s="39">
        <v>10000.0</v>
      </c>
      <c r="K33" s="41"/>
      <c r="L33" s="42">
        <v>10000.0</v>
      </c>
      <c r="M33" s="42">
        <v>10000.0</v>
      </c>
      <c r="N33" s="42"/>
      <c r="O33" s="39">
        <v>10000.0</v>
      </c>
      <c r="P33" s="39">
        <v>10000.0</v>
      </c>
      <c r="Q33" s="39">
        <v>1200.0</v>
      </c>
      <c r="R33" s="46">
        <v>0.67</v>
      </c>
      <c r="S33" s="50">
        <f>IFERROR(__xludf.DUMMYFUNCTION("((IFERROR(MIN(FILTER({K33, N33, Q33}, ISNUMBER({K33, N33, Q33}), {K33, N33, Q33} &gt; 0)), """"))*R33)+IFERROR(MIN(FILTER({K33, N33, Q33}, ISNUMBER({K33, N33, Q33}), {K33, N33, Q33} &gt; 0)), """")"),2004.0)</f>
        <v>2004</v>
      </c>
      <c r="T33" s="53">
        <f>IFERROR(__xludf.DUMMYFUNCTION("(S33-(IFERROR(MIN(FILTER({K33, N33, Q33}, ISNUMBER({K33, N33, Q33}), {K33, N33, Q33} &gt; 0)), """")))/S33"),0.40119760479041916)</f>
        <v>0.4011976048</v>
      </c>
    </row>
    <row r="34" ht="22.5" customHeight="1">
      <c r="A34" s="28" t="s">
        <v>167</v>
      </c>
      <c r="B34" s="28" t="s">
        <v>71</v>
      </c>
      <c r="C34" s="30" t="s">
        <v>72</v>
      </c>
      <c r="D34" s="31" t="s">
        <v>177</v>
      </c>
      <c r="E34" s="33" t="s">
        <v>63</v>
      </c>
      <c r="F34" s="28" t="s">
        <v>67</v>
      </c>
      <c r="G34" s="36" t="s">
        <v>41</v>
      </c>
      <c r="H34" s="28" t="s">
        <v>44</v>
      </c>
      <c r="I34" s="39">
        <v>5000.0</v>
      </c>
      <c r="J34" s="39">
        <v>5000.0</v>
      </c>
      <c r="K34" s="41"/>
      <c r="L34" s="42">
        <v>5000.0</v>
      </c>
      <c r="M34" s="42">
        <v>5000.0</v>
      </c>
      <c r="N34" s="42"/>
      <c r="O34" s="39">
        <v>5000.0</v>
      </c>
      <c r="P34" s="39">
        <v>5000.0</v>
      </c>
      <c r="Q34" s="39">
        <v>1550.0</v>
      </c>
      <c r="R34" s="46">
        <v>0.67</v>
      </c>
      <c r="S34" s="50">
        <f>IFERROR(__xludf.DUMMYFUNCTION("((IFERROR(MIN(FILTER({K34, N34, Q34}, ISNUMBER({K34, N34, Q34}), {K34, N34, Q34} &gt; 0)), """"))*R34)+IFERROR(MIN(FILTER({K34, N34, Q34}, ISNUMBER({K34, N34, Q34}), {K34, N34, Q34} &gt; 0)), """")"),2588.5)</f>
        <v>2588.5</v>
      </c>
      <c r="T34" s="53">
        <f>IFERROR(__xludf.DUMMYFUNCTION("(S34-(IFERROR(MIN(FILTER({K34, N34, Q34}, ISNUMBER({K34, N34, Q34}), {K34, N34, Q34} &gt; 0)), """")))/S34"),0.40119760479041916)</f>
        <v>0.4011976048</v>
      </c>
    </row>
    <row r="35" ht="22.5" customHeight="1">
      <c r="A35" s="28" t="s">
        <v>167</v>
      </c>
      <c r="B35" s="28" t="s">
        <v>71</v>
      </c>
      <c r="C35" s="30" t="s">
        <v>72</v>
      </c>
      <c r="D35" s="31" t="s">
        <v>177</v>
      </c>
      <c r="E35" s="33" t="s">
        <v>63</v>
      </c>
      <c r="F35" s="28" t="s">
        <v>67</v>
      </c>
      <c r="G35" s="36" t="s">
        <v>41</v>
      </c>
      <c r="H35" s="28" t="s">
        <v>44</v>
      </c>
      <c r="I35" s="39">
        <v>10000.0</v>
      </c>
      <c r="J35" s="39">
        <v>10000.0</v>
      </c>
      <c r="K35" s="41"/>
      <c r="L35" s="42">
        <v>10000.0</v>
      </c>
      <c r="M35" s="42">
        <v>10000.0</v>
      </c>
      <c r="N35" s="42"/>
      <c r="O35" s="39">
        <v>10000.0</v>
      </c>
      <c r="P35" s="39">
        <v>10000.0</v>
      </c>
      <c r="Q35" s="39">
        <v>1350.0</v>
      </c>
      <c r="R35" s="46">
        <v>0.67</v>
      </c>
      <c r="S35" s="50">
        <f>IFERROR(__xludf.DUMMYFUNCTION("((IFERROR(MIN(FILTER({K35, N35, Q35}, ISNUMBER({K35, N35, Q35}), {K35, N35, Q35} &gt; 0)), """"))*R35)+IFERROR(MIN(FILTER({K35, N35, Q35}, ISNUMBER({K35, N35, Q35}), {K35, N35, Q35} &gt; 0)), """")"),2254.5)</f>
        <v>2254.5</v>
      </c>
      <c r="T35" s="53">
        <f>IFERROR(__xludf.DUMMYFUNCTION("(S35-(IFERROR(MIN(FILTER({K35, N35, Q35}, ISNUMBER({K35, N35, Q35}), {K35, N35, Q35} &gt; 0)), """")))/S35"),0.40119760479041916)</f>
        <v>0.4011976048</v>
      </c>
    </row>
    <row r="36" ht="22.5" customHeight="1">
      <c r="A36" s="28" t="s">
        <v>167</v>
      </c>
      <c r="B36" s="28" t="s">
        <v>71</v>
      </c>
      <c r="C36" s="30" t="s">
        <v>72</v>
      </c>
      <c r="D36" s="31" t="s">
        <v>177</v>
      </c>
      <c r="E36" s="33" t="s">
        <v>36</v>
      </c>
      <c r="F36" s="28" t="s">
        <v>182</v>
      </c>
      <c r="G36" s="36" t="s">
        <v>41</v>
      </c>
      <c r="H36" s="28" t="s">
        <v>44</v>
      </c>
      <c r="I36" s="39">
        <v>5000.0</v>
      </c>
      <c r="J36" s="39">
        <v>5000.0</v>
      </c>
      <c r="K36" s="41"/>
      <c r="L36" s="42">
        <v>5000.0</v>
      </c>
      <c r="M36" s="42">
        <v>5000.0</v>
      </c>
      <c r="N36" s="42"/>
      <c r="O36" s="39">
        <v>5000.0</v>
      </c>
      <c r="P36" s="39">
        <v>5000.0</v>
      </c>
      <c r="Q36" s="39">
        <v>1450.0</v>
      </c>
      <c r="R36" s="46">
        <v>0.67</v>
      </c>
      <c r="S36" s="50">
        <f>IFERROR(__xludf.DUMMYFUNCTION("((IFERROR(MIN(FILTER({K36, N36, Q36}, ISNUMBER({K36, N36, Q36}), {K36, N36, Q36} &gt; 0)), """"))*R36)+IFERROR(MIN(FILTER({K36, N36, Q36}, ISNUMBER({K36, N36, Q36}), {K36, N36, Q36} &gt; 0)), """")"),2421.5)</f>
        <v>2421.5</v>
      </c>
      <c r="T36" s="53">
        <f>IFERROR(__xludf.DUMMYFUNCTION("(S36-(IFERROR(MIN(FILTER({K36, N36, Q36}, ISNUMBER({K36, N36, Q36}), {K36, N36, Q36} &gt; 0)), """")))/S36"),0.40119760479041916)</f>
        <v>0.4011976048</v>
      </c>
    </row>
    <row r="37" ht="22.5" customHeight="1">
      <c r="A37" s="28" t="s">
        <v>167</v>
      </c>
      <c r="B37" s="28" t="s">
        <v>71</v>
      </c>
      <c r="C37" s="30" t="s">
        <v>72</v>
      </c>
      <c r="D37" s="31" t="s">
        <v>177</v>
      </c>
      <c r="E37" s="33" t="s">
        <v>36</v>
      </c>
      <c r="F37" s="28" t="s">
        <v>182</v>
      </c>
      <c r="G37" s="36" t="s">
        <v>41</v>
      </c>
      <c r="H37" s="28" t="s">
        <v>44</v>
      </c>
      <c r="I37" s="39">
        <v>10000.0</v>
      </c>
      <c r="J37" s="39">
        <v>10000.0</v>
      </c>
      <c r="K37" s="41"/>
      <c r="L37" s="42">
        <v>10000.0</v>
      </c>
      <c r="M37" s="42">
        <v>10000.0</v>
      </c>
      <c r="N37" s="42"/>
      <c r="O37" s="39">
        <v>10000.0</v>
      </c>
      <c r="P37" s="39">
        <v>10000.0</v>
      </c>
      <c r="Q37" s="39">
        <v>1250.0</v>
      </c>
      <c r="R37" s="46">
        <v>0.67</v>
      </c>
      <c r="S37" s="50">
        <f>IFERROR(__xludf.DUMMYFUNCTION("((IFERROR(MIN(FILTER({K37, N37, Q37}, ISNUMBER({K37, N37, Q37}), {K37, N37, Q37} &gt; 0)), """"))*R37)+IFERROR(MIN(FILTER({K37, N37, Q37}, ISNUMBER({K37, N37, Q37}), {K37, N37, Q37} &gt; 0)), """")"),2087.5)</f>
        <v>2087.5</v>
      </c>
      <c r="T37" s="53">
        <f>IFERROR(__xludf.DUMMYFUNCTION("(S37-(IFERROR(MIN(FILTER({K37, N37, Q37}, ISNUMBER({K37, N37, Q37}), {K37, N37, Q37} &gt; 0)), """")))/S37"),0.40119760479041916)</f>
        <v>0.4011976048</v>
      </c>
    </row>
    <row r="38" ht="22.5" customHeight="1">
      <c r="A38" s="28" t="s">
        <v>188</v>
      </c>
      <c r="B38" s="28" t="s">
        <v>189</v>
      </c>
      <c r="C38" s="30" t="s">
        <v>190</v>
      </c>
      <c r="D38" s="31" t="s">
        <v>191</v>
      </c>
      <c r="E38" s="33" t="s">
        <v>63</v>
      </c>
      <c r="F38" s="28"/>
      <c r="G38" s="36" t="s">
        <v>41</v>
      </c>
      <c r="H38" s="28" t="s">
        <v>44</v>
      </c>
      <c r="I38" s="39">
        <v>25000.0</v>
      </c>
      <c r="J38" s="39">
        <v>25000.0</v>
      </c>
      <c r="K38" s="39">
        <v>511.0</v>
      </c>
      <c r="L38" s="42">
        <v>25000.0</v>
      </c>
      <c r="M38" s="42">
        <v>25000.0</v>
      </c>
      <c r="N38" s="42"/>
      <c r="O38" s="39">
        <v>25000.0</v>
      </c>
      <c r="P38" s="39">
        <v>25000.0</v>
      </c>
      <c r="Q38" s="41"/>
      <c r="R38" s="46">
        <v>0.67</v>
      </c>
      <c r="S38" s="50">
        <f>IFERROR(__xludf.DUMMYFUNCTION("((IFERROR(MIN(FILTER({K38, N38, Q38}, ISNUMBER({K38, N38, Q38}), {K38, N38, Q38} &gt; 0)), """"))*R38)+IFERROR(MIN(FILTER({K38, N38, Q38}, ISNUMBER({K38, N38, Q38}), {K38, N38, Q38} &gt; 0)), """")"),853.37)</f>
        <v>853.37</v>
      </c>
      <c r="T38" s="53">
        <f>IFERROR(__xludf.DUMMYFUNCTION("(S38-(IFERROR(MIN(FILTER({K38, N38, Q38}, ISNUMBER({K38, N38, Q38}), {K38, N38, Q38} &gt; 0)), """")))/S38"),0.40119760479041916)</f>
        <v>0.4011976048</v>
      </c>
    </row>
    <row r="39" ht="22.5" customHeight="1">
      <c r="A39" s="28" t="s">
        <v>188</v>
      </c>
      <c r="B39" s="28" t="s">
        <v>189</v>
      </c>
      <c r="C39" s="30" t="s">
        <v>190</v>
      </c>
      <c r="D39" s="31" t="s">
        <v>194</v>
      </c>
      <c r="E39" s="33" t="s">
        <v>63</v>
      </c>
      <c r="F39" s="28"/>
      <c r="G39" s="36" t="s">
        <v>41</v>
      </c>
      <c r="H39" s="28" t="s">
        <v>44</v>
      </c>
      <c r="I39" s="39">
        <v>25000.0</v>
      </c>
      <c r="J39" s="39">
        <v>25000.0</v>
      </c>
      <c r="K39" s="39">
        <v>715.0</v>
      </c>
      <c r="L39" s="42">
        <v>25000.0</v>
      </c>
      <c r="M39" s="42">
        <v>25000.0</v>
      </c>
      <c r="N39" s="42"/>
      <c r="O39" s="39">
        <v>25000.0</v>
      </c>
      <c r="P39" s="39">
        <v>25000.0</v>
      </c>
      <c r="Q39" s="41"/>
      <c r="R39" s="46">
        <v>0.67</v>
      </c>
      <c r="S39" s="50">
        <f>IFERROR(__xludf.DUMMYFUNCTION("((IFERROR(MIN(FILTER({K39, N39, Q39}, ISNUMBER({K39, N39, Q39}), {K39, N39, Q39} &gt; 0)), """"))*R39)+IFERROR(MIN(FILTER({K39, N39, Q39}, ISNUMBER({K39, N39, Q39}), {K39, N39, Q39} &gt; 0)), """")"),1194.05)</f>
        <v>1194.05</v>
      </c>
      <c r="T39" s="53">
        <f>IFERROR(__xludf.DUMMYFUNCTION("(S39-(IFERROR(MIN(FILTER({K39, N39, Q39}, ISNUMBER({K39, N39, Q39}), {K39, N39, Q39} &gt; 0)), """")))/S39"),0.40119760479041916)</f>
        <v>0.4011976048</v>
      </c>
    </row>
    <row r="40" ht="22.5" customHeight="1">
      <c r="A40" s="28" t="s">
        <v>188</v>
      </c>
      <c r="B40" s="28" t="s">
        <v>189</v>
      </c>
      <c r="C40" s="30" t="s">
        <v>190</v>
      </c>
      <c r="D40" s="31" t="s">
        <v>198</v>
      </c>
      <c r="E40" s="33" t="s">
        <v>63</v>
      </c>
      <c r="F40" s="28"/>
      <c r="G40" s="36" t="s">
        <v>41</v>
      </c>
      <c r="H40" s="28" t="s">
        <v>44</v>
      </c>
      <c r="I40" s="39">
        <v>25000.0</v>
      </c>
      <c r="J40" s="39">
        <v>25000.0</v>
      </c>
      <c r="K40" s="39">
        <v>1045.0</v>
      </c>
      <c r="L40" s="42">
        <v>25000.0</v>
      </c>
      <c r="M40" s="42">
        <v>25000.0</v>
      </c>
      <c r="N40" s="42"/>
      <c r="O40" s="39">
        <v>25000.0</v>
      </c>
      <c r="P40" s="39">
        <v>25000.0</v>
      </c>
      <c r="Q40" s="41"/>
      <c r="R40" s="46">
        <v>0.67</v>
      </c>
      <c r="S40" s="50">
        <f>IFERROR(__xludf.DUMMYFUNCTION("((IFERROR(MIN(FILTER({K40, N40, Q40}, ISNUMBER({K40, N40, Q40}), {K40, N40, Q40} &gt; 0)), """"))*R40)+IFERROR(MIN(FILTER({K40, N40, Q40}, ISNUMBER({K40, N40, Q40}), {K40, N40, Q40} &gt; 0)), """")"),1745.15)</f>
        <v>1745.15</v>
      </c>
      <c r="T40" s="53">
        <f>IFERROR(__xludf.DUMMYFUNCTION("(S40-(IFERROR(MIN(FILTER({K40, N40, Q40}, ISNUMBER({K40, N40, Q40}), {K40, N40, Q40} &gt; 0)), """")))/S40"),0.4011976047904192)</f>
        <v>0.4011976048</v>
      </c>
    </row>
    <row r="41" ht="22.5" customHeight="1">
      <c r="A41" s="28" t="s">
        <v>188</v>
      </c>
      <c r="B41" s="28" t="s">
        <v>189</v>
      </c>
      <c r="C41" s="30" t="s">
        <v>190</v>
      </c>
      <c r="D41" s="31" t="s">
        <v>199</v>
      </c>
      <c r="E41" s="33" t="s">
        <v>63</v>
      </c>
      <c r="F41" s="28"/>
      <c r="G41" s="36" t="s">
        <v>41</v>
      </c>
      <c r="H41" s="28" t="s">
        <v>44</v>
      </c>
      <c r="I41" s="39">
        <v>25000.0</v>
      </c>
      <c r="J41" s="39">
        <v>25000.0</v>
      </c>
      <c r="K41" s="39">
        <v>1430.0</v>
      </c>
      <c r="L41" s="42">
        <v>25000.0</v>
      </c>
      <c r="M41" s="42">
        <v>25000.0</v>
      </c>
      <c r="N41" s="42"/>
      <c r="O41" s="39">
        <v>25000.0</v>
      </c>
      <c r="P41" s="39">
        <v>25000.0</v>
      </c>
      <c r="Q41" s="41"/>
      <c r="R41" s="46">
        <v>0.67</v>
      </c>
      <c r="S41" s="50">
        <f>IFERROR(__xludf.DUMMYFUNCTION("((IFERROR(MIN(FILTER({K41, N41, Q41}, ISNUMBER({K41, N41, Q41}), {K41, N41, Q41} &gt; 0)), """"))*R41)+IFERROR(MIN(FILTER({K41, N41, Q41}, ISNUMBER({K41, N41, Q41}), {K41, N41, Q41} &gt; 0)), """")"),2388.1)</f>
        <v>2388.1</v>
      </c>
      <c r="T41" s="53">
        <f>IFERROR(__xludf.DUMMYFUNCTION("(S41-(IFERROR(MIN(FILTER({K41, N41, Q41}, ISNUMBER({K41, N41, Q41}), {K41, N41, Q41} &gt; 0)), """")))/S41"),0.40119760479041916)</f>
        <v>0.4011976048</v>
      </c>
    </row>
    <row r="42" ht="22.5" customHeight="1">
      <c r="A42" s="28" t="s">
        <v>202</v>
      </c>
      <c r="B42" s="28" t="s">
        <v>203</v>
      </c>
      <c r="C42" s="30" t="s">
        <v>204</v>
      </c>
      <c r="D42" s="31" t="s">
        <v>205</v>
      </c>
      <c r="E42" s="33" t="s">
        <v>63</v>
      </c>
      <c r="F42" s="28"/>
      <c r="G42" s="36" t="s">
        <v>41</v>
      </c>
      <c r="H42" s="28" t="s">
        <v>44</v>
      </c>
      <c r="I42" s="39">
        <v>25000.0</v>
      </c>
      <c r="J42" s="39">
        <v>25000.0</v>
      </c>
      <c r="K42" s="39">
        <v>1350.0</v>
      </c>
      <c r="L42" s="42">
        <v>25000.0</v>
      </c>
      <c r="M42" s="42">
        <v>25000.0</v>
      </c>
      <c r="N42" s="42"/>
      <c r="O42" s="39">
        <v>25000.0</v>
      </c>
      <c r="P42" s="39">
        <v>25000.0</v>
      </c>
      <c r="Q42" s="39"/>
      <c r="R42" s="46">
        <v>0.67</v>
      </c>
      <c r="S42" s="50">
        <f>IFERROR(__xludf.DUMMYFUNCTION("((IFERROR(MIN(FILTER({K42, N42, Q42}, ISNUMBER({K42, N42, Q42}), {K42, N42, Q42} &gt; 0)), """"))*R42)+IFERROR(MIN(FILTER({K42, N42, Q42}, ISNUMBER({K42, N42, Q42}), {K42, N42, Q42} &gt; 0)), """")"),2254.5)</f>
        <v>2254.5</v>
      </c>
      <c r="T42" s="53">
        <f>IFERROR(__xludf.DUMMYFUNCTION("(S42-(IFERROR(MIN(FILTER({K42, N42, Q42}, ISNUMBER({K42, N42, Q42}), {K42, N42, Q42} &gt; 0)), """")))/S42"),0.40119760479041916)</f>
        <v>0.4011976048</v>
      </c>
    </row>
    <row r="43" ht="22.5" customHeight="1">
      <c r="A43" s="28" t="s">
        <v>202</v>
      </c>
      <c r="B43" s="28" t="s">
        <v>208</v>
      </c>
      <c r="C43" s="30" t="s">
        <v>204</v>
      </c>
      <c r="D43" s="31" t="s">
        <v>194</v>
      </c>
      <c r="E43" s="33" t="s">
        <v>63</v>
      </c>
      <c r="F43" s="28"/>
      <c r="G43" s="36" t="s">
        <v>41</v>
      </c>
      <c r="H43" s="28" t="s">
        <v>44</v>
      </c>
      <c r="I43" s="39">
        <v>25000.0</v>
      </c>
      <c r="J43" s="39">
        <v>25000.0</v>
      </c>
      <c r="K43" s="39">
        <v>950.0</v>
      </c>
      <c r="L43" s="42">
        <v>25000.0</v>
      </c>
      <c r="M43" s="42">
        <v>25000.0</v>
      </c>
      <c r="N43" s="42"/>
      <c r="O43" s="39">
        <v>25000.0</v>
      </c>
      <c r="P43" s="39">
        <v>25000.0</v>
      </c>
      <c r="Q43" s="39"/>
      <c r="R43" s="46">
        <v>0.67</v>
      </c>
      <c r="S43" s="50">
        <f>IFERROR(__xludf.DUMMYFUNCTION("((IFERROR(MIN(FILTER({K43, N43, Q43}, ISNUMBER({K43, N43, Q43}), {K43, N43, Q43} &gt; 0)), """"))*R43)+IFERROR(MIN(FILTER({K43, N43, Q43}, ISNUMBER({K43, N43, Q43}), {K43, N43, Q43} &gt; 0)), """")"),1586.5)</f>
        <v>1586.5</v>
      </c>
      <c r="T43" s="53">
        <f>IFERROR(__xludf.DUMMYFUNCTION("(S43-(IFERROR(MIN(FILTER({K43, N43, Q43}, ISNUMBER({K43, N43, Q43}), {K43, N43, Q43} &gt; 0)), """")))/S43"),0.40119760479041916)</f>
        <v>0.4011976048</v>
      </c>
    </row>
    <row r="44" ht="22.5" customHeight="1">
      <c r="A44" s="28" t="s">
        <v>213</v>
      </c>
      <c r="B44" s="28" t="s">
        <v>33</v>
      </c>
      <c r="C44" s="30" t="s">
        <v>214</v>
      </c>
      <c r="D44" s="31" t="s">
        <v>215</v>
      </c>
      <c r="E44" s="33" t="s">
        <v>55</v>
      </c>
      <c r="F44" s="28" t="s">
        <v>216</v>
      </c>
      <c r="G44" s="36" t="s">
        <v>41</v>
      </c>
      <c r="H44" s="28" t="s">
        <v>44</v>
      </c>
      <c r="I44" s="39">
        <v>25000.0</v>
      </c>
      <c r="J44" s="39">
        <v>25000.0</v>
      </c>
      <c r="K44" s="39">
        <v>675.0</v>
      </c>
      <c r="L44" s="42">
        <v>25000.0</v>
      </c>
      <c r="M44" s="42">
        <v>25000.0</v>
      </c>
      <c r="N44" s="42"/>
      <c r="O44" s="39">
        <v>25000.0</v>
      </c>
      <c r="P44" s="39">
        <v>25000.0</v>
      </c>
      <c r="Q44" s="41"/>
      <c r="R44" s="46">
        <v>0.67</v>
      </c>
      <c r="S44" s="50">
        <f>IFERROR(__xludf.DUMMYFUNCTION("((IFERROR(MIN(FILTER({K44, N44, Q44}, ISNUMBER({K44, N44, Q44}), {K44, N44, Q44} &gt; 0)), """"))*R44)+IFERROR(MIN(FILTER({K44, N44, Q44}, ISNUMBER({K44, N44, Q44}), {K44, N44, Q44} &gt; 0)), """")"),1127.25)</f>
        <v>1127.25</v>
      </c>
      <c r="T44" s="53">
        <f>IFERROR(__xludf.DUMMYFUNCTION("(S44-(IFERROR(MIN(FILTER({K44, N44, Q44}, ISNUMBER({K44, N44, Q44}), {K44, N44, Q44} &gt; 0)), """")))/S44"),0.40119760479041916)</f>
        <v>0.4011976048</v>
      </c>
    </row>
    <row r="45" ht="22.5" customHeight="1">
      <c r="A45" s="28" t="s">
        <v>218</v>
      </c>
      <c r="B45" s="28" t="s">
        <v>71</v>
      </c>
      <c r="C45" s="30" t="s">
        <v>219</v>
      </c>
      <c r="D45" s="31" t="s">
        <v>220</v>
      </c>
      <c r="E45" s="33" t="s">
        <v>46</v>
      </c>
      <c r="F45" s="28" t="s">
        <v>222</v>
      </c>
      <c r="G45" s="36" t="s">
        <v>41</v>
      </c>
      <c r="H45" s="28" t="s">
        <v>44</v>
      </c>
      <c r="I45" s="39">
        <v>50000.0</v>
      </c>
      <c r="J45" s="39">
        <v>50000.0</v>
      </c>
      <c r="K45" s="39">
        <v>285.0</v>
      </c>
      <c r="L45" s="42">
        <v>50000.0</v>
      </c>
      <c r="M45" s="42">
        <v>50000.0</v>
      </c>
      <c r="N45" s="42"/>
      <c r="O45" s="39">
        <v>50000.0</v>
      </c>
      <c r="P45" s="39">
        <v>50000.0</v>
      </c>
      <c r="Q45" s="41"/>
      <c r="R45" s="46">
        <v>0.67</v>
      </c>
      <c r="S45" s="50">
        <f>IFERROR(__xludf.DUMMYFUNCTION("((IFERROR(MIN(FILTER({K45, N45, Q45}, ISNUMBER({K45, N45, Q45}), {K45, N45, Q45} &gt; 0)), """"))*R45)+IFERROR(MIN(FILTER({K45, N45, Q45}, ISNUMBER({K45, N45, Q45}), {K45, N45, Q45} &gt; 0)), """")"),475.95000000000005)</f>
        <v>475.95</v>
      </c>
      <c r="T45" s="53">
        <f>IFERROR(__xludf.DUMMYFUNCTION("(S45-(IFERROR(MIN(FILTER({K45, N45, Q45}, ISNUMBER({K45, N45, Q45}), {K45, N45, Q45} &gt; 0)), """")))/S45"),0.4011976047904192)</f>
        <v>0.4011976048</v>
      </c>
    </row>
    <row r="46" ht="22.5" customHeight="1">
      <c r="A46" s="28" t="s">
        <v>218</v>
      </c>
      <c r="B46" s="28" t="s">
        <v>71</v>
      </c>
      <c r="C46" s="30" t="s">
        <v>219</v>
      </c>
      <c r="D46" s="31" t="s">
        <v>220</v>
      </c>
      <c r="E46" s="33" t="s">
        <v>46</v>
      </c>
      <c r="F46" s="28" t="s">
        <v>222</v>
      </c>
      <c r="G46" s="36" t="s">
        <v>41</v>
      </c>
      <c r="H46" s="28" t="s">
        <v>44</v>
      </c>
      <c r="I46" s="39">
        <v>100000.0</v>
      </c>
      <c r="J46" s="39">
        <v>100000.0</v>
      </c>
      <c r="K46" s="39">
        <v>280.0</v>
      </c>
      <c r="L46" s="42">
        <v>100000.0</v>
      </c>
      <c r="M46" s="42">
        <v>100000.0</v>
      </c>
      <c r="N46" s="42"/>
      <c r="O46" s="39">
        <v>100000.0</v>
      </c>
      <c r="P46" s="39">
        <v>100000.0</v>
      </c>
      <c r="Q46" s="41"/>
      <c r="R46" s="46">
        <v>0.67</v>
      </c>
      <c r="S46" s="50">
        <f>IFERROR(__xludf.DUMMYFUNCTION("((IFERROR(MIN(FILTER({K46, N46, Q46}, ISNUMBER({K46, N46, Q46}), {K46, N46, Q46} &gt; 0)), """"))*R46)+IFERROR(MIN(FILTER({K46, N46, Q46}, ISNUMBER({K46, N46, Q46}), {K46, N46, Q46} &gt; 0)), """")"),467.6)</f>
        <v>467.6</v>
      </c>
      <c r="T46" s="53">
        <f>IFERROR(__xludf.DUMMYFUNCTION("(S46-(IFERROR(MIN(FILTER({K46, N46, Q46}, ISNUMBER({K46, N46, Q46}), {K46, N46, Q46} &gt; 0)), """")))/S46"),0.4011976047904192)</f>
        <v>0.4011976048</v>
      </c>
    </row>
    <row r="47" ht="22.5" customHeight="1">
      <c r="A47" s="28" t="s">
        <v>218</v>
      </c>
      <c r="B47" s="28" t="s">
        <v>71</v>
      </c>
      <c r="C47" s="30" t="s">
        <v>219</v>
      </c>
      <c r="D47" s="31" t="s">
        <v>223</v>
      </c>
      <c r="E47" s="33" t="s">
        <v>55</v>
      </c>
      <c r="F47" s="28" t="s">
        <v>224</v>
      </c>
      <c r="G47" s="36" t="s">
        <v>41</v>
      </c>
      <c r="H47" s="28" t="s">
        <v>44</v>
      </c>
      <c r="I47" s="39">
        <v>50000.0</v>
      </c>
      <c r="J47" s="39">
        <v>50000.0</v>
      </c>
      <c r="K47" s="39">
        <v>235.0</v>
      </c>
      <c r="L47" s="42">
        <v>50000.0</v>
      </c>
      <c r="M47" s="42">
        <v>50000.0</v>
      </c>
      <c r="N47" s="42"/>
      <c r="O47" s="39">
        <v>50000.0</v>
      </c>
      <c r="P47" s="39">
        <v>50000.0</v>
      </c>
      <c r="Q47" s="41"/>
      <c r="R47" s="46">
        <v>0.67</v>
      </c>
      <c r="S47" s="50">
        <f>IFERROR(__xludf.DUMMYFUNCTION("((IFERROR(MIN(FILTER({K47, N47, Q47}, ISNUMBER({K47, N47, Q47}), {K47, N47, Q47} &gt; 0)), """"))*R47)+IFERROR(MIN(FILTER({K47, N47, Q47}, ISNUMBER({K47, N47, Q47}), {K47, N47, Q47} &gt; 0)), """")"),392.45000000000005)</f>
        <v>392.45</v>
      </c>
      <c r="T47" s="53">
        <f>IFERROR(__xludf.DUMMYFUNCTION("(S47-(IFERROR(MIN(FILTER({K47, N47, Q47}, ISNUMBER({K47, N47, Q47}), {K47, N47, Q47} &gt; 0)), """")))/S47"),0.4011976047904192)</f>
        <v>0.4011976048</v>
      </c>
    </row>
    <row r="48" ht="22.5" customHeight="1">
      <c r="A48" s="28" t="s">
        <v>218</v>
      </c>
      <c r="B48" s="28" t="s">
        <v>71</v>
      </c>
      <c r="C48" s="30" t="s">
        <v>219</v>
      </c>
      <c r="D48" s="31" t="s">
        <v>223</v>
      </c>
      <c r="E48" s="33" t="s">
        <v>55</v>
      </c>
      <c r="F48" s="28" t="s">
        <v>224</v>
      </c>
      <c r="G48" s="36" t="s">
        <v>41</v>
      </c>
      <c r="H48" s="28" t="s">
        <v>44</v>
      </c>
      <c r="I48" s="39">
        <v>100000.0</v>
      </c>
      <c r="J48" s="39">
        <v>100000.0</v>
      </c>
      <c r="K48" s="39">
        <v>230.0</v>
      </c>
      <c r="L48" s="42">
        <v>100000.0</v>
      </c>
      <c r="M48" s="42">
        <v>100000.0</v>
      </c>
      <c r="N48" s="42"/>
      <c r="O48" s="39">
        <v>100000.0</v>
      </c>
      <c r="P48" s="39">
        <v>100000.0</v>
      </c>
      <c r="Q48" s="41"/>
      <c r="R48" s="46">
        <v>0.67</v>
      </c>
      <c r="S48" s="50">
        <f>IFERROR(__xludf.DUMMYFUNCTION("((IFERROR(MIN(FILTER({K48, N48, Q48}, ISNUMBER({K48, N48, Q48}), {K48, N48, Q48} &gt; 0)), """"))*R48)+IFERROR(MIN(FILTER({K48, N48, Q48}, ISNUMBER({K48, N48, Q48}), {K48, N48, Q48} &gt; 0)), """")"),384.1)</f>
        <v>384.1</v>
      </c>
      <c r="T48" s="53">
        <f>IFERROR(__xludf.DUMMYFUNCTION("(S48-(IFERROR(MIN(FILTER({K48, N48, Q48}, ISNUMBER({K48, N48, Q48}), {K48, N48, Q48} &gt; 0)), """")))/S48"),0.4011976047904192)</f>
        <v>0.4011976048</v>
      </c>
    </row>
    <row r="49" ht="22.5" customHeight="1">
      <c r="A49" s="28" t="s">
        <v>228</v>
      </c>
      <c r="B49" s="28" t="s">
        <v>71</v>
      </c>
      <c r="C49" s="30" t="s">
        <v>72</v>
      </c>
      <c r="D49" s="31" t="s">
        <v>230</v>
      </c>
      <c r="E49" s="33" t="s">
        <v>55</v>
      </c>
      <c r="F49" s="28" t="s">
        <v>57</v>
      </c>
      <c r="G49" s="36" t="s">
        <v>41</v>
      </c>
      <c r="H49" s="28" t="s">
        <v>231</v>
      </c>
      <c r="I49" s="39">
        <v>100000.0</v>
      </c>
      <c r="J49" s="39">
        <v>100000.0</v>
      </c>
      <c r="K49" s="39">
        <v>250.0</v>
      </c>
      <c r="L49" s="42">
        <v>100000.0</v>
      </c>
      <c r="M49" s="42">
        <v>100000.0</v>
      </c>
      <c r="N49" s="60"/>
      <c r="O49" s="39">
        <v>100000.0</v>
      </c>
      <c r="P49" s="39">
        <v>100000.0</v>
      </c>
      <c r="Q49" s="41"/>
      <c r="R49" s="46">
        <v>0.67</v>
      </c>
      <c r="S49" s="50">
        <f>IFERROR(__xludf.DUMMYFUNCTION("((IFERROR(MIN(FILTER({K49, N49, Q49}, ISNUMBER({K49, N49, Q49}), {K49, N49, Q49} &gt; 0)), """"))*R49)+IFERROR(MIN(FILTER({K49, N49, Q49}, ISNUMBER({K49, N49, Q49}), {K49, N49, Q49} &gt; 0)), """")"),417.5)</f>
        <v>417.5</v>
      </c>
      <c r="T49" s="53">
        <f>IFERROR(__xludf.DUMMYFUNCTION("(S49-(IFERROR(MIN(FILTER({K49, N49, Q49}, ISNUMBER({K49, N49, Q49}), {K49, N49, Q49} &gt; 0)), """")))/S49"),0.40119760479041916)</f>
        <v>0.4011976048</v>
      </c>
    </row>
    <row r="50" ht="22.5" customHeight="1">
      <c r="A50" s="28" t="s">
        <v>232</v>
      </c>
      <c r="B50" s="28" t="s">
        <v>233</v>
      </c>
      <c r="C50" s="30" t="s">
        <v>234</v>
      </c>
      <c r="D50" s="31" t="s">
        <v>235</v>
      </c>
      <c r="E50" s="33" t="s">
        <v>63</v>
      </c>
      <c r="F50" s="28" t="s">
        <v>67</v>
      </c>
      <c r="G50" s="36" t="s">
        <v>41</v>
      </c>
      <c r="H50" s="28" t="s">
        <v>44</v>
      </c>
      <c r="I50" s="39">
        <v>1000.0</v>
      </c>
      <c r="J50" s="39">
        <v>1000.0</v>
      </c>
      <c r="K50" s="41"/>
      <c r="L50" s="42">
        <v>1000.0</v>
      </c>
      <c r="M50" s="42">
        <v>1000.0</v>
      </c>
      <c r="N50" s="42">
        <v>5647.0</v>
      </c>
      <c r="O50" s="39">
        <v>1000.0</v>
      </c>
      <c r="P50" s="39">
        <v>1000.0</v>
      </c>
      <c r="Q50" s="39"/>
      <c r="R50" s="46">
        <v>0.67</v>
      </c>
      <c r="S50" s="50">
        <f>IFERROR(__xludf.DUMMYFUNCTION("((IFERROR(MIN(FILTER({K50, N50, Q50}, ISNUMBER({K50, N50, Q50}), {K50, N50, Q50} &gt; 0)), """"))*R50)+IFERROR(MIN(FILTER({K50, N50, Q50}, ISNUMBER({K50, N50, Q50}), {K50, N50, Q50} &gt; 0)), """")"),9430.49)</f>
        <v>9430.49</v>
      </c>
      <c r="T50" s="53">
        <f>IFERROR(__xludf.DUMMYFUNCTION("(S50-(IFERROR(MIN(FILTER({K50, N50, Q50}, ISNUMBER({K50, N50, Q50}), {K50, N50, Q50} &gt; 0)), """")))/S50"),0.40119760479041916)</f>
        <v>0.4011976048</v>
      </c>
    </row>
    <row r="51" ht="22.5" customHeight="1">
      <c r="A51" s="28" t="s">
        <v>232</v>
      </c>
      <c r="B51" s="28" t="s">
        <v>233</v>
      </c>
      <c r="C51" s="30" t="s">
        <v>234</v>
      </c>
      <c r="D51" s="31" t="s">
        <v>235</v>
      </c>
      <c r="E51" s="33" t="s">
        <v>63</v>
      </c>
      <c r="F51" s="28" t="s">
        <v>67</v>
      </c>
      <c r="G51" s="36" t="s">
        <v>41</v>
      </c>
      <c r="H51" s="28" t="s">
        <v>44</v>
      </c>
      <c r="I51" s="39">
        <v>5000.0</v>
      </c>
      <c r="J51" s="39">
        <v>5000.0</v>
      </c>
      <c r="K51" s="41"/>
      <c r="L51" s="42">
        <v>5000.0</v>
      </c>
      <c r="M51" s="42">
        <v>5000.0</v>
      </c>
      <c r="N51" s="42">
        <v>5247.0</v>
      </c>
      <c r="O51" s="39">
        <v>5000.0</v>
      </c>
      <c r="P51" s="39">
        <v>5000.0</v>
      </c>
      <c r="Q51" s="39"/>
      <c r="R51" s="46">
        <v>0.67</v>
      </c>
      <c r="S51" s="50">
        <f>IFERROR(__xludf.DUMMYFUNCTION("((IFERROR(MIN(FILTER({K51, N51, Q51}, ISNUMBER({K51, N51, Q51}), {K51, N51, Q51} &gt; 0)), """"))*R51)+IFERROR(MIN(FILTER({K51, N51, Q51}, ISNUMBER({K51, N51, Q51}), {K51, N51, Q51} &gt; 0)), """")"),8762.49)</f>
        <v>8762.49</v>
      </c>
      <c r="T51" s="53">
        <f>IFERROR(__xludf.DUMMYFUNCTION("(S51-(IFERROR(MIN(FILTER({K51, N51, Q51}, ISNUMBER({K51, N51, Q51}), {K51, N51, Q51} &gt; 0)), """")))/S51"),0.40119760479041916)</f>
        <v>0.4011976048</v>
      </c>
    </row>
    <row r="52" ht="22.5" customHeight="1">
      <c r="A52" s="28" t="s">
        <v>240</v>
      </c>
      <c r="B52" s="28" t="s">
        <v>65</v>
      </c>
      <c r="C52" s="30" t="s">
        <v>234</v>
      </c>
      <c r="D52" s="31" t="s">
        <v>241</v>
      </c>
      <c r="E52" s="33" t="s">
        <v>63</v>
      </c>
      <c r="F52" s="28" t="s">
        <v>67</v>
      </c>
      <c r="G52" s="36" t="s">
        <v>41</v>
      </c>
      <c r="H52" s="28" t="s">
        <v>44</v>
      </c>
      <c r="I52" s="39">
        <v>1000.0</v>
      </c>
      <c r="J52" s="39">
        <v>1000.0</v>
      </c>
      <c r="K52" s="41"/>
      <c r="L52" s="42">
        <v>1000.0</v>
      </c>
      <c r="M52" s="42">
        <v>1000.0</v>
      </c>
      <c r="N52" s="42"/>
      <c r="O52" s="39">
        <v>1000.0</v>
      </c>
      <c r="P52" s="39">
        <v>1000.0</v>
      </c>
      <c r="Q52" s="39">
        <v>2550.0</v>
      </c>
      <c r="R52" s="46">
        <v>0.67</v>
      </c>
      <c r="S52" s="50">
        <f>IFERROR(__xludf.DUMMYFUNCTION("((IFERROR(MIN(FILTER({K52, N52, Q52}, ISNUMBER({K52, N52, Q52}), {K52, N52, Q52} &gt; 0)), """"))*R52)+IFERROR(MIN(FILTER({K52, N52, Q52}, ISNUMBER({K52, N52, Q52}), {K52, N52, Q52} &gt; 0)), """")"),4258.5)</f>
        <v>4258.5</v>
      </c>
      <c r="T52" s="53">
        <f>IFERROR(__xludf.DUMMYFUNCTION("(S52-(IFERROR(MIN(FILTER({K52, N52, Q52}, ISNUMBER({K52, N52, Q52}), {K52, N52, Q52} &gt; 0)), """")))/S52"),0.40119760479041916)</f>
        <v>0.4011976048</v>
      </c>
    </row>
    <row r="53" ht="22.5" customHeight="1">
      <c r="A53" s="28" t="s">
        <v>240</v>
      </c>
      <c r="B53" s="28" t="s">
        <v>65</v>
      </c>
      <c r="C53" s="30" t="s">
        <v>234</v>
      </c>
      <c r="D53" s="31" t="s">
        <v>243</v>
      </c>
      <c r="E53" s="33" t="s">
        <v>63</v>
      </c>
      <c r="F53" s="28" t="s">
        <v>67</v>
      </c>
      <c r="G53" s="36" t="s">
        <v>41</v>
      </c>
      <c r="H53" s="28" t="s">
        <v>44</v>
      </c>
      <c r="I53" s="39">
        <v>1000.0</v>
      </c>
      <c r="J53" s="39">
        <v>1000.0</v>
      </c>
      <c r="K53" s="41"/>
      <c r="L53" s="42">
        <v>1000.0</v>
      </c>
      <c r="M53" s="42">
        <v>1000.0</v>
      </c>
      <c r="N53" s="42"/>
      <c r="O53" s="39">
        <v>1000.0</v>
      </c>
      <c r="P53" s="39">
        <v>1000.0</v>
      </c>
      <c r="Q53" s="39">
        <v>2650.0</v>
      </c>
      <c r="R53" s="46">
        <v>0.67</v>
      </c>
      <c r="S53" s="50">
        <f>IFERROR(__xludf.DUMMYFUNCTION("((IFERROR(MIN(FILTER({K53, N53, Q53}, ISNUMBER({K53, N53, Q53}), {K53, N53, Q53} &gt; 0)), """"))*R53)+IFERROR(MIN(FILTER({K53, N53, Q53}, ISNUMBER({K53, N53, Q53}), {K53, N53, Q53} &gt; 0)), """")"),4425.5)</f>
        <v>4425.5</v>
      </c>
      <c r="T53" s="53">
        <f>IFERROR(__xludf.DUMMYFUNCTION("(S53-(IFERROR(MIN(FILTER({K53, N53, Q53}, ISNUMBER({K53, N53, Q53}), {K53, N53, Q53} &gt; 0)), """")))/S53"),0.40119760479041916)</f>
        <v>0.4011976048</v>
      </c>
    </row>
    <row r="54" ht="22.5" customHeight="1">
      <c r="A54" s="28" t="s">
        <v>240</v>
      </c>
      <c r="B54" s="28" t="s">
        <v>65</v>
      </c>
      <c r="C54" s="30" t="s">
        <v>234</v>
      </c>
      <c r="D54" s="31" t="s">
        <v>241</v>
      </c>
      <c r="E54" s="33" t="s">
        <v>63</v>
      </c>
      <c r="F54" s="28" t="s">
        <v>67</v>
      </c>
      <c r="G54" s="36" t="s">
        <v>41</v>
      </c>
      <c r="H54" s="28" t="s">
        <v>44</v>
      </c>
      <c r="I54" s="39">
        <v>1000.0</v>
      </c>
      <c r="J54" s="39">
        <v>1000.0</v>
      </c>
      <c r="K54" s="41"/>
      <c r="L54" s="42">
        <v>1000.0</v>
      </c>
      <c r="M54" s="42">
        <v>1000.0</v>
      </c>
      <c r="N54" s="42"/>
      <c r="O54" s="39">
        <v>1000.0</v>
      </c>
      <c r="P54" s="39">
        <v>1000.0</v>
      </c>
      <c r="Q54" s="39">
        <v>2550.0</v>
      </c>
      <c r="R54" s="46">
        <v>0.67</v>
      </c>
      <c r="S54" s="50">
        <f>IFERROR(__xludf.DUMMYFUNCTION("((IFERROR(MIN(FILTER({K54, N54, Q54}, ISNUMBER({K54, N54, Q54}), {K54, N54, Q54} &gt; 0)), """"))*R54)+IFERROR(MIN(FILTER({K54, N54, Q54}, ISNUMBER({K54, N54, Q54}), {K54, N54, Q54} &gt; 0)), """")"),4258.5)</f>
        <v>4258.5</v>
      </c>
      <c r="T54" s="53">
        <f>IFERROR(__xludf.DUMMYFUNCTION("(S54-(IFERROR(MIN(FILTER({K54, N54, Q54}, ISNUMBER({K54, N54, Q54}), {K54, N54, Q54} &gt; 0)), """")))/S54"),0.40119760479041916)</f>
        <v>0.4011976048</v>
      </c>
    </row>
    <row r="55" ht="22.5" customHeight="1">
      <c r="A55" s="28" t="s">
        <v>240</v>
      </c>
      <c r="B55" s="28" t="s">
        <v>65</v>
      </c>
      <c r="C55" s="30" t="s">
        <v>234</v>
      </c>
      <c r="D55" s="31" t="s">
        <v>243</v>
      </c>
      <c r="E55" s="33" t="s">
        <v>63</v>
      </c>
      <c r="F55" s="28" t="s">
        <v>67</v>
      </c>
      <c r="G55" s="36" t="s">
        <v>41</v>
      </c>
      <c r="H55" s="28" t="s">
        <v>44</v>
      </c>
      <c r="I55" s="39">
        <v>1000.0</v>
      </c>
      <c r="J55" s="39">
        <v>1000.0</v>
      </c>
      <c r="K55" s="41"/>
      <c r="L55" s="42">
        <v>1000.0</v>
      </c>
      <c r="M55" s="42">
        <v>1000.0</v>
      </c>
      <c r="N55" s="42"/>
      <c r="O55" s="39">
        <v>1000.0</v>
      </c>
      <c r="P55" s="39">
        <v>1000.0</v>
      </c>
      <c r="Q55" s="39">
        <v>2650.0</v>
      </c>
      <c r="R55" s="46">
        <v>0.67</v>
      </c>
      <c r="S55" s="50">
        <f>IFERROR(__xludf.DUMMYFUNCTION("((IFERROR(MIN(FILTER({K55, N55, Q55}, ISNUMBER({K55, N55, Q55}), {K55, N55, Q55} &gt; 0)), """"))*R55)+IFERROR(MIN(FILTER({K55, N55, Q55}, ISNUMBER({K55, N55, Q55}), {K55, N55, Q55} &gt; 0)), """")"),4425.5)</f>
        <v>4425.5</v>
      </c>
      <c r="T55" s="53">
        <f>IFERROR(__xludf.DUMMYFUNCTION("(S55-(IFERROR(MIN(FILTER({K55, N55, Q55}, ISNUMBER({K55, N55, Q55}), {K55, N55, Q55} &gt; 0)), """")))/S55"),0.40119760479041916)</f>
        <v>0.4011976048</v>
      </c>
    </row>
    <row r="56" ht="22.5" customHeight="1">
      <c r="A56" s="28" t="s">
        <v>249</v>
      </c>
      <c r="B56" s="28" t="s">
        <v>65</v>
      </c>
      <c r="C56" s="30" t="s">
        <v>251</v>
      </c>
      <c r="D56" s="31" t="s">
        <v>252</v>
      </c>
      <c r="E56" s="33" t="s">
        <v>55</v>
      </c>
      <c r="F56" s="28" t="s">
        <v>121</v>
      </c>
      <c r="G56" s="36" t="s">
        <v>41</v>
      </c>
      <c r="H56" s="28" t="s">
        <v>44</v>
      </c>
      <c r="I56" s="39">
        <v>10000.0</v>
      </c>
      <c r="J56" s="39">
        <v>10000.0</v>
      </c>
      <c r="K56" s="41"/>
      <c r="L56" s="42">
        <v>10000.0</v>
      </c>
      <c r="M56" s="42">
        <v>10000.0</v>
      </c>
      <c r="N56" s="42"/>
      <c r="O56" s="39">
        <v>10000.0</v>
      </c>
      <c r="P56" s="39">
        <v>10000.0</v>
      </c>
      <c r="Q56" s="39">
        <v>1150.0</v>
      </c>
      <c r="R56" s="46">
        <v>0.67</v>
      </c>
      <c r="S56" s="50">
        <f>IFERROR(__xludf.DUMMYFUNCTION("((IFERROR(MIN(FILTER({K56, N56, Q56}, ISNUMBER({K56, N56, Q56}), {K56, N56, Q56} &gt; 0)), """"))*R56)+IFERROR(MIN(FILTER({K56, N56, Q56}, ISNUMBER({K56, N56, Q56}), {K56, N56, Q56} &gt; 0)), """")"),1920.5)</f>
        <v>1920.5</v>
      </c>
      <c r="T56" s="53">
        <f>IFERROR(__xludf.DUMMYFUNCTION("(S56-(IFERROR(MIN(FILTER({K56, N56, Q56}, ISNUMBER({K56, N56, Q56}), {K56, N56, Q56} &gt; 0)), """")))/S56"),0.40119760479041916)</f>
        <v>0.4011976048</v>
      </c>
    </row>
    <row r="57" ht="22.5" customHeight="1">
      <c r="A57" s="28" t="s">
        <v>253</v>
      </c>
      <c r="B57" s="28" t="s">
        <v>65</v>
      </c>
      <c r="C57" s="30" t="s">
        <v>234</v>
      </c>
      <c r="D57" s="31" t="s">
        <v>254</v>
      </c>
      <c r="E57" s="33" t="s">
        <v>55</v>
      </c>
      <c r="F57" s="28" t="s">
        <v>121</v>
      </c>
      <c r="G57" s="36" t="s">
        <v>41</v>
      </c>
      <c r="H57" s="28" t="s">
        <v>44</v>
      </c>
      <c r="I57" s="39">
        <v>25000.0</v>
      </c>
      <c r="J57" s="39">
        <v>25000.0</v>
      </c>
      <c r="K57" s="39">
        <v>260.0</v>
      </c>
      <c r="L57" s="42">
        <v>25000.0</v>
      </c>
      <c r="M57" s="42">
        <v>25000.0</v>
      </c>
      <c r="N57" s="42"/>
      <c r="O57" s="39">
        <v>25000.0</v>
      </c>
      <c r="P57" s="39">
        <v>25000.0</v>
      </c>
      <c r="Q57" s="41"/>
      <c r="R57" s="46">
        <v>0.67</v>
      </c>
      <c r="S57" s="50">
        <f>IFERROR(__xludf.DUMMYFUNCTION("((IFERROR(MIN(FILTER({K57, N57, Q57}, ISNUMBER({K57, N57, Q57}), {K57, N57, Q57} &gt; 0)), """"))*R57)+IFERROR(MIN(FILTER({K57, N57, Q57}, ISNUMBER({K57, N57, Q57}), {K57, N57, Q57} &gt; 0)), """")"),434.20000000000005)</f>
        <v>434.2</v>
      </c>
      <c r="T57" s="53">
        <f>IFERROR(__xludf.DUMMYFUNCTION("(S57-(IFERROR(MIN(FILTER({K57, N57, Q57}, ISNUMBER({K57, N57, Q57}), {K57, N57, Q57} &gt; 0)), """")))/S57"),0.4011976047904192)</f>
        <v>0.4011976048</v>
      </c>
    </row>
    <row r="58" ht="22.5" customHeight="1">
      <c r="A58" s="28" t="s">
        <v>249</v>
      </c>
      <c r="B58" s="28" t="s">
        <v>258</v>
      </c>
      <c r="C58" s="30" t="s">
        <v>251</v>
      </c>
      <c r="D58" s="31" t="s">
        <v>252</v>
      </c>
      <c r="E58" s="33" t="s">
        <v>55</v>
      </c>
      <c r="F58" s="28" t="s">
        <v>121</v>
      </c>
      <c r="G58" s="36" t="s">
        <v>41</v>
      </c>
      <c r="H58" s="28" t="s">
        <v>44</v>
      </c>
      <c r="I58" s="39">
        <v>25000.0</v>
      </c>
      <c r="J58" s="39">
        <v>25000.0</v>
      </c>
      <c r="K58" s="39">
        <v>160.0</v>
      </c>
      <c r="L58" s="42">
        <v>25000.0</v>
      </c>
      <c r="M58" s="42">
        <v>25000.0</v>
      </c>
      <c r="N58" s="42"/>
      <c r="O58" s="39">
        <v>25000.0</v>
      </c>
      <c r="P58" s="39">
        <v>25000.0</v>
      </c>
      <c r="Q58" s="41"/>
      <c r="R58" s="46">
        <v>0.67</v>
      </c>
      <c r="S58" s="50">
        <f>IFERROR(__xludf.DUMMYFUNCTION("((IFERROR(MIN(FILTER({K58, N58, Q58}, ISNUMBER({K58, N58, Q58}), {K58, N58, Q58} &gt; 0)), """"))*R58)+IFERROR(MIN(FILTER({K58, N58, Q58}, ISNUMBER({K58, N58, Q58}), {K58, N58, Q58} &gt; 0)), """")"),267.2)</f>
        <v>267.2</v>
      </c>
      <c r="T58" s="53">
        <f>IFERROR(__xludf.DUMMYFUNCTION("(S58-(IFERROR(MIN(FILTER({K58, N58, Q58}, ISNUMBER({K58, N58, Q58}), {K58, N58, Q58} &gt; 0)), """")))/S58"),0.40119760479041916)</f>
        <v>0.4011976048</v>
      </c>
    </row>
    <row r="59" ht="22.5" customHeight="1">
      <c r="A59" s="28"/>
      <c r="B59" s="28"/>
      <c r="C59" s="30"/>
      <c r="D59" s="31"/>
      <c r="E59" s="33"/>
      <c r="F59" s="68"/>
      <c r="G59" s="36"/>
      <c r="H59" s="28"/>
      <c r="I59" s="41" t="s">
        <v>261</v>
      </c>
      <c r="J59" s="41" t="s">
        <v>261</v>
      </c>
      <c r="K59" s="41"/>
      <c r="L59" s="42"/>
      <c r="M59" s="42"/>
      <c r="N59" s="42"/>
      <c r="O59" s="41"/>
      <c r="P59" s="39"/>
      <c r="Q59" s="41"/>
      <c r="R59" s="46">
        <v>0.67</v>
      </c>
      <c r="S59" s="50">
        <f>IFERROR(__xludf.DUMMYFUNCTION("((IFERROR(MIN(FILTER({K59, N59, Q59}, ISNUMBER({K59, N59, Q59}), {K59, N59, Q59} &gt; 0)), """"))*R59)+IFERROR(MIN(FILTER({K59, N59, Q59}, ISNUMBER({K59, N59, Q59}), {K59, N59, Q59} &gt; 0)), """")"),0.0)</f>
        <v>0</v>
      </c>
      <c r="T59" s="53" t="str">
        <f>IFERROR(__xludf.DUMMYFUNCTION("(S59-(IFERROR(MIN(FILTER({K59, N59, Q59}, ISNUMBER({K59, N59, Q59}), {K59, N59, Q59} &gt; 0)), """")))/S59"),"#DIV/0!")</f>
        <v>#DIV/0!</v>
      </c>
    </row>
    <row r="60" ht="22.5" customHeight="1">
      <c r="A60" s="28"/>
      <c r="B60" s="28"/>
      <c r="C60" s="30"/>
      <c r="D60" s="31"/>
      <c r="E60" s="33"/>
      <c r="F60" s="28"/>
      <c r="G60" s="36"/>
      <c r="H60" s="28"/>
      <c r="I60" s="41" t="s">
        <v>261</v>
      </c>
      <c r="J60" s="41" t="s">
        <v>261</v>
      </c>
      <c r="K60" s="41"/>
      <c r="L60" s="42"/>
      <c r="M60" s="42"/>
      <c r="N60" s="42"/>
      <c r="O60" s="41"/>
      <c r="P60" s="39"/>
      <c r="Q60" s="41"/>
      <c r="R60" s="46">
        <v>0.67</v>
      </c>
      <c r="S60" s="50">
        <f>IFERROR(__xludf.DUMMYFUNCTION("((IFERROR(MIN(FILTER({K60, N60, Q60}, ISNUMBER({K60, N60, Q60}), {K60, N60, Q60} &gt; 0)), """"))*R60)+IFERROR(MIN(FILTER({K60, N60, Q60}, ISNUMBER({K60, N60, Q60}), {K60, N60, Q60} &gt; 0)), """")"),0.0)</f>
        <v>0</v>
      </c>
      <c r="T60" s="53" t="str">
        <f>IFERROR(__xludf.DUMMYFUNCTION("(S60-(IFERROR(MIN(FILTER({K60, N60, Q60}, ISNUMBER({K60, N60, Q60}), {K60, N60, Q60} &gt; 0)), """")))/S60"),"#DIV/0!")</f>
        <v>#DIV/0!</v>
      </c>
    </row>
    <row r="61" ht="22.5" customHeight="1">
      <c r="A61" s="28"/>
      <c r="B61" s="28"/>
      <c r="C61" s="30"/>
      <c r="D61" s="31"/>
      <c r="E61" s="33"/>
      <c r="F61" s="28"/>
      <c r="G61" s="36"/>
      <c r="H61" s="28"/>
      <c r="I61" s="41" t="s">
        <v>261</v>
      </c>
      <c r="J61" s="41" t="s">
        <v>261</v>
      </c>
      <c r="K61" s="41"/>
      <c r="L61" s="42"/>
      <c r="M61" s="42"/>
      <c r="N61" s="60"/>
      <c r="O61" s="41"/>
      <c r="P61" s="39"/>
      <c r="Q61" s="39"/>
      <c r="R61" s="46">
        <v>0.67</v>
      </c>
      <c r="S61" s="50">
        <f>IFERROR(__xludf.DUMMYFUNCTION("((IFERROR(MIN(FILTER({K61, N61, Q61}, ISNUMBER({K61, N61, Q61}), {K61, N61, Q61} &gt; 0)), """"))*R61)+IFERROR(MIN(FILTER({K61, N61, Q61}, ISNUMBER({K61, N61, Q61}), {K61, N61, Q61} &gt; 0)), """")"),0.0)</f>
        <v>0</v>
      </c>
      <c r="T61" s="53" t="str">
        <f>IFERROR(__xludf.DUMMYFUNCTION("(S61-(IFERROR(MIN(FILTER({K61, N61, Q61}, ISNUMBER({K61, N61, Q61}), {K61, N61, Q61} &gt; 0)), """")))/S61"),"#DIV/0!")</f>
        <v>#DIV/0!</v>
      </c>
    </row>
    <row r="62" ht="22.5" customHeight="1">
      <c r="A62" s="28"/>
      <c r="B62" s="28"/>
      <c r="C62" s="30"/>
      <c r="D62" s="31"/>
      <c r="E62" s="33"/>
      <c r="F62" s="28"/>
      <c r="G62" s="36"/>
      <c r="H62" s="28"/>
      <c r="I62" s="41" t="s">
        <v>261</v>
      </c>
      <c r="J62" s="41" t="s">
        <v>261</v>
      </c>
      <c r="K62" s="41"/>
      <c r="L62" s="42"/>
      <c r="M62" s="42"/>
      <c r="N62" s="60"/>
      <c r="O62" s="41"/>
      <c r="P62" s="39"/>
      <c r="Q62" s="39"/>
      <c r="R62" s="46">
        <v>0.67</v>
      </c>
      <c r="S62" s="50">
        <f>IFERROR(__xludf.DUMMYFUNCTION("((IFERROR(MIN(FILTER({K62, N62, Q62}, ISNUMBER({K62, N62, Q62}), {K62, N62, Q62} &gt; 0)), """"))*R62)+IFERROR(MIN(FILTER({K62, N62, Q62}, ISNUMBER({K62, N62, Q62}), {K62, N62, Q62} &gt; 0)), """")"),0.0)</f>
        <v>0</v>
      </c>
      <c r="T62" s="53" t="str">
        <f>IFERROR(__xludf.DUMMYFUNCTION("(S62-(IFERROR(MIN(FILTER({K62, N62, Q62}, ISNUMBER({K62, N62, Q62}), {K62, N62, Q62} &gt; 0)), """")))/S62"),"#DIV/0!")</f>
        <v>#DIV/0!</v>
      </c>
    </row>
    <row r="63" ht="22.5" customHeight="1">
      <c r="A63" s="28"/>
      <c r="B63" s="28"/>
      <c r="C63" s="30"/>
      <c r="D63" s="31"/>
      <c r="E63" s="33"/>
      <c r="F63" s="28"/>
      <c r="G63" s="36"/>
      <c r="H63" s="28"/>
      <c r="I63" s="41" t="s">
        <v>261</v>
      </c>
      <c r="J63" s="41" t="s">
        <v>261</v>
      </c>
      <c r="K63" s="41"/>
      <c r="L63" s="42"/>
      <c r="M63" s="42"/>
      <c r="N63" s="42"/>
      <c r="O63" s="41"/>
      <c r="P63" s="39"/>
      <c r="Q63" s="41"/>
      <c r="R63" s="46">
        <v>0.67</v>
      </c>
      <c r="S63" s="50">
        <f>IFERROR(__xludf.DUMMYFUNCTION("((IFERROR(MIN(FILTER({K63, N63, Q63}, ISNUMBER({K63, N63, Q63}), {K63, N63, Q63} &gt; 0)), """"))*R63)+IFERROR(MIN(FILTER({K63, N63, Q63}, ISNUMBER({K63, N63, Q63}), {K63, N63, Q63} &gt; 0)), """")"),0.0)</f>
        <v>0</v>
      </c>
      <c r="T63" s="53" t="str">
        <f>IFERROR(__xludf.DUMMYFUNCTION("(S63-(IFERROR(MIN(FILTER({K63, N63, Q63}, ISNUMBER({K63, N63, Q63}), {K63, N63, Q63} &gt; 0)), """")))/S63"),"#DIV/0!")</f>
        <v>#DIV/0!</v>
      </c>
    </row>
    <row r="64" ht="22.5" customHeight="1">
      <c r="A64" s="28"/>
      <c r="B64" s="28"/>
      <c r="C64" s="30"/>
      <c r="D64" s="31"/>
      <c r="E64" s="33"/>
      <c r="F64" s="28"/>
      <c r="G64" s="36"/>
      <c r="H64" s="28"/>
      <c r="I64" s="41" t="s">
        <v>261</v>
      </c>
      <c r="J64" s="41" t="s">
        <v>261</v>
      </c>
      <c r="K64" s="41"/>
      <c r="L64" s="42"/>
      <c r="M64" s="42"/>
      <c r="N64" s="60"/>
      <c r="O64" s="41"/>
      <c r="P64" s="39"/>
      <c r="Q64" s="41"/>
      <c r="R64" s="46">
        <v>0.67</v>
      </c>
      <c r="S64" s="50">
        <f>IFERROR(__xludf.DUMMYFUNCTION("((IFERROR(MIN(FILTER({K64, N64, Q64}, ISNUMBER({K64, N64, Q64}), {K64, N64, Q64} &gt; 0)), """"))*R64)+IFERROR(MIN(FILTER({K64, N64, Q64}, ISNUMBER({K64, N64, Q64}), {K64, N64, Q64} &gt; 0)), """")"),0.0)</f>
        <v>0</v>
      </c>
      <c r="T64" s="53" t="str">
        <f>IFERROR(__xludf.DUMMYFUNCTION("(S64-(IFERROR(MIN(FILTER({K64, N64, Q64}, ISNUMBER({K64, N64, Q64}), {K64, N64, Q64} &gt; 0)), """")))/S64"),"#DIV/0!")</f>
        <v>#DIV/0!</v>
      </c>
    </row>
    <row r="65" ht="22.5" customHeight="1">
      <c r="A65" s="28"/>
      <c r="B65" s="28"/>
      <c r="C65" s="30"/>
      <c r="D65" s="31"/>
      <c r="E65" s="33"/>
      <c r="F65" s="28"/>
      <c r="G65" s="36"/>
      <c r="H65" s="28"/>
      <c r="I65" s="41" t="s">
        <v>261</v>
      </c>
      <c r="J65" s="41" t="s">
        <v>261</v>
      </c>
      <c r="K65" s="41"/>
      <c r="L65" s="42"/>
      <c r="M65" s="42"/>
      <c r="N65" s="60"/>
      <c r="O65" s="41"/>
      <c r="P65" s="39"/>
      <c r="Q65" s="41"/>
      <c r="R65" s="46">
        <v>0.67</v>
      </c>
      <c r="S65" s="50">
        <f>IFERROR(__xludf.DUMMYFUNCTION("((IFERROR(MIN(FILTER({K65, N65, Q65}, ISNUMBER({K65, N65, Q65}), {K65, N65, Q65} &gt; 0)), """"))*R65)+IFERROR(MIN(FILTER({K65, N65, Q65}, ISNUMBER({K65, N65, Q65}), {K65, N65, Q65} &gt; 0)), """")"),0.0)</f>
        <v>0</v>
      </c>
      <c r="T65" s="53" t="str">
        <f>IFERROR(__xludf.DUMMYFUNCTION("(S65-(IFERROR(MIN(FILTER({K65, N65, Q65}, ISNUMBER({K65, N65, Q65}), {K65, N65, Q65} &gt; 0)), """")))/S65"),"#DIV/0!")</f>
        <v>#DIV/0!</v>
      </c>
    </row>
    <row r="66" ht="22.5" customHeight="1">
      <c r="A66" s="28"/>
      <c r="B66" s="28"/>
      <c r="C66" s="30"/>
      <c r="D66" s="31"/>
      <c r="E66" s="33"/>
      <c r="F66" s="28"/>
      <c r="G66" s="36"/>
      <c r="H66" s="28"/>
      <c r="I66" s="41" t="s">
        <v>261</v>
      </c>
      <c r="J66" s="41" t="s">
        <v>261</v>
      </c>
      <c r="K66" s="41"/>
      <c r="L66" s="42"/>
      <c r="M66" s="42"/>
      <c r="N66" s="60"/>
      <c r="O66" s="41"/>
      <c r="P66" s="39"/>
      <c r="Q66" s="41"/>
      <c r="R66" s="46">
        <v>0.67</v>
      </c>
      <c r="S66" s="50">
        <f>IFERROR(__xludf.DUMMYFUNCTION("((IFERROR(MIN(FILTER({K66, N66, Q66}, ISNUMBER({K66, N66, Q66}), {K66, N66, Q66} &gt; 0)), """"))*R66)+IFERROR(MIN(FILTER({K66, N66, Q66}, ISNUMBER({K66, N66, Q66}), {K66, N66, Q66} &gt; 0)), """")"),0.0)</f>
        <v>0</v>
      </c>
      <c r="T66" s="53" t="str">
        <f>IFERROR(__xludf.DUMMYFUNCTION("(S66-(IFERROR(MIN(FILTER({K66, N66, Q66}, ISNUMBER({K66, N66, Q66}), {K66, N66, Q66} &gt; 0)), """")))/S66"),"#DIV/0!")</f>
        <v>#DIV/0!</v>
      </c>
    </row>
    <row r="67" ht="22.5" customHeight="1">
      <c r="A67" s="28"/>
      <c r="B67" s="28"/>
      <c r="C67" s="30"/>
      <c r="D67" s="31"/>
      <c r="E67" s="33"/>
      <c r="F67" s="28"/>
      <c r="G67" s="36"/>
      <c r="H67" s="28"/>
      <c r="I67" s="41" t="s">
        <v>261</v>
      </c>
      <c r="J67" s="41" t="s">
        <v>261</v>
      </c>
      <c r="K67" s="41"/>
      <c r="L67" s="42"/>
      <c r="M67" s="42"/>
      <c r="N67" s="60"/>
      <c r="O67" s="41"/>
      <c r="P67" s="39"/>
      <c r="Q67" s="41"/>
      <c r="R67" s="46">
        <v>0.67</v>
      </c>
      <c r="S67" s="50">
        <f>IFERROR(__xludf.DUMMYFUNCTION("((IFERROR(MIN(FILTER({K67, N67, Q67}, ISNUMBER({K67, N67, Q67}), {K67, N67, Q67} &gt; 0)), """"))*R67)+IFERROR(MIN(FILTER({K67, N67, Q67}, ISNUMBER({K67, N67, Q67}), {K67, N67, Q67} &gt; 0)), """")"),0.0)</f>
        <v>0</v>
      </c>
      <c r="T67" s="53" t="str">
        <f>IFERROR(__xludf.DUMMYFUNCTION("(S67-(IFERROR(MIN(FILTER({K67, N67, Q67}, ISNUMBER({K67, N67, Q67}), {K67, N67, Q67} &gt; 0)), """")))/S67"),"#DIV/0!")</f>
        <v>#DIV/0!</v>
      </c>
    </row>
    <row r="68" ht="22.5" customHeight="1">
      <c r="A68" s="28"/>
      <c r="B68" s="28"/>
      <c r="C68" s="30"/>
      <c r="D68" s="31"/>
      <c r="E68" s="33"/>
      <c r="F68" s="28"/>
      <c r="G68" s="36"/>
      <c r="H68" s="28"/>
      <c r="I68" s="41" t="s">
        <v>261</v>
      </c>
      <c r="J68" s="41" t="s">
        <v>261</v>
      </c>
      <c r="K68" s="41"/>
      <c r="L68" s="42"/>
      <c r="M68" s="42"/>
      <c r="N68" s="60"/>
      <c r="O68" s="41"/>
      <c r="P68" s="39"/>
      <c r="Q68" s="41"/>
      <c r="R68" s="46">
        <v>0.67</v>
      </c>
      <c r="S68" s="50">
        <f>IFERROR(__xludf.DUMMYFUNCTION("((IFERROR(MIN(FILTER({K68, N68, Q68}, ISNUMBER({K68, N68, Q68}), {K68, N68, Q68} &gt; 0)), """"))*R68)+IFERROR(MIN(FILTER({K68, N68, Q68}, ISNUMBER({K68, N68, Q68}), {K68, N68, Q68} &gt; 0)), """")"),0.0)</f>
        <v>0</v>
      </c>
      <c r="T68" s="53" t="str">
        <f>IFERROR(__xludf.DUMMYFUNCTION("(S68-(IFERROR(MIN(FILTER({K68, N68, Q68}, ISNUMBER({K68, N68, Q68}), {K68, N68, Q68} &gt; 0)), """")))/S68"),"#DIV/0!")</f>
        <v>#DIV/0!</v>
      </c>
    </row>
    <row r="69" ht="22.5" customHeight="1">
      <c r="A69" s="28"/>
      <c r="B69" s="28"/>
      <c r="C69" s="30"/>
      <c r="D69" s="31"/>
      <c r="E69" s="33"/>
      <c r="F69" s="28"/>
      <c r="G69" s="36"/>
      <c r="H69" s="28"/>
      <c r="I69" s="41" t="s">
        <v>261</v>
      </c>
      <c r="J69" s="41" t="s">
        <v>261</v>
      </c>
      <c r="K69" s="41"/>
      <c r="L69" s="42"/>
      <c r="M69" s="42"/>
      <c r="N69" s="60"/>
      <c r="O69" s="41"/>
      <c r="P69" s="39"/>
      <c r="Q69" s="41"/>
      <c r="R69" s="46">
        <v>0.67</v>
      </c>
      <c r="S69" s="50">
        <f>IFERROR(__xludf.DUMMYFUNCTION("((IFERROR(MIN(FILTER({K69, N69, Q69}, ISNUMBER({K69, N69, Q69}), {K69, N69, Q69} &gt; 0)), """"))*R69)+IFERROR(MIN(FILTER({K69, N69, Q69}, ISNUMBER({K69, N69, Q69}), {K69, N69, Q69} &gt; 0)), """")"),0.0)</f>
        <v>0</v>
      </c>
      <c r="T69" s="53" t="str">
        <f>IFERROR(__xludf.DUMMYFUNCTION("(S69-(IFERROR(MIN(FILTER({K69, N69, Q69}, ISNUMBER({K69, N69, Q69}), {K69, N69, Q69} &gt; 0)), """")))/S69"),"#DIV/0!")</f>
        <v>#DIV/0!</v>
      </c>
    </row>
    <row r="70" ht="22.5" customHeight="1">
      <c r="A70" s="28"/>
      <c r="B70" s="28"/>
      <c r="C70" s="30"/>
      <c r="D70" s="31"/>
      <c r="E70" s="33"/>
      <c r="F70" s="28"/>
      <c r="G70" s="36"/>
      <c r="H70" s="28"/>
      <c r="I70" s="41" t="s">
        <v>261</v>
      </c>
      <c r="J70" s="41" t="s">
        <v>261</v>
      </c>
      <c r="K70" s="41"/>
      <c r="L70" s="42"/>
      <c r="M70" s="42"/>
      <c r="N70" s="60"/>
      <c r="O70" s="41"/>
      <c r="P70" s="39"/>
      <c r="Q70" s="41"/>
      <c r="R70" s="46">
        <v>0.67</v>
      </c>
      <c r="S70" s="50">
        <f>IFERROR(__xludf.DUMMYFUNCTION("((IFERROR(MIN(FILTER({K70, N70, Q70}, ISNUMBER({K70, N70, Q70}), {K70, N70, Q70} &gt; 0)), """"))*R70)+IFERROR(MIN(FILTER({K70, N70, Q70}, ISNUMBER({K70, N70, Q70}), {K70, N70, Q70} &gt; 0)), """")"),0.0)</f>
        <v>0</v>
      </c>
      <c r="T70" s="53" t="str">
        <f>IFERROR(__xludf.DUMMYFUNCTION("(S70-(IFERROR(MIN(FILTER({K70, N70, Q70}, ISNUMBER({K70, N70, Q70}), {K70, N70, Q70} &gt; 0)), """")))/S70"),"#DIV/0!")</f>
        <v>#DIV/0!</v>
      </c>
    </row>
    <row r="71" ht="22.5" customHeight="1">
      <c r="A71" s="28"/>
      <c r="B71" s="28"/>
      <c r="C71" s="30"/>
      <c r="D71" s="31"/>
      <c r="E71" s="33"/>
      <c r="F71" s="28"/>
      <c r="G71" s="36"/>
      <c r="H71" s="28"/>
      <c r="I71" s="41" t="s">
        <v>261</v>
      </c>
      <c r="J71" s="41" t="s">
        <v>261</v>
      </c>
      <c r="K71" s="41"/>
      <c r="L71" s="42"/>
      <c r="M71" s="42"/>
      <c r="N71" s="60"/>
      <c r="O71" s="41"/>
      <c r="P71" s="39"/>
      <c r="Q71" s="41"/>
      <c r="R71" s="46">
        <v>0.67</v>
      </c>
      <c r="S71" s="50">
        <f>IFERROR(__xludf.DUMMYFUNCTION("((IFERROR(MIN(FILTER({K71, N71, Q71}, ISNUMBER({K71, N71, Q71}), {K71, N71, Q71} &gt; 0)), """"))*R71)+IFERROR(MIN(FILTER({K71, N71, Q71}, ISNUMBER({K71, N71, Q71}), {K71, N71, Q71} &gt; 0)), """")"),0.0)</f>
        <v>0</v>
      </c>
      <c r="T71" s="53" t="str">
        <f>IFERROR(__xludf.DUMMYFUNCTION("(S71-(IFERROR(MIN(FILTER({K71, N71, Q71}, ISNUMBER({K71, N71, Q71}), {K71, N71, Q71} &gt; 0)), """")))/S71"),"#DIV/0!")</f>
        <v>#DIV/0!</v>
      </c>
    </row>
    <row r="72" ht="22.5" customHeight="1">
      <c r="A72" s="28"/>
      <c r="B72" s="28"/>
      <c r="C72" s="30"/>
      <c r="D72" s="31"/>
      <c r="E72" s="33"/>
      <c r="F72" s="28"/>
      <c r="G72" s="36"/>
      <c r="H72" s="28"/>
      <c r="I72" s="41" t="s">
        <v>261</v>
      </c>
      <c r="J72" s="41" t="s">
        <v>261</v>
      </c>
      <c r="K72" s="41"/>
      <c r="L72" s="42"/>
      <c r="M72" s="42"/>
      <c r="N72" s="42"/>
      <c r="O72" s="41"/>
      <c r="P72" s="39"/>
      <c r="Q72" s="41"/>
      <c r="R72" s="46">
        <v>0.67</v>
      </c>
      <c r="S72" s="50">
        <f>IFERROR(__xludf.DUMMYFUNCTION("((IFERROR(MIN(FILTER({K72, N72, Q72}, ISNUMBER({K72, N72, Q72}), {K72, N72, Q72} &gt; 0)), """"))*R72)+IFERROR(MIN(FILTER({K72, N72, Q72}, ISNUMBER({K72, N72, Q72}), {K72, N72, Q72} &gt; 0)), """")"),0.0)</f>
        <v>0</v>
      </c>
      <c r="T72" s="53" t="str">
        <f>IFERROR(__xludf.DUMMYFUNCTION("(S72-(IFERROR(MIN(FILTER({K72, N72, Q72}, ISNUMBER({K72, N72, Q72}), {K72, N72, Q72} &gt; 0)), """")))/S72"),"#DIV/0!")</f>
        <v>#DIV/0!</v>
      </c>
    </row>
    <row r="73" ht="22.5" customHeight="1">
      <c r="A73" s="28"/>
      <c r="B73" s="28"/>
      <c r="C73" s="30"/>
      <c r="D73" s="31"/>
      <c r="E73" s="69"/>
      <c r="F73" s="30"/>
      <c r="G73" s="36"/>
      <c r="H73" s="28"/>
      <c r="I73" s="41" t="s">
        <v>261</v>
      </c>
      <c r="J73" s="41" t="s">
        <v>261</v>
      </c>
      <c r="K73" s="41"/>
      <c r="L73" s="42"/>
      <c r="M73" s="42"/>
      <c r="N73" s="42"/>
      <c r="O73" s="41"/>
      <c r="P73" s="39"/>
      <c r="Q73" s="41"/>
      <c r="R73" s="46">
        <v>0.67</v>
      </c>
      <c r="S73" s="50">
        <f>IFERROR(__xludf.DUMMYFUNCTION("((IFERROR(MIN(FILTER({K73, N73, Q73}, ISNUMBER({K73, N73, Q73}), {K73, N73, Q73} &gt; 0)), """"))*R73)+IFERROR(MIN(FILTER({K73, N73, Q73}, ISNUMBER({K73, N73, Q73}), {K73, N73, Q73} &gt; 0)), """")"),0.0)</f>
        <v>0</v>
      </c>
      <c r="T73" s="53" t="str">
        <f>IFERROR(__xludf.DUMMYFUNCTION("(S73-(IFERROR(MIN(FILTER({K73, N73, Q73}, ISNUMBER({K73, N73, Q73}), {K73, N73, Q73} &gt; 0)), """")))/S73"),"#DIV/0!")</f>
        <v>#DIV/0!</v>
      </c>
    </row>
    <row r="74" ht="22.5" customHeight="1">
      <c r="A74" s="28"/>
      <c r="B74" s="28"/>
      <c r="C74" s="30"/>
      <c r="D74" s="31"/>
      <c r="E74" s="69"/>
      <c r="F74" s="30"/>
      <c r="G74" s="36"/>
      <c r="H74" s="28"/>
      <c r="I74" s="41" t="s">
        <v>261</v>
      </c>
      <c r="J74" s="41" t="s">
        <v>261</v>
      </c>
      <c r="K74" s="41"/>
      <c r="L74" s="42"/>
      <c r="M74" s="42"/>
      <c r="N74" s="42"/>
      <c r="O74" s="41"/>
      <c r="P74" s="39"/>
      <c r="Q74" s="41"/>
      <c r="R74" s="46">
        <v>0.67</v>
      </c>
      <c r="S74" s="50">
        <f>IFERROR(__xludf.DUMMYFUNCTION("((IFERROR(MIN(FILTER({K74, N74, Q74}, ISNUMBER({K74, N74, Q74}), {K74, N74, Q74} &gt; 0)), """"))*R74)+IFERROR(MIN(FILTER({K74, N74, Q74}, ISNUMBER({K74, N74, Q74}), {K74, N74, Q74} &gt; 0)), """")"),0.0)</f>
        <v>0</v>
      </c>
      <c r="T74" s="53" t="str">
        <f>IFERROR(__xludf.DUMMYFUNCTION("(S74-(IFERROR(MIN(FILTER({K74, N74, Q74}, ISNUMBER({K74, N74, Q74}), {K74, N74, Q74} &gt; 0)), """")))/S74"),"#DIV/0!")</f>
        <v>#DIV/0!</v>
      </c>
    </row>
    <row r="75" ht="22.5" customHeight="1">
      <c r="A75" s="28"/>
      <c r="B75" s="28"/>
      <c r="C75" s="30"/>
      <c r="D75" s="31"/>
      <c r="E75" s="69"/>
      <c r="F75" s="30"/>
      <c r="G75" s="36"/>
      <c r="H75" s="28"/>
      <c r="I75" s="41" t="s">
        <v>261</v>
      </c>
      <c r="J75" s="41" t="s">
        <v>261</v>
      </c>
      <c r="K75" s="41"/>
      <c r="L75" s="42"/>
      <c r="M75" s="42"/>
      <c r="N75" s="42"/>
      <c r="O75" s="41"/>
      <c r="P75" s="39"/>
      <c r="Q75" s="39"/>
      <c r="R75" s="46">
        <v>0.67</v>
      </c>
      <c r="S75" s="50">
        <f>IFERROR(__xludf.DUMMYFUNCTION("((IFERROR(MIN(FILTER({K75, N75, Q75}, ISNUMBER({K75, N75, Q75}), {K75, N75, Q75} &gt; 0)), """"))*R75)+IFERROR(MIN(FILTER({K75, N75, Q75}, ISNUMBER({K75, N75, Q75}), {K75, N75, Q75} &gt; 0)), """")"),0.0)</f>
        <v>0</v>
      </c>
      <c r="T75" s="53" t="str">
        <f>IFERROR(__xludf.DUMMYFUNCTION("(S75-(IFERROR(MIN(FILTER({K75, N75, Q75}, ISNUMBER({K75, N75, Q75}), {K75, N75, Q75} &gt; 0)), """")))/S75"),"#DIV/0!")</f>
        <v>#DIV/0!</v>
      </c>
    </row>
    <row r="76" ht="22.5" customHeight="1">
      <c r="A76" s="28"/>
      <c r="B76" s="28"/>
      <c r="C76" s="30"/>
      <c r="D76" s="31"/>
      <c r="E76" s="69"/>
      <c r="F76" s="70"/>
      <c r="G76" s="36"/>
      <c r="H76" s="28"/>
      <c r="I76" s="41" t="s">
        <v>261</v>
      </c>
      <c r="J76" s="41" t="s">
        <v>261</v>
      </c>
      <c r="K76" s="41"/>
      <c r="L76" s="42"/>
      <c r="M76" s="42"/>
      <c r="N76" s="42"/>
      <c r="O76" s="41"/>
      <c r="P76" s="39"/>
      <c r="Q76" s="41"/>
      <c r="R76" s="46">
        <v>0.67</v>
      </c>
      <c r="S76" s="50">
        <f>IFERROR(__xludf.DUMMYFUNCTION("((IFERROR(MIN(FILTER({K76, N76, Q76}, ISNUMBER({K76, N76, Q76}), {K76, N76, Q76} &gt; 0)), """"))*R76)+IFERROR(MIN(FILTER({K76, N76, Q76}, ISNUMBER({K76, N76, Q76}), {K76, N76, Q76} &gt; 0)), """")"),0.0)</f>
        <v>0</v>
      </c>
      <c r="T76" s="53" t="str">
        <f>IFERROR(__xludf.DUMMYFUNCTION("(S76-(IFERROR(MIN(FILTER({K76, N76, Q76}, ISNUMBER({K76, N76, Q76}), {K76, N76, Q76} &gt; 0)), """")))/S76"),"#DIV/0!")</f>
        <v>#DIV/0!</v>
      </c>
    </row>
    <row r="77" ht="22.5" customHeight="1">
      <c r="A77" s="28"/>
      <c r="B77" s="28"/>
      <c r="C77" s="30"/>
      <c r="D77" s="31"/>
      <c r="E77" s="69"/>
      <c r="F77" s="30"/>
      <c r="G77" s="36"/>
      <c r="H77" s="28"/>
      <c r="I77" s="41" t="s">
        <v>261</v>
      </c>
      <c r="J77" s="41" t="s">
        <v>261</v>
      </c>
      <c r="K77" s="41"/>
      <c r="L77" s="42"/>
      <c r="M77" s="42"/>
      <c r="N77" s="42"/>
      <c r="O77" s="41"/>
      <c r="P77" s="39"/>
      <c r="Q77" s="41"/>
      <c r="R77" s="46">
        <v>0.67</v>
      </c>
      <c r="S77" s="50">
        <f>IFERROR(__xludf.DUMMYFUNCTION("((IFERROR(MIN(FILTER({K77, N77, Q77}, ISNUMBER({K77, N77, Q77}), {K77, N77, Q77} &gt; 0)), """"))*R77)+IFERROR(MIN(FILTER({K77, N77, Q77}, ISNUMBER({K77, N77, Q77}), {K77, N77, Q77} &gt; 0)), """")"),0.0)</f>
        <v>0</v>
      </c>
      <c r="T77" s="53" t="str">
        <f>IFERROR(__xludf.DUMMYFUNCTION("(S77-(IFERROR(MIN(FILTER({K77, N77, Q77}, ISNUMBER({K77, N77, Q77}), {K77, N77, Q77} &gt; 0)), """")))/S77"),"#DIV/0!")</f>
        <v>#DIV/0!</v>
      </c>
    </row>
    <row r="78" ht="22.5" customHeight="1">
      <c r="A78" s="28"/>
      <c r="B78" s="28"/>
      <c r="C78" s="30"/>
      <c r="D78" s="31"/>
      <c r="E78" s="69"/>
      <c r="F78" s="30"/>
      <c r="G78" s="36"/>
      <c r="H78" s="28"/>
      <c r="I78" s="41" t="s">
        <v>261</v>
      </c>
      <c r="J78" s="41" t="s">
        <v>261</v>
      </c>
      <c r="K78" s="41"/>
      <c r="L78" s="42"/>
      <c r="M78" s="42"/>
      <c r="N78" s="42"/>
      <c r="O78" s="41"/>
      <c r="P78" s="39"/>
      <c r="Q78" s="41"/>
      <c r="R78" s="46">
        <v>0.67</v>
      </c>
      <c r="S78" s="50">
        <f>IFERROR(__xludf.DUMMYFUNCTION("((IFERROR(MIN(FILTER({K78, N78, Q78}, ISNUMBER({K78, N78, Q78}), {K78, N78, Q78} &gt; 0)), """"))*R78)+IFERROR(MIN(FILTER({K78, N78, Q78}, ISNUMBER({K78, N78, Q78}), {K78, N78, Q78} &gt; 0)), """")"),0.0)</f>
        <v>0</v>
      </c>
      <c r="T78" s="53" t="str">
        <f>IFERROR(__xludf.DUMMYFUNCTION("(S78-(IFERROR(MIN(FILTER({K78, N78, Q78}, ISNUMBER({K78, N78, Q78}), {K78, N78, Q78} &gt; 0)), """")))/S78"),"#DIV/0!")</f>
        <v>#DIV/0!</v>
      </c>
    </row>
    <row r="79" ht="22.5" customHeight="1">
      <c r="A79" s="28"/>
      <c r="B79" s="28"/>
      <c r="C79" s="30"/>
      <c r="D79" s="31"/>
      <c r="E79" s="69"/>
      <c r="F79" s="30"/>
      <c r="G79" s="36"/>
      <c r="H79" s="28"/>
      <c r="I79" s="41" t="s">
        <v>261</v>
      </c>
      <c r="J79" s="41" t="s">
        <v>261</v>
      </c>
      <c r="K79" s="41"/>
      <c r="L79" s="42"/>
      <c r="M79" s="42"/>
      <c r="N79" s="42"/>
      <c r="O79" s="41"/>
      <c r="P79" s="39"/>
      <c r="Q79" s="41"/>
      <c r="R79" s="46">
        <v>0.67</v>
      </c>
      <c r="S79" s="50">
        <f>IFERROR(__xludf.DUMMYFUNCTION("((IFERROR(MIN(FILTER({K79, N79, Q79}, ISNUMBER({K79, N79, Q79}), {K79, N79, Q79} &gt; 0)), """"))*R79)+IFERROR(MIN(FILTER({K79, N79, Q79}, ISNUMBER({K79, N79, Q79}), {K79, N79, Q79} &gt; 0)), """")"),0.0)</f>
        <v>0</v>
      </c>
      <c r="T79" s="53" t="str">
        <f>IFERROR(__xludf.DUMMYFUNCTION("(S79-(IFERROR(MIN(FILTER({K79, N79, Q79}, ISNUMBER({K79, N79, Q79}), {K79, N79, Q79} &gt; 0)), """")))/S79"),"#DIV/0!")</f>
        <v>#DIV/0!</v>
      </c>
    </row>
    <row r="80" ht="22.5" customHeight="1">
      <c r="A80" s="28"/>
      <c r="B80" s="28"/>
      <c r="C80" s="30"/>
      <c r="D80" s="31"/>
      <c r="E80" s="69"/>
      <c r="F80" s="30"/>
      <c r="G80" s="36"/>
      <c r="H80" s="28"/>
      <c r="I80" s="41" t="s">
        <v>261</v>
      </c>
      <c r="J80" s="41" t="s">
        <v>261</v>
      </c>
      <c r="K80" s="41"/>
      <c r="L80" s="42"/>
      <c r="M80" s="42"/>
      <c r="N80" s="42"/>
      <c r="O80" s="41"/>
      <c r="P80" s="39"/>
      <c r="Q80" s="41"/>
      <c r="R80" s="46">
        <v>0.67</v>
      </c>
      <c r="S80" s="50">
        <f>IFERROR(__xludf.DUMMYFUNCTION("((IFERROR(MIN(FILTER({K80, N80, Q80}, ISNUMBER({K80, N80, Q80}), {K80, N80, Q80} &gt; 0)), """"))*R80)+IFERROR(MIN(FILTER({K80, N80, Q80}, ISNUMBER({K80, N80, Q80}), {K80, N80, Q80} &gt; 0)), """")"),0.0)</f>
        <v>0</v>
      </c>
      <c r="T80" s="53" t="str">
        <f>IFERROR(__xludf.DUMMYFUNCTION("(S80-(IFERROR(MIN(FILTER({K80, N80, Q80}, ISNUMBER({K80, N80, Q80}), {K80, N80, Q80} &gt; 0)), """")))/S80"),"#DIV/0!")</f>
        <v>#DIV/0!</v>
      </c>
    </row>
    <row r="81" ht="22.5" customHeight="1">
      <c r="A81" s="28"/>
      <c r="B81" s="28"/>
      <c r="C81" s="30"/>
      <c r="D81" s="31"/>
      <c r="E81" s="69"/>
      <c r="F81" s="30"/>
      <c r="G81" s="36"/>
      <c r="H81" s="28"/>
      <c r="I81" s="41" t="s">
        <v>261</v>
      </c>
      <c r="J81" s="41" t="s">
        <v>261</v>
      </c>
      <c r="K81" s="41"/>
      <c r="L81" s="42"/>
      <c r="M81" s="42"/>
      <c r="N81" s="42"/>
      <c r="O81" s="41"/>
      <c r="P81" s="39"/>
      <c r="Q81" s="41"/>
      <c r="R81" s="46">
        <v>0.67</v>
      </c>
      <c r="S81" s="50">
        <f>IFERROR(__xludf.DUMMYFUNCTION("((IFERROR(MIN(FILTER({K81, N81, Q81}, ISNUMBER({K81, N81, Q81}), {K81, N81, Q81} &gt; 0)), """"))*R81)+IFERROR(MIN(FILTER({K81, N81, Q81}, ISNUMBER({K81, N81, Q81}), {K81, N81, Q81} &gt; 0)), """")"),0.0)</f>
        <v>0</v>
      </c>
      <c r="T81" s="53" t="str">
        <f>IFERROR(__xludf.DUMMYFUNCTION("(S81-(IFERROR(MIN(FILTER({K81, N81, Q81}, ISNUMBER({K81, N81, Q81}), {K81, N81, Q81} &gt; 0)), """")))/S81"),"#DIV/0!")</f>
        <v>#DIV/0!</v>
      </c>
    </row>
    <row r="82" ht="22.5" customHeight="1">
      <c r="A82" s="28"/>
      <c r="B82" s="28"/>
      <c r="C82" s="30"/>
      <c r="D82" s="31"/>
      <c r="E82" s="69"/>
      <c r="F82" s="30"/>
      <c r="G82" s="36"/>
      <c r="H82" s="28"/>
      <c r="I82" s="41" t="s">
        <v>261</v>
      </c>
      <c r="J82" s="41" t="s">
        <v>261</v>
      </c>
      <c r="K82" s="41"/>
      <c r="L82" s="42"/>
      <c r="M82" s="42"/>
      <c r="N82" s="42"/>
      <c r="O82" s="41"/>
      <c r="P82" s="39"/>
      <c r="Q82" s="41"/>
      <c r="R82" s="46">
        <v>0.67</v>
      </c>
      <c r="S82" s="50">
        <f>IFERROR(__xludf.DUMMYFUNCTION("((IFERROR(MIN(FILTER({K82, N82, Q82}, ISNUMBER({K82, N82, Q82}), {K82, N82, Q82} &gt; 0)), """"))*R82)+IFERROR(MIN(FILTER({K82, N82, Q82}, ISNUMBER({K82, N82, Q82}), {K82, N82, Q82} &gt; 0)), """")"),0.0)</f>
        <v>0</v>
      </c>
      <c r="T82" s="53" t="str">
        <f>IFERROR(__xludf.DUMMYFUNCTION("(S82-(IFERROR(MIN(FILTER({K82, N82, Q82}, ISNUMBER({K82, N82, Q82}), {K82, N82, Q82} &gt; 0)), """")))/S82"),"#DIV/0!")</f>
        <v>#DIV/0!</v>
      </c>
    </row>
    <row r="83" ht="22.5" customHeight="1">
      <c r="A83" s="28"/>
      <c r="B83" s="28"/>
      <c r="C83" s="30"/>
      <c r="D83" s="31"/>
      <c r="E83" s="69"/>
      <c r="F83" s="30"/>
      <c r="G83" s="36"/>
      <c r="H83" s="28"/>
      <c r="I83" s="41" t="s">
        <v>261</v>
      </c>
      <c r="J83" s="41" t="s">
        <v>261</v>
      </c>
      <c r="K83" s="41"/>
      <c r="L83" s="42"/>
      <c r="M83" s="42"/>
      <c r="N83" s="42"/>
      <c r="O83" s="41"/>
      <c r="P83" s="39"/>
      <c r="Q83" s="41"/>
      <c r="R83" s="46">
        <v>0.67</v>
      </c>
      <c r="S83" s="50">
        <f>IFERROR(__xludf.DUMMYFUNCTION("((IFERROR(MIN(FILTER({K83, N83, Q83}, ISNUMBER({K83, N83, Q83}), {K83, N83, Q83} &gt; 0)), """"))*R83)+IFERROR(MIN(FILTER({K83, N83, Q83}, ISNUMBER({K83, N83, Q83}), {K83, N83, Q83} &gt; 0)), """")"),0.0)</f>
        <v>0</v>
      </c>
      <c r="T83" s="53" t="str">
        <f>IFERROR(__xludf.DUMMYFUNCTION("(S83-(IFERROR(MIN(FILTER({K83, N83, Q83}, ISNUMBER({K83, N83, Q83}), {K83, N83, Q83} &gt; 0)), """")))/S83"),"#DIV/0!")</f>
        <v>#DIV/0!</v>
      </c>
    </row>
    <row r="84" ht="22.5" customHeight="1">
      <c r="A84" s="28"/>
      <c r="B84" s="28"/>
      <c r="C84" s="30"/>
      <c r="D84" s="31"/>
      <c r="E84" s="69"/>
      <c r="F84" s="30"/>
      <c r="G84" s="36"/>
      <c r="H84" s="28"/>
      <c r="I84" s="41" t="s">
        <v>261</v>
      </c>
      <c r="J84" s="41" t="s">
        <v>261</v>
      </c>
      <c r="K84" s="41"/>
      <c r="L84" s="42"/>
      <c r="M84" s="42"/>
      <c r="N84" s="42"/>
      <c r="O84" s="41"/>
      <c r="P84" s="39"/>
      <c r="Q84" s="41"/>
      <c r="R84" s="46">
        <v>0.67</v>
      </c>
      <c r="S84" s="50">
        <f>IFERROR(__xludf.DUMMYFUNCTION("((IFERROR(MIN(FILTER({K84, N84, Q84}, ISNUMBER({K84, N84, Q84}), {K84, N84, Q84} &gt; 0)), """"))*R84)+IFERROR(MIN(FILTER({K84, N84, Q84}, ISNUMBER({K84, N84, Q84}), {K84, N84, Q84} &gt; 0)), """")"),0.0)</f>
        <v>0</v>
      </c>
      <c r="T84" s="53" t="str">
        <f>IFERROR(__xludf.DUMMYFUNCTION("(S84-(IFERROR(MIN(FILTER({K84, N84, Q84}, ISNUMBER({K84, N84, Q84}), {K84, N84, Q84} &gt; 0)), """")))/S84"),"#DIV/0!")</f>
        <v>#DIV/0!</v>
      </c>
    </row>
  </sheetData>
  <mergeCells count="8">
    <mergeCell ref="A1:B4"/>
    <mergeCell ref="C1:H4"/>
    <mergeCell ref="I1:Q2"/>
    <mergeCell ref="R1:T2"/>
    <mergeCell ref="I3:K4"/>
    <mergeCell ref="L3:N4"/>
    <mergeCell ref="O3:Q4"/>
    <mergeCell ref="R3:T4"/>
  </mergeCells>
  <dataValidations>
    <dataValidation type="list" allowBlank="1" sqref="E6:E84">
      <formula1>"0/0,1/0,2/0,3/0,4/0"</formula1>
    </dataValidation>
    <dataValidation type="list" allowBlank="1" showErrorMessage="1" sqref="G6:G84">
      <formula1>"RTU,Sablon,Custom"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2.63" defaultRowHeight="15.75"/>
  <cols>
    <col customWidth="1" min="4" max="4" width="18.75"/>
    <col customWidth="1" min="9" max="9" width="17.75"/>
    <col hidden="1" min="19" max="19" width="12.63"/>
    <col hidden="1" min="21" max="21" width="12.63"/>
    <col hidden="1" min="24" max="24" width="12.63"/>
  </cols>
  <sheetData>
    <row r="1">
      <c r="A1" s="1"/>
      <c r="C1" s="2" t="s">
        <v>315</v>
      </c>
      <c r="J1" s="3" t="s">
        <v>2</v>
      </c>
      <c r="S1" s="4"/>
      <c r="T1" s="4" t="s">
        <v>4</v>
      </c>
      <c r="W1" s="71"/>
      <c r="X1" s="4"/>
    </row>
    <row r="2">
      <c r="S2" s="4"/>
      <c r="W2" s="71"/>
      <c r="X2" s="4"/>
    </row>
    <row r="3">
      <c r="J3" s="6" t="s">
        <v>7</v>
      </c>
      <c r="K3" s="7"/>
      <c r="L3" s="8"/>
      <c r="M3" s="9" t="s">
        <v>8</v>
      </c>
      <c r="N3" s="7"/>
      <c r="O3" s="8"/>
      <c r="P3" s="6" t="s">
        <v>9</v>
      </c>
      <c r="Q3" s="7"/>
      <c r="R3" s="8"/>
      <c r="S3" s="10" t="s">
        <v>10</v>
      </c>
      <c r="T3" s="7"/>
      <c r="U3" s="7"/>
      <c r="V3" s="8"/>
      <c r="W3" s="72"/>
      <c r="X3" s="73" t="s">
        <v>12</v>
      </c>
    </row>
    <row r="4">
      <c r="J4" s="11"/>
      <c r="K4" s="11"/>
      <c r="L4" s="12"/>
      <c r="M4" s="11"/>
      <c r="N4" s="11"/>
      <c r="O4" s="12"/>
      <c r="P4" s="11"/>
      <c r="Q4" s="11"/>
      <c r="R4" s="12"/>
      <c r="S4" s="11"/>
      <c r="T4" s="11"/>
      <c r="U4" s="11"/>
      <c r="V4" s="12"/>
      <c r="W4" s="72"/>
      <c r="X4" s="12"/>
    </row>
    <row r="5" ht="22.5" customHeight="1">
      <c r="A5" s="14" t="s">
        <v>11</v>
      </c>
      <c r="B5" s="16" t="s">
        <v>13</v>
      </c>
      <c r="C5" s="17" t="s">
        <v>14</v>
      </c>
      <c r="D5" s="17" t="s">
        <v>15</v>
      </c>
      <c r="E5" s="17" t="s">
        <v>319</v>
      </c>
      <c r="F5" s="17" t="s">
        <v>16</v>
      </c>
      <c r="G5" s="16" t="s">
        <v>18</v>
      </c>
      <c r="H5" s="17" t="s">
        <v>19</v>
      </c>
      <c r="I5" s="17" t="s">
        <v>20</v>
      </c>
      <c r="J5" s="22" t="s">
        <v>21</v>
      </c>
      <c r="K5" s="22" t="s">
        <v>22</v>
      </c>
      <c r="L5" s="22" t="s">
        <v>23</v>
      </c>
      <c r="M5" s="23" t="s">
        <v>24</v>
      </c>
      <c r="N5" s="23" t="s">
        <v>25</v>
      </c>
      <c r="O5" s="23" t="s">
        <v>26</v>
      </c>
      <c r="P5" s="22" t="s">
        <v>27</v>
      </c>
      <c r="Q5" s="22" t="s">
        <v>28</v>
      </c>
      <c r="R5" s="22" t="s">
        <v>29</v>
      </c>
      <c r="S5" s="25" t="s">
        <v>30</v>
      </c>
      <c r="T5" s="26" t="s">
        <v>10</v>
      </c>
      <c r="U5" s="74" t="s">
        <v>320</v>
      </c>
      <c r="V5" s="25" t="s">
        <v>31</v>
      </c>
      <c r="W5" s="75" t="s">
        <v>321</v>
      </c>
      <c r="X5" s="17" t="s">
        <v>40</v>
      </c>
    </row>
    <row r="6" ht="22.5" customHeight="1">
      <c r="A6" s="34" t="s">
        <v>322</v>
      </c>
      <c r="B6" s="34" t="s">
        <v>323</v>
      </c>
      <c r="C6" s="37" t="s">
        <v>42</v>
      </c>
      <c r="D6" s="38" t="s">
        <v>324</v>
      </c>
      <c r="E6" s="76"/>
      <c r="F6" s="40" t="s">
        <v>55</v>
      </c>
      <c r="G6" s="34" t="s">
        <v>74</v>
      </c>
      <c r="H6" s="43" t="s">
        <v>41</v>
      </c>
      <c r="I6" s="34" t="s">
        <v>44</v>
      </c>
      <c r="J6" s="39">
        <v>1000.0</v>
      </c>
      <c r="K6" s="39">
        <v>1000.0</v>
      </c>
      <c r="L6" s="41"/>
      <c r="M6" s="42">
        <v>1000.0</v>
      </c>
      <c r="N6" s="42">
        <v>1000.0</v>
      </c>
      <c r="O6" s="42"/>
      <c r="P6" s="39">
        <v>1000.0</v>
      </c>
      <c r="Q6" s="39">
        <v>1000.0</v>
      </c>
      <c r="R6" s="39">
        <v>1500.0</v>
      </c>
      <c r="S6" s="46">
        <v>0.67</v>
      </c>
      <c r="T6" s="50">
        <f>IFERROR(__xludf.DUMMYFUNCTION("((IFERROR(MIN(FILTER({L6, O6, R6}, ISNUMBER({L6, O6, R6}), {L6, O6, R6} &gt; 0)), """"))*S6)+IFERROR(MIN(FILTER({L6, O6, R6}, ISNUMBER({L6, O6, R6}), {L6, O6, R6} &gt; 0)), """")"),2505.0)</f>
        <v>2505</v>
      </c>
      <c r="U6" s="50">
        <f>IFERROR(__xludf.DUMMYFUNCTION("(IFERROR(MIN(FILTER({L6, O6, R6}, ISNUMBER({L6, O6, R6}), {L6, O6, R6} &gt; 0)), """")/(1-0.3))"),2142.857142857143)</f>
        <v>2142.857143</v>
      </c>
      <c r="V6" s="77">
        <f>IFERROR(__xludf.DUMMYFUNCTION("(T6-(IFERROR(MIN(FILTER({L6, O6, R6}, ISNUMBER({L6, O6, R6}), {L6, O6, R6} &gt; 0)), """")))/T6"),0.40119760479041916)</f>
        <v>0.4011976048</v>
      </c>
      <c r="W6" s="78"/>
      <c r="X6" s="79">
        <v>400.0</v>
      </c>
    </row>
    <row r="7" ht="22.5" customHeight="1">
      <c r="A7" s="34" t="s">
        <v>322</v>
      </c>
      <c r="B7" s="34" t="s">
        <v>323</v>
      </c>
      <c r="C7" s="37" t="s">
        <v>42</v>
      </c>
      <c r="D7" s="38" t="s">
        <v>324</v>
      </c>
      <c r="E7" s="76"/>
      <c r="F7" s="40" t="s">
        <v>55</v>
      </c>
      <c r="G7" s="34" t="s">
        <v>74</v>
      </c>
      <c r="H7" s="43" t="s">
        <v>41</v>
      </c>
      <c r="I7" s="34" t="s">
        <v>44</v>
      </c>
      <c r="J7" s="39">
        <v>2000.0</v>
      </c>
      <c r="K7" s="39">
        <v>2000.0</v>
      </c>
      <c r="L7" s="41"/>
      <c r="M7" s="42">
        <v>2000.0</v>
      </c>
      <c r="N7" s="42">
        <v>2000.0</v>
      </c>
      <c r="O7" s="42"/>
      <c r="P7" s="39">
        <v>2000.0</v>
      </c>
      <c r="Q7" s="39">
        <v>2000.0</v>
      </c>
      <c r="R7" s="39">
        <v>975.0</v>
      </c>
      <c r="S7" s="46">
        <v>0.67</v>
      </c>
      <c r="T7" s="50">
        <f>IFERROR(__xludf.DUMMYFUNCTION("((IFERROR(MIN(FILTER({L7, O7, R7}, ISNUMBER({L7, O7, R7}), {L7, O7, R7} &gt; 0)), """"))*S7)+IFERROR(MIN(FILTER({L7, O7, R7}, ISNUMBER({L7, O7, R7}), {L7, O7, R7} &gt; 0)), """")"),1628.25)</f>
        <v>1628.25</v>
      </c>
      <c r="U7" s="50">
        <f>IFERROR(__xludf.DUMMYFUNCTION("(IFERROR(MIN(FILTER({L7, O7, R7}, ISNUMBER({L7, O7, R7}), {L7, O7, R7} &gt; 0)), """")/(1-0.3))"),1392.857142857143)</f>
        <v>1392.857143</v>
      </c>
      <c r="V7" s="77">
        <f>IFERROR(__xludf.DUMMYFUNCTION("(T7-(IFERROR(MIN(FILTER({L7, O7, R7}, ISNUMBER({L7, O7, R7}), {L7, O7, R7} &gt; 0)), """")))/T7"),0.40119760479041916)</f>
        <v>0.4011976048</v>
      </c>
      <c r="W7" s="78"/>
      <c r="X7" s="79">
        <v>400.0</v>
      </c>
    </row>
    <row r="8" ht="22.5" customHeight="1">
      <c r="A8" s="34" t="s">
        <v>326</v>
      </c>
      <c r="B8" s="34" t="s">
        <v>327</v>
      </c>
      <c r="C8" s="37" t="s">
        <v>72</v>
      </c>
      <c r="D8" s="38" t="s">
        <v>328</v>
      </c>
      <c r="E8" s="76"/>
      <c r="F8" s="40" t="s">
        <v>55</v>
      </c>
      <c r="G8" s="34" t="s">
        <v>58</v>
      </c>
      <c r="H8" s="43" t="s">
        <v>41</v>
      </c>
      <c r="I8" s="34" t="s">
        <v>44</v>
      </c>
      <c r="J8" s="39">
        <v>2000.0</v>
      </c>
      <c r="K8" s="39">
        <v>2000.0</v>
      </c>
      <c r="L8" s="41"/>
      <c r="M8" s="42">
        <v>2000.0</v>
      </c>
      <c r="N8" s="42">
        <v>2000.0</v>
      </c>
      <c r="O8" s="42"/>
      <c r="P8" s="39">
        <v>2000.0</v>
      </c>
      <c r="Q8" s="39">
        <v>2000.0</v>
      </c>
      <c r="R8" s="39">
        <v>1080.0</v>
      </c>
      <c r="S8" s="46">
        <v>0.67</v>
      </c>
      <c r="T8" s="50">
        <f>IFERROR(__xludf.DUMMYFUNCTION("((IFERROR(MIN(FILTER({L8, O8, R8}, ISNUMBER({L8, O8, R8}), {L8, O8, R8} &gt; 0)), """"))*S8)+IFERROR(MIN(FILTER({L8, O8, R8}, ISNUMBER({L8, O8, R8}), {L8, O8, R8} &gt; 0)), """")"),1803.6)</f>
        <v>1803.6</v>
      </c>
      <c r="U8" s="50">
        <f>IFERROR(__xludf.DUMMYFUNCTION("(IFERROR(MIN(FILTER({L8, O8, R8}, ISNUMBER({L8, O8, R8}), {L8, O8, R8} &gt; 0)), """")/(1-0.3))"),1542.857142857143)</f>
        <v>1542.857143</v>
      </c>
      <c r="V8" s="77">
        <f>IFERROR(__xludf.DUMMYFUNCTION("(T8-(IFERROR(MIN(FILTER({L8, O8, R8}, ISNUMBER({L8, O8, R8}), {L8, O8, R8} &gt; 0)), """")))/T8"),0.4011976047904191)</f>
        <v>0.4011976048</v>
      </c>
      <c r="W8" s="78"/>
      <c r="X8" s="79">
        <v>400.0</v>
      </c>
    </row>
    <row r="9" ht="22.5" customHeight="1">
      <c r="A9" s="34" t="s">
        <v>326</v>
      </c>
      <c r="B9" s="34" t="s">
        <v>327</v>
      </c>
      <c r="C9" s="37" t="s">
        <v>72</v>
      </c>
      <c r="D9" s="38" t="s">
        <v>328</v>
      </c>
      <c r="E9" s="76"/>
      <c r="F9" s="40" t="s">
        <v>55</v>
      </c>
      <c r="G9" s="34" t="s">
        <v>58</v>
      </c>
      <c r="H9" s="43" t="s">
        <v>41</v>
      </c>
      <c r="I9" s="34" t="s">
        <v>44</v>
      </c>
      <c r="J9" s="39">
        <v>5000.0</v>
      </c>
      <c r="K9" s="39">
        <v>5000.0</v>
      </c>
      <c r="L9" s="41"/>
      <c r="M9" s="42">
        <v>5000.0</v>
      </c>
      <c r="N9" s="42">
        <v>5000.0</v>
      </c>
      <c r="O9" s="42"/>
      <c r="P9" s="39">
        <v>5000.0</v>
      </c>
      <c r="Q9" s="39">
        <v>5000.0</v>
      </c>
      <c r="R9" s="39">
        <v>920.0</v>
      </c>
      <c r="S9" s="46">
        <v>0.67</v>
      </c>
      <c r="T9" s="50">
        <f>IFERROR(__xludf.DUMMYFUNCTION("((IFERROR(MIN(FILTER({L9, O9, R9}, ISNUMBER({L9, O9, R9}), {L9, O9, R9} &gt; 0)), """"))*S9)+IFERROR(MIN(FILTER({L9, O9, R9}, ISNUMBER({L9, O9, R9}), {L9, O9, R9} &gt; 0)), """")"),1536.4)</f>
        <v>1536.4</v>
      </c>
      <c r="U9" s="50">
        <f>IFERROR(__xludf.DUMMYFUNCTION("(IFERROR(MIN(FILTER({L9, O9, R9}, ISNUMBER({L9, O9, R9}), {L9, O9, R9} &gt; 0)), """")/(1-0.3))"),1314.2857142857144)</f>
        <v>1314.285714</v>
      </c>
      <c r="V9" s="77">
        <f>IFERROR(__xludf.DUMMYFUNCTION("(T9-(IFERROR(MIN(FILTER({L9, O9, R9}, ISNUMBER({L9, O9, R9}), {L9, O9, R9} &gt; 0)), """")))/T9"),0.4011976047904192)</f>
        <v>0.4011976048</v>
      </c>
      <c r="W9" s="78"/>
      <c r="X9" s="79">
        <v>400.0</v>
      </c>
    </row>
    <row r="10" ht="22.5" customHeight="1">
      <c r="A10" s="34" t="s">
        <v>326</v>
      </c>
      <c r="B10" s="34" t="s">
        <v>327</v>
      </c>
      <c r="C10" s="37" t="s">
        <v>72</v>
      </c>
      <c r="D10" s="38" t="s">
        <v>111</v>
      </c>
      <c r="E10" s="76"/>
      <c r="F10" s="40" t="s">
        <v>55</v>
      </c>
      <c r="G10" s="34" t="s">
        <v>58</v>
      </c>
      <c r="H10" s="43" t="s">
        <v>41</v>
      </c>
      <c r="I10" s="34" t="s">
        <v>44</v>
      </c>
      <c r="J10" s="39">
        <v>2000.0</v>
      </c>
      <c r="K10" s="39">
        <v>2000.0</v>
      </c>
      <c r="L10" s="41"/>
      <c r="M10" s="42">
        <v>2000.0</v>
      </c>
      <c r="N10" s="42">
        <v>2000.0</v>
      </c>
      <c r="O10" s="42"/>
      <c r="P10" s="39">
        <v>2000.0</v>
      </c>
      <c r="Q10" s="39">
        <v>2000.0</v>
      </c>
      <c r="R10" s="39">
        <v>1250.0</v>
      </c>
      <c r="S10" s="46">
        <v>0.67</v>
      </c>
      <c r="T10" s="50">
        <f>IFERROR(__xludf.DUMMYFUNCTION("((IFERROR(MIN(FILTER({L10, O10, R10}, ISNUMBER({L10, O10, R10}), {L10, O10, R10} &gt; 0)), """"))*S10)+IFERROR(MIN(FILTER({L10, O10, R10}, ISNUMBER({L10, O10, R10}), {L10, O10, R10} &gt; 0)), """")"),2087.5)</f>
        <v>2087.5</v>
      </c>
      <c r="U10" s="50">
        <f>IFERROR(__xludf.DUMMYFUNCTION("(IFERROR(MIN(FILTER({L10, O10, R10}, ISNUMBER({L10, O10, R10}), {L10, O10, R10} &gt; 0)), """")/(1-0.3))"),1785.7142857142858)</f>
        <v>1785.714286</v>
      </c>
      <c r="V10" s="77">
        <f>IFERROR(__xludf.DUMMYFUNCTION("(T10-(IFERROR(MIN(FILTER({L10, O10, R10}, ISNUMBER({L10, O10, R10}), {L10, O10, R10} &gt; 0)), """")))/T10"),0.40119760479041916)</f>
        <v>0.4011976048</v>
      </c>
      <c r="W10" s="78"/>
      <c r="X10" s="79">
        <v>400.0</v>
      </c>
    </row>
    <row r="11" ht="22.5" customHeight="1">
      <c r="A11" s="34" t="s">
        <v>326</v>
      </c>
      <c r="B11" s="34" t="s">
        <v>327</v>
      </c>
      <c r="C11" s="37" t="s">
        <v>72</v>
      </c>
      <c r="D11" s="38" t="s">
        <v>111</v>
      </c>
      <c r="E11" s="76"/>
      <c r="F11" s="40" t="s">
        <v>55</v>
      </c>
      <c r="G11" s="34" t="s">
        <v>58</v>
      </c>
      <c r="H11" s="43" t="s">
        <v>41</v>
      </c>
      <c r="I11" s="34" t="s">
        <v>44</v>
      </c>
      <c r="J11" s="39">
        <v>5000.0</v>
      </c>
      <c r="K11" s="39">
        <v>5000.0</v>
      </c>
      <c r="L11" s="41"/>
      <c r="M11" s="42">
        <v>5000.0</v>
      </c>
      <c r="N11" s="42">
        <v>5000.0</v>
      </c>
      <c r="O11" s="42"/>
      <c r="P11" s="39">
        <v>5000.0</v>
      </c>
      <c r="Q11" s="39">
        <v>5000.0</v>
      </c>
      <c r="R11" s="39">
        <v>1080.0</v>
      </c>
      <c r="S11" s="46">
        <v>0.67</v>
      </c>
      <c r="T11" s="50">
        <f>IFERROR(__xludf.DUMMYFUNCTION("((IFERROR(MIN(FILTER({L11, O11, R11}, ISNUMBER({L11, O11, R11}), {L11, O11, R11} &gt; 0)), """"))*S11)+IFERROR(MIN(FILTER({L11, O11, R11}, ISNUMBER({L11, O11, R11}), {L11, O11, R11} &gt; 0)), """")"),1803.6)</f>
        <v>1803.6</v>
      </c>
      <c r="U11" s="50">
        <f>IFERROR(__xludf.DUMMYFUNCTION("(IFERROR(MIN(FILTER({L11, O11, R11}, ISNUMBER({L11, O11, R11}), {L11, O11, R11} &gt; 0)), """")/(1-0.3))"),1542.857142857143)</f>
        <v>1542.857143</v>
      </c>
      <c r="V11" s="77">
        <f>IFERROR(__xludf.DUMMYFUNCTION("(T11-(IFERROR(MIN(FILTER({L11, O11, R11}, ISNUMBER({L11, O11, R11}), {L11, O11, R11} &gt; 0)), """")))/T11"),0.4011976047904191)</f>
        <v>0.4011976048</v>
      </c>
      <c r="W11" s="78"/>
      <c r="X11" s="79">
        <v>400.0</v>
      </c>
    </row>
    <row r="12" ht="22.5" customHeight="1">
      <c r="A12" s="34" t="s">
        <v>341</v>
      </c>
      <c r="B12" s="34" t="s">
        <v>342</v>
      </c>
      <c r="C12" s="37" t="s">
        <v>72</v>
      </c>
      <c r="D12" s="38" t="s">
        <v>343</v>
      </c>
      <c r="E12" s="76"/>
      <c r="F12" s="40" t="s">
        <v>36</v>
      </c>
      <c r="G12" s="34"/>
      <c r="H12" s="43" t="s">
        <v>41</v>
      </c>
      <c r="I12" s="34" t="s">
        <v>44</v>
      </c>
      <c r="J12" s="39">
        <v>1000.0</v>
      </c>
      <c r="K12" s="39">
        <v>1000.0</v>
      </c>
      <c r="L12" s="41"/>
      <c r="M12" s="42">
        <v>1000.0</v>
      </c>
      <c r="N12" s="42">
        <v>1000.0</v>
      </c>
      <c r="O12" s="42"/>
      <c r="P12" s="39">
        <v>1000.0</v>
      </c>
      <c r="Q12" s="39">
        <v>1000.0</v>
      </c>
      <c r="R12" s="39">
        <v>2100.0</v>
      </c>
      <c r="S12" s="46">
        <v>0.67</v>
      </c>
      <c r="T12" s="50">
        <f>IFERROR(__xludf.DUMMYFUNCTION("((IFERROR(MIN(FILTER({L12, O12, R12}, ISNUMBER({L12, O12, R12}), {L12, O12, R12} &gt; 0)), """"))*S12)+IFERROR(MIN(FILTER({L12, O12, R12}, ISNUMBER({L12, O12, R12}), {L12, O12, R12} &gt; 0)), """")"),3507.0)</f>
        <v>3507</v>
      </c>
      <c r="U12" s="50">
        <f>IFERROR(__xludf.DUMMYFUNCTION("(IFERROR(MIN(FILTER({L12, O12, R12}, ISNUMBER({L12, O12, R12}), {L12, O12, R12} &gt; 0)), """")/(1-0.3))"),3000.0)</f>
        <v>3000</v>
      </c>
      <c r="V12" s="77">
        <f>IFERROR(__xludf.DUMMYFUNCTION("(T12-(IFERROR(MIN(FILTER({L12, O12, R12}, ISNUMBER({L12, O12, R12}), {L12, O12, R12} &gt; 0)), """")))/T12"),0.40119760479041916)</f>
        <v>0.4011976048</v>
      </c>
      <c r="W12" s="78"/>
      <c r="X12" s="79">
        <v>400.0</v>
      </c>
    </row>
    <row r="13" ht="22.5" customHeight="1">
      <c r="A13" s="34" t="s">
        <v>341</v>
      </c>
      <c r="B13" s="34" t="s">
        <v>342</v>
      </c>
      <c r="C13" s="37" t="s">
        <v>72</v>
      </c>
      <c r="D13" s="38" t="s">
        <v>343</v>
      </c>
      <c r="E13" s="76"/>
      <c r="F13" s="40" t="s">
        <v>36</v>
      </c>
      <c r="G13" s="34"/>
      <c r="H13" s="43" t="s">
        <v>41</v>
      </c>
      <c r="I13" s="34" t="s">
        <v>44</v>
      </c>
      <c r="J13" s="39">
        <v>2000.0</v>
      </c>
      <c r="K13" s="39">
        <v>2000.0</v>
      </c>
      <c r="L13" s="41"/>
      <c r="M13" s="42">
        <v>2000.0</v>
      </c>
      <c r="N13" s="42">
        <v>2000.0</v>
      </c>
      <c r="O13" s="42"/>
      <c r="P13" s="39">
        <v>2000.0</v>
      </c>
      <c r="Q13" s="39">
        <v>2000.0</v>
      </c>
      <c r="R13" s="39">
        <v>1400.0</v>
      </c>
      <c r="S13" s="46">
        <v>0.67</v>
      </c>
      <c r="T13" s="50">
        <f>IFERROR(__xludf.DUMMYFUNCTION("((IFERROR(MIN(FILTER({L13, O13, R13}, ISNUMBER({L13, O13, R13}), {L13, O13, R13} &gt; 0)), """"))*S13)+IFERROR(MIN(FILTER({L13, O13, R13}, ISNUMBER({L13, O13, R13}), {L13, O13, R13} &gt; 0)), """")"),2338.0)</f>
        <v>2338</v>
      </c>
      <c r="U13" s="50">
        <f>IFERROR(__xludf.DUMMYFUNCTION("(IFERROR(MIN(FILTER({L13, O13, R13}, ISNUMBER({L13, O13, R13}), {L13, O13, R13} &gt; 0)), """")/(1-0.3))"),2000.0000000000002)</f>
        <v>2000</v>
      </c>
      <c r="V13" s="77">
        <f>IFERROR(__xludf.DUMMYFUNCTION("(T13-(IFERROR(MIN(FILTER({L13, O13, R13}, ISNUMBER({L13, O13, R13}), {L13, O13, R13} &gt; 0)), """")))/T13"),0.40119760479041916)</f>
        <v>0.4011976048</v>
      </c>
      <c r="W13" s="78"/>
      <c r="X13" s="79">
        <v>400.0</v>
      </c>
    </row>
    <row r="14" ht="22.5" customHeight="1">
      <c r="A14" s="34" t="s">
        <v>352</v>
      </c>
      <c r="B14" s="34" t="s">
        <v>327</v>
      </c>
      <c r="C14" s="37" t="s">
        <v>42</v>
      </c>
      <c r="D14" s="38" t="s">
        <v>354</v>
      </c>
      <c r="E14" s="76"/>
      <c r="F14" s="40" t="s">
        <v>55</v>
      </c>
      <c r="G14" s="34" t="s">
        <v>216</v>
      </c>
      <c r="H14" s="43" t="s">
        <v>41</v>
      </c>
      <c r="I14" s="34" t="s">
        <v>44</v>
      </c>
      <c r="J14" s="39">
        <v>2000.0</v>
      </c>
      <c r="K14" s="39">
        <v>2000.0</v>
      </c>
      <c r="L14" s="41"/>
      <c r="M14" s="42">
        <v>2000.0</v>
      </c>
      <c r="N14" s="42">
        <v>2000.0</v>
      </c>
      <c r="O14" s="42"/>
      <c r="P14" s="39">
        <v>2000.0</v>
      </c>
      <c r="Q14" s="39">
        <v>2000.0</v>
      </c>
      <c r="R14" s="39">
        <v>1400.0</v>
      </c>
      <c r="S14" s="46">
        <v>0.67</v>
      </c>
      <c r="T14" s="50">
        <f>IFERROR(__xludf.DUMMYFUNCTION("((IFERROR(MIN(FILTER({L14, O14, R14}, ISNUMBER({L14, O14, R14}), {L14, O14, R14} &gt; 0)), """"))*S14)+IFERROR(MIN(FILTER({L14, O14, R14}, ISNUMBER({L14, O14, R14}), {L14, O14, R14} &gt; 0)), """")"),2338.0)</f>
        <v>2338</v>
      </c>
      <c r="U14" s="50">
        <f>IFERROR(__xludf.DUMMYFUNCTION("(IFERROR(MIN(FILTER({L14, O14, R14}, ISNUMBER({L14, O14, R14}), {L14, O14, R14} &gt; 0)), """")/(1-0.3))"),2000.0000000000002)</f>
        <v>2000</v>
      </c>
      <c r="V14" s="77">
        <f>IFERROR(__xludf.DUMMYFUNCTION("(T14-(IFERROR(MIN(FILTER({L14, O14, R14}, ISNUMBER({L14, O14, R14}), {L14, O14, R14} &gt; 0)), """")))/T14"),0.40119760479041916)</f>
        <v>0.4011976048</v>
      </c>
      <c r="W14" s="78"/>
      <c r="X14" s="79">
        <v>400.0</v>
      </c>
    </row>
    <row r="15" ht="22.5" customHeight="1">
      <c r="A15" s="34" t="s">
        <v>188</v>
      </c>
      <c r="B15" s="34" t="s">
        <v>356</v>
      </c>
      <c r="C15" s="37" t="s">
        <v>42</v>
      </c>
      <c r="D15" s="38" t="s">
        <v>354</v>
      </c>
      <c r="E15" s="76"/>
      <c r="F15" s="40" t="s">
        <v>55</v>
      </c>
      <c r="G15" s="34" t="s">
        <v>100</v>
      </c>
      <c r="H15" s="43" t="s">
        <v>41</v>
      </c>
      <c r="I15" s="34" t="s">
        <v>44</v>
      </c>
      <c r="J15" s="39">
        <v>5000.0</v>
      </c>
      <c r="K15" s="39">
        <v>5000.0</v>
      </c>
      <c r="L15" s="41"/>
      <c r="M15" s="42">
        <v>5000.0</v>
      </c>
      <c r="N15" s="42">
        <v>5000.0</v>
      </c>
      <c r="O15" s="42"/>
      <c r="P15" s="39">
        <v>5000.0</v>
      </c>
      <c r="Q15" s="39">
        <v>5000.0</v>
      </c>
      <c r="R15" s="39">
        <v>1000.0</v>
      </c>
      <c r="S15" s="46">
        <v>0.67</v>
      </c>
      <c r="T15" s="50">
        <f>IFERROR(__xludf.DUMMYFUNCTION("((IFERROR(MIN(FILTER({L15, O15, R15}, ISNUMBER({L15, O15, R15}), {L15, O15, R15} &gt; 0)), """"))*S15)+IFERROR(MIN(FILTER({L15, O15, R15}, ISNUMBER({L15, O15, R15}), {L15, O15, R15} &gt; 0)), """")"),1670.0)</f>
        <v>1670</v>
      </c>
      <c r="U15" s="50">
        <f>IFERROR(__xludf.DUMMYFUNCTION("(IFERROR(MIN(FILTER({L15, O15, R15}, ISNUMBER({L15, O15, R15}), {L15, O15, R15} &gt; 0)), """")/(1-0.3))"),1428.5714285714287)</f>
        <v>1428.571429</v>
      </c>
      <c r="V15" s="77">
        <f>IFERROR(__xludf.DUMMYFUNCTION("(T15-(IFERROR(MIN(FILTER({L15, O15, R15}, ISNUMBER({L15, O15, R15}), {L15, O15, R15} &gt; 0)), """")))/T15"),0.40119760479041916)</f>
        <v>0.4011976048</v>
      </c>
      <c r="W15" s="78"/>
      <c r="X15" s="79">
        <v>400.0</v>
      </c>
    </row>
    <row r="16" ht="22.5" customHeight="1">
      <c r="A16" s="34" t="s">
        <v>188</v>
      </c>
      <c r="B16" s="34" t="s">
        <v>356</v>
      </c>
      <c r="C16" s="37" t="s">
        <v>42</v>
      </c>
      <c r="D16" s="38" t="s">
        <v>354</v>
      </c>
      <c r="E16" s="76"/>
      <c r="F16" s="40" t="s">
        <v>55</v>
      </c>
      <c r="G16" s="34" t="s">
        <v>100</v>
      </c>
      <c r="H16" s="43" t="s">
        <v>41</v>
      </c>
      <c r="I16" s="34" t="s">
        <v>44</v>
      </c>
      <c r="J16" s="39">
        <v>15000.0</v>
      </c>
      <c r="K16" s="39">
        <v>15000.0</v>
      </c>
      <c r="L16" s="41"/>
      <c r="M16" s="42">
        <v>15000.0</v>
      </c>
      <c r="N16" s="42">
        <v>15000.0</v>
      </c>
      <c r="O16" s="42"/>
      <c r="P16" s="39">
        <v>15000.0</v>
      </c>
      <c r="Q16" s="39">
        <v>15000.0</v>
      </c>
      <c r="R16" s="39">
        <v>900.0</v>
      </c>
      <c r="S16" s="46">
        <v>0.67</v>
      </c>
      <c r="T16" s="50">
        <f>IFERROR(__xludf.DUMMYFUNCTION("((IFERROR(MIN(FILTER({L16, O16, R16}, ISNUMBER({L16, O16, R16}), {L16, O16, R16} &gt; 0)), """"))*S16)+IFERROR(MIN(FILTER({L16, O16, R16}, ISNUMBER({L16, O16, R16}), {L16, O16, R16} &gt; 0)), """")"),1503.0)</f>
        <v>1503</v>
      </c>
      <c r="U16" s="50">
        <f>IFERROR(__xludf.DUMMYFUNCTION("(IFERROR(MIN(FILTER({L16, O16, R16}, ISNUMBER({L16, O16, R16}), {L16, O16, R16} &gt; 0)), """")/(1-0.3))"),1285.7142857142858)</f>
        <v>1285.714286</v>
      </c>
      <c r="V16" s="77">
        <f>IFERROR(__xludf.DUMMYFUNCTION("(T16-(IFERROR(MIN(FILTER({L16, O16, R16}, ISNUMBER({L16, O16, R16}), {L16, O16, R16} &gt; 0)), """")))/T16"),0.40119760479041916)</f>
        <v>0.4011976048</v>
      </c>
      <c r="W16" s="78"/>
      <c r="X16" s="79">
        <v>400.0</v>
      </c>
    </row>
    <row r="17" ht="22.5" customHeight="1">
      <c r="A17" s="34" t="s">
        <v>188</v>
      </c>
      <c r="B17" s="34" t="s">
        <v>356</v>
      </c>
      <c r="C17" s="37" t="s">
        <v>42</v>
      </c>
      <c r="D17" s="38" t="s">
        <v>354</v>
      </c>
      <c r="E17" s="76"/>
      <c r="F17" s="40" t="s">
        <v>55</v>
      </c>
      <c r="G17" s="34" t="s">
        <v>100</v>
      </c>
      <c r="H17" s="43" t="s">
        <v>41</v>
      </c>
      <c r="I17" s="34" t="s">
        <v>44</v>
      </c>
      <c r="J17" s="39">
        <v>25000.0</v>
      </c>
      <c r="K17" s="39">
        <v>25000.0</v>
      </c>
      <c r="L17" s="41"/>
      <c r="M17" s="42">
        <v>25000.0</v>
      </c>
      <c r="N17" s="42">
        <v>25000.0</v>
      </c>
      <c r="O17" s="42"/>
      <c r="P17" s="39">
        <v>25000.0</v>
      </c>
      <c r="Q17" s="39">
        <v>25000.0</v>
      </c>
      <c r="R17" s="39">
        <v>800.0</v>
      </c>
      <c r="S17" s="46">
        <v>0.67</v>
      </c>
      <c r="T17" s="50">
        <f>IFERROR(__xludf.DUMMYFUNCTION("((IFERROR(MIN(FILTER({L17, O17, R17}, ISNUMBER({L17, O17, R17}), {L17, O17, R17} &gt; 0)), """"))*S17)+IFERROR(MIN(FILTER({L17, O17, R17}, ISNUMBER({L17, O17, R17}), {L17, O17, R17} &gt; 0)), """")"),1336.0)</f>
        <v>1336</v>
      </c>
      <c r="U17" s="50">
        <f>IFERROR(__xludf.DUMMYFUNCTION("(IFERROR(MIN(FILTER({L17, O17, R17}, ISNUMBER({L17, O17, R17}), {L17, O17, R17} &gt; 0)), """")/(1-0.3))"),1142.857142857143)</f>
        <v>1142.857143</v>
      </c>
      <c r="V17" s="77">
        <f>IFERROR(__xludf.DUMMYFUNCTION("(T17-(IFERROR(MIN(FILTER({L17, O17, R17}, ISNUMBER({L17, O17, R17}), {L17, O17, R17} &gt; 0)), """")))/T17"),0.40119760479041916)</f>
        <v>0.4011976048</v>
      </c>
      <c r="W17" s="78"/>
      <c r="X17" s="79">
        <v>400.0</v>
      </c>
    </row>
    <row r="18" ht="22.5" customHeight="1">
      <c r="A18" s="34" t="s">
        <v>341</v>
      </c>
      <c r="B18" s="34" t="s">
        <v>342</v>
      </c>
      <c r="C18" s="37" t="s">
        <v>85</v>
      </c>
      <c r="D18" s="38" t="s">
        <v>343</v>
      </c>
      <c r="E18" s="76"/>
      <c r="F18" s="40" t="s">
        <v>36</v>
      </c>
      <c r="G18" s="34"/>
      <c r="H18" s="43" t="s">
        <v>41</v>
      </c>
      <c r="I18" s="34" t="s">
        <v>44</v>
      </c>
      <c r="J18" s="39">
        <v>2000.0</v>
      </c>
      <c r="K18" s="39">
        <v>2000.0</v>
      </c>
      <c r="L18" s="41"/>
      <c r="M18" s="42">
        <v>2000.0</v>
      </c>
      <c r="N18" s="42">
        <v>2000.0</v>
      </c>
      <c r="O18" s="42"/>
      <c r="P18" s="39">
        <v>2000.0</v>
      </c>
      <c r="Q18" s="39">
        <v>2000.0</v>
      </c>
      <c r="R18" s="39">
        <v>1500.0</v>
      </c>
      <c r="S18" s="46">
        <v>0.67</v>
      </c>
      <c r="T18" s="50">
        <f>IFERROR(__xludf.DUMMYFUNCTION("((IFERROR(MIN(FILTER({L18, O18, R18}, ISNUMBER({L18, O18, R18}), {L18, O18, R18} &gt; 0)), """"))*S18)+IFERROR(MIN(FILTER({L18, O18, R18}, ISNUMBER({L18, O18, R18}), {L18, O18, R18} &gt; 0)), """")"),2505.0)</f>
        <v>2505</v>
      </c>
      <c r="U18" s="50">
        <f>IFERROR(__xludf.DUMMYFUNCTION("(IFERROR(MIN(FILTER({L18, O18, R18}, ISNUMBER({L18, O18, R18}), {L18, O18, R18} &gt; 0)), """")/(1-0.3))"),2142.857142857143)</f>
        <v>2142.857143</v>
      </c>
      <c r="V18" s="77">
        <f>IFERROR(__xludf.DUMMYFUNCTION("(T18-(IFERROR(MIN(FILTER({L18, O18, R18}, ISNUMBER({L18, O18, R18}), {L18, O18, R18} &gt; 0)), """")))/T18"),0.40119760479041916)</f>
        <v>0.4011976048</v>
      </c>
      <c r="W18" s="78"/>
      <c r="X18" s="79">
        <v>400.0</v>
      </c>
    </row>
    <row r="19" ht="22.5" customHeight="1">
      <c r="A19" s="34" t="s">
        <v>341</v>
      </c>
      <c r="B19" s="34" t="s">
        <v>342</v>
      </c>
      <c r="C19" s="37" t="s">
        <v>364</v>
      </c>
      <c r="D19" s="38" t="s">
        <v>343</v>
      </c>
      <c r="E19" s="76"/>
      <c r="F19" s="40" t="s">
        <v>36</v>
      </c>
      <c r="G19" s="34"/>
      <c r="H19" s="43" t="s">
        <v>41</v>
      </c>
      <c r="I19" s="34" t="s">
        <v>44</v>
      </c>
      <c r="J19" s="39">
        <v>2000.0</v>
      </c>
      <c r="K19" s="39">
        <v>2000.0</v>
      </c>
      <c r="L19" s="41"/>
      <c r="M19" s="42">
        <v>2000.0</v>
      </c>
      <c r="N19" s="42">
        <v>2000.0</v>
      </c>
      <c r="O19" s="42"/>
      <c r="P19" s="39">
        <v>2000.0</v>
      </c>
      <c r="Q19" s="39">
        <v>2000.0</v>
      </c>
      <c r="R19" s="39">
        <v>1600.0</v>
      </c>
      <c r="S19" s="46">
        <v>0.67</v>
      </c>
      <c r="T19" s="50">
        <f>IFERROR(__xludf.DUMMYFUNCTION("((IFERROR(MIN(FILTER({L19, O19, R19}, ISNUMBER({L19, O19, R19}), {L19, O19, R19} &gt; 0)), """"))*S19)+IFERROR(MIN(FILTER({L19, O19, R19}, ISNUMBER({L19, O19, R19}), {L19, O19, R19} &gt; 0)), """")"),2672.0)</f>
        <v>2672</v>
      </c>
      <c r="U19" s="50">
        <f>IFERROR(__xludf.DUMMYFUNCTION("(IFERROR(MIN(FILTER({L19, O19, R19}, ISNUMBER({L19, O19, R19}), {L19, O19, R19} &gt; 0)), """")/(1-0.3))"),2285.714285714286)</f>
        <v>2285.714286</v>
      </c>
      <c r="V19" s="77">
        <f>IFERROR(__xludf.DUMMYFUNCTION("(T19-(IFERROR(MIN(FILTER({L19, O19, R19}, ISNUMBER({L19, O19, R19}), {L19, O19, R19} &gt; 0)), """")))/T19"),0.40119760479041916)</f>
        <v>0.4011976048</v>
      </c>
      <c r="W19" s="78"/>
      <c r="X19" s="79">
        <v>400.0</v>
      </c>
    </row>
    <row r="20" ht="22.5" customHeight="1">
      <c r="A20" s="34" t="s">
        <v>188</v>
      </c>
      <c r="B20" s="34" t="s">
        <v>356</v>
      </c>
      <c r="C20" s="37" t="s">
        <v>42</v>
      </c>
      <c r="D20" s="38" t="s">
        <v>369</v>
      </c>
      <c r="E20" s="76"/>
      <c r="F20" s="40" t="s">
        <v>55</v>
      </c>
      <c r="G20" s="34" t="s">
        <v>100</v>
      </c>
      <c r="H20" s="43" t="s">
        <v>41</v>
      </c>
      <c r="I20" s="34" t="s">
        <v>370</v>
      </c>
      <c r="J20" s="39">
        <v>25000.0</v>
      </c>
      <c r="K20" s="39">
        <v>25000.0</v>
      </c>
      <c r="L20" s="41"/>
      <c r="M20" s="42">
        <v>25000.0</v>
      </c>
      <c r="N20" s="42">
        <v>25000.0</v>
      </c>
      <c r="O20" s="42"/>
      <c r="P20" s="39">
        <v>25000.0</v>
      </c>
      <c r="Q20" s="39">
        <v>25000.0</v>
      </c>
      <c r="R20" s="39">
        <v>700.0</v>
      </c>
      <c r="S20" s="46">
        <v>0.67</v>
      </c>
      <c r="T20" s="50">
        <f>IFERROR(__xludf.DUMMYFUNCTION("((IFERROR(MIN(FILTER({L20, O20, R20}, ISNUMBER({L20, O20, R20}), {L20, O20, R20} &gt; 0)), """"))*S20)+IFERROR(MIN(FILTER({L20, O20, R20}, ISNUMBER({L20, O20, R20}), {L20, O20, R20} &gt; 0)), """")"),1169.0)</f>
        <v>1169</v>
      </c>
      <c r="U20" s="50">
        <f>IFERROR(__xludf.DUMMYFUNCTION("(IFERROR(MIN(FILTER({L20, O20, R20}, ISNUMBER({L20, O20, R20}), {L20, O20, R20} &gt; 0)), """")/(1-0.3))"),1000.0000000000001)</f>
        <v>1000</v>
      </c>
      <c r="V20" s="77">
        <f>IFERROR(__xludf.DUMMYFUNCTION("(T20-(IFERROR(MIN(FILTER({L20, O20, R20}, ISNUMBER({L20, O20, R20}), {L20, O20, R20} &gt; 0)), """")))/T20"),0.40119760479041916)</f>
        <v>0.4011976048</v>
      </c>
      <c r="W20" s="78"/>
      <c r="X20" s="79">
        <v>400.0</v>
      </c>
    </row>
    <row r="21" ht="22.5" customHeight="1">
      <c r="A21" s="34" t="s">
        <v>188</v>
      </c>
      <c r="B21" s="34" t="s">
        <v>356</v>
      </c>
      <c r="C21" s="37" t="s">
        <v>42</v>
      </c>
      <c r="D21" s="38" t="s">
        <v>369</v>
      </c>
      <c r="E21" s="76"/>
      <c r="F21" s="40" t="s">
        <v>55</v>
      </c>
      <c r="G21" s="34" t="s">
        <v>100</v>
      </c>
      <c r="H21" s="43" t="s">
        <v>41</v>
      </c>
      <c r="I21" s="34" t="s">
        <v>370</v>
      </c>
      <c r="J21" s="39">
        <v>50000.0</v>
      </c>
      <c r="K21" s="39">
        <v>50000.0</v>
      </c>
      <c r="L21" s="41"/>
      <c r="M21" s="42">
        <v>50000.0</v>
      </c>
      <c r="N21" s="42">
        <v>50000.0</v>
      </c>
      <c r="O21" s="42"/>
      <c r="P21" s="39">
        <v>50000.0</v>
      </c>
      <c r="Q21" s="39">
        <v>50000.0</v>
      </c>
      <c r="R21" s="39">
        <v>650.0</v>
      </c>
      <c r="S21" s="46">
        <v>0.67</v>
      </c>
      <c r="T21" s="50">
        <f>IFERROR(__xludf.DUMMYFUNCTION("((IFERROR(MIN(FILTER({L21, O21, R21}, ISNUMBER({L21, O21, R21}), {L21, O21, R21} &gt; 0)), """"))*S21)+IFERROR(MIN(FILTER({L21, O21, R21}, ISNUMBER({L21, O21, R21}), {L21, O21, R21} &gt; 0)), """")"),1085.5)</f>
        <v>1085.5</v>
      </c>
      <c r="U21" s="50">
        <f>IFERROR(__xludf.DUMMYFUNCTION("(IFERROR(MIN(FILTER({L21, O21, R21}, ISNUMBER({L21, O21, R21}), {L21, O21, R21} &gt; 0)), """")/(1-0.3))"),928.5714285714287)</f>
        <v>928.5714286</v>
      </c>
      <c r="V21" s="77">
        <f>IFERROR(__xludf.DUMMYFUNCTION("(T21-(IFERROR(MIN(FILTER({L21, O21, R21}, ISNUMBER({L21, O21, R21}), {L21, O21, R21} &gt; 0)), """")))/T21"),0.40119760479041916)</f>
        <v>0.4011976048</v>
      </c>
      <c r="W21" s="78"/>
      <c r="X21" s="79">
        <v>400.0</v>
      </c>
    </row>
    <row r="22" ht="22.5" customHeight="1">
      <c r="A22" s="34" t="s">
        <v>188</v>
      </c>
      <c r="B22" s="34" t="s">
        <v>356</v>
      </c>
      <c r="C22" s="37" t="s">
        <v>42</v>
      </c>
      <c r="D22" s="38" t="s">
        <v>369</v>
      </c>
      <c r="E22" s="76"/>
      <c r="F22" s="40" t="s">
        <v>55</v>
      </c>
      <c r="G22" s="34" t="s">
        <v>100</v>
      </c>
      <c r="H22" s="43" t="s">
        <v>41</v>
      </c>
      <c r="I22" s="34" t="s">
        <v>380</v>
      </c>
      <c r="J22" s="39">
        <v>25000.0</v>
      </c>
      <c r="K22" s="39">
        <v>25000.0</v>
      </c>
      <c r="L22" s="41"/>
      <c r="M22" s="42">
        <v>25000.0</v>
      </c>
      <c r="N22" s="42">
        <v>25000.0</v>
      </c>
      <c r="O22" s="42"/>
      <c r="P22" s="39">
        <v>25000.0</v>
      </c>
      <c r="Q22" s="39">
        <v>25000.0</v>
      </c>
      <c r="R22" s="39">
        <v>800.0</v>
      </c>
      <c r="S22" s="46">
        <v>0.67</v>
      </c>
      <c r="T22" s="50">
        <f>IFERROR(__xludf.DUMMYFUNCTION("((IFERROR(MIN(FILTER({L22, O22, R22}, ISNUMBER({L22, O22, R22}), {L22, O22, R22} &gt; 0)), """"))*S22)+IFERROR(MIN(FILTER({L22, O22, R22}, ISNUMBER({L22, O22, R22}), {L22, O22, R22} &gt; 0)), """")"),1336.0)</f>
        <v>1336</v>
      </c>
      <c r="U22" s="50">
        <f>IFERROR(__xludf.DUMMYFUNCTION("(IFERROR(MIN(FILTER({L22, O22, R22}, ISNUMBER({L22, O22, R22}), {L22, O22, R22} &gt; 0)), """")/(1-0.3))"),1142.857142857143)</f>
        <v>1142.857143</v>
      </c>
      <c r="V22" s="77">
        <f>IFERROR(__xludf.DUMMYFUNCTION("(T22-(IFERROR(MIN(FILTER({L22, O22, R22}, ISNUMBER({L22, O22, R22}), {L22, O22, R22} &gt; 0)), """")))/T22"),0.40119760479041916)</f>
        <v>0.4011976048</v>
      </c>
      <c r="W22" s="78"/>
      <c r="X22" s="79">
        <v>400.0</v>
      </c>
    </row>
    <row r="23" ht="22.5" customHeight="1">
      <c r="A23" s="34" t="s">
        <v>188</v>
      </c>
      <c r="B23" s="34" t="s">
        <v>356</v>
      </c>
      <c r="C23" s="37" t="s">
        <v>42</v>
      </c>
      <c r="D23" s="38" t="s">
        <v>369</v>
      </c>
      <c r="E23" s="76"/>
      <c r="F23" s="40" t="s">
        <v>55</v>
      </c>
      <c r="G23" s="34" t="s">
        <v>100</v>
      </c>
      <c r="H23" s="43" t="s">
        <v>41</v>
      </c>
      <c r="I23" s="34" t="s">
        <v>380</v>
      </c>
      <c r="J23" s="39">
        <v>50000.0</v>
      </c>
      <c r="K23" s="39">
        <v>50000.0</v>
      </c>
      <c r="L23" s="41"/>
      <c r="M23" s="42">
        <v>50000.0</v>
      </c>
      <c r="N23" s="42">
        <v>50000.0</v>
      </c>
      <c r="O23" s="42"/>
      <c r="P23" s="39">
        <v>50000.0</v>
      </c>
      <c r="Q23" s="39">
        <v>50000.0</v>
      </c>
      <c r="R23" s="39">
        <v>750.0</v>
      </c>
      <c r="S23" s="46">
        <v>0.67</v>
      </c>
      <c r="T23" s="50">
        <f>IFERROR(__xludf.DUMMYFUNCTION("((IFERROR(MIN(FILTER({L23, O23, R23}, ISNUMBER({L23, O23, R23}), {L23, O23, R23} &gt; 0)), """"))*S23)+IFERROR(MIN(FILTER({L23, O23, R23}, ISNUMBER({L23, O23, R23}), {L23, O23, R23} &gt; 0)), """")"),1252.5)</f>
        <v>1252.5</v>
      </c>
      <c r="U23" s="50">
        <f>IFERROR(__xludf.DUMMYFUNCTION("(IFERROR(MIN(FILTER({L23, O23, R23}, ISNUMBER({L23, O23, R23}), {L23, O23, R23} &gt; 0)), """")/(1-0.3))"),1071.4285714285716)</f>
        <v>1071.428571</v>
      </c>
      <c r="V23" s="77">
        <f>IFERROR(__xludf.DUMMYFUNCTION("(T23-(IFERROR(MIN(FILTER({L23, O23, R23}, ISNUMBER({L23, O23, R23}), {L23, O23, R23} &gt; 0)), """")))/T23"),0.40119760479041916)</f>
        <v>0.4011976048</v>
      </c>
      <c r="W23" s="78"/>
      <c r="X23" s="79">
        <v>400.0</v>
      </c>
    </row>
    <row r="24" ht="22.5" customHeight="1">
      <c r="A24" s="34" t="s">
        <v>387</v>
      </c>
      <c r="B24" s="34" t="s">
        <v>388</v>
      </c>
      <c r="C24" s="37" t="s">
        <v>389</v>
      </c>
      <c r="D24" s="38" t="s">
        <v>390</v>
      </c>
      <c r="E24" s="76"/>
      <c r="F24" s="40" t="s">
        <v>36</v>
      </c>
      <c r="G24" s="34" t="s">
        <v>391</v>
      </c>
      <c r="H24" s="43" t="s">
        <v>41</v>
      </c>
      <c r="I24" s="34" t="s">
        <v>392</v>
      </c>
      <c r="J24" s="39">
        <v>5000.0</v>
      </c>
      <c r="K24" s="39">
        <v>5000.0</v>
      </c>
      <c r="L24" s="41"/>
      <c r="M24" s="42">
        <v>5000.0</v>
      </c>
      <c r="N24" s="42">
        <v>5000.0</v>
      </c>
      <c r="O24" s="42">
        <v>686.0</v>
      </c>
      <c r="P24" s="39">
        <v>5000.0</v>
      </c>
      <c r="Q24" s="39">
        <v>5000.0</v>
      </c>
      <c r="R24" s="39"/>
      <c r="S24" s="46">
        <v>0.67</v>
      </c>
      <c r="T24" s="50">
        <f>IFERROR(__xludf.DUMMYFUNCTION("((IFERROR(MIN(FILTER({L24, O24, R24}, ISNUMBER({L24, O24, R24}), {L24, O24, R24} &gt; 0)), """"))*S24)+IFERROR(MIN(FILTER({L24, O24, R24}, ISNUMBER({L24, O24, R24}), {L24, O24, R24} &gt; 0)), """")"),1145.62)</f>
        <v>1145.62</v>
      </c>
      <c r="U24" s="50">
        <f>IFERROR(__xludf.DUMMYFUNCTION("(IFERROR(MIN(FILTER({L24, O24, R24}, ISNUMBER({L24, O24, R24}), {L24, O24, R24} &gt; 0)), """")/(1-0.3))"),980.0000000000001)</f>
        <v>980</v>
      </c>
      <c r="V24" s="77">
        <f>IFERROR(__xludf.DUMMYFUNCTION("(T24-(IFERROR(MIN(FILTER({L24, O24, R24}, ISNUMBER({L24, O24, R24}), {L24, O24, R24} &gt; 0)), """")))/T24"),0.4011976047904191)</f>
        <v>0.4011976048</v>
      </c>
      <c r="W24" s="78"/>
      <c r="X24" s="79">
        <v>400.0</v>
      </c>
    </row>
    <row r="25" ht="22.5" customHeight="1">
      <c r="A25" s="34" t="s">
        <v>387</v>
      </c>
      <c r="B25" s="34" t="s">
        <v>388</v>
      </c>
      <c r="C25" s="37" t="s">
        <v>389</v>
      </c>
      <c r="D25" s="38" t="s">
        <v>390</v>
      </c>
      <c r="E25" s="76"/>
      <c r="F25" s="40" t="s">
        <v>36</v>
      </c>
      <c r="G25" s="34" t="s">
        <v>391</v>
      </c>
      <c r="H25" s="43" t="s">
        <v>41</v>
      </c>
      <c r="I25" s="34" t="s">
        <v>392</v>
      </c>
      <c r="J25" s="39">
        <v>10000.0</v>
      </c>
      <c r="K25" s="39">
        <v>10000.0</v>
      </c>
      <c r="L25" s="41"/>
      <c r="M25" s="42">
        <v>10000.0</v>
      </c>
      <c r="N25" s="42">
        <v>10000.0</v>
      </c>
      <c r="O25" s="42">
        <v>479.0</v>
      </c>
      <c r="P25" s="39">
        <v>10000.0</v>
      </c>
      <c r="Q25" s="39">
        <v>10000.0</v>
      </c>
      <c r="R25" s="39"/>
      <c r="S25" s="46">
        <v>0.67</v>
      </c>
      <c r="T25" s="50">
        <f>IFERROR(__xludf.DUMMYFUNCTION("((IFERROR(MIN(FILTER({L25, O25, R25}, ISNUMBER({L25, O25, R25}), {L25, O25, R25} &gt; 0)), """"))*S25)+IFERROR(MIN(FILTER({L25, O25, R25}, ISNUMBER({L25, O25, R25}), {L25, O25, R25} &gt; 0)), """")"),799.9300000000001)</f>
        <v>799.93</v>
      </c>
      <c r="U25" s="50">
        <f>IFERROR(__xludf.DUMMYFUNCTION("(IFERROR(MIN(FILTER({L25, O25, R25}, ISNUMBER({L25, O25, R25}), {L25, O25, R25} &gt; 0)), """")/(1-0.3))"),684.2857142857143)</f>
        <v>684.2857143</v>
      </c>
      <c r="V25" s="77">
        <f>IFERROR(__xludf.DUMMYFUNCTION("(T25-(IFERROR(MIN(FILTER({L25, O25, R25}, ISNUMBER({L25, O25, R25}), {L25, O25, R25} &gt; 0)), """")))/T25"),0.4011976047904192)</f>
        <v>0.4011976048</v>
      </c>
      <c r="W25" s="78"/>
      <c r="X25" s="79">
        <v>400.0</v>
      </c>
    </row>
    <row r="26" ht="22.5" customHeight="1">
      <c r="A26" s="34" t="s">
        <v>387</v>
      </c>
      <c r="B26" s="34" t="s">
        <v>388</v>
      </c>
      <c r="C26" s="37" t="s">
        <v>389</v>
      </c>
      <c r="D26" s="38" t="s">
        <v>390</v>
      </c>
      <c r="E26" s="76"/>
      <c r="F26" s="40" t="s">
        <v>36</v>
      </c>
      <c r="G26" s="34" t="s">
        <v>391</v>
      </c>
      <c r="H26" s="43" t="s">
        <v>41</v>
      </c>
      <c r="I26" s="34" t="s">
        <v>392</v>
      </c>
      <c r="J26" s="39">
        <v>15000.0</v>
      </c>
      <c r="K26" s="39">
        <v>15000.0</v>
      </c>
      <c r="L26" s="41"/>
      <c r="M26" s="42">
        <v>15000.0</v>
      </c>
      <c r="N26" s="42">
        <v>15000.0</v>
      </c>
      <c r="O26" s="42">
        <v>426.0</v>
      </c>
      <c r="P26" s="39">
        <v>15000.0</v>
      </c>
      <c r="Q26" s="39">
        <v>15000.0</v>
      </c>
      <c r="R26" s="39"/>
      <c r="S26" s="46">
        <v>0.67</v>
      </c>
      <c r="T26" s="50">
        <f>IFERROR(__xludf.DUMMYFUNCTION("((IFERROR(MIN(FILTER({L26, O26, R26}, ISNUMBER({L26, O26, R26}), {L26, O26, R26} &gt; 0)), """"))*S26)+IFERROR(MIN(FILTER({L26, O26, R26}, ISNUMBER({L26, O26, R26}), {L26, O26, R26} &gt; 0)), """")"),711.4200000000001)</f>
        <v>711.42</v>
      </c>
      <c r="U26" s="50">
        <f>IFERROR(__xludf.DUMMYFUNCTION("(IFERROR(MIN(FILTER({L26, O26, R26}, ISNUMBER({L26, O26, R26}), {L26, O26, R26} &gt; 0)), """")/(1-0.3))"),608.5714285714286)</f>
        <v>608.5714286</v>
      </c>
      <c r="V26" s="77">
        <f>IFERROR(__xludf.DUMMYFUNCTION("(T26-(IFERROR(MIN(FILTER({L26, O26, R26}, ISNUMBER({L26, O26, R26}), {L26, O26, R26} &gt; 0)), """")))/T26"),0.4011976047904192)</f>
        <v>0.4011976048</v>
      </c>
      <c r="W26" s="78"/>
      <c r="X26" s="79">
        <v>400.0</v>
      </c>
    </row>
    <row r="27" ht="22.5" customHeight="1">
      <c r="A27" s="34" t="s">
        <v>387</v>
      </c>
      <c r="B27" s="34" t="s">
        <v>388</v>
      </c>
      <c r="C27" s="37" t="s">
        <v>389</v>
      </c>
      <c r="D27" s="38" t="s">
        <v>390</v>
      </c>
      <c r="E27" s="76"/>
      <c r="F27" s="40" t="s">
        <v>36</v>
      </c>
      <c r="G27" s="34" t="s">
        <v>391</v>
      </c>
      <c r="H27" s="43" t="s">
        <v>41</v>
      </c>
      <c r="I27" s="34" t="s">
        <v>392</v>
      </c>
      <c r="J27" s="39">
        <v>20000.0</v>
      </c>
      <c r="K27" s="39">
        <v>20000.0</v>
      </c>
      <c r="L27" s="41"/>
      <c r="M27" s="42">
        <v>20000.0</v>
      </c>
      <c r="N27" s="42">
        <v>20000.0</v>
      </c>
      <c r="O27" s="42">
        <v>391.0</v>
      </c>
      <c r="P27" s="39">
        <v>20000.0</v>
      </c>
      <c r="Q27" s="39">
        <v>20000.0</v>
      </c>
      <c r="R27" s="39"/>
      <c r="S27" s="46">
        <v>0.67</v>
      </c>
      <c r="T27" s="50">
        <f>IFERROR(__xludf.DUMMYFUNCTION("((IFERROR(MIN(FILTER({L27, O27, R27}, ISNUMBER({L27, O27, R27}), {L27, O27, R27} &gt; 0)), """"))*S27)+IFERROR(MIN(FILTER({L27, O27, R27}, ISNUMBER({L27, O27, R27}), {L27, O27, R27} &gt; 0)), """")"),652.97)</f>
        <v>652.97</v>
      </c>
      <c r="U27" s="50">
        <f>IFERROR(__xludf.DUMMYFUNCTION("(IFERROR(MIN(FILTER({L27, O27, R27}, ISNUMBER({L27, O27, R27}), {L27, O27, R27} &gt; 0)), """")/(1-0.3))"),558.5714285714286)</f>
        <v>558.5714286</v>
      </c>
      <c r="V27" s="77">
        <f>IFERROR(__xludf.DUMMYFUNCTION("(T27-(IFERROR(MIN(FILTER({L27, O27, R27}, ISNUMBER({L27, O27, R27}), {L27, O27, R27} &gt; 0)), """")))/T27"),0.40119760479041916)</f>
        <v>0.4011976048</v>
      </c>
      <c r="W27" s="78"/>
      <c r="X27" s="79">
        <v>400.0</v>
      </c>
    </row>
    <row r="28" ht="22.5" customHeight="1">
      <c r="A28" s="34" t="s">
        <v>387</v>
      </c>
      <c r="B28" s="34" t="s">
        <v>388</v>
      </c>
      <c r="C28" s="37" t="s">
        <v>389</v>
      </c>
      <c r="D28" s="38" t="s">
        <v>390</v>
      </c>
      <c r="E28" s="76"/>
      <c r="F28" s="40" t="s">
        <v>36</v>
      </c>
      <c r="G28" s="34" t="s">
        <v>391</v>
      </c>
      <c r="H28" s="43" t="s">
        <v>41</v>
      </c>
      <c r="I28" s="34" t="s">
        <v>392</v>
      </c>
      <c r="J28" s="39">
        <v>25000.0</v>
      </c>
      <c r="K28" s="39">
        <v>25000.0</v>
      </c>
      <c r="L28" s="41"/>
      <c r="M28" s="42">
        <v>25000.0</v>
      </c>
      <c r="N28" s="42">
        <v>25000.0</v>
      </c>
      <c r="O28" s="42">
        <v>380.0</v>
      </c>
      <c r="P28" s="39">
        <v>25000.0</v>
      </c>
      <c r="Q28" s="39">
        <v>25000.0</v>
      </c>
      <c r="R28" s="39"/>
      <c r="S28" s="46">
        <v>0.67</v>
      </c>
      <c r="T28" s="50">
        <f>IFERROR(__xludf.DUMMYFUNCTION("((IFERROR(MIN(FILTER({L28, O28, R28}, ISNUMBER({L28, O28, R28}), {L28, O28, R28} &gt; 0)), """"))*S28)+IFERROR(MIN(FILTER({L28, O28, R28}, ISNUMBER({L28, O28, R28}), {L28, O28, R28} &gt; 0)), """")"),634.6)</f>
        <v>634.6</v>
      </c>
      <c r="U28" s="50">
        <f>IFERROR(__xludf.DUMMYFUNCTION("(IFERROR(MIN(FILTER({L28, O28, R28}, ISNUMBER({L28, O28, R28}), {L28, O28, R28} &gt; 0)), """")/(1-0.3))"),542.8571428571429)</f>
        <v>542.8571429</v>
      </c>
      <c r="V28" s="77">
        <f>IFERROR(__xludf.DUMMYFUNCTION("(T28-(IFERROR(MIN(FILTER({L28, O28, R28}, ISNUMBER({L28, O28, R28}), {L28, O28, R28} &gt; 0)), """")))/T28"),0.40119760479041916)</f>
        <v>0.4011976048</v>
      </c>
      <c r="W28" s="78"/>
      <c r="X28" s="79">
        <v>400.0</v>
      </c>
    </row>
    <row r="29" ht="22.5" customHeight="1">
      <c r="A29" s="34" t="s">
        <v>387</v>
      </c>
      <c r="B29" s="34" t="s">
        <v>388</v>
      </c>
      <c r="C29" s="37" t="s">
        <v>389</v>
      </c>
      <c r="D29" s="38" t="s">
        <v>390</v>
      </c>
      <c r="E29" s="76"/>
      <c r="F29" s="40" t="s">
        <v>36</v>
      </c>
      <c r="G29" s="34" t="s">
        <v>391</v>
      </c>
      <c r="H29" s="43" t="s">
        <v>41</v>
      </c>
      <c r="I29" s="34" t="s">
        <v>392</v>
      </c>
      <c r="J29" s="39">
        <v>50000.0</v>
      </c>
      <c r="K29" s="39">
        <v>50000.0</v>
      </c>
      <c r="L29" s="41"/>
      <c r="M29" s="42">
        <v>50000.0</v>
      </c>
      <c r="N29" s="42">
        <v>50000.0</v>
      </c>
      <c r="O29" s="42">
        <v>346.0</v>
      </c>
      <c r="P29" s="39">
        <v>50000.0</v>
      </c>
      <c r="Q29" s="39">
        <v>50000.0</v>
      </c>
      <c r="R29" s="39"/>
      <c r="S29" s="46">
        <v>0.67</v>
      </c>
      <c r="T29" s="50">
        <f>IFERROR(__xludf.DUMMYFUNCTION("((IFERROR(MIN(FILTER({L29, O29, R29}, ISNUMBER({L29, O29, R29}), {L29, O29, R29} &gt; 0)), """"))*S29)+IFERROR(MIN(FILTER({L29, O29, R29}, ISNUMBER({L29, O29, R29}), {L29, O29, R29} &gt; 0)), """")"),577.82)</f>
        <v>577.82</v>
      </c>
      <c r="U29" s="50">
        <f>IFERROR(__xludf.DUMMYFUNCTION("(IFERROR(MIN(FILTER({L29, O29, R29}, ISNUMBER({L29, O29, R29}), {L29, O29, R29} &gt; 0)), """")/(1-0.3))"),494.28571428571433)</f>
        <v>494.2857143</v>
      </c>
      <c r="V29" s="77">
        <f>IFERROR(__xludf.DUMMYFUNCTION("(T29-(IFERROR(MIN(FILTER({L29, O29, R29}, ISNUMBER({L29, O29, R29}), {L29, O29, R29} &gt; 0)), """")))/T29"),0.4011976047904192)</f>
        <v>0.4011976048</v>
      </c>
      <c r="W29" s="78"/>
      <c r="X29" s="79">
        <v>400.0</v>
      </c>
    </row>
    <row r="30" ht="22.5" customHeight="1">
      <c r="A30" s="34" t="s">
        <v>387</v>
      </c>
      <c r="B30" s="34" t="s">
        <v>388</v>
      </c>
      <c r="C30" s="37" t="s">
        <v>389</v>
      </c>
      <c r="D30" s="38" t="s">
        <v>390</v>
      </c>
      <c r="E30" s="76"/>
      <c r="F30" s="40" t="s">
        <v>63</v>
      </c>
      <c r="G30" s="34" t="s">
        <v>407</v>
      </c>
      <c r="H30" s="43" t="s">
        <v>41</v>
      </c>
      <c r="I30" s="34" t="s">
        <v>408</v>
      </c>
      <c r="J30" s="39">
        <v>5000.0</v>
      </c>
      <c r="K30" s="39">
        <v>5000.0</v>
      </c>
      <c r="L30" s="41"/>
      <c r="M30" s="42">
        <v>5000.0</v>
      </c>
      <c r="N30" s="42">
        <v>5000.0</v>
      </c>
      <c r="O30" s="42">
        <v>727.0</v>
      </c>
      <c r="P30" s="39">
        <v>5000.0</v>
      </c>
      <c r="Q30" s="39">
        <v>5000.0</v>
      </c>
      <c r="R30" s="39"/>
      <c r="S30" s="46">
        <v>0.67</v>
      </c>
      <c r="T30" s="50">
        <f>IFERROR(__xludf.DUMMYFUNCTION("((IFERROR(MIN(FILTER({L30, O30, R30}, ISNUMBER({L30, O30, R30}), {L30, O30, R30} &gt; 0)), """"))*S30)+IFERROR(MIN(FILTER({L30, O30, R30}, ISNUMBER({L30, O30, R30}), {L30, O30, R30} &gt; 0)), """")"),1214.0900000000001)</f>
        <v>1214.09</v>
      </c>
      <c r="U30" s="50">
        <f>IFERROR(__xludf.DUMMYFUNCTION("(IFERROR(MIN(FILTER({L30, O30, R30}, ISNUMBER({L30, O30, R30}), {L30, O30, R30} &gt; 0)), """")/(1-0.3))"),1038.5714285714287)</f>
        <v>1038.571429</v>
      </c>
      <c r="V30" s="77">
        <f>IFERROR(__xludf.DUMMYFUNCTION("(T30-(IFERROR(MIN(FILTER({L30, O30, R30}, ISNUMBER({L30, O30, R30}), {L30, O30, R30} &gt; 0)), """")))/T30"),0.4011976047904192)</f>
        <v>0.4011976048</v>
      </c>
      <c r="W30" s="78"/>
      <c r="X30" s="79">
        <v>400.0</v>
      </c>
    </row>
    <row r="31" ht="22.5" customHeight="1">
      <c r="A31" s="34" t="s">
        <v>387</v>
      </c>
      <c r="B31" s="34" t="s">
        <v>388</v>
      </c>
      <c r="C31" s="37" t="s">
        <v>389</v>
      </c>
      <c r="D31" s="38" t="s">
        <v>390</v>
      </c>
      <c r="E31" s="76"/>
      <c r="F31" s="40" t="s">
        <v>63</v>
      </c>
      <c r="G31" s="34" t="s">
        <v>407</v>
      </c>
      <c r="H31" s="43" t="s">
        <v>41</v>
      </c>
      <c r="I31" s="34" t="s">
        <v>408</v>
      </c>
      <c r="J31" s="39">
        <v>10000.0</v>
      </c>
      <c r="K31" s="39">
        <v>10000.0</v>
      </c>
      <c r="L31" s="41"/>
      <c r="M31" s="42">
        <v>10000.0</v>
      </c>
      <c r="N31" s="42">
        <v>10000.0</v>
      </c>
      <c r="O31" s="42">
        <v>497.0</v>
      </c>
      <c r="P31" s="39">
        <v>10000.0</v>
      </c>
      <c r="Q31" s="39">
        <v>10000.0</v>
      </c>
      <c r="R31" s="39"/>
      <c r="S31" s="46">
        <v>0.67</v>
      </c>
      <c r="T31" s="50">
        <f>IFERROR(__xludf.DUMMYFUNCTION("((IFERROR(MIN(FILTER({L31, O31, R31}, ISNUMBER({L31, O31, R31}), {L31, O31, R31} &gt; 0)), """"))*S31)+IFERROR(MIN(FILTER({L31, O31, R31}, ISNUMBER({L31, O31, R31}), {L31, O31, R31} &gt; 0)), """")"),829.99)</f>
        <v>829.99</v>
      </c>
      <c r="U31" s="50">
        <f>IFERROR(__xludf.DUMMYFUNCTION("(IFERROR(MIN(FILTER({L31, O31, R31}, ISNUMBER({L31, O31, R31}), {L31, O31, R31} &gt; 0)), """")/(1-0.3))"),710.0)</f>
        <v>710</v>
      </c>
      <c r="V31" s="77">
        <f>IFERROR(__xludf.DUMMYFUNCTION("(T31-(IFERROR(MIN(FILTER({L31, O31, R31}, ISNUMBER({L31, O31, R31}), {L31, O31, R31} &gt; 0)), """")))/T31"),0.40119760479041916)</f>
        <v>0.4011976048</v>
      </c>
      <c r="W31" s="78"/>
      <c r="X31" s="79">
        <v>400.0</v>
      </c>
    </row>
    <row r="32" ht="22.5" customHeight="1">
      <c r="A32" s="34" t="s">
        <v>387</v>
      </c>
      <c r="B32" s="34" t="s">
        <v>388</v>
      </c>
      <c r="C32" s="37" t="s">
        <v>389</v>
      </c>
      <c r="D32" s="38" t="s">
        <v>390</v>
      </c>
      <c r="E32" s="76"/>
      <c r="F32" s="40" t="s">
        <v>63</v>
      </c>
      <c r="G32" s="34" t="s">
        <v>407</v>
      </c>
      <c r="H32" s="43" t="s">
        <v>41</v>
      </c>
      <c r="I32" s="34" t="s">
        <v>408</v>
      </c>
      <c r="J32" s="39">
        <v>15000.0</v>
      </c>
      <c r="K32" s="39">
        <v>15000.0</v>
      </c>
      <c r="L32" s="41"/>
      <c r="M32" s="42">
        <v>15000.0</v>
      </c>
      <c r="N32" s="42">
        <v>15000.0</v>
      </c>
      <c r="O32" s="42">
        <v>438.0</v>
      </c>
      <c r="P32" s="39">
        <v>15000.0</v>
      </c>
      <c r="Q32" s="39">
        <v>15000.0</v>
      </c>
      <c r="R32" s="39"/>
      <c r="S32" s="46">
        <v>0.67</v>
      </c>
      <c r="T32" s="50">
        <f>IFERROR(__xludf.DUMMYFUNCTION("((IFERROR(MIN(FILTER({L32, O32, R32}, ISNUMBER({L32, O32, R32}), {L32, O32, R32} &gt; 0)), """"))*S32)+IFERROR(MIN(FILTER({L32, O32, R32}, ISNUMBER({L32, O32, R32}), {L32, O32, R32} &gt; 0)), """")"),731.46)</f>
        <v>731.46</v>
      </c>
      <c r="U32" s="50">
        <f>IFERROR(__xludf.DUMMYFUNCTION("(IFERROR(MIN(FILTER({L32, O32, R32}, ISNUMBER({L32, O32, R32}), {L32, O32, R32} &gt; 0)), """")/(1-0.3))"),625.7142857142858)</f>
        <v>625.7142857</v>
      </c>
      <c r="V32" s="77">
        <f>IFERROR(__xludf.DUMMYFUNCTION("(T32-(IFERROR(MIN(FILTER({L32, O32, R32}, ISNUMBER({L32, O32, R32}), {L32, O32, R32} &gt; 0)), """")))/T32"),0.4011976047904192)</f>
        <v>0.4011976048</v>
      </c>
      <c r="W32" s="78"/>
      <c r="X32" s="79">
        <v>400.0</v>
      </c>
    </row>
    <row r="33" ht="22.5" customHeight="1">
      <c r="A33" s="34" t="s">
        <v>387</v>
      </c>
      <c r="B33" s="34" t="s">
        <v>388</v>
      </c>
      <c r="C33" s="37" t="s">
        <v>389</v>
      </c>
      <c r="D33" s="38" t="s">
        <v>390</v>
      </c>
      <c r="E33" s="76"/>
      <c r="F33" s="40" t="s">
        <v>63</v>
      </c>
      <c r="G33" s="34" t="s">
        <v>407</v>
      </c>
      <c r="H33" s="43" t="s">
        <v>41</v>
      </c>
      <c r="I33" s="34" t="s">
        <v>408</v>
      </c>
      <c r="J33" s="39">
        <v>20000.0</v>
      </c>
      <c r="K33" s="39">
        <v>20000.0</v>
      </c>
      <c r="L33" s="41"/>
      <c r="M33" s="42">
        <v>20000.0</v>
      </c>
      <c r="N33" s="42">
        <v>20000.0</v>
      </c>
      <c r="O33" s="42">
        <v>399.0</v>
      </c>
      <c r="P33" s="39">
        <v>20000.0</v>
      </c>
      <c r="Q33" s="39">
        <v>20000.0</v>
      </c>
      <c r="R33" s="39"/>
      <c r="S33" s="46">
        <v>0.67</v>
      </c>
      <c r="T33" s="50">
        <f>IFERROR(__xludf.DUMMYFUNCTION("((IFERROR(MIN(FILTER({L33, O33, R33}, ISNUMBER({L33, O33, R33}), {L33, O33, R33} &gt; 0)), """"))*S33)+IFERROR(MIN(FILTER({L33, O33, R33}, ISNUMBER({L33, O33, R33}), {L33, O33, R33} &gt; 0)), """")"),666.33)</f>
        <v>666.33</v>
      </c>
      <c r="U33" s="50">
        <f>IFERROR(__xludf.DUMMYFUNCTION("(IFERROR(MIN(FILTER({L33, O33, R33}, ISNUMBER({L33, O33, R33}), {L33, O33, R33} &gt; 0)), """")/(1-0.3))"),570.0)</f>
        <v>570</v>
      </c>
      <c r="V33" s="77">
        <f>IFERROR(__xludf.DUMMYFUNCTION("(T33-(IFERROR(MIN(FILTER({L33, O33, R33}, ISNUMBER({L33, O33, R33}), {L33, O33, R33} &gt; 0)), """")))/T33"),0.4011976047904192)</f>
        <v>0.4011976048</v>
      </c>
      <c r="W33" s="78"/>
      <c r="X33" s="79">
        <v>400.0</v>
      </c>
    </row>
    <row r="34" ht="22.5" customHeight="1">
      <c r="A34" s="34" t="s">
        <v>387</v>
      </c>
      <c r="B34" s="34" t="s">
        <v>388</v>
      </c>
      <c r="C34" s="37" t="s">
        <v>389</v>
      </c>
      <c r="D34" s="38" t="s">
        <v>390</v>
      </c>
      <c r="E34" s="76"/>
      <c r="F34" s="40" t="s">
        <v>63</v>
      </c>
      <c r="G34" s="34" t="s">
        <v>407</v>
      </c>
      <c r="H34" s="43" t="s">
        <v>41</v>
      </c>
      <c r="I34" s="34" t="s">
        <v>408</v>
      </c>
      <c r="J34" s="39">
        <v>25000.0</v>
      </c>
      <c r="K34" s="39">
        <v>25000.0</v>
      </c>
      <c r="L34" s="41"/>
      <c r="M34" s="42">
        <v>25000.0</v>
      </c>
      <c r="N34" s="42">
        <v>25000.0</v>
      </c>
      <c r="O34" s="42">
        <v>387.0</v>
      </c>
      <c r="P34" s="39">
        <v>25000.0</v>
      </c>
      <c r="Q34" s="39">
        <v>25000.0</v>
      </c>
      <c r="R34" s="39"/>
      <c r="S34" s="46">
        <v>0.67</v>
      </c>
      <c r="T34" s="50">
        <f>IFERROR(__xludf.DUMMYFUNCTION("((IFERROR(MIN(FILTER({L34, O34, R34}, ISNUMBER({L34, O34, R34}), {L34, O34, R34} &gt; 0)), """"))*S34)+IFERROR(MIN(FILTER({L34, O34, R34}, ISNUMBER({L34, O34, R34}), {L34, O34, R34} &gt; 0)), """")"),646.29)</f>
        <v>646.29</v>
      </c>
      <c r="U34" s="50">
        <f>IFERROR(__xludf.DUMMYFUNCTION("(IFERROR(MIN(FILTER({L34, O34, R34}, ISNUMBER({L34, O34, R34}), {L34, O34, R34} &gt; 0)), """")/(1-0.3))"),552.8571428571429)</f>
        <v>552.8571429</v>
      </c>
      <c r="V34" s="77">
        <f>IFERROR(__xludf.DUMMYFUNCTION("(T34-(IFERROR(MIN(FILTER({L34, O34, R34}, ISNUMBER({L34, O34, R34}), {L34, O34, R34} &gt; 0)), """")))/T34"),0.4011976047904191)</f>
        <v>0.4011976048</v>
      </c>
      <c r="W34" s="78"/>
      <c r="X34" s="79">
        <v>400.0</v>
      </c>
    </row>
    <row r="35" ht="22.5" customHeight="1">
      <c r="A35" s="34" t="s">
        <v>387</v>
      </c>
      <c r="B35" s="34" t="s">
        <v>388</v>
      </c>
      <c r="C35" s="37" t="s">
        <v>389</v>
      </c>
      <c r="D35" s="38" t="s">
        <v>390</v>
      </c>
      <c r="E35" s="76"/>
      <c r="F35" s="40" t="s">
        <v>63</v>
      </c>
      <c r="G35" s="34" t="s">
        <v>407</v>
      </c>
      <c r="H35" s="43" t="s">
        <v>41</v>
      </c>
      <c r="I35" s="34" t="s">
        <v>408</v>
      </c>
      <c r="J35" s="39">
        <v>50000.0</v>
      </c>
      <c r="K35" s="39">
        <v>50000.0</v>
      </c>
      <c r="L35" s="41"/>
      <c r="M35" s="42">
        <v>50000.0</v>
      </c>
      <c r="N35" s="42">
        <v>50000.0</v>
      </c>
      <c r="O35" s="42">
        <v>349.0</v>
      </c>
      <c r="P35" s="39">
        <v>50000.0</v>
      </c>
      <c r="Q35" s="39">
        <v>50000.0</v>
      </c>
      <c r="R35" s="39"/>
      <c r="S35" s="46">
        <v>0.67</v>
      </c>
      <c r="T35" s="50">
        <f>IFERROR(__xludf.DUMMYFUNCTION("((IFERROR(MIN(FILTER({L35, O35, R35}, ISNUMBER({L35, O35, R35}), {L35, O35, R35} &gt; 0)), """"))*S35)+IFERROR(MIN(FILTER({L35, O35, R35}, ISNUMBER({L35, O35, R35}), {L35, O35, R35} &gt; 0)), """")"),582.83)</f>
        <v>582.83</v>
      </c>
      <c r="U35" s="50">
        <f>IFERROR(__xludf.DUMMYFUNCTION("(IFERROR(MIN(FILTER({L35, O35, R35}, ISNUMBER({L35, O35, R35}), {L35, O35, R35} &gt; 0)), """")/(1-0.3))"),498.5714285714286)</f>
        <v>498.5714286</v>
      </c>
      <c r="V35" s="77">
        <f>IFERROR(__xludf.DUMMYFUNCTION("(T35-(IFERROR(MIN(FILTER({L35, O35, R35}, ISNUMBER({L35, O35, R35}), {L35, O35, R35} &gt; 0)), """")))/T35"),0.4011976047904192)</f>
        <v>0.4011976048</v>
      </c>
      <c r="W35" s="78"/>
      <c r="X35" s="79">
        <v>400.0</v>
      </c>
    </row>
    <row r="36" ht="22.5" customHeight="1">
      <c r="A36" s="34" t="s">
        <v>430</v>
      </c>
      <c r="B36" s="34" t="s">
        <v>431</v>
      </c>
      <c r="C36" s="37" t="s">
        <v>42</v>
      </c>
      <c r="D36" s="38" t="s">
        <v>168</v>
      </c>
      <c r="E36" s="76"/>
      <c r="F36" s="40" t="s">
        <v>55</v>
      </c>
      <c r="G36" s="34" t="s">
        <v>407</v>
      </c>
      <c r="H36" s="43" t="s">
        <v>41</v>
      </c>
      <c r="I36" s="34" t="s">
        <v>44</v>
      </c>
      <c r="J36" s="39">
        <v>1000.0</v>
      </c>
      <c r="K36" s="39">
        <v>1000.0</v>
      </c>
      <c r="L36" s="41"/>
      <c r="M36" s="42">
        <v>1000.0</v>
      </c>
      <c r="N36" s="42">
        <v>1000.0</v>
      </c>
      <c r="O36" s="42"/>
      <c r="P36" s="39">
        <v>1000.0</v>
      </c>
      <c r="Q36" s="39">
        <v>1000.0</v>
      </c>
      <c r="R36" s="39">
        <v>720.0</v>
      </c>
      <c r="S36" s="46">
        <v>0.67</v>
      </c>
      <c r="T36" s="50">
        <f>IFERROR(__xludf.DUMMYFUNCTION("((IFERROR(MIN(FILTER({L36, O36, R36}, ISNUMBER({L36, O36, R36}), {L36, O36, R36} &gt; 0)), """"))*S36)+IFERROR(MIN(FILTER({L36, O36, R36}, ISNUMBER({L36, O36, R36}), {L36, O36, R36} &gt; 0)), """")"),1202.4)</f>
        <v>1202.4</v>
      </c>
      <c r="U36" s="50">
        <f>IFERROR(__xludf.DUMMYFUNCTION("(IFERROR(MIN(FILTER({L36, O36, R36}, ISNUMBER({L36, O36, R36}), {L36, O36, R36} &gt; 0)), """")/(1-0.3))"),1028.5714285714287)</f>
        <v>1028.571429</v>
      </c>
      <c r="V36" s="77">
        <f>IFERROR(__xludf.DUMMYFUNCTION("(T36-(IFERROR(MIN(FILTER({L36, O36, R36}, ISNUMBER({L36, O36, R36}), {L36, O36, R36} &gt; 0)), """")))/T36"),0.4011976047904192)</f>
        <v>0.4011976048</v>
      </c>
      <c r="W36" s="78"/>
      <c r="X36" s="79">
        <v>400.0</v>
      </c>
    </row>
    <row r="37" ht="22.5" customHeight="1">
      <c r="A37" s="34" t="s">
        <v>430</v>
      </c>
      <c r="B37" s="34" t="s">
        <v>431</v>
      </c>
      <c r="C37" s="37" t="s">
        <v>42</v>
      </c>
      <c r="D37" s="38" t="s">
        <v>168</v>
      </c>
      <c r="E37" s="76"/>
      <c r="F37" s="40" t="s">
        <v>36</v>
      </c>
      <c r="G37" s="34" t="s">
        <v>437</v>
      </c>
      <c r="H37" s="43" t="s">
        <v>41</v>
      </c>
      <c r="I37" s="34" t="s">
        <v>44</v>
      </c>
      <c r="J37" s="39">
        <v>1000.0</v>
      </c>
      <c r="K37" s="39">
        <v>1000.0</v>
      </c>
      <c r="L37" s="41"/>
      <c r="M37" s="42">
        <v>1000.0</v>
      </c>
      <c r="N37" s="42">
        <v>1000.0</v>
      </c>
      <c r="O37" s="42"/>
      <c r="P37" s="39">
        <v>1000.0</v>
      </c>
      <c r="Q37" s="39">
        <v>1000.0</v>
      </c>
      <c r="R37" s="39">
        <v>1080.0</v>
      </c>
      <c r="S37" s="46">
        <v>0.67</v>
      </c>
      <c r="T37" s="50">
        <f>IFERROR(__xludf.DUMMYFUNCTION("((IFERROR(MIN(FILTER({L37, O37, R37}, ISNUMBER({L37, O37, R37}), {L37, O37, R37} &gt; 0)), """"))*S37)+IFERROR(MIN(FILTER({L37, O37, R37}, ISNUMBER({L37, O37, R37}), {L37, O37, R37} &gt; 0)), """")"),1803.6)</f>
        <v>1803.6</v>
      </c>
      <c r="U37" s="50">
        <f>IFERROR(__xludf.DUMMYFUNCTION("(IFERROR(MIN(FILTER({L37, O37, R37}, ISNUMBER({L37, O37, R37}), {L37, O37, R37} &gt; 0)), """")/(1-0.3))"),1542.857142857143)</f>
        <v>1542.857143</v>
      </c>
      <c r="V37" s="77">
        <f>IFERROR(__xludf.DUMMYFUNCTION("(T37-(IFERROR(MIN(FILTER({L37, O37, R37}, ISNUMBER({L37, O37, R37}), {L37, O37, R37} &gt; 0)), """")))/T37"),0.4011976047904191)</f>
        <v>0.4011976048</v>
      </c>
      <c r="W37" s="78"/>
      <c r="X37" s="79">
        <v>400.0</v>
      </c>
    </row>
    <row r="38" ht="22.5" customHeight="1">
      <c r="A38" s="34" t="s">
        <v>430</v>
      </c>
      <c r="B38" s="34" t="s">
        <v>431</v>
      </c>
      <c r="C38" s="37" t="s">
        <v>42</v>
      </c>
      <c r="D38" s="38" t="s">
        <v>168</v>
      </c>
      <c r="E38" s="76"/>
      <c r="F38" s="40" t="s">
        <v>55</v>
      </c>
      <c r="G38" s="34" t="s">
        <v>442</v>
      </c>
      <c r="H38" s="43" t="s">
        <v>41</v>
      </c>
      <c r="I38" s="34" t="s">
        <v>44</v>
      </c>
      <c r="J38" s="39">
        <v>1000.0</v>
      </c>
      <c r="K38" s="39">
        <v>1000.0</v>
      </c>
      <c r="L38" s="41"/>
      <c r="M38" s="42">
        <v>1000.0</v>
      </c>
      <c r="N38" s="42">
        <v>1000.0</v>
      </c>
      <c r="O38" s="42"/>
      <c r="P38" s="39">
        <v>1000.0</v>
      </c>
      <c r="Q38" s="39">
        <v>1000.0</v>
      </c>
      <c r="R38" s="39">
        <v>960.0</v>
      </c>
      <c r="S38" s="46">
        <v>0.67</v>
      </c>
      <c r="T38" s="50">
        <f>IFERROR(__xludf.DUMMYFUNCTION("((IFERROR(MIN(FILTER({L38, O38, R38}, ISNUMBER({L38, O38, R38}), {L38, O38, R38} &gt; 0)), """"))*S38)+IFERROR(MIN(FILTER({L38, O38, R38}, ISNUMBER({L38, O38, R38}), {L38, O38, R38} &gt; 0)), """")"),1603.2)</f>
        <v>1603.2</v>
      </c>
      <c r="U38" s="50">
        <f>IFERROR(__xludf.DUMMYFUNCTION("(IFERROR(MIN(FILTER({L38, O38, R38}, ISNUMBER({L38, O38, R38}), {L38, O38, R38} &gt; 0)), """")/(1-0.3))"),1371.4285714285716)</f>
        <v>1371.428571</v>
      </c>
      <c r="V38" s="77">
        <f>IFERROR(__xludf.DUMMYFUNCTION("(T38-(IFERROR(MIN(FILTER({L38, O38, R38}, ISNUMBER({L38, O38, R38}), {L38, O38, R38} &gt; 0)), """")))/T38"),0.40119760479041916)</f>
        <v>0.4011976048</v>
      </c>
      <c r="W38" s="78"/>
      <c r="X38" s="79">
        <v>400.0</v>
      </c>
    </row>
    <row r="39" ht="22.5" customHeight="1">
      <c r="A39" s="34" t="s">
        <v>451</v>
      </c>
      <c r="B39" s="34" t="s">
        <v>452</v>
      </c>
      <c r="C39" s="37" t="s">
        <v>128</v>
      </c>
      <c r="D39" s="38" t="s">
        <v>454</v>
      </c>
      <c r="E39" s="76"/>
      <c r="F39" s="40" t="s">
        <v>55</v>
      </c>
      <c r="G39" s="34" t="s">
        <v>216</v>
      </c>
      <c r="H39" s="43" t="s">
        <v>41</v>
      </c>
      <c r="I39" s="34" t="s">
        <v>455</v>
      </c>
      <c r="J39" s="39">
        <v>1000.0</v>
      </c>
      <c r="K39" s="39">
        <v>1000.0</v>
      </c>
      <c r="L39" s="41"/>
      <c r="M39" s="42">
        <v>1000.0</v>
      </c>
      <c r="N39" s="42">
        <v>1000.0</v>
      </c>
      <c r="O39" s="42">
        <v>2446.0</v>
      </c>
      <c r="P39" s="39">
        <v>1000.0</v>
      </c>
      <c r="Q39" s="39">
        <v>1000.0</v>
      </c>
      <c r="R39" s="39"/>
      <c r="S39" s="46">
        <v>0.67</v>
      </c>
      <c r="T39" s="50">
        <f>IFERROR(__xludf.DUMMYFUNCTION("((IFERROR(MIN(FILTER({L39, O39, R39}, ISNUMBER({L39, O39, R39}), {L39, O39, R39} &gt; 0)), """"))*S39)+IFERROR(MIN(FILTER({L39, O39, R39}, ISNUMBER({L39, O39, R39}), {L39, O39, R39} &gt; 0)), """")"),4084.82)</f>
        <v>4084.82</v>
      </c>
      <c r="U39" s="50">
        <f>IFERROR(__xludf.DUMMYFUNCTION("(IFERROR(MIN(FILTER({L39, O39, R39}, ISNUMBER({L39, O39, R39}), {L39, O39, R39} &gt; 0)), """")/(1-0.3))"),3494.2857142857147)</f>
        <v>3494.285714</v>
      </c>
      <c r="V39" s="77">
        <f>IFERROR(__xludf.DUMMYFUNCTION("(T39-(IFERROR(MIN(FILTER({L39, O39, R39}, ISNUMBER({L39, O39, R39}), {L39, O39, R39} &gt; 0)), """")))/T39"),0.40119760479041916)</f>
        <v>0.4011976048</v>
      </c>
      <c r="W39" s="78"/>
      <c r="X39" s="79">
        <v>400.0</v>
      </c>
    </row>
    <row r="40" ht="22.5" customHeight="1">
      <c r="A40" s="34" t="s">
        <v>451</v>
      </c>
      <c r="B40" s="34" t="s">
        <v>452</v>
      </c>
      <c r="C40" s="37" t="s">
        <v>128</v>
      </c>
      <c r="D40" s="38" t="s">
        <v>454</v>
      </c>
      <c r="E40" s="76"/>
      <c r="F40" s="40" t="s">
        <v>55</v>
      </c>
      <c r="G40" s="34" t="s">
        <v>216</v>
      </c>
      <c r="H40" s="43" t="s">
        <v>41</v>
      </c>
      <c r="I40" s="34" t="s">
        <v>456</v>
      </c>
      <c r="J40" s="39">
        <v>2000.0</v>
      </c>
      <c r="K40" s="39">
        <v>2000.0</v>
      </c>
      <c r="L40" s="41"/>
      <c r="M40" s="42">
        <v>2000.0</v>
      </c>
      <c r="N40" s="42">
        <v>2000.0</v>
      </c>
      <c r="O40" s="42">
        <v>1782.0</v>
      </c>
      <c r="P40" s="39">
        <v>2000.0</v>
      </c>
      <c r="Q40" s="39">
        <v>2000.0</v>
      </c>
      <c r="R40" s="39"/>
      <c r="S40" s="46">
        <v>0.67</v>
      </c>
      <c r="T40" s="50">
        <f>IFERROR(__xludf.DUMMYFUNCTION("((IFERROR(MIN(FILTER({L40, O40, R40}, ISNUMBER({L40, O40, R40}), {L40, O40, R40} &gt; 0)), """"))*S40)+IFERROR(MIN(FILTER({L40, O40, R40}, ISNUMBER({L40, O40, R40}), {L40, O40, R40} &gt; 0)), """")"),2975.94)</f>
        <v>2975.94</v>
      </c>
      <c r="U40" s="50">
        <f>IFERROR(__xludf.DUMMYFUNCTION("(IFERROR(MIN(FILTER({L40, O40, R40}, ISNUMBER({L40, O40, R40}), {L40, O40, R40} &gt; 0)), """")/(1-0.3))"),2545.714285714286)</f>
        <v>2545.714286</v>
      </c>
      <c r="V40" s="77">
        <f>IFERROR(__xludf.DUMMYFUNCTION("(T40-(IFERROR(MIN(FILTER({L40, O40, R40}, ISNUMBER({L40, O40, R40}), {L40, O40, R40} &gt; 0)), """")))/T40"),0.40119760479041916)</f>
        <v>0.4011976048</v>
      </c>
      <c r="W40" s="78"/>
      <c r="X40" s="79">
        <v>400.0</v>
      </c>
    </row>
    <row r="41" ht="22.5" customHeight="1">
      <c r="A41" s="34" t="s">
        <v>188</v>
      </c>
      <c r="B41" s="34" t="s">
        <v>457</v>
      </c>
      <c r="C41" s="37" t="s">
        <v>458</v>
      </c>
      <c r="D41" s="38" t="s">
        <v>459</v>
      </c>
      <c r="E41" s="76"/>
      <c r="F41" s="40" t="s">
        <v>63</v>
      </c>
      <c r="G41" s="34" t="s">
        <v>460</v>
      </c>
      <c r="H41" s="43" t="s">
        <v>41</v>
      </c>
      <c r="I41" s="34" t="s">
        <v>461</v>
      </c>
      <c r="J41" s="39">
        <v>7000.0</v>
      </c>
      <c r="K41" s="39">
        <v>7000.0</v>
      </c>
      <c r="L41" s="41"/>
      <c r="M41" s="42">
        <v>7000.0</v>
      </c>
      <c r="N41" s="42">
        <v>7000.0</v>
      </c>
      <c r="O41" s="42">
        <v>1950.0</v>
      </c>
      <c r="P41" s="39">
        <v>7000.0</v>
      </c>
      <c r="Q41" s="39">
        <v>7000.0</v>
      </c>
      <c r="R41" s="39"/>
      <c r="S41" s="46">
        <v>0.67</v>
      </c>
      <c r="T41" s="50">
        <f>IFERROR(__xludf.DUMMYFUNCTION("((IFERROR(MIN(FILTER({L41, O41, R41}, ISNUMBER({L41, O41, R41}), {L41, O41, R41} &gt; 0)), """"))*S41)+IFERROR(MIN(FILTER({L41, O41, R41}, ISNUMBER({L41, O41, R41}), {L41, O41, R41} &gt; 0)), """")"),3256.5)</f>
        <v>3256.5</v>
      </c>
      <c r="U41" s="50">
        <f>IFERROR(__xludf.DUMMYFUNCTION("(IFERROR(MIN(FILTER({L41, O41, R41}, ISNUMBER({L41, O41, R41}), {L41, O41, R41} &gt; 0)), """")/(1-0.3))"),2785.714285714286)</f>
        <v>2785.714286</v>
      </c>
      <c r="V41" s="77">
        <f>IFERROR(__xludf.DUMMYFUNCTION("(T41-(IFERROR(MIN(FILTER({L41, O41, R41}, ISNUMBER({L41, O41, R41}), {L41, O41, R41} &gt; 0)), """")))/T41"),0.40119760479041916)</f>
        <v>0.4011976048</v>
      </c>
      <c r="W41" s="78"/>
      <c r="X41" s="79">
        <v>400.0</v>
      </c>
    </row>
    <row r="42" ht="22.5" customHeight="1">
      <c r="A42" s="34" t="s">
        <v>188</v>
      </c>
      <c r="B42" s="34" t="s">
        <v>457</v>
      </c>
      <c r="C42" s="37" t="s">
        <v>458</v>
      </c>
      <c r="D42" s="38" t="s">
        <v>459</v>
      </c>
      <c r="E42" s="76"/>
      <c r="F42" s="40" t="s">
        <v>63</v>
      </c>
      <c r="G42" s="34" t="s">
        <v>460</v>
      </c>
      <c r="H42" s="43" t="s">
        <v>41</v>
      </c>
      <c r="I42" s="34" t="s">
        <v>461</v>
      </c>
      <c r="J42" s="39">
        <v>10000.0</v>
      </c>
      <c r="K42" s="39">
        <v>10000.0</v>
      </c>
      <c r="L42" s="41"/>
      <c r="M42" s="42">
        <v>10000.0</v>
      </c>
      <c r="N42" s="42">
        <v>10000.0</v>
      </c>
      <c r="O42" s="42">
        <v>1900.0</v>
      </c>
      <c r="P42" s="39">
        <v>10000.0</v>
      </c>
      <c r="Q42" s="39">
        <v>10000.0</v>
      </c>
      <c r="R42" s="39"/>
      <c r="S42" s="46">
        <v>0.67</v>
      </c>
      <c r="T42" s="50">
        <f>IFERROR(__xludf.DUMMYFUNCTION("((IFERROR(MIN(FILTER({L42, O42, R42}, ISNUMBER({L42, O42, R42}), {L42, O42, R42} &gt; 0)), """"))*S42)+IFERROR(MIN(FILTER({L42, O42, R42}, ISNUMBER({L42, O42, R42}), {L42, O42, R42} &gt; 0)), """")"),3173.0)</f>
        <v>3173</v>
      </c>
      <c r="U42" s="50">
        <f>IFERROR(__xludf.DUMMYFUNCTION("(IFERROR(MIN(FILTER({L42, O42, R42}, ISNUMBER({L42, O42, R42}), {L42, O42, R42} &gt; 0)), """")/(1-0.3))"),2714.2857142857147)</f>
        <v>2714.285714</v>
      </c>
      <c r="V42" s="77">
        <f>IFERROR(__xludf.DUMMYFUNCTION("(T42-(IFERROR(MIN(FILTER({L42, O42, R42}, ISNUMBER({L42, O42, R42}), {L42, O42, R42} &gt; 0)), """")))/T42"),0.40119760479041916)</f>
        <v>0.4011976048</v>
      </c>
      <c r="W42" s="78"/>
      <c r="X42" s="79">
        <v>400.0</v>
      </c>
    </row>
    <row r="43" ht="22.5" customHeight="1">
      <c r="A43" s="34" t="s">
        <v>188</v>
      </c>
      <c r="B43" s="34" t="s">
        <v>457</v>
      </c>
      <c r="C43" s="37" t="s">
        <v>458</v>
      </c>
      <c r="D43" s="38" t="s">
        <v>459</v>
      </c>
      <c r="E43" s="76"/>
      <c r="F43" s="40" t="s">
        <v>63</v>
      </c>
      <c r="G43" s="34" t="s">
        <v>460</v>
      </c>
      <c r="H43" s="43" t="s">
        <v>41</v>
      </c>
      <c r="I43" s="34" t="s">
        <v>461</v>
      </c>
      <c r="J43" s="39">
        <v>12000.0</v>
      </c>
      <c r="K43" s="39">
        <v>12000.0</v>
      </c>
      <c r="L43" s="41"/>
      <c r="M43" s="42">
        <v>12000.0</v>
      </c>
      <c r="N43" s="42">
        <v>12000.0</v>
      </c>
      <c r="O43" s="42">
        <v>1850.0</v>
      </c>
      <c r="P43" s="39">
        <v>12000.0</v>
      </c>
      <c r="Q43" s="39">
        <v>12000.0</v>
      </c>
      <c r="R43" s="39"/>
      <c r="S43" s="46">
        <v>0.67</v>
      </c>
      <c r="T43" s="50">
        <f>IFERROR(__xludf.DUMMYFUNCTION("((IFERROR(MIN(FILTER({L43, O43, R43}, ISNUMBER({L43, O43, R43}), {L43, O43, R43} &gt; 0)), """"))*S43)+IFERROR(MIN(FILTER({L43, O43, R43}, ISNUMBER({L43, O43, R43}), {L43, O43, R43} &gt; 0)), """")"),3089.5)</f>
        <v>3089.5</v>
      </c>
      <c r="U43" s="50">
        <f>IFERROR(__xludf.DUMMYFUNCTION("(IFERROR(MIN(FILTER({L43, O43, R43}, ISNUMBER({L43, O43, R43}), {L43, O43, R43} &gt; 0)), """")/(1-0.3))"),2642.857142857143)</f>
        <v>2642.857143</v>
      </c>
      <c r="V43" s="77">
        <f>IFERROR(__xludf.DUMMYFUNCTION("(T43-(IFERROR(MIN(FILTER({L43, O43, R43}, ISNUMBER({L43, O43, R43}), {L43, O43, R43} &gt; 0)), """")))/T43"),0.40119760479041916)</f>
        <v>0.4011976048</v>
      </c>
      <c r="W43" s="78"/>
      <c r="X43" s="79">
        <v>400.0</v>
      </c>
    </row>
    <row r="44" ht="22.5" customHeight="1">
      <c r="A44" s="34" t="s">
        <v>188</v>
      </c>
      <c r="B44" s="34" t="s">
        <v>457</v>
      </c>
      <c r="C44" s="37" t="s">
        <v>458</v>
      </c>
      <c r="D44" s="38" t="s">
        <v>459</v>
      </c>
      <c r="E44" s="76"/>
      <c r="F44" s="40" t="s">
        <v>63</v>
      </c>
      <c r="G44" s="34" t="s">
        <v>460</v>
      </c>
      <c r="H44" s="43" t="s">
        <v>41</v>
      </c>
      <c r="I44" s="34" t="s">
        <v>468</v>
      </c>
      <c r="J44" s="39">
        <v>7000.0</v>
      </c>
      <c r="K44" s="39">
        <v>7000.0</v>
      </c>
      <c r="L44" s="41"/>
      <c r="M44" s="42">
        <v>7000.0</v>
      </c>
      <c r="N44" s="42">
        <v>7000.0</v>
      </c>
      <c r="O44" s="42">
        <v>1550.0</v>
      </c>
      <c r="P44" s="39">
        <v>7000.0</v>
      </c>
      <c r="Q44" s="39">
        <v>7000.0</v>
      </c>
      <c r="R44" s="39"/>
      <c r="S44" s="46">
        <v>0.67</v>
      </c>
      <c r="T44" s="50">
        <f>IFERROR(__xludf.DUMMYFUNCTION("((IFERROR(MIN(FILTER({L44, O44, R44}, ISNUMBER({L44, O44, R44}), {L44, O44, R44} &gt; 0)), """"))*S44)+IFERROR(MIN(FILTER({L44, O44, R44}, ISNUMBER({L44, O44, R44}), {L44, O44, R44} &gt; 0)), """")"),2588.5)</f>
        <v>2588.5</v>
      </c>
      <c r="U44" s="50">
        <f>IFERROR(__xludf.DUMMYFUNCTION("(IFERROR(MIN(FILTER({L44, O44, R44}, ISNUMBER({L44, O44, R44}), {L44, O44, R44} &gt; 0)), """")/(1-0.3))"),2214.285714285714)</f>
        <v>2214.285714</v>
      </c>
      <c r="V44" s="77">
        <f>IFERROR(__xludf.DUMMYFUNCTION("(T44-(IFERROR(MIN(FILTER({L44, O44, R44}, ISNUMBER({L44, O44, R44}), {L44, O44, R44} &gt; 0)), """")))/T44"),0.40119760479041916)</f>
        <v>0.4011976048</v>
      </c>
      <c r="W44" s="78"/>
      <c r="X44" s="79">
        <v>400.0</v>
      </c>
    </row>
    <row r="45" ht="22.5" customHeight="1">
      <c r="A45" s="34" t="s">
        <v>188</v>
      </c>
      <c r="B45" s="34" t="s">
        <v>457</v>
      </c>
      <c r="C45" s="37" t="s">
        <v>458</v>
      </c>
      <c r="D45" s="38" t="s">
        <v>459</v>
      </c>
      <c r="E45" s="76"/>
      <c r="F45" s="40" t="s">
        <v>63</v>
      </c>
      <c r="G45" s="34" t="s">
        <v>460</v>
      </c>
      <c r="H45" s="43" t="s">
        <v>41</v>
      </c>
      <c r="I45" s="34" t="s">
        <v>468</v>
      </c>
      <c r="J45" s="39">
        <v>10000.0</v>
      </c>
      <c r="K45" s="39">
        <v>10000.0</v>
      </c>
      <c r="L45" s="41"/>
      <c r="M45" s="42">
        <v>10000.0</v>
      </c>
      <c r="N45" s="42">
        <v>10000.0</v>
      </c>
      <c r="O45" s="42">
        <v>1500.0</v>
      </c>
      <c r="P45" s="39">
        <v>10000.0</v>
      </c>
      <c r="Q45" s="39">
        <v>10000.0</v>
      </c>
      <c r="R45" s="39"/>
      <c r="S45" s="46">
        <v>0.67</v>
      </c>
      <c r="T45" s="50">
        <f>IFERROR(__xludf.DUMMYFUNCTION("((IFERROR(MIN(FILTER({L45, O45, R45}, ISNUMBER({L45, O45, R45}), {L45, O45, R45} &gt; 0)), """"))*S45)+IFERROR(MIN(FILTER({L45, O45, R45}, ISNUMBER({L45, O45, R45}), {L45, O45, R45} &gt; 0)), """")"),2505.0)</f>
        <v>2505</v>
      </c>
      <c r="U45" s="50">
        <f>IFERROR(__xludf.DUMMYFUNCTION("(IFERROR(MIN(FILTER({L45, O45, R45}, ISNUMBER({L45, O45, R45}), {L45, O45, R45} &gt; 0)), """")/(1-0.3))"),2142.857142857143)</f>
        <v>2142.857143</v>
      </c>
      <c r="V45" s="77">
        <f>IFERROR(__xludf.DUMMYFUNCTION("(T45-(IFERROR(MIN(FILTER({L45, O45, R45}, ISNUMBER({L45, O45, R45}), {L45, O45, R45} &gt; 0)), """")))/T45"),0.40119760479041916)</f>
        <v>0.4011976048</v>
      </c>
      <c r="W45" s="78"/>
      <c r="X45" s="79">
        <v>400.0</v>
      </c>
    </row>
    <row r="46" ht="22.5" customHeight="1">
      <c r="A46" s="34" t="s">
        <v>188</v>
      </c>
      <c r="B46" s="34" t="s">
        <v>457</v>
      </c>
      <c r="C46" s="37" t="s">
        <v>458</v>
      </c>
      <c r="D46" s="38" t="s">
        <v>459</v>
      </c>
      <c r="E46" s="76"/>
      <c r="F46" s="40" t="s">
        <v>63</v>
      </c>
      <c r="G46" s="34" t="s">
        <v>460</v>
      </c>
      <c r="H46" s="43" t="s">
        <v>41</v>
      </c>
      <c r="I46" s="34" t="s">
        <v>468</v>
      </c>
      <c r="J46" s="39">
        <v>12000.0</v>
      </c>
      <c r="K46" s="39">
        <v>12000.0</v>
      </c>
      <c r="L46" s="41"/>
      <c r="M46" s="42">
        <v>12000.0</v>
      </c>
      <c r="N46" s="42">
        <v>12000.0</v>
      </c>
      <c r="O46" s="42">
        <v>1450.0</v>
      </c>
      <c r="P46" s="39">
        <v>12000.0</v>
      </c>
      <c r="Q46" s="39">
        <v>12000.0</v>
      </c>
      <c r="R46" s="39"/>
      <c r="S46" s="46">
        <v>0.67</v>
      </c>
      <c r="T46" s="50">
        <f>IFERROR(__xludf.DUMMYFUNCTION("((IFERROR(MIN(FILTER({L46, O46, R46}, ISNUMBER({L46, O46, R46}), {L46, O46, R46} &gt; 0)), """"))*S46)+IFERROR(MIN(FILTER({L46, O46, R46}, ISNUMBER({L46, O46, R46}), {L46, O46, R46} &gt; 0)), """")"),2421.5)</f>
        <v>2421.5</v>
      </c>
      <c r="U46" s="50">
        <f>IFERROR(__xludf.DUMMYFUNCTION("(IFERROR(MIN(FILTER({L46, O46, R46}, ISNUMBER({L46, O46, R46}), {L46, O46, R46} &gt; 0)), """")/(1-0.3))"),2071.4285714285716)</f>
        <v>2071.428571</v>
      </c>
      <c r="V46" s="77">
        <f>IFERROR(__xludf.DUMMYFUNCTION("(T46-(IFERROR(MIN(FILTER({L46, O46, R46}, ISNUMBER({L46, O46, R46}), {L46, O46, R46} &gt; 0)), """")))/T46"),0.40119760479041916)</f>
        <v>0.4011976048</v>
      </c>
      <c r="W46" s="78"/>
      <c r="X46" s="79">
        <v>400.0</v>
      </c>
    </row>
    <row r="47" ht="22.5" customHeight="1">
      <c r="A47" s="34" t="s">
        <v>188</v>
      </c>
      <c r="B47" s="34" t="s">
        <v>457</v>
      </c>
      <c r="C47" s="37" t="s">
        <v>379</v>
      </c>
      <c r="D47" s="38" t="s">
        <v>459</v>
      </c>
      <c r="E47" s="76"/>
      <c r="F47" s="40" t="s">
        <v>63</v>
      </c>
      <c r="G47" s="34" t="s">
        <v>460</v>
      </c>
      <c r="H47" s="43" t="s">
        <v>41</v>
      </c>
      <c r="I47" s="34" t="s">
        <v>461</v>
      </c>
      <c r="J47" s="39">
        <v>7000.0</v>
      </c>
      <c r="K47" s="39">
        <v>7000.0</v>
      </c>
      <c r="L47" s="41"/>
      <c r="M47" s="42">
        <v>7000.0</v>
      </c>
      <c r="N47" s="42">
        <v>7000.0</v>
      </c>
      <c r="O47" s="42">
        <v>2000.0</v>
      </c>
      <c r="P47" s="39">
        <v>7000.0</v>
      </c>
      <c r="Q47" s="39">
        <v>7000.0</v>
      </c>
      <c r="R47" s="39"/>
      <c r="S47" s="46">
        <v>0.67</v>
      </c>
      <c r="T47" s="50">
        <f>IFERROR(__xludf.DUMMYFUNCTION("((IFERROR(MIN(FILTER({L47, O47, R47}, ISNUMBER({L47, O47, R47}), {L47, O47, R47} &gt; 0)), """"))*S47)+IFERROR(MIN(FILTER({L47, O47, R47}, ISNUMBER({L47, O47, R47}), {L47, O47, R47} &gt; 0)), """")"),3340.0)</f>
        <v>3340</v>
      </c>
      <c r="U47" s="50">
        <f>IFERROR(__xludf.DUMMYFUNCTION("(IFERROR(MIN(FILTER({L47, O47, R47}, ISNUMBER({L47, O47, R47}), {L47, O47, R47} &gt; 0)), """")/(1-0.3))"),2857.1428571428573)</f>
        <v>2857.142857</v>
      </c>
      <c r="V47" s="77">
        <f>IFERROR(__xludf.DUMMYFUNCTION("(T47-(IFERROR(MIN(FILTER({L47, O47, R47}, ISNUMBER({L47, O47, R47}), {L47, O47, R47} &gt; 0)), """")))/T47"),0.40119760479041916)</f>
        <v>0.4011976048</v>
      </c>
      <c r="W47" s="78"/>
      <c r="X47" s="79">
        <v>400.0</v>
      </c>
    </row>
    <row r="48" ht="22.5" customHeight="1">
      <c r="A48" s="34" t="s">
        <v>188</v>
      </c>
      <c r="B48" s="34" t="s">
        <v>457</v>
      </c>
      <c r="C48" s="37" t="s">
        <v>379</v>
      </c>
      <c r="D48" s="38" t="s">
        <v>459</v>
      </c>
      <c r="E48" s="76"/>
      <c r="F48" s="40" t="s">
        <v>63</v>
      </c>
      <c r="G48" s="34" t="s">
        <v>460</v>
      </c>
      <c r="H48" s="43" t="s">
        <v>41</v>
      </c>
      <c r="I48" s="34" t="s">
        <v>461</v>
      </c>
      <c r="J48" s="39">
        <v>10000.0</v>
      </c>
      <c r="K48" s="39">
        <v>10000.0</v>
      </c>
      <c r="L48" s="39">
        <v>1200.0</v>
      </c>
      <c r="M48" s="42">
        <v>10000.0</v>
      </c>
      <c r="N48" s="42">
        <v>10000.0</v>
      </c>
      <c r="O48" s="42">
        <v>1950.0</v>
      </c>
      <c r="P48" s="39">
        <v>10000.0</v>
      </c>
      <c r="Q48" s="39">
        <v>10000.0</v>
      </c>
      <c r="R48" s="39"/>
      <c r="S48" s="46">
        <v>0.67</v>
      </c>
      <c r="T48" s="50">
        <f>IFERROR(__xludf.DUMMYFUNCTION("((IFERROR(MIN(FILTER({L48, O48, R48}, ISNUMBER({L48, O48, R48}), {L48, O48, R48} &gt; 0)), """"))*S48)+IFERROR(MIN(FILTER({L48, O48, R48}, ISNUMBER({L48, O48, R48}), {L48, O48, R48} &gt; 0)), """")"),2004.0)</f>
        <v>2004</v>
      </c>
      <c r="U48" s="50">
        <f>IFERROR(__xludf.DUMMYFUNCTION("(IFERROR(MIN(FILTER({L48, O48, R48}, ISNUMBER({L48, O48, R48}), {L48, O48, R48} &gt; 0)), """")/(1-0.3))"),1714.2857142857144)</f>
        <v>1714.285714</v>
      </c>
      <c r="V48" s="77">
        <f>IFERROR(__xludf.DUMMYFUNCTION("(T48-(IFERROR(MIN(FILTER({L48, O48, R48}, ISNUMBER({L48, O48, R48}), {L48, O48, R48} &gt; 0)), """")))/T48"),0.40119760479041916)</f>
        <v>0.4011976048</v>
      </c>
      <c r="W48" s="78"/>
      <c r="X48" s="79">
        <v>400.0</v>
      </c>
    </row>
    <row r="49" ht="22.5" customHeight="1">
      <c r="A49" s="34" t="s">
        <v>188</v>
      </c>
      <c r="B49" s="34" t="s">
        <v>457</v>
      </c>
      <c r="C49" s="37" t="s">
        <v>379</v>
      </c>
      <c r="D49" s="38" t="s">
        <v>459</v>
      </c>
      <c r="E49" s="76"/>
      <c r="F49" s="40" t="s">
        <v>63</v>
      </c>
      <c r="G49" s="34" t="s">
        <v>460</v>
      </c>
      <c r="H49" s="43" t="s">
        <v>41</v>
      </c>
      <c r="I49" s="34" t="s">
        <v>461</v>
      </c>
      <c r="J49" s="39">
        <v>12000.0</v>
      </c>
      <c r="K49" s="39">
        <v>12000.0</v>
      </c>
      <c r="L49" s="39">
        <v>205.0</v>
      </c>
      <c r="M49" s="42">
        <v>12000.0</v>
      </c>
      <c r="N49" s="42">
        <v>12000.0</v>
      </c>
      <c r="O49" s="42">
        <v>1900.0</v>
      </c>
      <c r="P49" s="39">
        <v>12000.0</v>
      </c>
      <c r="Q49" s="39">
        <v>12000.0</v>
      </c>
      <c r="R49" s="39"/>
      <c r="S49" s="46">
        <v>0.67</v>
      </c>
      <c r="T49" s="50">
        <f>IFERROR(__xludf.DUMMYFUNCTION("((IFERROR(MIN(FILTER({L49, O49, R49}, ISNUMBER({L49, O49, R49}), {L49, O49, R49} &gt; 0)), """"))*S49)+IFERROR(MIN(FILTER({L49, O49, R49}, ISNUMBER({L49, O49, R49}), {L49, O49, R49} &gt; 0)), """")"),342.35)</f>
        <v>342.35</v>
      </c>
      <c r="U49" s="50">
        <f>IFERROR(__xludf.DUMMYFUNCTION("(IFERROR(MIN(FILTER({L49, O49, R49}, ISNUMBER({L49, O49, R49}), {L49, O49, R49} &gt; 0)), """")/(1-0.3))"),292.8571428571429)</f>
        <v>292.8571429</v>
      </c>
      <c r="V49" s="77">
        <f>IFERROR(__xludf.DUMMYFUNCTION("(T49-(IFERROR(MIN(FILTER({L49, O49, R49}, ISNUMBER({L49, O49, R49}), {L49, O49, R49} &gt; 0)), """")))/T49"),0.4011976047904192)</f>
        <v>0.4011976048</v>
      </c>
      <c r="W49" s="78"/>
      <c r="X49" s="79">
        <v>400.0</v>
      </c>
    </row>
    <row r="50" ht="22.5" customHeight="1">
      <c r="A50" s="34" t="s">
        <v>188</v>
      </c>
      <c r="B50" s="34" t="s">
        <v>457</v>
      </c>
      <c r="C50" s="37" t="s">
        <v>379</v>
      </c>
      <c r="D50" s="38" t="s">
        <v>459</v>
      </c>
      <c r="E50" s="76"/>
      <c r="F50" s="40" t="s">
        <v>63</v>
      </c>
      <c r="G50" s="34" t="s">
        <v>460</v>
      </c>
      <c r="H50" s="43" t="s">
        <v>41</v>
      </c>
      <c r="I50" s="34" t="s">
        <v>468</v>
      </c>
      <c r="J50" s="39">
        <v>7000.0</v>
      </c>
      <c r="K50" s="39">
        <v>7000.0</v>
      </c>
      <c r="L50" s="39">
        <v>190.0</v>
      </c>
      <c r="M50" s="42">
        <v>7000.0</v>
      </c>
      <c r="N50" s="42">
        <v>7000.0</v>
      </c>
      <c r="O50" s="42">
        <v>1600.0</v>
      </c>
      <c r="P50" s="39">
        <v>7000.0</v>
      </c>
      <c r="Q50" s="39">
        <v>7000.0</v>
      </c>
      <c r="R50" s="39"/>
      <c r="S50" s="46">
        <v>0.67</v>
      </c>
      <c r="T50" s="50">
        <f>IFERROR(__xludf.DUMMYFUNCTION("((IFERROR(MIN(FILTER({L50, O50, R50}, ISNUMBER({L50, O50, R50}), {L50, O50, R50} &gt; 0)), """"))*S50)+IFERROR(MIN(FILTER({L50, O50, R50}, ISNUMBER({L50, O50, R50}), {L50, O50, R50} &gt; 0)), """")"),317.3)</f>
        <v>317.3</v>
      </c>
      <c r="U50" s="50">
        <f>IFERROR(__xludf.DUMMYFUNCTION("(IFERROR(MIN(FILTER({L50, O50, R50}, ISNUMBER({L50, O50, R50}), {L50, O50, R50} &gt; 0)), """")/(1-0.3))"),271.42857142857144)</f>
        <v>271.4285714</v>
      </c>
      <c r="V50" s="77">
        <f>IFERROR(__xludf.DUMMYFUNCTION("(T50-(IFERROR(MIN(FILTER({L50, O50, R50}, ISNUMBER({L50, O50, R50}), {L50, O50, R50} &gt; 0)), """")))/T50"),0.40119760479041916)</f>
        <v>0.4011976048</v>
      </c>
      <c r="W50" s="78"/>
      <c r="X50" s="79">
        <v>400.0</v>
      </c>
    </row>
    <row r="51" ht="22.5" customHeight="1">
      <c r="A51" s="34" t="s">
        <v>188</v>
      </c>
      <c r="B51" s="34" t="s">
        <v>457</v>
      </c>
      <c r="C51" s="37" t="s">
        <v>379</v>
      </c>
      <c r="D51" s="38" t="s">
        <v>459</v>
      </c>
      <c r="E51" s="76"/>
      <c r="F51" s="40" t="s">
        <v>63</v>
      </c>
      <c r="G51" s="34" t="s">
        <v>460</v>
      </c>
      <c r="H51" s="43" t="s">
        <v>41</v>
      </c>
      <c r="I51" s="34" t="s">
        <v>468</v>
      </c>
      <c r="J51" s="39">
        <v>10000.0</v>
      </c>
      <c r="K51" s="39">
        <v>10000.0</v>
      </c>
      <c r="L51" s="41"/>
      <c r="M51" s="42">
        <v>10000.0</v>
      </c>
      <c r="N51" s="42">
        <v>10000.0</v>
      </c>
      <c r="O51" s="42">
        <v>1550.0</v>
      </c>
      <c r="P51" s="39">
        <v>10000.0</v>
      </c>
      <c r="Q51" s="39">
        <v>10000.0</v>
      </c>
      <c r="R51" s="39"/>
      <c r="S51" s="46">
        <v>0.67</v>
      </c>
      <c r="T51" s="50">
        <f>IFERROR(__xludf.DUMMYFUNCTION("((IFERROR(MIN(FILTER({L51, O51, R51}, ISNUMBER({L51, O51, R51}), {L51, O51, R51} &gt; 0)), """"))*S51)+IFERROR(MIN(FILTER({L51, O51, R51}, ISNUMBER({L51, O51, R51}), {L51, O51, R51} &gt; 0)), """")"),2588.5)</f>
        <v>2588.5</v>
      </c>
      <c r="U51" s="50">
        <f>IFERROR(__xludf.DUMMYFUNCTION("(IFERROR(MIN(FILTER({L51, O51, R51}, ISNUMBER({L51, O51, R51}), {L51, O51, R51} &gt; 0)), """")/(1-0.3))"),2214.285714285714)</f>
        <v>2214.285714</v>
      </c>
      <c r="V51" s="77">
        <f>IFERROR(__xludf.DUMMYFUNCTION("(T51-(IFERROR(MIN(FILTER({L51, O51, R51}, ISNUMBER({L51, O51, R51}), {L51, O51, R51} &gt; 0)), """")))/T51"),0.40119760479041916)</f>
        <v>0.4011976048</v>
      </c>
      <c r="W51" s="78"/>
      <c r="X51" s="79">
        <v>400.0</v>
      </c>
    </row>
    <row r="52" ht="22.5" customHeight="1">
      <c r="A52" s="34" t="s">
        <v>188</v>
      </c>
      <c r="B52" s="34" t="s">
        <v>457</v>
      </c>
      <c r="C52" s="37" t="s">
        <v>379</v>
      </c>
      <c r="D52" s="38" t="s">
        <v>459</v>
      </c>
      <c r="E52" s="76"/>
      <c r="F52" s="40" t="s">
        <v>63</v>
      </c>
      <c r="G52" s="34" t="s">
        <v>460</v>
      </c>
      <c r="H52" s="43" t="s">
        <v>41</v>
      </c>
      <c r="I52" s="34" t="s">
        <v>468</v>
      </c>
      <c r="J52" s="39">
        <v>12000.0</v>
      </c>
      <c r="K52" s="39">
        <v>12000.0</v>
      </c>
      <c r="L52" s="41"/>
      <c r="M52" s="42">
        <v>12000.0</v>
      </c>
      <c r="N52" s="42">
        <v>12000.0</v>
      </c>
      <c r="O52" s="42">
        <v>1500.0</v>
      </c>
      <c r="P52" s="39">
        <v>12000.0</v>
      </c>
      <c r="Q52" s="39">
        <v>12000.0</v>
      </c>
      <c r="R52" s="39"/>
      <c r="S52" s="46">
        <v>0.67</v>
      </c>
      <c r="T52" s="50">
        <f>IFERROR(__xludf.DUMMYFUNCTION("((IFERROR(MIN(FILTER({L52, O52, R52}, ISNUMBER({L52, O52, R52}), {L52, O52, R52} &gt; 0)), """"))*S52)+IFERROR(MIN(FILTER({L52, O52, R52}, ISNUMBER({L52, O52, R52}), {L52, O52, R52} &gt; 0)), """")"),2505.0)</f>
        <v>2505</v>
      </c>
      <c r="U52" s="50">
        <f>IFERROR(__xludf.DUMMYFUNCTION("(IFERROR(MIN(FILTER({L52, O52, R52}, ISNUMBER({L52, O52, R52}), {L52, O52, R52} &gt; 0)), """")/(1-0.3))"),2142.857142857143)</f>
        <v>2142.857143</v>
      </c>
      <c r="V52" s="77">
        <f>IFERROR(__xludf.DUMMYFUNCTION("(T52-(IFERROR(MIN(FILTER({L52, O52, R52}, ISNUMBER({L52, O52, R52}), {L52, O52, R52} &gt; 0)), """")))/T52"),0.40119760479041916)</f>
        <v>0.4011976048</v>
      </c>
      <c r="W52" s="78"/>
      <c r="X52" s="79">
        <v>400.0</v>
      </c>
    </row>
    <row r="53" ht="22.5" customHeight="1">
      <c r="A53" s="34" t="s">
        <v>503</v>
      </c>
      <c r="B53" s="34" t="s">
        <v>431</v>
      </c>
      <c r="C53" s="37" t="s">
        <v>504</v>
      </c>
      <c r="D53" s="38" t="s">
        <v>505</v>
      </c>
      <c r="E53" s="76"/>
      <c r="F53" s="40" t="s">
        <v>36</v>
      </c>
      <c r="G53" s="34" t="s">
        <v>506</v>
      </c>
      <c r="H53" s="43" t="s">
        <v>41</v>
      </c>
      <c r="I53" s="34" t="s">
        <v>507</v>
      </c>
      <c r="J53" s="39">
        <v>1000.0</v>
      </c>
      <c r="K53" s="39">
        <v>1000.0</v>
      </c>
      <c r="L53" s="41"/>
      <c r="M53" s="42">
        <v>1000.0</v>
      </c>
      <c r="N53" s="42">
        <v>1000.0</v>
      </c>
      <c r="O53" s="42"/>
      <c r="P53" s="39">
        <v>1000.0</v>
      </c>
      <c r="Q53" s="39">
        <v>1000.0</v>
      </c>
      <c r="R53" s="39">
        <v>2200.0</v>
      </c>
      <c r="S53" s="46">
        <v>0.67</v>
      </c>
      <c r="T53" s="50">
        <f>IFERROR(__xludf.DUMMYFUNCTION("((IFERROR(MIN(FILTER({L53, O53, R53}, ISNUMBER({L53, O53, R53}), {L53, O53, R53} &gt; 0)), """"))*S53)+IFERROR(MIN(FILTER({L53, O53, R53}, ISNUMBER({L53, O53, R53}), {L53, O53, R53} &gt; 0)), """")"),3674.0)</f>
        <v>3674</v>
      </c>
      <c r="U53" s="50">
        <f>IFERROR(__xludf.DUMMYFUNCTION("(IFERROR(MIN(FILTER({L53, O53, R53}, ISNUMBER({L53, O53, R53}), {L53, O53, R53} &gt; 0)), """")/(1-0.3))"),3142.857142857143)</f>
        <v>3142.857143</v>
      </c>
      <c r="V53" s="77">
        <f>IFERROR(__xludf.DUMMYFUNCTION("(T53-(IFERROR(MIN(FILTER({L53, O53, R53}, ISNUMBER({L53, O53, R53}), {L53, O53, R53} &gt; 0)), """")))/T53"),0.40119760479041916)</f>
        <v>0.4011976048</v>
      </c>
      <c r="W53" s="78"/>
      <c r="X53" s="79">
        <v>400.0</v>
      </c>
    </row>
    <row r="54" ht="22.5" customHeight="1">
      <c r="A54" s="34" t="s">
        <v>503</v>
      </c>
      <c r="B54" s="34" t="s">
        <v>431</v>
      </c>
      <c r="C54" s="37" t="s">
        <v>504</v>
      </c>
      <c r="D54" s="38" t="s">
        <v>505</v>
      </c>
      <c r="E54" s="76"/>
      <c r="F54" s="95">
        <v>46054.0</v>
      </c>
      <c r="G54" s="34" t="s">
        <v>506</v>
      </c>
      <c r="H54" s="43" t="s">
        <v>41</v>
      </c>
      <c r="I54" s="34" t="s">
        <v>507</v>
      </c>
      <c r="J54" s="39">
        <v>3000.0</v>
      </c>
      <c r="K54" s="39">
        <v>3000.0</v>
      </c>
      <c r="L54" s="41"/>
      <c r="M54" s="42">
        <v>3000.0</v>
      </c>
      <c r="N54" s="42">
        <v>3000.0</v>
      </c>
      <c r="O54" s="42"/>
      <c r="P54" s="39">
        <v>3000.0</v>
      </c>
      <c r="Q54" s="39">
        <v>3000.0</v>
      </c>
      <c r="R54" s="39">
        <v>1300.0</v>
      </c>
      <c r="S54" s="46">
        <v>0.67</v>
      </c>
      <c r="T54" s="50">
        <f>IFERROR(__xludf.DUMMYFUNCTION("((IFERROR(MIN(FILTER({L54, O54, R54}, ISNUMBER({L54, O54, R54}), {L54, O54, R54} &gt; 0)), """"))*S54)+IFERROR(MIN(FILTER({L54, O54, R54}, ISNUMBER({L54, O54, R54}), {L54, O54, R54} &gt; 0)), """")"),2171.0)</f>
        <v>2171</v>
      </c>
      <c r="U54" s="50">
        <f>IFERROR(__xludf.DUMMYFUNCTION("(IFERROR(MIN(FILTER({L54, O54, R54}, ISNUMBER({L54, O54, R54}), {L54, O54, R54} &gt; 0)), """")/(1-0.3))"),1857.1428571428573)</f>
        <v>1857.142857</v>
      </c>
      <c r="V54" s="77">
        <f>IFERROR(__xludf.DUMMYFUNCTION("(T54-(IFERROR(MIN(FILTER({L54, O54, R54}, ISNUMBER({L54, O54, R54}), {L54, O54, R54} &gt; 0)), """")))/T54"),0.40119760479041916)</f>
        <v>0.4011976048</v>
      </c>
      <c r="W54" s="78"/>
      <c r="X54" s="79">
        <v>400.0</v>
      </c>
    </row>
    <row r="55" ht="22.5" customHeight="1">
      <c r="A55" s="34" t="s">
        <v>503</v>
      </c>
      <c r="B55" s="34" t="s">
        <v>431</v>
      </c>
      <c r="C55" s="37" t="s">
        <v>504</v>
      </c>
      <c r="D55" s="38" t="s">
        <v>505</v>
      </c>
      <c r="E55" s="76"/>
      <c r="F55" s="95">
        <v>46055.0</v>
      </c>
      <c r="G55" s="34" t="s">
        <v>506</v>
      </c>
      <c r="H55" s="43" t="s">
        <v>41</v>
      </c>
      <c r="I55" s="34" t="s">
        <v>507</v>
      </c>
      <c r="J55" s="39">
        <v>5000.0</v>
      </c>
      <c r="K55" s="39">
        <v>5000.0</v>
      </c>
      <c r="L55" s="41"/>
      <c r="M55" s="42">
        <v>5000.0</v>
      </c>
      <c r="N55" s="42">
        <v>5000.0</v>
      </c>
      <c r="O55" s="42"/>
      <c r="P55" s="39">
        <v>5000.0</v>
      </c>
      <c r="Q55" s="39">
        <v>5000.0</v>
      </c>
      <c r="R55" s="39">
        <v>1000.0</v>
      </c>
      <c r="S55" s="46">
        <v>0.67</v>
      </c>
      <c r="T55" s="50">
        <f>IFERROR(__xludf.DUMMYFUNCTION("((IFERROR(MIN(FILTER({L55, O55, R55}, ISNUMBER({L55, O55, R55}), {L55, O55, R55} &gt; 0)), """"))*S55)+IFERROR(MIN(FILTER({L55, O55, R55}, ISNUMBER({L55, O55, R55}), {L55, O55, R55} &gt; 0)), """")"),1670.0)</f>
        <v>1670</v>
      </c>
      <c r="U55" s="50">
        <f>IFERROR(__xludf.DUMMYFUNCTION("(IFERROR(MIN(FILTER({L55, O55, R55}, ISNUMBER({L55, O55, R55}), {L55, O55, R55} &gt; 0)), """")/(1-0.3))"),1428.5714285714287)</f>
        <v>1428.571429</v>
      </c>
      <c r="V55" s="77">
        <f>IFERROR(__xludf.DUMMYFUNCTION("(T55-(IFERROR(MIN(FILTER({L55, O55, R55}, ISNUMBER({L55, O55, R55}), {L55, O55, R55} &gt; 0)), """")))/T55"),0.40119760479041916)</f>
        <v>0.4011976048</v>
      </c>
      <c r="W55" s="78"/>
      <c r="X55" s="79">
        <v>400.0</v>
      </c>
    </row>
    <row r="56" ht="22.5" customHeight="1">
      <c r="A56" s="34" t="s">
        <v>514</v>
      </c>
      <c r="B56" s="34" t="s">
        <v>515</v>
      </c>
      <c r="C56" s="37" t="s">
        <v>516</v>
      </c>
      <c r="D56" s="38" t="s">
        <v>517</v>
      </c>
      <c r="E56" s="76"/>
      <c r="F56" s="40" t="s">
        <v>55</v>
      </c>
      <c r="G56" s="67"/>
      <c r="H56" s="43" t="s">
        <v>41</v>
      </c>
      <c r="I56" s="34" t="s">
        <v>507</v>
      </c>
      <c r="J56" s="39">
        <v>1000.0</v>
      </c>
      <c r="K56" s="39">
        <v>1000.0</v>
      </c>
      <c r="L56" s="41"/>
      <c r="M56" s="42">
        <v>1000.0</v>
      </c>
      <c r="N56" s="42">
        <v>1000.0</v>
      </c>
      <c r="O56" s="60">
        <v>1786.0</v>
      </c>
      <c r="P56" s="39">
        <v>1000.0</v>
      </c>
      <c r="Q56" s="39">
        <v>1000.0</v>
      </c>
      <c r="R56" s="39">
        <v>5150.0</v>
      </c>
      <c r="S56" s="46">
        <v>0.67</v>
      </c>
      <c r="T56" s="50">
        <f>IFERROR(__xludf.DUMMYFUNCTION("((IFERROR(MIN(FILTER({L56, O56, R56}, ISNUMBER({L56, O56, R56}), {L56, O56, R56} &gt; 0)), """"))*S56)+IFERROR(MIN(FILTER({L56, O56, R56}, ISNUMBER({L56, O56, R56}), {L56, O56, R56} &gt; 0)), """")"),2982.62)</f>
        <v>2982.62</v>
      </c>
      <c r="U56" s="50">
        <f>IFERROR(__xludf.DUMMYFUNCTION("(IFERROR(MIN(FILTER({L56, O56, R56}, ISNUMBER({L56, O56, R56}), {L56, O56, R56} &gt; 0)), """")/(1-0.3))"),2551.4285714285716)</f>
        <v>2551.428571</v>
      </c>
      <c r="V56" s="77">
        <f>IFERROR(__xludf.DUMMYFUNCTION("(T56-(IFERROR(MIN(FILTER({L56, O56, R56}, ISNUMBER({L56, O56, R56}), {L56, O56, R56} &gt; 0)), """")))/T56"),0.40119760479041916)</f>
        <v>0.4011976048</v>
      </c>
      <c r="W56" s="78"/>
      <c r="X56" s="79">
        <v>400.0</v>
      </c>
    </row>
    <row r="57" ht="22.5" customHeight="1">
      <c r="A57" s="34" t="s">
        <v>520</v>
      </c>
      <c r="B57" s="34" t="s">
        <v>431</v>
      </c>
      <c r="C57" s="37" t="s">
        <v>128</v>
      </c>
      <c r="D57" s="38" t="s">
        <v>521</v>
      </c>
      <c r="E57" s="76"/>
      <c r="F57" s="40" t="s">
        <v>55</v>
      </c>
      <c r="G57" s="34" t="s">
        <v>524</v>
      </c>
      <c r="H57" s="43" t="s">
        <v>41</v>
      </c>
      <c r="I57" s="34" t="s">
        <v>231</v>
      </c>
      <c r="J57" s="39">
        <v>500.0</v>
      </c>
      <c r="K57" s="39">
        <v>500.0</v>
      </c>
      <c r="L57" s="41"/>
      <c r="M57" s="42">
        <v>500.0</v>
      </c>
      <c r="N57" s="42">
        <v>500.0</v>
      </c>
      <c r="O57" s="60">
        <v>5749.0</v>
      </c>
      <c r="P57" s="39">
        <v>500.0</v>
      </c>
      <c r="Q57" s="39">
        <v>500.0</v>
      </c>
      <c r="R57" s="39">
        <v>2250.0</v>
      </c>
      <c r="S57" s="46">
        <v>0.67</v>
      </c>
      <c r="T57" s="50">
        <f>IFERROR(__xludf.DUMMYFUNCTION("((IFERROR(MIN(FILTER({L57, O57, R57}, ISNUMBER({L57, O57, R57}), {L57, O57, R57} &gt; 0)), """"))*S57)+IFERROR(MIN(FILTER({L57, O57, R57}, ISNUMBER({L57, O57, R57}), {L57, O57, R57} &gt; 0)), """")"),3757.5)</f>
        <v>3757.5</v>
      </c>
      <c r="U57" s="50">
        <f>IFERROR(__xludf.DUMMYFUNCTION("(IFERROR(MIN(FILTER({L57, O57, R57}, ISNUMBER({L57, O57, R57}), {L57, O57, R57} &gt; 0)), """")/(1-0.3))"),3214.2857142857147)</f>
        <v>3214.285714</v>
      </c>
      <c r="V57" s="77">
        <f>IFERROR(__xludf.DUMMYFUNCTION("(T57-(IFERROR(MIN(FILTER({L57, O57, R57}, ISNUMBER({L57, O57, R57}), {L57, O57, R57} &gt; 0)), """")))/T57"),0.40119760479041916)</f>
        <v>0.4011976048</v>
      </c>
      <c r="W57" s="78"/>
      <c r="X57" s="79">
        <v>400.0</v>
      </c>
    </row>
    <row r="58" ht="22.5" customHeight="1">
      <c r="A58" s="34" t="s">
        <v>520</v>
      </c>
      <c r="B58" s="34" t="s">
        <v>431</v>
      </c>
      <c r="C58" s="37" t="s">
        <v>128</v>
      </c>
      <c r="D58" s="38" t="s">
        <v>521</v>
      </c>
      <c r="E58" s="76"/>
      <c r="F58" s="40" t="s">
        <v>55</v>
      </c>
      <c r="G58" s="34" t="s">
        <v>527</v>
      </c>
      <c r="H58" s="43" t="s">
        <v>41</v>
      </c>
      <c r="I58" s="34" t="s">
        <v>231</v>
      </c>
      <c r="J58" s="39">
        <v>1000.0</v>
      </c>
      <c r="K58" s="39">
        <v>1000.0</v>
      </c>
      <c r="L58" s="41"/>
      <c r="M58" s="42">
        <v>1000.0</v>
      </c>
      <c r="N58" s="42">
        <v>1000.0</v>
      </c>
      <c r="O58" s="60">
        <v>2913.0</v>
      </c>
      <c r="P58" s="39">
        <v>1000.0</v>
      </c>
      <c r="Q58" s="39">
        <v>1000.0</v>
      </c>
      <c r="R58" s="39">
        <v>4600.0</v>
      </c>
      <c r="S58" s="46">
        <v>0.67</v>
      </c>
      <c r="T58" s="50">
        <f>IFERROR(__xludf.DUMMYFUNCTION("((IFERROR(MIN(FILTER({L58, O58, R58}, ISNUMBER({L58, O58, R58}), {L58, O58, R58} &gt; 0)), """"))*S58)+IFERROR(MIN(FILTER({L58, O58, R58}, ISNUMBER({L58, O58, R58}), {L58, O58, R58} &gt; 0)), """")"),4864.71)</f>
        <v>4864.71</v>
      </c>
      <c r="U58" s="50">
        <f>IFERROR(__xludf.DUMMYFUNCTION("(IFERROR(MIN(FILTER({L58, O58, R58}, ISNUMBER({L58, O58, R58}), {L58, O58, R58} &gt; 0)), """")/(1-0.3))"),4161.428571428572)</f>
        <v>4161.428571</v>
      </c>
      <c r="V58" s="77">
        <f>IFERROR(__xludf.DUMMYFUNCTION("(T58-(IFERROR(MIN(FILTER({L58, O58, R58}, ISNUMBER({L58, O58, R58}), {L58, O58, R58} &gt; 0)), """")))/T58"),0.40119760479041916)</f>
        <v>0.4011976048</v>
      </c>
      <c r="W58" s="78"/>
      <c r="X58" s="79">
        <v>400.0</v>
      </c>
    </row>
    <row r="59" ht="22.5" customHeight="1">
      <c r="A59" s="34" t="s">
        <v>520</v>
      </c>
      <c r="B59" s="34" t="s">
        <v>431</v>
      </c>
      <c r="C59" s="37" t="s">
        <v>128</v>
      </c>
      <c r="D59" s="38" t="s">
        <v>521</v>
      </c>
      <c r="E59" s="76"/>
      <c r="F59" s="40" t="s">
        <v>55</v>
      </c>
      <c r="G59" s="34" t="s">
        <v>529</v>
      </c>
      <c r="H59" s="43" t="s">
        <v>41</v>
      </c>
      <c r="I59" s="34" t="s">
        <v>231</v>
      </c>
      <c r="J59" s="39">
        <v>2000.0</v>
      </c>
      <c r="K59" s="39">
        <v>2000.0</v>
      </c>
      <c r="L59" s="41"/>
      <c r="M59" s="42">
        <v>2000.0</v>
      </c>
      <c r="N59" s="42">
        <v>2000.0</v>
      </c>
      <c r="O59" s="60">
        <v>1718.0</v>
      </c>
      <c r="P59" s="39">
        <v>2000.0</v>
      </c>
      <c r="Q59" s="39">
        <v>2000.0</v>
      </c>
      <c r="R59" s="39">
        <v>4850.0</v>
      </c>
      <c r="S59" s="46">
        <v>0.67</v>
      </c>
      <c r="T59" s="50">
        <f>IFERROR(__xludf.DUMMYFUNCTION("((IFERROR(MIN(FILTER({L59, O59, R59}, ISNUMBER({L59, O59, R59}), {L59, O59, R59} &gt; 0)), """"))*S59)+IFERROR(MIN(FILTER({L59, O59, R59}, ISNUMBER({L59, O59, R59}), {L59, O59, R59} &gt; 0)), """")"),2869.0600000000004)</f>
        <v>2869.06</v>
      </c>
      <c r="U59" s="50">
        <f>IFERROR(__xludf.DUMMYFUNCTION("(IFERROR(MIN(FILTER({L59, O59, R59}, ISNUMBER({L59, O59, R59}), {L59, O59, R59} &gt; 0)), """")/(1-0.3))"),2454.285714285714)</f>
        <v>2454.285714</v>
      </c>
      <c r="V59" s="77">
        <f>IFERROR(__xludf.DUMMYFUNCTION("(T59-(IFERROR(MIN(FILTER({L59, O59, R59}, ISNUMBER({L59, O59, R59}), {L59, O59, R59} &gt; 0)), """")))/T59"),0.40119760479041927)</f>
        <v>0.4011976048</v>
      </c>
      <c r="W59" s="78"/>
      <c r="X59" s="79">
        <v>400.0</v>
      </c>
    </row>
    <row r="60" ht="22.5" customHeight="1">
      <c r="A60" s="34" t="s">
        <v>532</v>
      </c>
      <c r="B60" s="34" t="s">
        <v>534</v>
      </c>
      <c r="C60" s="37" t="s">
        <v>379</v>
      </c>
      <c r="D60" s="38" t="s">
        <v>535</v>
      </c>
      <c r="E60" s="76"/>
      <c r="F60" s="40" t="s">
        <v>55</v>
      </c>
      <c r="G60" s="34" t="s">
        <v>536</v>
      </c>
      <c r="H60" s="43" t="s">
        <v>41</v>
      </c>
      <c r="I60" s="34" t="s">
        <v>537</v>
      </c>
      <c r="J60" s="39">
        <v>10000.0</v>
      </c>
      <c r="K60" s="39">
        <v>10000.0</v>
      </c>
      <c r="L60" s="41"/>
      <c r="M60" s="42">
        <v>10000.0</v>
      </c>
      <c r="N60" s="42">
        <v>10000.0</v>
      </c>
      <c r="O60" s="60">
        <v>1211.0</v>
      </c>
      <c r="P60" s="39">
        <v>10000.0</v>
      </c>
      <c r="Q60" s="39">
        <v>10000.0</v>
      </c>
      <c r="R60" s="41"/>
      <c r="S60" s="46">
        <v>0.67</v>
      </c>
      <c r="T60" s="50">
        <f>IFERROR(__xludf.DUMMYFUNCTION("((IFERROR(MIN(FILTER({L60, O60, R60}, ISNUMBER({L60, O60, R60}), {L60, O60, R60} &gt; 0)), """"))*S60)+IFERROR(MIN(FILTER({L60, O60, R60}, ISNUMBER({L60, O60, R60}), {L60, O60, R60} &gt; 0)), """")"),2022.37)</f>
        <v>2022.37</v>
      </c>
      <c r="U60" s="50">
        <f>IFERROR(__xludf.DUMMYFUNCTION("(IFERROR(MIN(FILTER({L60, O60, R60}, ISNUMBER({L60, O60, R60}), {L60, O60, R60} &gt; 0)), """")/(1-0.3))"),1730.0)</f>
        <v>1730</v>
      </c>
      <c r="V60" s="77">
        <f>IFERROR(__xludf.DUMMYFUNCTION("(T60-(IFERROR(MIN(FILTER({L60, O60, R60}, ISNUMBER({L60, O60, R60}), {L60, O60, R60} &gt; 0)), """")))/T60"),0.4011976047904191)</f>
        <v>0.4011976048</v>
      </c>
      <c r="W60" s="78"/>
      <c r="X60" s="79">
        <v>400.0</v>
      </c>
    </row>
    <row r="61" ht="22.5" customHeight="1">
      <c r="A61" s="34" t="s">
        <v>532</v>
      </c>
      <c r="B61" s="34" t="s">
        <v>534</v>
      </c>
      <c r="C61" s="37" t="s">
        <v>379</v>
      </c>
      <c r="D61" s="38" t="s">
        <v>535</v>
      </c>
      <c r="E61" s="76"/>
      <c r="F61" s="40" t="s">
        <v>55</v>
      </c>
      <c r="G61" s="34" t="s">
        <v>536</v>
      </c>
      <c r="H61" s="43" t="s">
        <v>41</v>
      </c>
      <c r="I61" s="34" t="s">
        <v>547</v>
      </c>
      <c r="J61" s="39">
        <v>20000.0</v>
      </c>
      <c r="K61" s="39">
        <v>20000.0</v>
      </c>
      <c r="L61" s="41"/>
      <c r="M61" s="42">
        <v>20000.0</v>
      </c>
      <c r="N61" s="42">
        <v>20000.0</v>
      </c>
      <c r="O61" s="60">
        <v>994.0</v>
      </c>
      <c r="P61" s="39">
        <v>20000.0</v>
      </c>
      <c r="Q61" s="39">
        <v>20000.0</v>
      </c>
      <c r="R61" s="39">
        <v>4850.0</v>
      </c>
      <c r="S61" s="46">
        <v>0.67</v>
      </c>
      <c r="T61" s="50">
        <f>IFERROR(__xludf.DUMMYFUNCTION("((IFERROR(MIN(FILTER({L61, O61, R61}, ISNUMBER({L61, O61, R61}), {L61, O61, R61} &gt; 0)), """"))*S61)+IFERROR(MIN(FILTER({L61, O61, R61}, ISNUMBER({L61, O61, R61}), {L61, O61, R61} &gt; 0)), """")"),1659.98)</f>
        <v>1659.98</v>
      </c>
      <c r="U61" s="50">
        <f>IFERROR(__xludf.DUMMYFUNCTION("(IFERROR(MIN(FILTER({L61, O61, R61}, ISNUMBER({L61, O61, R61}), {L61, O61, R61} &gt; 0)), """")/(1-0.3))"),1420.0)</f>
        <v>1420</v>
      </c>
      <c r="V61" s="77">
        <f>IFERROR(__xludf.DUMMYFUNCTION("(T61-(IFERROR(MIN(FILTER({L61, O61, R61}, ISNUMBER({L61, O61, R61}), {L61, O61, R61} &gt; 0)), """")))/T61"),0.40119760479041916)</f>
        <v>0.4011976048</v>
      </c>
      <c r="W61" s="78"/>
      <c r="X61" s="79">
        <v>400.0</v>
      </c>
    </row>
    <row r="62" ht="22.5" customHeight="1">
      <c r="A62" s="34" t="s">
        <v>532</v>
      </c>
      <c r="B62" s="34" t="s">
        <v>534</v>
      </c>
      <c r="C62" s="37" t="s">
        <v>379</v>
      </c>
      <c r="D62" s="38" t="s">
        <v>535</v>
      </c>
      <c r="E62" s="76"/>
      <c r="F62" s="40" t="s">
        <v>55</v>
      </c>
      <c r="G62" s="34" t="s">
        <v>536</v>
      </c>
      <c r="H62" s="43" t="s">
        <v>41</v>
      </c>
      <c r="I62" s="34" t="s">
        <v>551</v>
      </c>
      <c r="J62" s="39">
        <v>30000.0</v>
      </c>
      <c r="K62" s="39">
        <v>30000.0</v>
      </c>
      <c r="L62" s="41"/>
      <c r="M62" s="42">
        <v>30000.0</v>
      </c>
      <c r="N62" s="42">
        <v>30000.0</v>
      </c>
      <c r="O62" s="60">
        <v>927.0</v>
      </c>
      <c r="P62" s="39">
        <v>30000.0</v>
      </c>
      <c r="Q62" s="39">
        <v>30000.0</v>
      </c>
      <c r="R62" s="39">
        <v>4350.0</v>
      </c>
      <c r="S62" s="46">
        <v>0.67</v>
      </c>
      <c r="T62" s="50">
        <f>IFERROR(__xludf.DUMMYFUNCTION("((IFERROR(MIN(FILTER({L62, O62, R62}, ISNUMBER({L62, O62, R62}), {L62, O62, R62} &gt; 0)), """"))*S62)+IFERROR(MIN(FILTER({L62, O62, R62}, ISNUMBER({L62, O62, R62}), {L62, O62, R62} &gt; 0)), """")"),1548.0900000000001)</f>
        <v>1548.09</v>
      </c>
      <c r="U62" s="50">
        <f>IFERROR(__xludf.DUMMYFUNCTION("(IFERROR(MIN(FILTER({L62, O62, R62}, ISNUMBER({L62, O62, R62}), {L62, O62, R62} &gt; 0)), """")/(1-0.3))"),1324.2857142857144)</f>
        <v>1324.285714</v>
      </c>
      <c r="V62" s="77">
        <f>IFERROR(__xludf.DUMMYFUNCTION("(T62-(IFERROR(MIN(FILTER({L62, O62, R62}, ISNUMBER({L62, O62, R62}), {L62, O62, R62} &gt; 0)), """")))/T62"),0.4011976047904192)</f>
        <v>0.4011976048</v>
      </c>
      <c r="W62" s="78"/>
      <c r="X62" s="79">
        <v>400.0</v>
      </c>
    </row>
    <row r="63" ht="22.5" customHeight="1">
      <c r="A63" s="34" t="s">
        <v>557</v>
      </c>
      <c r="B63" s="34" t="s">
        <v>559</v>
      </c>
      <c r="C63" s="37" t="s">
        <v>560</v>
      </c>
      <c r="D63" s="38" t="s">
        <v>562</v>
      </c>
      <c r="E63" s="76"/>
      <c r="F63" s="40" t="s">
        <v>63</v>
      </c>
      <c r="G63" s="34" t="s">
        <v>67</v>
      </c>
      <c r="H63" s="43" t="s">
        <v>41</v>
      </c>
      <c r="I63" s="34" t="s">
        <v>563</v>
      </c>
      <c r="J63" s="39">
        <v>250.0</v>
      </c>
      <c r="K63" s="39">
        <v>250.0</v>
      </c>
      <c r="L63" s="41"/>
      <c r="M63" s="42">
        <v>250.0</v>
      </c>
      <c r="N63" s="42">
        <v>250.0</v>
      </c>
      <c r="O63" s="60">
        <v>21833.0</v>
      </c>
      <c r="P63" s="39">
        <v>250.0</v>
      </c>
      <c r="Q63" s="39">
        <v>250.0</v>
      </c>
      <c r="R63" s="39">
        <v>3630.0</v>
      </c>
      <c r="S63" s="46">
        <v>0.67</v>
      </c>
      <c r="T63" s="50">
        <f>IFERROR(__xludf.DUMMYFUNCTION("((IFERROR(MIN(FILTER({L63, O63, R63}, ISNUMBER({L63, O63, R63}), {L63, O63, R63} &gt; 0)), """"))*S63)+IFERROR(MIN(FILTER({L63, O63, R63}, ISNUMBER({L63, O63, R63}), {L63, O63, R63} &gt; 0)), """")"),6062.1)</f>
        <v>6062.1</v>
      </c>
      <c r="U63" s="50">
        <f>IFERROR(__xludf.DUMMYFUNCTION("(IFERROR(MIN(FILTER({L63, O63, R63}, ISNUMBER({L63, O63, R63}), {L63, O63, R63} &gt; 0)), """")/(1-0.3))"),5185.714285714286)</f>
        <v>5185.714286</v>
      </c>
      <c r="V63" s="77">
        <f>IFERROR(__xludf.DUMMYFUNCTION("(T63-(IFERROR(MIN(FILTER({L63, O63, R63}, ISNUMBER({L63, O63, R63}), {L63, O63, R63} &gt; 0)), """")))/T63"),0.4011976047904192)</f>
        <v>0.4011976048</v>
      </c>
      <c r="W63" s="78"/>
      <c r="X63" s="79">
        <v>400.0</v>
      </c>
    </row>
    <row r="64" ht="22.5" customHeight="1">
      <c r="A64" s="34" t="s">
        <v>557</v>
      </c>
      <c r="B64" s="34" t="s">
        <v>559</v>
      </c>
      <c r="C64" s="37" t="s">
        <v>560</v>
      </c>
      <c r="D64" s="38" t="s">
        <v>562</v>
      </c>
      <c r="E64" s="76"/>
      <c r="F64" s="40" t="s">
        <v>63</v>
      </c>
      <c r="G64" s="34" t="s">
        <v>67</v>
      </c>
      <c r="H64" s="43" t="s">
        <v>41</v>
      </c>
      <c r="I64" s="34" t="s">
        <v>563</v>
      </c>
      <c r="J64" s="39">
        <v>500.0</v>
      </c>
      <c r="K64" s="39">
        <v>500.0</v>
      </c>
      <c r="L64" s="41"/>
      <c r="M64" s="42">
        <v>500.0</v>
      </c>
      <c r="N64" s="42">
        <v>500.0</v>
      </c>
      <c r="O64" s="60">
        <v>12183.0</v>
      </c>
      <c r="P64" s="39">
        <v>500.0</v>
      </c>
      <c r="Q64" s="39">
        <v>500.0</v>
      </c>
      <c r="R64" s="39">
        <v>3430.0</v>
      </c>
      <c r="S64" s="46">
        <v>0.67</v>
      </c>
      <c r="T64" s="50">
        <f>IFERROR(__xludf.DUMMYFUNCTION("((IFERROR(MIN(FILTER({L64, O64, R64}, ISNUMBER({L64, O64, R64}), {L64, O64, R64} &gt; 0)), """"))*S64)+IFERROR(MIN(FILTER({L64, O64, R64}, ISNUMBER({L64, O64, R64}), {L64, O64, R64} &gt; 0)), """")"),5728.1)</f>
        <v>5728.1</v>
      </c>
      <c r="U64" s="50">
        <f>IFERROR(__xludf.DUMMYFUNCTION("(IFERROR(MIN(FILTER({L64, O64, R64}, ISNUMBER({L64, O64, R64}), {L64, O64, R64} &gt; 0)), """")/(1-0.3))"),4900.0)</f>
        <v>4900</v>
      </c>
      <c r="V64" s="77">
        <f>IFERROR(__xludf.DUMMYFUNCTION("(T64-(IFERROR(MIN(FILTER({L64, O64, R64}, ISNUMBER({L64, O64, R64}), {L64, O64, R64} &gt; 0)), """")))/T64"),0.4011976047904192)</f>
        <v>0.4011976048</v>
      </c>
      <c r="W64" s="78"/>
      <c r="X64" s="79">
        <v>400.0</v>
      </c>
    </row>
    <row r="65" ht="22.5" customHeight="1">
      <c r="A65" s="34" t="s">
        <v>557</v>
      </c>
      <c r="B65" s="34" t="s">
        <v>559</v>
      </c>
      <c r="C65" s="37" t="s">
        <v>560</v>
      </c>
      <c r="D65" s="38" t="s">
        <v>562</v>
      </c>
      <c r="E65" s="76"/>
      <c r="F65" s="40" t="s">
        <v>63</v>
      </c>
      <c r="G65" s="34" t="s">
        <v>67</v>
      </c>
      <c r="H65" s="43" t="s">
        <v>41</v>
      </c>
      <c r="I65" s="34" t="s">
        <v>563</v>
      </c>
      <c r="J65" s="39">
        <v>1000.0</v>
      </c>
      <c r="K65" s="39">
        <v>1000.0</v>
      </c>
      <c r="L65" s="41"/>
      <c r="M65" s="42">
        <v>1000.0</v>
      </c>
      <c r="N65" s="42">
        <v>1000.0</v>
      </c>
      <c r="O65" s="60">
        <v>7867.0</v>
      </c>
      <c r="P65" s="39">
        <v>1000.0</v>
      </c>
      <c r="Q65" s="39">
        <v>1000.0</v>
      </c>
      <c r="R65" s="39">
        <v>4300.0</v>
      </c>
      <c r="S65" s="46">
        <v>0.67</v>
      </c>
      <c r="T65" s="50">
        <f>IFERROR(__xludf.DUMMYFUNCTION("((IFERROR(MIN(FILTER({L65, O65, R65}, ISNUMBER({L65, O65, R65}), {L65, O65, R65} &gt; 0)), """"))*S65)+IFERROR(MIN(FILTER({L65, O65, R65}, ISNUMBER({L65, O65, R65}), {L65, O65, R65} &gt; 0)), """")"),7181.0)</f>
        <v>7181</v>
      </c>
      <c r="U65" s="50">
        <f>IFERROR(__xludf.DUMMYFUNCTION("(IFERROR(MIN(FILTER({L65, O65, R65}, ISNUMBER({L65, O65, R65}), {L65, O65, R65} &gt; 0)), """")/(1-0.3))"),6142.857142857143)</f>
        <v>6142.857143</v>
      </c>
      <c r="V65" s="77">
        <f>IFERROR(__xludf.DUMMYFUNCTION("(T65-(IFERROR(MIN(FILTER({L65, O65, R65}, ISNUMBER({L65, O65, R65}), {L65, O65, R65} &gt; 0)), """")))/T65"),0.40119760479041916)</f>
        <v>0.4011976048</v>
      </c>
      <c r="W65" s="78"/>
      <c r="X65" s="79">
        <v>400.0</v>
      </c>
    </row>
    <row r="66" ht="22.5" customHeight="1">
      <c r="A66" s="34" t="s">
        <v>557</v>
      </c>
      <c r="B66" s="34" t="s">
        <v>590</v>
      </c>
      <c r="C66" s="37" t="s">
        <v>560</v>
      </c>
      <c r="D66" s="38" t="s">
        <v>591</v>
      </c>
      <c r="E66" s="76"/>
      <c r="F66" s="40" t="s">
        <v>63</v>
      </c>
      <c r="G66" s="34" t="s">
        <v>67</v>
      </c>
      <c r="H66" s="43" t="s">
        <v>41</v>
      </c>
      <c r="I66" s="34" t="s">
        <v>563</v>
      </c>
      <c r="J66" s="39">
        <v>250.0</v>
      </c>
      <c r="K66" s="39">
        <v>250.0</v>
      </c>
      <c r="L66" s="41"/>
      <c r="M66" s="42">
        <v>250.0</v>
      </c>
      <c r="N66" s="42">
        <v>250.0</v>
      </c>
      <c r="O66" s="60">
        <v>12669.0</v>
      </c>
      <c r="P66" s="39">
        <v>250.0</v>
      </c>
      <c r="Q66" s="39">
        <v>250.0</v>
      </c>
      <c r="R66" s="39">
        <v>4000.0</v>
      </c>
      <c r="S66" s="46">
        <v>0.67</v>
      </c>
      <c r="T66" s="50">
        <f>IFERROR(__xludf.DUMMYFUNCTION("((IFERROR(MIN(FILTER({L66, O66, R66}, ISNUMBER({L66, O66, R66}), {L66, O66, R66} &gt; 0)), """"))*S66)+IFERROR(MIN(FILTER({L66, O66, R66}, ISNUMBER({L66, O66, R66}), {L66, O66, R66} &gt; 0)), """")"),6680.0)</f>
        <v>6680</v>
      </c>
      <c r="U66" s="50">
        <f>IFERROR(__xludf.DUMMYFUNCTION("(IFERROR(MIN(FILTER({L66, O66, R66}, ISNUMBER({L66, O66, R66}), {L66, O66, R66} &gt; 0)), """")/(1-0.3))"),5714.285714285715)</f>
        <v>5714.285714</v>
      </c>
      <c r="V66" s="77">
        <f>IFERROR(__xludf.DUMMYFUNCTION("(T66-(IFERROR(MIN(FILTER({L66, O66, R66}, ISNUMBER({L66, O66, R66}), {L66, O66, R66} &gt; 0)), """")))/T66"),0.40119760479041916)</f>
        <v>0.4011976048</v>
      </c>
      <c r="W66" s="78"/>
      <c r="X66" s="79">
        <v>400.0</v>
      </c>
    </row>
    <row r="67" ht="22.5" customHeight="1">
      <c r="A67" s="34" t="s">
        <v>557</v>
      </c>
      <c r="B67" s="34" t="s">
        <v>590</v>
      </c>
      <c r="C67" s="37" t="s">
        <v>560</v>
      </c>
      <c r="D67" s="38" t="s">
        <v>591</v>
      </c>
      <c r="E67" s="76"/>
      <c r="F67" s="40" t="s">
        <v>63</v>
      </c>
      <c r="G67" s="34" t="s">
        <v>67</v>
      </c>
      <c r="H67" s="43" t="s">
        <v>41</v>
      </c>
      <c r="I67" s="34" t="s">
        <v>563</v>
      </c>
      <c r="J67" s="39">
        <v>500.0</v>
      </c>
      <c r="K67" s="39">
        <v>500.0</v>
      </c>
      <c r="L67" s="41"/>
      <c r="M67" s="42">
        <v>500.0</v>
      </c>
      <c r="N67" s="42">
        <v>500.0</v>
      </c>
      <c r="O67" s="60">
        <v>6506.0</v>
      </c>
      <c r="P67" s="39">
        <v>500.0</v>
      </c>
      <c r="Q67" s="39">
        <v>500.0</v>
      </c>
      <c r="R67" s="39">
        <v>5000.0</v>
      </c>
      <c r="S67" s="46">
        <v>0.67</v>
      </c>
      <c r="T67" s="50">
        <f>IFERROR(__xludf.DUMMYFUNCTION("((IFERROR(MIN(FILTER({L67, O67, R67}, ISNUMBER({L67, O67, R67}), {L67, O67, R67} &gt; 0)), """"))*S67)+IFERROR(MIN(FILTER({L67, O67, R67}, ISNUMBER({L67, O67, R67}), {L67, O67, R67} &gt; 0)), """")"),8350.0)</f>
        <v>8350</v>
      </c>
      <c r="U67" s="50">
        <f>IFERROR(__xludf.DUMMYFUNCTION("(IFERROR(MIN(FILTER({L67, O67, R67}, ISNUMBER({L67, O67, R67}), {L67, O67, R67} &gt; 0)), """")/(1-0.3))"),7142.857142857143)</f>
        <v>7142.857143</v>
      </c>
      <c r="V67" s="77">
        <f>IFERROR(__xludf.DUMMYFUNCTION("(T67-(IFERROR(MIN(FILTER({L67, O67, R67}, ISNUMBER({L67, O67, R67}), {L67, O67, R67} &gt; 0)), """")))/T67"),0.40119760479041916)</f>
        <v>0.4011976048</v>
      </c>
      <c r="W67" s="78"/>
      <c r="X67" s="79">
        <v>400.0</v>
      </c>
    </row>
    <row r="68" ht="22.5" customHeight="1">
      <c r="A68" s="34" t="s">
        <v>557</v>
      </c>
      <c r="B68" s="34" t="s">
        <v>590</v>
      </c>
      <c r="C68" s="37" t="s">
        <v>560</v>
      </c>
      <c r="D68" s="38" t="s">
        <v>591</v>
      </c>
      <c r="E68" s="76"/>
      <c r="F68" s="40" t="s">
        <v>63</v>
      </c>
      <c r="G68" s="34" t="s">
        <v>67</v>
      </c>
      <c r="H68" s="43" t="s">
        <v>41</v>
      </c>
      <c r="I68" s="34" t="s">
        <v>563</v>
      </c>
      <c r="J68" s="39">
        <v>1000.0</v>
      </c>
      <c r="K68" s="39">
        <v>1000.0</v>
      </c>
      <c r="L68" s="41"/>
      <c r="M68" s="42">
        <v>1000.0</v>
      </c>
      <c r="N68" s="42">
        <v>1000.0</v>
      </c>
      <c r="O68" s="60">
        <v>3436.0</v>
      </c>
      <c r="P68" s="39">
        <v>1000.0</v>
      </c>
      <c r="Q68" s="39">
        <v>1000.0</v>
      </c>
      <c r="R68" s="39">
        <v>47000.0</v>
      </c>
      <c r="S68" s="46">
        <v>0.67</v>
      </c>
      <c r="T68" s="50">
        <f>IFERROR(__xludf.DUMMYFUNCTION("((IFERROR(MIN(FILTER({L68, O68, R68}, ISNUMBER({L68, O68, R68}), {L68, O68, R68} &gt; 0)), """"))*S68)+IFERROR(MIN(FILTER({L68, O68, R68}, ISNUMBER({L68, O68, R68}), {L68, O68, R68} &gt; 0)), """")"),5738.120000000001)</f>
        <v>5738.12</v>
      </c>
      <c r="U68" s="50">
        <f>IFERROR(__xludf.DUMMYFUNCTION("(IFERROR(MIN(FILTER({L68, O68, R68}, ISNUMBER({L68, O68, R68}), {L68, O68, R68} &gt; 0)), """")/(1-0.3))"),4908.571428571428)</f>
        <v>4908.571429</v>
      </c>
      <c r="V68" s="77">
        <f>IFERROR(__xludf.DUMMYFUNCTION("(T68-(IFERROR(MIN(FILTER({L68, O68, R68}, ISNUMBER({L68, O68, R68}), {L68, O68, R68} &gt; 0)), """")))/T68"),0.40119760479041927)</f>
        <v>0.4011976048</v>
      </c>
      <c r="W68" s="78"/>
      <c r="X68" s="79">
        <v>400.0</v>
      </c>
    </row>
    <row r="69" ht="22.5" customHeight="1">
      <c r="A69" s="34" t="s">
        <v>611</v>
      </c>
      <c r="B69" s="34" t="s">
        <v>612</v>
      </c>
      <c r="C69" s="37" t="s">
        <v>87</v>
      </c>
      <c r="D69" s="38" t="s">
        <v>613</v>
      </c>
      <c r="E69" s="76"/>
      <c r="F69" s="40" t="s">
        <v>36</v>
      </c>
      <c r="G69" s="34" t="s">
        <v>614</v>
      </c>
      <c r="H69" s="43" t="s">
        <v>41</v>
      </c>
      <c r="I69" s="34" t="s">
        <v>616</v>
      </c>
      <c r="J69" s="39">
        <v>50000.0</v>
      </c>
      <c r="K69" s="39">
        <v>50000.0</v>
      </c>
      <c r="L69" s="39">
        <v>375.0</v>
      </c>
      <c r="M69" s="42">
        <v>50000.0</v>
      </c>
      <c r="N69" s="42">
        <v>50000.0</v>
      </c>
      <c r="O69" s="42"/>
      <c r="P69" s="39">
        <v>50000.0</v>
      </c>
      <c r="Q69" s="39">
        <v>50000.0</v>
      </c>
      <c r="R69" s="39"/>
      <c r="S69" s="46">
        <v>0.67</v>
      </c>
      <c r="T69" s="50">
        <f>IFERROR(__xludf.DUMMYFUNCTION("((IFERROR(MIN(FILTER({L69, O69, R69}, ISNUMBER({L69, O69, R69}), {L69, O69, R69} &gt; 0)), """"))*S69)+IFERROR(MIN(FILTER({L69, O69, R69}, ISNUMBER({L69, O69, R69}), {L69, O69, R69} &gt; 0)), """")"),626.25)</f>
        <v>626.25</v>
      </c>
      <c r="U69" s="50"/>
      <c r="V69" s="77">
        <f>IFERROR(__xludf.DUMMYFUNCTION("(T69-(IFERROR(MIN(FILTER({L69, O69, R69}, ISNUMBER({L69, O69, R69}), {L69, O69, R69} &gt; 0)), """")))/T69"),0.40119760479041916)</f>
        <v>0.4011976048</v>
      </c>
      <c r="W69" s="78"/>
      <c r="X69" s="79">
        <v>400.0</v>
      </c>
    </row>
    <row r="70" ht="22.5" customHeight="1">
      <c r="A70" s="34" t="s">
        <v>611</v>
      </c>
      <c r="B70" s="34" t="s">
        <v>612</v>
      </c>
      <c r="C70" s="37" t="s">
        <v>619</v>
      </c>
      <c r="D70" s="38" t="s">
        <v>613</v>
      </c>
      <c r="E70" s="76"/>
      <c r="F70" s="40" t="s">
        <v>36</v>
      </c>
      <c r="G70" s="34" t="s">
        <v>614</v>
      </c>
      <c r="H70" s="43" t="s">
        <v>41</v>
      </c>
      <c r="I70" s="34" t="s">
        <v>620</v>
      </c>
      <c r="J70" s="39">
        <v>50000.0</v>
      </c>
      <c r="K70" s="39">
        <v>50000.0</v>
      </c>
      <c r="L70" s="41"/>
      <c r="M70" s="42">
        <v>50000.0</v>
      </c>
      <c r="N70" s="42">
        <v>50000.0</v>
      </c>
      <c r="O70" s="42"/>
      <c r="P70" s="39">
        <v>50000.0</v>
      </c>
      <c r="Q70" s="39">
        <v>50000.0</v>
      </c>
      <c r="R70" s="39">
        <v>510.0</v>
      </c>
      <c r="S70" s="46">
        <v>0.67</v>
      </c>
      <c r="T70" s="50">
        <f>IFERROR(__xludf.DUMMYFUNCTION("((IFERROR(MIN(FILTER({L70, O70, R70}, ISNUMBER({L70, O70, R70}), {L70, O70, R70} &gt; 0)), """"))*S70)+IFERROR(MIN(FILTER({L70, O70, R70}, ISNUMBER({L70, O70, R70}), {L70, O70, R70} &gt; 0)), """")"),851.7)</f>
        <v>851.7</v>
      </c>
      <c r="U70" s="50"/>
      <c r="V70" s="77">
        <f>IFERROR(__xludf.DUMMYFUNCTION("(T70-(IFERROR(MIN(FILTER({L70, O70, R70}, ISNUMBER({L70, O70, R70}), {L70, O70, R70} &gt; 0)), """")))/T70"),0.4011976047904192)</f>
        <v>0.4011976048</v>
      </c>
      <c r="W70" s="78"/>
      <c r="X70" s="79">
        <v>400.0</v>
      </c>
    </row>
    <row r="71" ht="22.5" customHeight="1">
      <c r="A71" s="34" t="s">
        <v>611</v>
      </c>
      <c r="B71" s="34" t="s">
        <v>612</v>
      </c>
      <c r="C71" s="37" t="s">
        <v>619</v>
      </c>
      <c r="D71" s="38" t="s">
        <v>613</v>
      </c>
      <c r="E71" s="76"/>
      <c r="F71" s="40" t="s">
        <v>36</v>
      </c>
      <c r="G71" s="34" t="s">
        <v>614</v>
      </c>
      <c r="H71" s="43" t="s">
        <v>41</v>
      </c>
      <c r="I71" s="34" t="s">
        <v>620</v>
      </c>
      <c r="J71" s="39">
        <v>100000.0</v>
      </c>
      <c r="K71" s="39">
        <v>100000.0</v>
      </c>
      <c r="L71" s="41"/>
      <c r="M71" s="42">
        <v>100000.0</v>
      </c>
      <c r="N71" s="42">
        <v>100000.0</v>
      </c>
      <c r="O71" s="42"/>
      <c r="P71" s="39">
        <v>100000.0</v>
      </c>
      <c r="Q71" s="39">
        <v>100000.0</v>
      </c>
      <c r="R71" s="39">
        <v>470.0</v>
      </c>
      <c r="S71" s="46">
        <v>0.67</v>
      </c>
      <c r="T71" s="50">
        <f>IFERROR(__xludf.DUMMYFUNCTION("((IFERROR(MIN(FILTER({L71, O71, R71}, ISNUMBER({L71, O71, R71}), {L71, O71, R71} &gt; 0)), """"))*S71)+IFERROR(MIN(FILTER({L71, O71, R71}, ISNUMBER({L71, O71, R71}), {L71, O71, R71} &gt; 0)), """")"),784.9000000000001)</f>
        <v>784.9</v>
      </c>
      <c r="U71" s="50"/>
      <c r="V71" s="77">
        <f>IFERROR(__xludf.DUMMYFUNCTION("(T71-(IFERROR(MIN(FILTER({L71, O71, R71}, ISNUMBER({L71, O71, R71}), {L71, O71, R71} &gt; 0)), """")))/T71"),0.4011976047904192)</f>
        <v>0.4011976048</v>
      </c>
      <c r="W71" s="78"/>
      <c r="X71" s="79">
        <v>400.0</v>
      </c>
    </row>
    <row r="72" ht="22.5" customHeight="1">
      <c r="A72" s="34" t="s">
        <v>557</v>
      </c>
      <c r="B72" s="34" t="s">
        <v>625</v>
      </c>
      <c r="C72" s="37" t="s">
        <v>560</v>
      </c>
      <c r="D72" s="38" t="s">
        <v>626</v>
      </c>
      <c r="E72" s="98" t="s">
        <v>627</v>
      </c>
      <c r="F72" s="99" t="s">
        <v>63</v>
      </c>
      <c r="G72" s="100" t="s">
        <v>67</v>
      </c>
      <c r="H72" s="43" t="s">
        <v>41</v>
      </c>
      <c r="I72" s="34" t="s">
        <v>628</v>
      </c>
      <c r="J72" s="39">
        <v>100.0</v>
      </c>
      <c r="K72" s="39">
        <v>100.0</v>
      </c>
      <c r="L72" s="41"/>
      <c r="M72" s="42">
        <v>100.0</v>
      </c>
      <c r="N72" s="42">
        <v>100.0</v>
      </c>
      <c r="O72" s="42">
        <v>61534.0</v>
      </c>
      <c r="P72" s="39">
        <v>100.0</v>
      </c>
      <c r="Q72" s="39">
        <v>100.0</v>
      </c>
      <c r="R72" s="39"/>
      <c r="S72" s="46">
        <v>0.67</v>
      </c>
      <c r="T72" s="50">
        <f>IFERROR(__xludf.DUMMYFUNCTION("((IFERROR(MIN(FILTER({L72, O72, R72}, ISNUMBER({L72, O72, R72}), {L72, O72, R72} &gt; 0)), """"))*S72)+IFERROR(MIN(FILTER({L72, O72, R72}, ISNUMBER({L72, O72, R72}), {L72, O72, R72} &gt; 0)), """")"),102761.78)</f>
        <v>102761.78</v>
      </c>
      <c r="U72" s="50"/>
      <c r="V72" s="77">
        <f>IFERROR(__xludf.DUMMYFUNCTION("(T72-(IFERROR(MIN(FILTER({L72, O72, R72}, ISNUMBER({L72, O72, R72}), {L72, O72, R72} &gt; 0)), """")))/T72"),0.40119760479041916)</f>
        <v>0.4011976048</v>
      </c>
      <c r="W72" s="78"/>
      <c r="X72" s="79">
        <v>400.0</v>
      </c>
    </row>
    <row r="73" ht="22.5" customHeight="1">
      <c r="A73" s="34" t="s">
        <v>557</v>
      </c>
      <c r="B73" s="34" t="s">
        <v>625</v>
      </c>
      <c r="C73" s="37" t="s">
        <v>560</v>
      </c>
      <c r="D73" s="38" t="s">
        <v>626</v>
      </c>
      <c r="E73" s="101" t="s">
        <v>627</v>
      </c>
      <c r="F73" s="99" t="s">
        <v>63</v>
      </c>
      <c r="G73" s="100" t="s">
        <v>67</v>
      </c>
      <c r="H73" s="43" t="s">
        <v>41</v>
      </c>
      <c r="I73" s="34" t="s">
        <v>628</v>
      </c>
      <c r="J73" s="39">
        <v>200.0</v>
      </c>
      <c r="K73" s="39">
        <v>200.0</v>
      </c>
      <c r="L73" s="41"/>
      <c r="M73" s="42">
        <v>200.0</v>
      </c>
      <c r="N73" s="42">
        <v>200.0</v>
      </c>
      <c r="O73" s="42">
        <v>33438.0</v>
      </c>
      <c r="P73" s="39">
        <v>200.0</v>
      </c>
      <c r="Q73" s="39">
        <v>200.0</v>
      </c>
      <c r="R73" s="39"/>
      <c r="S73" s="46">
        <v>0.67</v>
      </c>
      <c r="T73" s="50">
        <f>IFERROR(__xludf.DUMMYFUNCTION("((IFERROR(MIN(FILTER({L73, O73, R73}, ISNUMBER({L73, O73, R73}), {L73, O73, R73} &gt; 0)), """"))*S73)+IFERROR(MIN(FILTER({L73, O73, R73}, ISNUMBER({L73, O73, R73}), {L73, O73, R73} &gt; 0)), """")"),55841.46000000001)</f>
        <v>55841.46</v>
      </c>
      <c r="U73" s="50"/>
      <c r="V73" s="77">
        <f>IFERROR(__xludf.DUMMYFUNCTION("(T73-(IFERROR(MIN(FILTER({L73, O73, R73}, ISNUMBER({L73, O73, R73}), {L73, O73, R73} &gt; 0)), """")))/T73"),0.4011976047904192)</f>
        <v>0.4011976048</v>
      </c>
      <c r="W73" s="78"/>
      <c r="X73" s="79">
        <v>400.0</v>
      </c>
    </row>
    <row r="74" ht="22.5" customHeight="1">
      <c r="A74" s="34" t="s">
        <v>611</v>
      </c>
      <c r="B74" s="34" t="s">
        <v>612</v>
      </c>
      <c r="C74" s="37" t="s">
        <v>619</v>
      </c>
      <c r="D74" s="38" t="s">
        <v>613</v>
      </c>
      <c r="E74" s="76"/>
      <c r="F74" s="99" t="s">
        <v>36</v>
      </c>
      <c r="G74" s="100" t="s">
        <v>614</v>
      </c>
      <c r="H74" s="43" t="s">
        <v>41</v>
      </c>
      <c r="I74" s="34" t="s">
        <v>620</v>
      </c>
      <c r="J74" s="39">
        <v>50000.0</v>
      </c>
      <c r="K74" s="39">
        <v>50000.0</v>
      </c>
      <c r="L74" s="41"/>
      <c r="M74" s="42">
        <v>50000.0</v>
      </c>
      <c r="N74" s="42">
        <v>50000.0</v>
      </c>
      <c r="O74" s="42">
        <v>439.0</v>
      </c>
      <c r="P74" s="39">
        <v>50000.0</v>
      </c>
      <c r="Q74" s="39">
        <v>50000.0</v>
      </c>
      <c r="R74" s="39"/>
      <c r="S74" s="46">
        <v>0.67</v>
      </c>
      <c r="T74" s="50">
        <f>IFERROR(__xludf.DUMMYFUNCTION("((IFERROR(MIN(FILTER({L74, O74, R74}, ISNUMBER({L74, O74, R74}), {L74, O74, R74} &gt; 0)), """"))*S74)+IFERROR(MIN(FILTER({L74, O74, R74}, ISNUMBER({L74, O74, R74}), {L74, O74, R74} &gt; 0)), """")"),733.13)</f>
        <v>733.13</v>
      </c>
      <c r="U74" s="50"/>
      <c r="V74" s="77">
        <f>IFERROR(__xludf.DUMMYFUNCTION("(T74-(IFERROR(MIN(FILTER({L74, O74, R74}, ISNUMBER({L74, O74, R74}), {L74, O74, R74} &gt; 0)), """")))/T74"),0.40119760479041916)</f>
        <v>0.4011976048</v>
      </c>
      <c r="W74" s="78"/>
      <c r="X74" s="79">
        <v>400.0</v>
      </c>
    </row>
    <row r="75" ht="22.5" customHeight="1">
      <c r="A75" s="34" t="s">
        <v>611</v>
      </c>
      <c r="B75" s="34" t="s">
        <v>612</v>
      </c>
      <c r="C75" s="37" t="s">
        <v>619</v>
      </c>
      <c r="D75" s="38" t="s">
        <v>613</v>
      </c>
      <c r="E75" s="76"/>
      <c r="F75" s="99" t="s">
        <v>36</v>
      </c>
      <c r="G75" s="100" t="s">
        <v>614</v>
      </c>
      <c r="H75" s="43" t="s">
        <v>41</v>
      </c>
      <c r="I75" s="34" t="s">
        <v>620</v>
      </c>
      <c r="J75" s="39">
        <v>100000.0</v>
      </c>
      <c r="K75" s="39">
        <v>100000.0</v>
      </c>
      <c r="L75" s="41"/>
      <c r="M75" s="42">
        <v>100000.0</v>
      </c>
      <c r="N75" s="42">
        <v>100000.0</v>
      </c>
      <c r="O75" s="42">
        <v>411.0</v>
      </c>
      <c r="P75" s="39">
        <v>100000.0</v>
      </c>
      <c r="Q75" s="39">
        <v>100000.0</v>
      </c>
      <c r="R75" s="39"/>
      <c r="S75" s="46">
        <v>0.67</v>
      </c>
      <c r="T75" s="50">
        <f>IFERROR(__xludf.DUMMYFUNCTION("((IFERROR(MIN(FILTER({L75, O75, R75}, ISNUMBER({L75, O75, R75}), {L75, O75, R75} &gt; 0)), """"))*S75)+IFERROR(MIN(FILTER({L75, O75, R75}, ISNUMBER({L75, O75, R75}), {L75, O75, R75} &gt; 0)), """")"),686.37)</f>
        <v>686.37</v>
      </c>
      <c r="U75" s="50"/>
      <c r="V75" s="77">
        <f>IFERROR(__xludf.DUMMYFUNCTION("(T75-(IFERROR(MIN(FILTER({L75, O75, R75}, ISNUMBER({L75, O75, R75}), {L75, O75, R75} &gt; 0)), """")))/T75"),0.40119760479041916)</f>
        <v>0.4011976048</v>
      </c>
      <c r="W75" s="78"/>
      <c r="X75" s="79">
        <v>400.0</v>
      </c>
    </row>
    <row r="76" ht="22.5" customHeight="1">
      <c r="A76" s="34"/>
      <c r="B76" s="34"/>
      <c r="C76" s="37"/>
      <c r="D76" s="38"/>
      <c r="E76" s="76"/>
      <c r="F76" s="40"/>
      <c r="G76" s="34"/>
      <c r="H76" s="43" t="s">
        <v>41</v>
      </c>
      <c r="I76" s="34"/>
      <c r="J76" s="41" t="s">
        <v>261</v>
      </c>
      <c r="K76" s="41" t="s">
        <v>261</v>
      </c>
      <c r="L76" s="41"/>
      <c r="M76" s="42"/>
      <c r="N76" s="42"/>
      <c r="O76" s="60"/>
      <c r="P76" s="41"/>
      <c r="Q76" s="39"/>
      <c r="R76" s="39"/>
      <c r="S76" s="46">
        <v>0.67</v>
      </c>
      <c r="T76" s="50">
        <f>IFERROR(__xludf.DUMMYFUNCTION("((IFERROR(MIN(FILTER({L76, O76, R76}, ISNUMBER({L76, O76, R76}), {L76, O76, R76} &gt; 0)), """"))*S76)+IFERROR(MIN(FILTER({L76, O76, R76}, ISNUMBER({L76, O76, R76}), {L76, O76, R76} &gt; 0)), """")"),0.0)</f>
        <v>0</v>
      </c>
      <c r="U76" s="50"/>
      <c r="V76" s="77" t="str">
        <f>IFERROR(__xludf.DUMMYFUNCTION("(T76-(IFERROR(MIN(FILTER({L76, O76, R76}, ISNUMBER({L76, O76, R76}), {L76, O76, R76} &gt; 0)), """")))/T76"),"#DIV/0!")</f>
        <v>#DIV/0!</v>
      </c>
      <c r="W76" s="78"/>
      <c r="X76" s="79">
        <v>400.0</v>
      </c>
    </row>
    <row r="77" ht="22.5" customHeight="1">
      <c r="A77" s="34"/>
      <c r="B77" s="34"/>
      <c r="C77" s="37"/>
      <c r="D77" s="38"/>
      <c r="E77" s="76"/>
      <c r="F77" s="40"/>
      <c r="G77" s="34"/>
      <c r="H77" s="43" t="s">
        <v>41</v>
      </c>
      <c r="I77" s="34"/>
      <c r="J77" s="41" t="s">
        <v>261</v>
      </c>
      <c r="K77" s="41" t="s">
        <v>261</v>
      </c>
      <c r="L77" s="41"/>
      <c r="M77" s="42"/>
      <c r="N77" s="42"/>
      <c r="O77" s="60"/>
      <c r="P77" s="41"/>
      <c r="Q77" s="39"/>
      <c r="R77" s="39"/>
      <c r="S77" s="46">
        <v>0.67</v>
      </c>
      <c r="T77" s="50">
        <f>IFERROR(__xludf.DUMMYFUNCTION("((IFERROR(MIN(FILTER({L77, O77, R77}, ISNUMBER({L77, O77, R77}), {L77, O77, R77} &gt; 0)), """"))*S77)+IFERROR(MIN(FILTER({L77, O77, R77}, ISNUMBER({L77, O77, R77}), {L77, O77, R77} &gt; 0)), """")"),0.0)</f>
        <v>0</v>
      </c>
      <c r="U77" s="50"/>
      <c r="V77" s="77" t="str">
        <f>IFERROR(__xludf.DUMMYFUNCTION("(T77-(IFERROR(MIN(FILTER({L77, O77, R77}, ISNUMBER({L77, O77, R77}), {L77, O77, R77} &gt; 0)), """")))/T77"),"#DIV/0!")</f>
        <v>#DIV/0!</v>
      </c>
      <c r="W77" s="78"/>
      <c r="X77" s="79">
        <v>400.0</v>
      </c>
    </row>
    <row r="78" ht="22.5" customHeight="1">
      <c r="A78" s="34"/>
      <c r="B78" s="34"/>
      <c r="C78" s="37"/>
      <c r="D78" s="38"/>
      <c r="E78" s="76"/>
      <c r="F78" s="40"/>
      <c r="G78" s="34"/>
      <c r="H78" s="43" t="s">
        <v>41</v>
      </c>
      <c r="I78" s="34"/>
      <c r="J78" s="41" t="s">
        <v>261</v>
      </c>
      <c r="K78" s="41" t="s">
        <v>261</v>
      </c>
      <c r="L78" s="41"/>
      <c r="M78" s="42"/>
      <c r="N78" s="42"/>
      <c r="O78" s="42"/>
      <c r="P78" s="41"/>
      <c r="Q78" s="39"/>
      <c r="R78" s="41"/>
      <c r="S78" s="46">
        <v>0.67</v>
      </c>
      <c r="T78" s="50">
        <f>IFERROR(__xludf.DUMMYFUNCTION("((IFERROR(MIN(FILTER({L78, O78, R78}, ISNUMBER({L78, O78, R78}), {L78, O78, R78} &gt; 0)), """"))*S78)+IFERROR(MIN(FILTER({L78, O78, R78}, ISNUMBER({L78, O78, R78}), {L78, O78, R78} &gt; 0)), """")"),0.0)</f>
        <v>0</v>
      </c>
      <c r="U78" s="50"/>
      <c r="V78" s="77" t="str">
        <f>IFERROR(__xludf.DUMMYFUNCTION("(T78-(IFERROR(MIN(FILTER({L78, O78, R78}, ISNUMBER({L78, O78, R78}), {L78, O78, R78} &gt; 0)), """")))/T78"),"#DIV/0!")</f>
        <v>#DIV/0!</v>
      </c>
      <c r="W78" s="78"/>
      <c r="X78" s="79">
        <v>400.0</v>
      </c>
    </row>
    <row r="79" ht="22.5" customHeight="1">
      <c r="A79" s="34"/>
      <c r="B79" s="34"/>
      <c r="C79" s="37"/>
      <c r="D79" s="38"/>
      <c r="E79" s="76"/>
      <c r="F79" s="40"/>
      <c r="G79" s="34"/>
      <c r="H79" s="43" t="s">
        <v>41</v>
      </c>
      <c r="I79" s="34"/>
      <c r="J79" s="41" t="s">
        <v>261</v>
      </c>
      <c r="K79" s="41" t="s">
        <v>261</v>
      </c>
      <c r="L79" s="41"/>
      <c r="M79" s="42"/>
      <c r="N79" s="42"/>
      <c r="O79" s="60"/>
      <c r="P79" s="41"/>
      <c r="Q79" s="39"/>
      <c r="R79" s="41"/>
      <c r="S79" s="46">
        <v>0.67</v>
      </c>
      <c r="T79" s="50">
        <f>IFERROR(__xludf.DUMMYFUNCTION("((IFERROR(MIN(FILTER({L79, O79, R79}, ISNUMBER({L79, O79, R79}), {L79, O79, R79} &gt; 0)), """"))*S79)+IFERROR(MIN(FILTER({L79, O79, R79}, ISNUMBER({L79, O79, R79}), {L79, O79, R79} &gt; 0)), """")"),0.0)</f>
        <v>0</v>
      </c>
      <c r="U79" s="50"/>
      <c r="V79" s="77" t="str">
        <f>IFERROR(__xludf.DUMMYFUNCTION("(T79-(IFERROR(MIN(FILTER({L79, O79, R79}, ISNUMBER({L79, O79, R79}), {L79, O79, R79} &gt; 0)), """")))/T79"),"#DIV/0!")</f>
        <v>#DIV/0!</v>
      </c>
      <c r="W79" s="78"/>
      <c r="X79" s="79">
        <v>400.0</v>
      </c>
    </row>
    <row r="80" ht="22.5" customHeight="1">
      <c r="A80" s="34"/>
      <c r="B80" s="34"/>
      <c r="C80" s="37"/>
      <c r="D80" s="38"/>
      <c r="E80" s="76"/>
      <c r="F80" s="40"/>
      <c r="G80" s="34"/>
      <c r="H80" s="43" t="s">
        <v>41</v>
      </c>
      <c r="I80" s="34"/>
      <c r="J80" s="41" t="s">
        <v>261</v>
      </c>
      <c r="K80" s="41" t="s">
        <v>261</v>
      </c>
      <c r="L80" s="41"/>
      <c r="M80" s="42"/>
      <c r="N80" s="42"/>
      <c r="O80" s="60"/>
      <c r="P80" s="41"/>
      <c r="Q80" s="39"/>
      <c r="R80" s="41"/>
      <c r="S80" s="46">
        <v>0.67</v>
      </c>
      <c r="T80" s="50">
        <f>IFERROR(__xludf.DUMMYFUNCTION("((IFERROR(MIN(FILTER({L80, O80, R80}, ISNUMBER({L80, O80, R80}), {L80, O80, R80} &gt; 0)), """"))*S80)+IFERROR(MIN(FILTER({L80, O80, R80}, ISNUMBER({L80, O80, R80}), {L80, O80, R80} &gt; 0)), """")"),0.0)</f>
        <v>0</v>
      </c>
      <c r="U80" s="50"/>
      <c r="V80" s="77" t="str">
        <f>IFERROR(__xludf.DUMMYFUNCTION("(T80-(IFERROR(MIN(FILTER({L80, O80, R80}, ISNUMBER({L80, O80, R80}), {L80, O80, R80} &gt; 0)), """")))/T80"),"#DIV/0!")</f>
        <v>#DIV/0!</v>
      </c>
      <c r="W80" s="78"/>
      <c r="X80" s="79">
        <v>400.0</v>
      </c>
    </row>
    <row r="81" ht="22.5" customHeight="1">
      <c r="A81" s="34"/>
      <c r="B81" s="34"/>
      <c r="C81" s="37"/>
      <c r="D81" s="38"/>
      <c r="E81" s="76"/>
      <c r="F81" s="40"/>
      <c r="G81" s="34"/>
      <c r="H81" s="43" t="s">
        <v>41</v>
      </c>
      <c r="I81" s="34"/>
      <c r="J81" s="41" t="s">
        <v>261</v>
      </c>
      <c r="K81" s="41" t="s">
        <v>261</v>
      </c>
      <c r="L81" s="41"/>
      <c r="M81" s="42"/>
      <c r="N81" s="42"/>
      <c r="O81" s="60"/>
      <c r="P81" s="41"/>
      <c r="Q81" s="39"/>
      <c r="R81" s="41"/>
      <c r="S81" s="46">
        <v>0.67</v>
      </c>
      <c r="T81" s="50">
        <f>IFERROR(__xludf.DUMMYFUNCTION("((IFERROR(MIN(FILTER({L81, O81, R81}, ISNUMBER({L81, O81, R81}), {L81, O81, R81} &gt; 0)), """"))*S81)+IFERROR(MIN(FILTER({L81, O81, R81}, ISNUMBER({L81, O81, R81}), {L81, O81, R81} &gt; 0)), """")"),0.0)</f>
        <v>0</v>
      </c>
      <c r="U81" s="50"/>
      <c r="V81" s="77" t="str">
        <f>IFERROR(__xludf.DUMMYFUNCTION("(T81-(IFERROR(MIN(FILTER({L81, O81, R81}, ISNUMBER({L81, O81, R81}), {L81, O81, R81} &gt; 0)), """")))/T81"),"#DIV/0!")</f>
        <v>#DIV/0!</v>
      </c>
      <c r="W81" s="78"/>
      <c r="X81" s="79">
        <v>400.0</v>
      </c>
    </row>
    <row r="82" ht="22.5" customHeight="1">
      <c r="A82" s="34"/>
      <c r="B82" s="34"/>
      <c r="C82" s="37"/>
      <c r="D82" s="38"/>
      <c r="E82" s="76"/>
      <c r="F82" s="40"/>
      <c r="G82" s="34"/>
      <c r="H82" s="43" t="s">
        <v>41</v>
      </c>
      <c r="I82" s="34"/>
      <c r="J82" s="41" t="s">
        <v>261</v>
      </c>
      <c r="K82" s="41" t="s">
        <v>261</v>
      </c>
      <c r="L82" s="41"/>
      <c r="M82" s="42"/>
      <c r="N82" s="42"/>
      <c r="O82" s="60"/>
      <c r="P82" s="41"/>
      <c r="Q82" s="39"/>
      <c r="R82" s="41"/>
      <c r="S82" s="46">
        <v>0.67</v>
      </c>
      <c r="T82" s="50">
        <f>IFERROR(__xludf.DUMMYFUNCTION("((IFERROR(MIN(FILTER({L82, O82, R82}, ISNUMBER({L82, O82, R82}), {L82, O82, R82} &gt; 0)), """"))*S82)+IFERROR(MIN(FILTER({L82, O82, R82}, ISNUMBER({L82, O82, R82}), {L82, O82, R82} &gt; 0)), """")"),0.0)</f>
        <v>0</v>
      </c>
      <c r="U82" s="50"/>
      <c r="V82" s="77" t="str">
        <f>IFERROR(__xludf.DUMMYFUNCTION("(T82-(IFERROR(MIN(FILTER({L82, O82, R82}, ISNUMBER({L82, O82, R82}), {L82, O82, R82} &gt; 0)), """")))/T82"),"#DIV/0!")</f>
        <v>#DIV/0!</v>
      </c>
      <c r="W82" s="78"/>
      <c r="X82" s="79">
        <v>400.0</v>
      </c>
    </row>
    <row r="83" ht="22.5" customHeight="1">
      <c r="A83" s="34"/>
      <c r="B83" s="34"/>
      <c r="C83" s="37"/>
      <c r="D83" s="38"/>
      <c r="E83" s="76"/>
      <c r="F83" s="40"/>
      <c r="G83" s="34"/>
      <c r="H83" s="43" t="s">
        <v>41</v>
      </c>
      <c r="I83" s="34"/>
      <c r="J83" s="41" t="s">
        <v>261</v>
      </c>
      <c r="K83" s="41" t="s">
        <v>261</v>
      </c>
      <c r="L83" s="41"/>
      <c r="M83" s="42"/>
      <c r="N83" s="42"/>
      <c r="O83" s="60"/>
      <c r="P83" s="41"/>
      <c r="Q83" s="39"/>
      <c r="R83" s="41"/>
      <c r="S83" s="46">
        <v>0.67</v>
      </c>
      <c r="T83" s="50">
        <f>IFERROR(__xludf.DUMMYFUNCTION("((IFERROR(MIN(FILTER({L83, O83, R83}, ISNUMBER({L83, O83, R83}), {L83, O83, R83} &gt; 0)), """"))*S83)+IFERROR(MIN(FILTER({L83, O83, R83}, ISNUMBER({L83, O83, R83}), {L83, O83, R83} &gt; 0)), """")"),0.0)</f>
        <v>0</v>
      </c>
      <c r="U83" s="50"/>
      <c r="V83" s="77" t="str">
        <f>IFERROR(__xludf.DUMMYFUNCTION("(T83-(IFERROR(MIN(FILTER({L83, O83, R83}, ISNUMBER({L83, O83, R83}), {L83, O83, R83} &gt; 0)), """")))/T83"),"#DIV/0!")</f>
        <v>#DIV/0!</v>
      </c>
      <c r="W83" s="78"/>
      <c r="X83" s="79">
        <v>400.0</v>
      </c>
    </row>
    <row r="84" ht="22.5" customHeight="1">
      <c r="A84" s="34"/>
      <c r="B84" s="34"/>
      <c r="C84" s="37"/>
      <c r="D84" s="38"/>
      <c r="E84" s="76"/>
      <c r="F84" s="40"/>
      <c r="G84" s="34"/>
      <c r="H84" s="43" t="s">
        <v>41</v>
      </c>
      <c r="I84" s="34"/>
      <c r="J84" s="41" t="s">
        <v>261</v>
      </c>
      <c r="K84" s="41" t="s">
        <v>261</v>
      </c>
      <c r="L84" s="41"/>
      <c r="M84" s="42"/>
      <c r="N84" s="42"/>
      <c r="O84" s="60"/>
      <c r="P84" s="41"/>
      <c r="Q84" s="39"/>
      <c r="R84" s="41"/>
      <c r="S84" s="46">
        <v>0.67</v>
      </c>
      <c r="T84" s="50">
        <f>IFERROR(__xludf.DUMMYFUNCTION("((IFERROR(MIN(FILTER({L84, O84, R84}, ISNUMBER({L84, O84, R84}), {L84, O84, R84} &gt; 0)), """"))*S84)+IFERROR(MIN(FILTER({L84, O84, R84}, ISNUMBER({L84, O84, R84}), {L84, O84, R84} &gt; 0)), """")"),0.0)</f>
        <v>0</v>
      </c>
      <c r="U84" s="50"/>
      <c r="V84" s="77" t="str">
        <f>IFERROR(__xludf.DUMMYFUNCTION("(T84-(IFERROR(MIN(FILTER({L84, O84, R84}, ISNUMBER({L84, O84, R84}), {L84, O84, R84} &gt; 0)), """")))/T84"),"#DIV/0!")</f>
        <v>#DIV/0!</v>
      </c>
      <c r="W84" s="78"/>
      <c r="X84" s="79">
        <v>400.0</v>
      </c>
    </row>
    <row r="85" ht="22.5" customHeight="1">
      <c r="A85" s="34"/>
      <c r="B85" s="34"/>
      <c r="C85" s="37"/>
      <c r="D85" s="38"/>
      <c r="E85" s="76"/>
      <c r="F85" s="40"/>
      <c r="G85" s="34"/>
      <c r="H85" s="43" t="s">
        <v>41</v>
      </c>
      <c r="I85" s="34"/>
      <c r="J85" s="41" t="s">
        <v>261</v>
      </c>
      <c r="K85" s="41" t="s">
        <v>261</v>
      </c>
      <c r="L85" s="41"/>
      <c r="M85" s="42"/>
      <c r="N85" s="42"/>
      <c r="O85" s="60"/>
      <c r="P85" s="41"/>
      <c r="Q85" s="39"/>
      <c r="R85" s="41"/>
      <c r="S85" s="46">
        <v>0.67</v>
      </c>
      <c r="T85" s="50">
        <f>IFERROR(__xludf.DUMMYFUNCTION("((IFERROR(MIN(FILTER({L85, O85, R85}, ISNUMBER({L85, O85, R85}), {L85, O85, R85} &gt; 0)), """"))*S85)+IFERROR(MIN(FILTER({L85, O85, R85}, ISNUMBER({L85, O85, R85}), {L85, O85, R85} &gt; 0)), """")"),0.0)</f>
        <v>0</v>
      </c>
      <c r="U85" s="50"/>
      <c r="V85" s="77" t="str">
        <f>IFERROR(__xludf.DUMMYFUNCTION("(T85-(IFERROR(MIN(FILTER({L85, O85, R85}, ISNUMBER({L85, O85, R85}), {L85, O85, R85} &gt; 0)), """")))/T85"),"#DIV/0!")</f>
        <v>#DIV/0!</v>
      </c>
      <c r="W85" s="78"/>
      <c r="X85" s="79">
        <v>400.0</v>
      </c>
    </row>
    <row r="86" ht="22.5" customHeight="1">
      <c r="A86" s="34"/>
      <c r="B86" s="34"/>
      <c r="C86" s="37"/>
      <c r="D86" s="38"/>
      <c r="E86" s="76"/>
      <c r="F86" s="40"/>
      <c r="G86" s="34"/>
      <c r="H86" s="43" t="s">
        <v>41</v>
      </c>
      <c r="I86" s="34"/>
      <c r="J86" s="41" t="s">
        <v>261</v>
      </c>
      <c r="K86" s="41" t="s">
        <v>261</v>
      </c>
      <c r="L86" s="41"/>
      <c r="M86" s="42"/>
      <c r="N86" s="42"/>
      <c r="O86" s="60"/>
      <c r="P86" s="41"/>
      <c r="Q86" s="39"/>
      <c r="R86" s="41"/>
      <c r="S86" s="46">
        <v>0.67</v>
      </c>
      <c r="T86" s="50">
        <f>IFERROR(__xludf.DUMMYFUNCTION("((IFERROR(MIN(FILTER({L86, O86, R86}, ISNUMBER({L86, O86, R86}), {L86, O86, R86} &gt; 0)), """"))*S86)+IFERROR(MIN(FILTER({L86, O86, R86}, ISNUMBER({L86, O86, R86}), {L86, O86, R86} &gt; 0)), """")"),0.0)</f>
        <v>0</v>
      </c>
      <c r="U86" s="50"/>
      <c r="V86" s="77" t="str">
        <f>IFERROR(__xludf.DUMMYFUNCTION("(T86-(IFERROR(MIN(FILTER({L86, O86, R86}, ISNUMBER({L86, O86, R86}), {L86, O86, R86} &gt; 0)), """")))/T86"),"#DIV/0!")</f>
        <v>#DIV/0!</v>
      </c>
      <c r="W86" s="78"/>
      <c r="X86" s="79">
        <v>400.0</v>
      </c>
    </row>
    <row r="87" ht="22.5" customHeight="1">
      <c r="A87" s="34"/>
      <c r="B87" s="34"/>
      <c r="C87" s="37"/>
      <c r="D87" s="38"/>
      <c r="E87" s="76"/>
      <c r="F87" s="40"/>
      <c r="G87" s="34"/>
      <c r="H87" s="43" t="s">
        <v>41</v>
      </c>
      <c r="I87" s="34"/>
      <c r="J87" s="41" t="s">
        <v>261</v>
      </c>
      <c r="K87" s="41" t="s">
        <v>261</v>
      </c>
      <c r="L87" s="41"/>
      <c r="M87" s="42"/>
      <c r="N87" s="42"/>
      <c r="O87" s="42"/>
      <c r="P87" s="41"/>
      <c r="Q87" s="39"/>
      <c r="R87" s="41"/>
      <c r="S87" s="46">
        <v>0.67</v>
      </c>
      <c r="T87" s="50">
        <f>IFERROR(__xludf.DUMMYFUNCTION("((IFERROR(MIN(FILTER({L87, O87, R87}, ISNUMBER({L87, O87, R87}), {L87, O87, R87} &gt; 0)), """"))*S87)+IFERROR(MIN(FILTER({L87, O87, R87}, ISNUMBER({L87, O87, R87}), {L87, O87, R87} &gt; 0)), """")"),0.0)</f>
        <v>0</v>
      </c>
      <c r="U87" s="50"/>
      <c r="V87" s="77" t="str">
        <f>IFERROR(__xludf.DUMMYFUNCTION("(T87-(IFERROR(MIN(FILTER({L87, O87, R87}, ISNUMBER({L87, O87, R87}), {L87, O87, R87} &gt; 0)), """")))/T87"),"#DIV/0!")</f>
        <v>#DIV/0!</v>
      </c>
      <c r="W87" s="78"/>
      <c r="X87" s="79">
        <v>400.0</v>
      </c>
    </row>
    <row r="88" ht="22.5" customHeight="1">
      <c r="A88" s="34"/>
      <c r="B88" s="34"/>
      <c r="C88" s="37"/>
      <c r="D88" s="38"/>
      <c r="E88" s="103"/>
      <c r="F88" s="49"/>
      <c r="G88" s="37"/>
      <c r="H88" s="43" t="s">
        <v>41</v>
      </c>
      <c r="I88" s="34"/>
      <c r="J88" s="41" t="s">
        <v>261</v>
      </c>
      <c r="K88" s="41" t="s">
        <v>261</v>
      </c>
      <c r="L88" s="41"/>
      <c r="M88" s="42"/>
      <c r="N88" s="42"/>
      <c r="O88" s="42"/>
      <c r="P88" s="41"/>
      <c r="Q88" s="39"/>
      <c r="R88" s="41"/>
      <c r="S88" s="46">
        <v>0.67</v>
      </c>
      <c r="T88" s="50">
        <f>IFERROR(__xludf.DUMMYFUNCTION("((IFERROR(MIN(FILTER({L88, O88, R88}, ISNUMBER({L88, O88, R88}), {L88, O88, R88} &gt; 0)), """"))*S88)+IFERROR(MIN(FILTER({L88, O88, R88}, ISNUMBER({L88, O88, R88}), {L88, O88, R88} &gt; 0)), """")"),0.0)</f>
        <v>0</v>
      </c>
      <c r="U88" s="50"/>
      <c r="V88" s="77" t="str">
        <f>IFERROR(__xludf.DUMMYFUNCTION("(T88-(IFERROR(MIN(FILTER({L88, O88, R88}, ISNUMBER({L88, O88, R88}), {L88, O88, R88} &gt; 0)), """")))/T88"),"#DIV/0!")</f>
        <v>#DIV/0!</v>
      </c>
      <c r="W88" s="78"/>
      <c r="X88" s="79">
        <v>300.0</v>
      </c>
    </row>
    <row r="89" ht="22.5" customHeight="1">
      <c r="A89" s="34"/>
      <c r="B89" s="34"/>
      <c r="C89" s="37"/>
      <c r="D89" s="38"/>
      <c r="E89" s="103"/>
      <c r="F89" s="49"/>
      <c r="G89" s="37"/>
      <c r="H89" s="43" t="s">
        <v>41</v>
      </c>
      <c r="I89" s="34"/>
      <c r="J89" s="41" t="s">
        <v>261</v>
      </c>
      <c r="K89" s="41" t="s">
        <v>261</v>
      </c>
      <c r="L89" s="41"/>
      <c r="M89" s="42"/>
      <c r="N89" s="42"/>
      <c r="O89" s="42"/>
      <c r="P89" s="41"/>
      <c r="Q89" s="39"/>
      <c r="R89" s="41"/>
      <c r="S89" s="46">
        <v>0.67</v>
      </c>
      <c r="T89" s="50">
        <f>IFERROR(__xludf.DUMMYFUNCTION("((IFERROR(MIN(FILTER({L89, O89, R89}, ISNUMBER({L89, O89, R89}), {L89, O89, R89} &gt; 0)), """"))*S89)+IFERROR(MIN(FILTER({L89, O89, R89}, ISNUMBER({L89, O89, R89}), {L89, O89, R89} &gt; 0)), """")"),0.0)</f>
        <v>0</v>
      </c>
      <c r="U89" s="50"/>
      <c r="V89" s="77" t="str">
        <f>IFERROR(__xludf.DUMMYFUNCTION("(T89-(IFERROR(MIN(FILTER({L89, O89, R89}, ISNUMBER({L89, O89, R89}), {L89, O89, R89} &gt; 0)), """")))/T89"),"#DIV/0!")</f>
        <v>#DIV/0!</v>
      </c>
      <c r="W89" s="78"/>
      <c r="X89" s="79">
        <v>300.0</v>
      </c>
    </row>
    <row r="90" ht="22.5" customHeight="1">
      <c r="A90" s="34"/>
      <c r="B90" s="34"/>
      <c r="C90" s="37"/>
      <c r="D90" s="38"/>
      <c r="E90" s="103"/>
      <c r="F90" s="49"/>
      <c r="G90" s="37"/>
      <c r="H90" s="43" t="s">
        <v>41</v>
      </c>
      <c r="I90" s="34"/>
      <c r="J90" s="41" t="s">
        <v>261</v>
      </c>
      <c r="K90" s="41" t="s">
        <v>261</v>
      </c>
      <c r="L90" s="41"/>
      <c r="M90" s="42"/>
      <c r="N90" s="42"/>
      <c r="O90" s="42"/>
      <c r="P90" s="41"/>
      <c r="Q90" s="39"/>
      <c r="R90" s="39"/>
      <c r="S90" s="46">
        <v>0.67</v>
      </c>
      <c r="T90" s="50">
        <f>IFERROR(__xludf.DUMMYFUNCTION("((IFERROR(MIN(FILTER({L90, O90, R90}, ISNUMBER({L90, O90, R90}), {L90, O90, R90} &gt; 0)), """"))*S90)+IFERROR(MIN(FILTER({L90, O90, R90}, ISNUMBER({L90, O90, R90}), {L90, O90, R90} &gt; 0)), """")"),0.0)</f>
        <v>0</v>
      </c>
      <c r="U90" s="50"/>
      <c r="V90" s="77" t="str">
        <f>IFERROR(__xludf.DUMMYFUNCTION("(T90-(IFERROR(MIN(FILTER({L90, O90, R90}, ISNUMBER({L90, O90, R90}), {L90, O90, R90} &gt; 0)), """")))/T90"),"#DIV/0!")</f>
        <v>#DIV/0!</v>
      </c>
      <c r="W90" s="78"/>
      <c r="X90" s="79">
        <v>300.0</v>
      </c>
    </row>
    <row r="91" ht="22.5" customHeight="1">
      <c r="A91" s="34"/>
      <c r="B91" s="34"/>
      <c r="C91" s="37"/>
      <c r="D91" s="38"/>
      <c r="E91" s="103"/>
      <c r="F91" s="49"/>
      <c r="G91" s="97"/>
      <c r="H91" s="43" t="s">
        <v>41</v>
      </c>
      <c r="I91" s="34"/>
      <c r="J91" s="41" t="s">
        <v>261</v>
      </c>
      <c r="K91" s="41" t="s">
        <v>261</v>
      </c>
      <c r="L91" s="41"/>
      <c r="M91" s="42"/>
      <c r="N91" s="42"/>
      <c r="O91" s="42"/>
      <c r="P91" s="41"/>
      <c r="Q91" s="39"/>
      <c r="R91" s="41"/>
      <c r="S91" s="46">
        <v>0.67</v>
      </c>
      <c r="T91" s="50">
        <f>IFERROR(__xludf.DUMMYFUNCTION("((IFERROR(MIN(FILTER({L91, O91, R91}, ISNUMBER({L91, O91, R91}), {L91, O91, R91} &gt; 0)), """"))*S91)+IFERROR(MIN(FILTER({L91, O91, R91}, ISNUMBER({L91, O91, R91}), {L91, O91, R91} &gt; 0)), """")"),0.0)</f>
        <v>0</v>
      </c>
      <c r="U91" s="50"/>
      <c r="V91" s="77" t="str">
        <f>IFERROR(__xludf.DUMMYFUNCTION("(T91-(IFERROR(MIN(FILTER({L91, O91, R91}, ISNUMBER({L91, O91, R91}), {L91, O91, R91} &gt; 0)), """")))/T91"),"#DIV/0!")</f>
        <v>#DIV/0!</v>
      </c>
      <c r="W91" s="78"/>
      <c r="X91" s="79">
        <v>300.0</v>
      </c>
    </row>
    <row r="92" ht="22.5" customHeight="1">
      <c r="A92" s="34"/>
      <c r="B92" s="34"/>
      <c r="C92" s="37"/>
      <c r="D92" s="38"/>
      <c r="E92" s="103"/>
      <c r="F92" s="49"/>
      <c r="G92" s="37"/>
      <c r="H92" s="43" t="s">
        <v>41</v>
      </c>
      <c r="I92" s="34"/>
      <c r="J92" s="41" t="s">
        <v>261</v>
      </c>
      <c r="K92" s="41" t="s">
        <v>261</v>
      </c>
      <c r="L92" s="41"/>
      <c r="M92" s="42"/>
      <c r="N92" s="42"/>
      <c r="O92" s="42"/>
      <c r="P92" s="41"/>
      <c r="Q92" s="39"/>
      <c r="R92" s="41"/>
      <c r="S92" s="46">
        <v>0.67</v>
      </c>
      <c r="T92" s="50">
        <f>IFERROR(__xludf.DUMMYFUNCTION("((IFERROR(MIN(FILTER({L92, O92, R92}, ISNUMBER({L92, O92, R92}), {L92, O92, R92} &gt; 0)), """"))*S92)+IFERROR(MIN(FILTER({L92, O92, R92}, ISNUMBER({L92, O92, R92}), {L92, O92, R92} &gt; 0)), """")"),0.0)</f>
        <v>0</v>
      </c>
      <c r="U92" s="50"/>
      <c r="V92" s="77" t="str">
        <f>IFERROR(__xludf.DUMMYFUNCTION("(T92-(IFERROR(MIN(FILTER({L92, O92, R92}, ISNUMBER({L92, O92, R92}), {L92, O92, R92} &gt; 0)), """")))/T92"),"#DIV/0!")</f>
        <v>#DIV/0!</v>
      </c>
      <c r="W92" s="78"/>
      <c r="X92" s="79">
        <v>300.0</v>
      </c>
    </row>
    <row r="93" ht="22.5" customHeight="1">
      <c r="A93" s="34"/>
      <c r="B93" s="34"/>
      <c r="C93" s="37"/>
      <c r="D93" s="38"/>
      <c r="E93" s="103"/>
      <c r="F93" s="49"/>
      <c r="G93" s="37"/>
      <c r="H93" s="43" t="s">
        <v>41</v>
      </c>
      <c r="I93" s="34"/>
      <c r="J93" s="41" t="s">
        <v>261</v>
      </c>
      <c r="K93" s="41" t="s">
        <v>261</v>
      </c>
      <c r="L93" s="41"/>
      <c r="M93" s="42"/>
      <c r="N93" s="42"/>
      <c r="O93" s="42"/>
      <c r="P93" s="41"/>
      <c r="Q93" s="39"/>
      <c r="R93" s="41"/>
      <c r="S93" s="46">
        <v>0.67</v>
      </c>
      <c r="T93" s="50">
        <f>IFERROR(__xludf.DUMMYFUNCTION("((IFERROR(MIN(FILTER({L93, O93, R93}, ISNUMBER({L93, O93, R93}), {L93, O93, R93} &gt; 0)), """"))*S93)+IFERROR(MIN(FILTER({L93, O93, R93}, ISNUMBER({L93, O93, R93}), {L93, O93, R93} &gt; 0)), """")"),0.0)</f>
        <v>0</v>
      </c>
      <c r="U93" s="50"/>
      <c r="V93" s="77" t="str">
        <f>IFERROR(__xludf.DUMMYFUNCTION("(T93-(IFERROR(MIN(FILTER({L93, O93, R93}, ISNUMBER({L93, O93, R93}), {L93, O93, R93} &gt; 0)), """")))/T93"),"#DIV/0!")</f>
        <v>#DIV/0!</v>
      </c>
      <c r="W93" s="78"/>
      <c r="X93" s="79">
        <v>300.0</v>
      </c>
    </row>
    <row r="94" ht="22.5" customHeight="1">
      <c r="A94" s="34"/>
      <c r="B94" s="34"/>
      <c r="C94" s="37"/>
      <c r="D94" s="38"/>
      <c r="E94" s="103"/>
      <c r="F94" s="49"/>
      <c r="G94" s="37"/>
      <c r="H94" s="43" t="s">
        <v>41</v>
      </c>
      <c r="I94" s="34"/>
      <c r="J94" s="41" t="s">
        <v>261</v>
      </c>
      <c r="K94" s="41" t="s">
        <v>261</v>
      </c>
      <c r="L94" s="41"/>
      <c r="M94" s="42"/>
      <c r="N94" s="42"/>
      <c r="O94" s="42"/>
      <c r="P94" s="41"/>
      <c r="Q94" s="39"/>
      <c r="R94" s="41"/>
      <c r="S94" s="46">
        <v>0.67</v>
      </c>
      <c r="T94" s="50">
        <f>IFERROR(__xludf.DUMMYFUNCTION("((IFERROR(MIN(FILTER({L94, O94, R94}, ISNUMBER({L94, O94, R94}), {L94, O94, R94} &gt; 0)), """"))*S94)+IFERROR(MIN(FILTER({L94, O94, R94}, ISNUMBER({L94, O94, R94}), {L94, O94, R94} &gt; 0)), """")"),0.0)</f>
        <v>0</v>
      </c>
      <c r="U94" s="50"/>
      <c r="V94" s="77" t="str">
        <f>IFERROR(__xludf.DUMMYFUNCTION("(T94-(IFERROR(MIN(FILTER({L94, O94, R94}, ISNUMBER({L94, O94, R94}), {L94, O94, R94} &gt; 0)), """")))/T94"),"#DIV/0!")</f>
        <v>#DIV/0!</v>
      </c>
      <c r="W94" s="78"/>
      <c r="X94" s="79">
        <v>300.0</v>
      </c>
    </row>
    <row r="95" ht="22.5" customHeight="1">
      <c r="A95" s="34"/>
      <c r="B95" s="34"/>
      <c r="C95" s="37"/>
      <c r="D95" s="38"/>
      <c r="E95" s="103"/>
      <c r="F95" s="49"/>
      <c r="G95" s="37"/>
      <c r="H95" s="43" t="s">
        <v>41</v>
      </c>
      <c r="I95" s="34"/>
      <c r="J95" s="41" t="s">
        <v>261</v>
      </c>
      <c r="K95" s="41" t="s">
        <v>261</v>
      </c>
      <c r="L95" s="41"/>
      <c r="M95" s="42"/>
      <c r="N95" s="42"/>
      <c r="O95" s="42"/>
      <c r="P95" s="41"/>
      <c r="Q95" s="39"/>
      <c r="R95" s="41"/>
      <c r="S95" s="46">
        <v>0.67</v>
      </c>
      <c r="T95" s="50">
        <f>IFERROR(__xludf.DUMMYFUNCTION("((IFERROR(MIN(FILTER({L95, O95, R95}, ISNUMBER({L95, O95, R95}), {L95, O95, R95} &gt; 0)), """"))*S95)+IFERROR(MIN(FILTER({L95, O95, R95}, ISNUMBER({L95, O95, R95}), {L95, O95, R95} &gt; 0)), """")"),0.0)</f>
        <v>0</v>
      </c>
      <c r="U95" s="50"/>
      <c r="V95" s="77" t="str">
        <f>IFERROR(__xludf.DUMMYFUNCTION("(T95-(IFERROR(MIN(FILTER({L95, O95, R95}, ISNUMBER({L95, O95, R95}), {L95, O95, R95} &gt; 0)), """")))/T95"),"#DIV/0!")</f>
        <v>#DIV/0!</v>
      </c>
      <c r="W95" s="78"/>
      <c r="X95" s="79">
        <v>300.0</v>
      </c>
    </row>
    <row r="96" ht="22.5" customHeight="1">
      <c r="A96" s="34"/>
      <c r="B96" s="34"/>
      <c r="C96" s="37"/>
      <c r="D96" s="38"/>
      <c r="E96" s="103"/>
      <c r="F96" s="49"/>
      <c r="G96" s="37"/>
      <c r="H96" s="43" t="s">
        <v>41</v>
      </c>
      <c r="I96" s="34"/>
      <c r="J96" s="41" t="s">
        <v>261</v>
      </c>
      <c r="K96" s="41" t="s">
        <v>261</v>
      </c>
      <c r="L96" s="41"/>
      <c r="M96" s="42"/>
      <c r="N96" s="42"/>
      <c r="O96" s="42"/>
      <c r="P96" s="41"/>
      <c r="Q96" s="39"/>
      <c r="R96" s="41"/>
      <c r="S96" s="46">
        <v>0.67</v>
      </c>
      <c r="T96" s="50">
        <f>IFERROR(__xludf.DUMMYFUNCTION("((IFERROR(MIN(FILTER({L96, O96, R96}, ISNUMBER({L96, O96, R96}), {L96, O96, R96} &gt; 0)), """"))*S96)+IFERROR(MIN(FILTER({L96, O96, R96}, ISNUMBER({L96, O96, R96}), {L96, O96, R96} &gt; 0)), """")"),0.0)</f>
        <v>0</v>
      </c>
      <c r="U96" s="50"/>
      <c r="V96" s="77" t="str">
        <f>IFERROR(__xludf.DUMMYFUNCTION("(T96-(IFERROR(MIN(FILTER({L96, O96, R96}, ISNUMBER({L96, O96, R96}), {L96, O96, R96} &gt; 0)), """")))/T96"),"#DIV/0!")</f>
        <v>#DIV/0!</v>
      </c>
      <c r="W96" s="78"/>
      <c r="X96" s="79">
        <v>300.0</v>
      </c>
    </row>
    <row r="97" ht="22.5" customHeight="1">
      <c r="A97" s="34"/>
      <c r="B97" s="34"/>
      <c r="C97" s="37"/>
      <c r="D97" s="38"/>
      <c r="E97" s="103"/>
      <c r="F97" s="49"/>
      <c r="G97" s="37"/>
      <c r="H97" s="43" t="s">
        <v>41</v>
      </c>
      <c r="I97" s="34"/>
      <c r="J97" s="41" t="s">
        <v>261</v>
      </c>
      <c r="K97" s="41" t="s">
        <v>261</v>
      </c>
      <c r="L97" s="41"/>
      <c r="M97" s="42"/>
      <c r="N97" s="42"/>
      <c r="O97" s="42"/>
      <c r="P97" s="41"/>
      <c r="Q97" s="39"/>
      <c r="R97" s="41"/>
      <c r="S97" s="46">
        <v>0.67</v>
      </c>
      <c r="T97" s="50">
        <f>IFERROR(__xludf.DUMMYFUNCTION("((IFERROR(MIN(FILTER({L97, O97, R97}, ISNUMBER({L97, O97, R97}), {L97, O97, R97} &gt; 0)), """"))*S97)+IFERROR(MIN(FILTER({L97, O97, R97}, ISNUMBER({L97, O97, R97}), {L97, O97, R97} &gt; 0)), """")"),0.0)</f>
        <v>0</v>
      </c>
      <c r="U97" s="50"/>
      <c r="V97" s="77" t="str">
        <f>IFERROR(__xludf.DUMMYFUNCTION("(T97-(IFERROR(MIN(FILTER({L97, O97, R97}, ISNUMBER({L97, O97, R97}), {L97, O97, R97} &gt; 0)), """")))/T97"),"#DIV/0!")</f>
        <v>#DIV/0!</v>
      </c>
      <c r="W97" s="78"/>
      <c r="X97" s="79">
        <v>300.0</v>
      </c>
    </row>
    <row r="98" ht="22.5" customHeight="1">
      <c r="A98" s="34"/>
      <c r="B98" s="34"/>
      <c r="C98" s="37"/>
      <c r="D98" s="38"/>
      <c r="E98" s="103"/>
      <c r="F98" s="49"/>
      <c r="G98" s="37"/>
      <c r="H98" s="43" t="s">
        <v>41</v>
      </c>
      <c r="I98" s="34"/>
      <c r="J98" s="41" t="s">
        <v>261</v>
      </c>
      <c r="K98" s="41" t="s">
        <v>261</v>
      </c>
      <c r="L98" s="41"/>
      <c r="M98" s="42"/>
      <c r="N98" s="42"/>
      <c r="O98" s="42"/>
      <c r="P98" s="41"/>
      <c r="Q98" s="39"/>
      <c r="R98" s="41"/>
      <c r="S98" s="46">
        <v>0.67</v>
      </c>
      <c r="T98" s="50">
        <f>IFERROR(__xludf.DUMMYFUNCTION("((IFERROR(MIN(FILTER({L98, O98, R98}, ISNUMBER({L98, O98, R98}), {L98, O98, R98} &gt; 0)), """"))*S98)+IFERROR(MIN(FILTER({L98, O98, R98}, ISNUMBER({L98, O98, R98}), {L98, O98, R98} &gt; 0)), """")"),0.0)</f>
        <v>0</v>
      </c>
      <c r="U98" s="50"/>
      <c r="V98" s="77" t="str">
        <f>IFERROR(__xludf.DUMMYFUNCTION("(T98-(IFERROR(MIN(FILTER({L98, O98, R98}, ISNUMBER({L98, O98, R98}), {L98, O98, R98} &gt; 0)), """")))/T98"),"#DIV/0!")</f>
        <v>#DIV/0!</v>
      </c>
      <c r="W98" s="78"/>
      <c r="X98" s="79">
        <v>300.0</v>
      </c>
    </row>
    <row r="99" ht="22.5" customHeight="1">
      <c r="A99" s="34"/>
      <c r="B99" s="34"/>
      <c r="C99" s="37"/>
      <c r="D99" s="38"/>
      <c r="E99" s="103"/>
      <c r="F99" s="49"/>
      <c r="G99" s="37"/>
      <c r="H99" s="43" t="s">
        <v>41</v>
      </c>
      <c r="I99" s="34"/>
      <c r="J99" s="41" t="s">
        <v>261</v>
      </c>
      <c r="K99" s="41" t="s">
        <v>261</v>
      </c>
      <c r="L99" s="41"/>
      <c r="M99" s="42"/>
      <c r="N99" s="42"/>
      <c r="O99" s="42"/>
      <c r="P99" s="41"/>
      <c r="Q99" s="39"/>
      <c r="R99" s="41"/>
      <c r="S99" s="46">
        <v>0.67</v>
      </c>
      <c r="T99" s="50">
        <f>IFERROR(__xludf.DUMMYFUNCTION("((IFERROR(MIN(FILTER({L99, O99, R99}, ISNUMBER({L99, O99, R99}), {L99, O99, R99} &gt; 0)), """"))*S99)+IFERROR(MIN(FILTER({L99, O99, R99}, ISNUMBER({L99, O99, R99}), {L99, O99, R99} &gt; 0)), """")"),0.0)</f>
        <v>0</v>
      </c>
      <c r="U99" s="50"/>
      <c r="V99" s="77" t="str">
        <f>IFERROR(__xludf.DUMMYFUNCTION("(T99-(IFERROR(MIN(FILTER({L99, O99, R99}, ISNUMBER({L99, O99, R99}), {L99, O99, R99} &gt; 0)), """")))/T99"),"#DIV/0!")</f>
        <v>#DIV/0!</v>
      </c>
      <c r="W99" s="78"/>
      <c r="X99" s="79">
        <v>300.0</v>
      </c>
    </row>
    <row r="100" ht="22.5" customHeight="1">
      <c r="A100" s="34"/>
      <c r="B100" s="34"/>
      <c r="C100" s="37"/>
      <c r="D100" s="38"/>
      <c r="E100" s="103"/>
      <c r="F100" s="49"/>
      <c r="G100" s="37"/>
      <c r="H100" s="43" t="s">
        <v>41</v>
      </c>
      <c r="I100" s="34"/>
      <c r="J100" s="41" t="s">
        <v>261</v>
      </c>
      <c r="K100" s="41" t="s">
        <v>261</v>
      </c>
      <c r="L100" s="41"/>
      <c r="M100" s="42"/>
      <c r="N100" s="42"/>
      <c r="O100" s="42"/>
      <c r="P100" s="41"/>
      <c r="Q100" s="39"/>
      <c r="R100" s="39"/>
      <c r="S100" s="46">
        <v>0.67</v>
      </c>
      <c r="T100" s="50">
        <f>IFERROR(__xludf.DUMMYFUNCTION("((IFERROR(MIN(FILTER({L100, O100, R100}, ISNUMBER({L100, O100, R100}), {L100, O100, R100} &gt; 0)), """"))*S100)+IFERROR(MIN(FILTER({L100, O100, R100}, ISNUMBER({L100, O100, R100}), {L100, O100, R100} &gt; 0)), """")"),0.0)</f>
        <v>0</v>
      </c>
      <c r="U100" s="50"/>
      <c r="V100" s="77" t="str">
        <f>IFERROR(__xludf.DUMMYFUNCTION("(T100-(IFERROR(MIN(FILTER({L100, O100, R100}, ISNUMBER({L100, O100, R100}), {L100, O100, R100} &gt; 0)), """")))/T100"),"#DIV/0!")</f>
        <v>#DIV/0!</v>
      </c>
      <c r="W100" s="78"/>
      <c r="X100" s="79">
        <v>300.0</v>
      </c>
    </row>
    <row r="101" ht="22.5" customHeight="1">
      <c r="A101" s="34"/>
      <c r="B101" s="34"/>
      <c r="C101" s="37"/>
      <c r="D101" s="38"/>
      <c r="E101" s="103"/>
      <c r="F101" s="49"/>
      <c r="G101" s="37"/>
      <c r="H101" s="43" t="s">
        <v>41</v>
      </c>
      <c r="I101" s="34"/>
      <c r="J101" s="41" t="s">
        <v>261</v>
      </c>
      <c r="K101" s="41" t="s">
        <v>261</v>
      </c>
      <c r="L101" s="41"/>
      <c r="M101" s="42"/>
      <c r="N101" s="42"/>
      <c r="O101" s="42"/>
      <c r="P101" s="41"/>
      <c r="Q101" s="39"/>
      <c r="R101" s="41"/>
      <c r="S101" s="46">
        <v>0.67</v>
      </c>
      <c r="T101" s="50">
        <f>IFERROR(__xludf.DUMMYFUNCTION("((IFERROR(MIN(FILTER({L101, O101, R101}, ISNUMBER({L101, O101, R101}), {L101, O101, R101} &gt; 0)), """"))*S101)+IFERROR(MIN(FILTER({L101, O101, R101}, ISNUMBER({L101, O101, R101}), {L101, O101, R101} &gt; 0)), """")"),0.0)</f>
        <v>0</v>
      </c>
      <c r="U101" s="50"/>
      <c r="V101" s="77" t="str">
        <f>IFERROR(__xludf.DUMMYFUNCTION("(T101-(IFERROR(MIN(FILTER({L101, O101, R101}, ISNUMBER({L101, O101, R101}), {L101, O101, R101} &gt; 0)), """")))/T101"),"#DIV/0!")</f>
        <v>#DIV/0!</v>
      </c>
      <c r="W101" s="78"/>
      <c r="X101" s="79">
        <v>300.0</v>
      </c>
    </row>
    <row r="102" ht="22.5" customHeight="1">
      <c r="A102" s="34"/>
      <c r="B102" s="34"/>
      <c r="C102" s="37"/>
      <c r="D102" s="38"/>
      <c r="E102" s="103"/>
      <c r="F102" s="49"/>
      <c r="G102" s="37"/>
      <c r="H102" s="43" t="s">
        <v>41</v>
      </c>
      <c r="I102" s="34"/>
      <c r="J102" s="41" t="s">
        <v>261</v>
      </c>
      <c r="K102" s="41" t="s">
        <v>261</v>
      </c>
      <c r="L102" s="41"/>
      <c r="M102" s="42"/>
      <c r="N102" s="42"/>
      <c r="O102" s="42"/>
      <c r="P102" s="41"/>
      <c r="Q102" s="39"/>
      <c r="R102" s="39"/>
      <c r="S102" s="46">
        <v>0.67</v>
      </c>
      <c r="T102" s="50">
        <f>IFERROR(__xludf.DUMMYFUNCTION("((IFERROR(MIN(FILTER({L102, O102, R102}, ISNUMBER({L102, O102, R102}), {L102, O102, R102} &gt; 0)), """"))*S102)+IFERROR(MIN(FILTER({L102, O102, R102}, ISNUMBER({L102, O102, R102}), {L102, O102, R102} &gt; 0)), """")"),0.0)</f>
        <v>0</v>
      </c>
      <c r="U102" s="50"/>
      <c r="V102" s="77" t="str">
        <f>IFERROR(__xludf.DUMMYFUNCTION("(T102-(IFERROR(MIN(FILTER({L102, O102, R102}, ISNUMBER({L102, O102, R102}), {L102, O102, R102} &gt; 0)), """")))/T102"),"#DIV/0!")</f>
        <v>#DIV/0!</v>
      </c>
      <c r="W102" s="78"/>
      <c r="X102" s="79">
        <v>300.0</v>
      </c>
    </row>
    <row r="103" ht="22.5" customHeight="1">
      <c r="A103" s="34"/>
      <c r="B103" s="34"/>
      <c r="C103" s="37"/>
      <c r="D103" s="38"/>
      <c r="E103" s="103"/>
      <c r="F103" s="49"/>
      <c r="G103" s="37"/>
      <c r="H103" s="43" t="s">
        <v>41</v>
      </c>
      <c r="I103" s="34"/>
      <c r="J103" s="41" t="s">
        <v>261</v>
      </c>
      <c r="K103" s="41" t="s">
        <v>261</v>
      </c>
      <c r="L103" s="41"/>
      <c r="M103" s="42"/>
      <c r="N103" s="42"/>
      <c r="O103" s="42"/>
      <c r="P103" s="41"/>
      <c r="Q103" s="39"/>
      <c r="R103" s="41"/>
      <c r="S103" s="46">
        <v>0.67</v>
      </c>
      <c r="T103" s="50">
        <f>IFERROR(__xludf.DUMMYFUNCTION("((IFERROR(MIN(FILTER({L103, O103, R103}, ISNUMBER({L103, O103, R103}), {L103, O103, R103} &gt; 0)), """"))*S103)+IFERROR(MIN(FILTER({L103, O103, R103}, ISNUMBER({L103, O103, R103}), {L103, O103, R103} &gt; 0)), """")"),0.0)</f>
        <v>0</v>
      </c>
      <c r="U103" s="50"/>
      <c r="V103" s="77" t="str">
        <f>IFERROR(__xludf.DUMMYFUNCTION("(T103-(IFERROR(MIN(FILTER({L103, O103, R103}, ISNUMBER({L103, O103, R103}), {L103, O103, R103} &gt; 0)), """")))/T103"),"#DIV/0!")</f>
        <v>#DIV/0!</v>
      </c>
      <c r="W103" s="78"/>
      <c r="X103" s="79">
        <v>300.0</v>
      </c>
    </row>
    <row r="104" ht="22.5" customHeight="1">
      <c r="A104" s="34"/>
      <c r="B104" s="34"/>
      <c r="C104" s="37"/>
      <c r="D104" s="38"/>
      <c r="E104" s="103"/>
      <c r="F104" s="49"/>
      <c r="G104" s="37"/>
      <c r="H104" s="43" t="s">
        <v>41</v>
      </c>
      <c r="I104" s="34"/>
      <c r="J104" s="41" t="s">
        <v>261</v>
      </c>
      <c r="K104" s="41" t="s">
        <v>261</v>
      </c>
      <c r="L104" s="41"/>
      <c r="M104" s="42"/>
      <c r="N104" s="42"/>
      <c r="O104" s="42"/>
      <c r="P104" s="41"/>
      <c r="Q104" s="39"/>
      <c r="R104" s="41"/>
      <c r="S104" s="46">
        <v>0.67</v>
      </c>
      <c r="T104" s="50">
        <f>IFERROR(__xludf.DUMMYFUNCTION("((IFERROR(MIN(FILTER({L104, O104, R104}, ISNUMBER({L104, O104, R104}), {L104, O104, R104} &gt; 0)), """"))*S104)+IFERROR(MIN(FILTER({L104, O104, R104}, ISNUMBER({L104, O104, R104}), {L104, O104, R104} &gt; 0)), """")"),0.0)</f>
        <v>0</v>
      </c>
      <c r="U104" s="50"/>
      <c r="V104" s="77" t="str">
        <f>IFERROR(__xludf.DUMMYFUNCTION("(T104-(IFERROR(MIN(FILTER({L104, O104, R104}, ISNUMBER({L104, O104, R104}), {L104, O104, R104} &gt; 0)), """")))/T104"),"#DIV/0!")</f>
        <v>#DIV/0!</v>
      </c>
      <c r="W104" s="78"/>
      <c r="X104" s="79">
        <v>300.0</v>
      </c>
    </row>
    <row r="105" ht="22.5" customHeight="1">
      <c r="A105" s="34"/>
      <c r="B105" s="34"/>
      <c r="C105" s="37"/>
      <c r="D105" s="38"/>
      <c r="E105" s="103"/>
      <c r="F105" s="49"/>
      <c r="G105" s="37"/>
      <c r="H105" s="43" t="s">
        <v>41</v>
      </c>
      <c r="I105" s="34"/>
      <c r="J105" s="41" t="s">
        <v>261</v>
      </c>
      <c r="K105" s="41" t="s">
        <v>261</v>
      </c>
      <c r="L105" s="41"/>
      <c r="M105" s="42"/>
      <c r="N105" s="42"/>
      <c r="O105" s="42"/>
      <c r="P105" s="41"/>
      <c r="Q105" s="39"/>
      <c r="R105" s="41"/>
      <c r="S105" s="46">
        <v>0.67</v>
      </c>
      <c r="T105" s="50">
        <f>IFERROR(__xludf.DUMMYFUNCTION("((IFERROR(MIN(FILTER({L105, O105, R105}, ISNUMBER({L105, O105, R105}), {L105, O105, R105} &gt; 0)), """"))*S105)+IFERROR(MIN(FILTER({L105, O105, R105}, ISNUMBER({L105, O105, R105}), {L105, O105, R105} &gt; 0)), """")"),0.0)</f>
        <v>0</v>
      </c>
      <c r="U105" s="50"/>
      <c r="V105" s="77" t="str">
        <f>IFERROR(__xludf.DUMMYFUNCTION("(T105-(IFERROR(MIN(FILTER({L105, O105, R105}, ISNUMBER({L105, O105, R105}), {L105, O105, R105} &gt; 0)), """")))/T105"),"#DIV/0!")</f>
        <v>#DIV/0!</v>
      </c>
      <c r="W105" s="78"/>
      <c r="X105" s="79">
        <v>300.0</v>
      </c>
    </row>
    <row r="106" ht="22.5" customHeight="1">
      <c r="A106" s="34"/>
      <c r="B106" s="34"/>
      <c r="C106" s="37"/>
      <c r="D106" s="38"/>
      <c r="E106" s="103"/>
      <c r="F106" s="49"/>
      <c r="G106" s="37"/>
      <c r="H106" s="43" t="s">
        <v>41</v>
      </c>
      <c r="I106" s="34"/>
      <c r="J106" s="41" t="s">
        <v>261</v>
      </c>
      <c r="K106" s="41" t="s">
        <v>261</v>
      </c>
      <c r="L106" s="41"/>
      <c r="M106" s="42"/>
      <c r="N106" s="42"/>
      <c r="O106" s="42"/>
      <c r="P106" s="41"/>
      <c r="Q106" s="39"/>
      <c r="R106" s="41"/>
      <c r="S106" s="46">
        <v>0.67</v>
      </c>
      <c r="T106" s="50">
        <f>IFERROR(__xludf.DUMMYFUNCTION("((IFERROR(MIN(FILTER({L106, O106, R106}, ISNUMBER({L106, O106, R106}), {L106, O106, R106} &gt; 0)), """"))*S106)+IFERROR(MIN(FILTER({L106, O106, R106}, ISNUMBER({L106, O106, R106}), {L106, O106, R106} &gt; 0)), """")"),0.0)</f>
        <v>0</v>
      </c>
      <c r="U106" s="50"/>
      <c r="V106" s="77" t="str">
        <f>IFERROR(__xludf.DUMMYFUNCTION("(T106-(IFERROR(MIN(FILTER({L106, O106, R106}, ISNUMBER({L106, O106, R106}), {L106, O106, R106} &gt; 0)), """")))/T106"),"#DIV/0!")</f>
        <v>#DIV/0!</v>
      </c>
      <c r="W106" s="78"/>
      <c r="X106" s="79">
        <v>300.0</v>
      </c>
    </row>
    <row r="107" ht="22.5" customHeight="1">
      <c r="A107" s="34"/>
      <c r="B107" s="34"/>
      <c r="C107" s="37"/>
      <c r="D107" s="38"/>
      <c r="E107" s="103"/>
      <c r="F107" s="49"/>
      <c r="G107" s="37"/>
      <c r="H107" s="43" t="s">
        <v>41</v>
      </c>
      <c r="I107" s="34"/>
      <c r="J107" s="41" t="s">
        <v>261</v>
      </c>
      <c r="K107" s="41" t="s">
        <v>261</v>
      </c>
      <c r="L107" s="41"/>
      <c r="M107" s="42"/>
      <c r="N107" s="42"/>
      <c r="O107" s="42"/>
      <c r="P107" s="41"/>
      <c r="Q107" s="39"/>
      <c r="R107" s="41"/>
      <c r="S107" s="46">
        <v>0.67</v>
      </c>
      <c r="T107" s="50">
        <f>IFERROR(__xludf.DUMMYFUNCTION("((IFERROR(MIN(FILTER({L107, O107, R107}, ISNUMBER({L107, O107, R107}), {L107, O107, R107} &gt; 0)), """"))*S107)+IFERROR(MIN(FILTER({L107, O107, R107}, ISNUMBER({L107, O107, R107}), {L107, O107, R107} &gt; 0)), """")"),0.0)</f>
        <v>0</v>
      </c>
      <c r="U107" s="50"/>
      <c r="V107" s="77" t="str">
        <f>IFERROR(__xludf.DUMMYFUNCTION("(T107-(IFERROR(MIN(FILTER({L107, O107, R107}, ISNUMBER({L107, O107, R107}), {L107, O107, R107} &gt; 0)), """")))/T107"),"#DIV/0!")</f>
        <v>#DIV/0!</v>
      </c>
      <c r="W107" s="78"/>
      <c r="X107" s="79">
        <v>300.0</v>
      </c>
    </row>
    <row r="108" ht="22.5" customHeight="1">
      <c r="A108" s="34"/>
      <c r="B108" s="34"/>
      <c r="C108" s="37"/>
      <c r="D108" s="38"/>
      <c r="E108" s="103"/>
      <c r="F108" s="49"/>
      <c r="G108" s="37"/>
      <c r="H108" s="43" t="s">
        <v>41</v>
      </c>
      <c r="I108" s="34"/>
      <c r="J108" s="41" t="s">
        <v>261</v>
      </c>
      <c r="K108" s="41" t="s">
        <v>261</v>
      </c>
      <c r="L108" s="41"/>
      <c r="M108" s="42"/>
      <c r="N108" s="42"/>
      <c r="O108" s="42"/>
      <c r="P108" s="41"/>
      <c r="Q108" s="39"/>
      <c r="R108" s="41"/>
      <c r="S108" s="46">
        <v>0.67</v>
      </c>
      <c r="T108" s="50">
        <f>IFERROR(__xludf.DUMMYFUNCTION("((IFERROR(MIN(FILTER({L108, O108, R108}, ISNUMBER({L108, O108, R108}), {L108, O108, R108} &gt; 0)), """"))*S108)+IFERROR(MIN(FILTER({L108, O108, R108}, ISNUMBER({L108, O108, R108}), {L108, O108, R108} &gt; 0)), """")"),0.0)</f>
        <v>0</v>
      </c>
      <c r="U108" s="50"/>
      <c r="V108" s="77" t="str">
        <f>IFERROR(__xludf.DUMMYFUNCTION("(T108-(IFERROR(MIN(FILTER({L108, O108, R108}, ISNUMBER({L108, O108, R108}), {L108, O108, R108} &gt; 0)), """")))/T108"),"#DIV/0!")</f>
        <v>#DIV/0!</v>
      </c>
      <c r="W108" s="78"/>
      <c r="X108" s="79">
        <v>300.0</v>
      </c>
    </row>
    <row r="109" ht="22.5" customHeight="1">
      <c r="A109" s="34"/>
      <c r="B109" s="34"/>
      <c r="C109" s="37"/>
      <c r="D109" s="38"/>
      <c r="E109" s="103"/>
      <c r="F109" s="49"/>
      <c r="G109" s="37"/>
      <c r="H109" s="43" t="s">
        <v>41</v>
      </c>
      <c r="I109" s="34"/>
      <c r="J109" s="41" t="s">
        <v>261</v>
      </c>
      <c r="K109" s="41" t="s">
        <v>261</v>
      </c>
      <c r="L109" s="41"/>
      <c r="M109" s="42"/>
      <c r="N109" s="42"/>
      <c r="O109" s="42"/>
      <c r="P109" s="41"/>
      <c r="Q109" s="39"/>
      <c r="R109" s="41"/>
      <c r="S109" s="46">
        <v>0.67</v>
      </c>
      <c r="T109" s="50">
        <f>IFERROR(__xludf.DUMMYFUNCTION("((IFERROR(MIN(FILTER({L109, O109, R109}, ISNUMBER({L109, O109, R109}), {L109, O109, R109} &gt; 0)), """"))*S109)+IFERROR(MIN(FILTER({L109, O109, R109}, ISNUMBER({L109, O109, R109}), {L109, O109, R109} &gt; 0)), """")"),0.0)</f>
        <v>0</v>
      </c>
      <c r="U109" s="50"/>
      <c r="V109" s="77" t="str">
        <f>IFERROR(__xludf.DUMMYFUNCTION("(T109-(IFERROR(MIN(FILTER({L109, O109, R109}, ISNUMBER({L109, O109, R109}), {L109, O109, R109} &gt; 0)), """")))/T109"),"#DIV/0!")</f>
        <v>#DIV/0!</v>
      </c>
      <c r="W109" s="78"/>
      <c r="X109" s="79">
        <v>300.0</v>
      </c>
    </row>
    <row r="110" ht="22.5" customHeight="1">
      <c r="A110" s="34"/>
      <c r="B110" s="34"/>
      <c r="C110" s="37"/>
      <c r="D110" s="38"/>
      <c r="E110" s="103"/>
      <c r="F110" s="49"/>
      <c r="G110" s="37"/>
      <c r="H110" s="43" t="s">
        <v>41</v>
      </c>
      <c r="I110" s="34"/>
      <c r="J110" s="41" t="s">
        <v>261</v>
      </c>
      <c r="K110" s="41" t="s">
        <v>261</v>
      </c>
      <c r="L110" s="41"/>
      <c r="M110" s="42"/>
      <c r="N110" s="42"/>
      <c r="O110" s="42"/>
      <c r="P110" s="41"/>
      <c r="Q110" s="39"/>
      <c r="R110" s="41"/>
      <c r="S110" s="46">
        <v>0.67</v>
      </c>
      <c r="T110" s="50">
        <f>IFERROR(__xludf.DUMMYFUNCTION("((IFERROR(MIN(FILTER({L110, O110, R110}, ISNUMBER({L110, O110, R110}), {L110, O110, R110} &gt; 0)), """"))*S110)+IFERROR(MIN(FILTER({L110, O110, R110}, ISNUMBER({L110, O110, R110}), {L110, O110, R110} &gt; 0)), """")"),0.0)</f>
        <v>0</v>
      </c>
      <c r="U110" s="50"/>
      <c r="V110" s="77" t="str">
        <f>IFERROR(__xludf.DUMMYFUNCTION("(T110-(IFERROR(MIN(FILTER({L110, O110, R110}, ISNUMBER({L110, O110, R110}), {L110, O110, R110} &gt; 0)), """")))/T110"),"#DIV/0!")</f>
        <v>#DIV/0!</v>
      </c>
      <c r="W110" s="78"/>
      <c r="X110" s="79">
        <v>300.0</v>
      </c>
    </row>
    <row r="111" ht="22.5" customHeight="1">
      <c r="A111" s="34"/>
      <c r="B111" s="34"/>
      <c r="C111" s="37"/>
      <c r="D111" s="38"/>
      <c r="E111" s="103"/>
      <c r="F111" s="49"/>
      <c r="G111" s="37"/>
      <c r="H111" s="43" t="s">
        <v>41</v>
      </c>
      <c r="I111" s="34"/>
      <c r="J111" s="41" t="s">
        <v>261</v>
      </c>
      <c r="K111" s="41" t="s">
        <v>261</v>
      </c>
      <c r="L111" s="41"/>
      <c r="M111" s="42"/>
      <c r="N111" s="42"/>
      <c r="O111" s="42"/>
      <c r="P111" s="41"/>
      <c r="Q111" s="39"/>
      <c r="R111" s="41"/>
      <c r="S111" s="46">
        <v>0.67</v>
      </c>
      <c r="T111" s="50">
        <f>IFERROR(__xludf.DUMMYFUNCTION("((IFERROR(MIN(FILTER({L111, O111, R111}, ISNUMBER({L111, O111, R111}), {L111, O111, R111} &gt; 0)), """"))*S111)+IFERROR(MIN(FILTER({L111, O111, R111}, ISNUMBER({L111, O111, R111}), {L111, O111, R111} &gt; 0)), """")"),0.0)</f>
        <v>0</v>
      </c>
      <c r="U111" s="50"/>
      <c r="V111" s="77" t="str">
        <f>IFERROR(__xludf.DUMMYFUNCTION("(T111-(IFERROR(MIN(FILTER({L111, O111, R111}, ISNUMBER({L111, O111, R111}), {L111, O111, R111} &gt; 0)), """")))/T111"),"#DIV/0!")</f>
        <v>#DIV/0!</v>
      </c>
      <c r="W111" s="78"/>
      <c r="X111" s="79">
        <v>300.0</v>
      </c>
    </row>
    <row r="112" ht="22.5" customHeight="1">
      <c r="A112" s="34"/>
      <c r="B112" s="34"/>
      <c r="C112" s="37"/>
      <c r="D112" s="38"/>
      <c r="E112" s="103"/>
      <c r="F112" s="49"/>
      <c r="G112" s="37"/>
      <c r="H112" s="43" t="s">
        <v>41</v>
      </c>
      <c r="I112" s="34"/>
      <c r="J112" s="41" t="s">
        <v>261</v>
      </c>
      <c r="K112" s="41" t="s">
        <v>261</v>
      </c>
      <c r="L112" s="41"/>
      <c r="M112" s="42"/>
      <c r="N112" s="42"/>
      <c r="O112" s="42"/>
      <c r="P112" s="41"/>
      <c r="Q112" s="39"/>
      <c r="R112" s="41"/>
      <c r="S112" s="46">
        <v>0.67</v>
      </c>
      <c r="T112" s="50">
        <f>IFERROR(__xludf.DUMMYFUNCTION("((IFERROR(MIN(FILTER({L112, O112, R112}, ISNUMBER({L112, O112, R112}), {L112, O112, R112} &gt; 0)), """"))*S112)+IFERROR(MIN(FILTER({L112, O112, R112}, ISNUMBER({L112, O112, R112}), {L112, O112, R112} &gt; 0)), """")"),0.0)</f>
        <v>0</v>
      </c>
      <c r="U112" s="50"/>
      <c r="V112" s="77" t="str">
        <f>IFERROR(__xludf.DUMMYFUNCTION("(T112-(IFERROR(MIN(FILTER({L112, O112, R112}, ISNUMBER({L112, O112, R112}), {L112, O112, R112} &gt; 0)), """")))/T112"),"#DIV/0!")</f>
        <v>#DIV/0!</v>
      </c>
      <c r="W112" s="78"/>
      <c r="X112" s="79">
        <v>300.0</v>
      </c>
    </row>
    <row r="113" ht="22.5" customHeight="1">
      <c r="A113" s="34"/>
      <c r="B113" s="34"/>
      <c r="C113" s="37"/>
      <c r="D113" s="38"/>
      <c r="E113" s="103"/>
      <c r="F113" s="49"/>
      <c r="G113" s="37"/>
      <c r="H113" s="43" t="s">
        <v>41</v>
      </c>
      <c r="I113" s="34"/>
      <c r="J113" s="41" t="s">
        <v>261</v>
      </c>
      <c r="K113" s="41" t="s">
        <v>261</v>
      </c>
      <c r="L113" s="41"/>
      <c r="M113" s="42"/>
      <c r="N113" s="42"/>
      <c r="O113" s="42"/>
      <c r="P113" s="41"/>
      <c r="Q113" s="39"/>
      <c r="R113" s="41"/>
      <c r="S113" s="46">
        <v>0.67</v>
      </c>
      <c r="T113" s="50">
        <f>IFERROR(__xludf.DUMMYFUNCTION("((IFERROR(MIN(FILTER({L113, O113, R113}, ISNUMBER({L113, O113, R113}), {L113, O113, R113} &gt; 0)), """"))*S113)+IFERROR(MIN(FILTER({L113, O113, R113}, ISNUMBER({L113, O113, R113}), {L113, O113, R113} &gt; 0)), """")"),0.0)</f>
        <v>0</v>
      </c>
      <c r="U113" s="50"/>
      <c r="V113" s="77" t="str">
        <f>IFERROR(__xludf.DUMMYFUNCTION("(T113-(IFERROR(MIN(FILTER({L113, O113, R113}, ISNUMBER({L113, O113, R113}), {L113, O113, R113} &gt; 0)), """")))/T113"),"#DIV/0!")</f>
        <v>#DIV/0!</v>
      </c>
      <c r="W113" s="78"/>
      <c r="X113" s="79">
        <v>300.0</v>
      </c>
    </row>
    <row r="114" ht="22.5" customHeight="1">
      <c r="A114" s="34"/>
      <c r="B114" s="34"/>
      <c r="C114" s="37"/>
      <c r="D114" s="38"/>
      <c r="E114" s="103"/>
      <c r="F114" s="49"/>
      <c r="G114" s="37"/>
      <c r="H114" s="43" t="s">
        <v>41</v>
      </c>
      <c r="I114" s="34"/>
      <c r="J114" s="41" t="s">
        <v>261</v>
      </c>
      <c r="K114" s="41" t="s">
        <v>261</v>
      </c>
      <c r="L114" s="41"/>
      <c r="M114" s="42"/>
      <c r="N114" s="42"/>
      <c r="O114" s="42"/>
      <c r="P114" s="41"/>
      <c r="Q114" s="39"/>
      <c r="R114" s="41"/>
      <c r="S114" s="46">
        <v>0.67</v>
      </c>
      <c r="T114" s="50">
        <f>IFERROR(__xludf.DUMMYFUNCTION("((IFERROR(MIN(FILTER({L114, O114, R114}, ISNUMBER({L114, O114, R114}), {L114, O114, R114} &gt; 0)), """"))*S114)+IFERROR(MIN(FILTER({L114, O114, R114}, ISNUMBER({L114, O114, R114}), {L114, O114, R114} &gt; 0)), """")"),0.0)</f>
        <v>0</v>
      </c>
      <c r="U114" s="50"/>
      <c r="V114" s="77" t="str">
        <f>IFERROR(__xludf.DUMMYFUNCTION("(T114-(IFERROR(MIN(FILTER({L114, O114, R114}, ISNUMBER({L114, O114, R114}), {L114, O114, R114} &gt; 0)), """")))/T114"),"#DIV/0!")</f>
        <v>#DIV/0!</v>
      </c>
      <c r="W114" s="78"/>
      <c r="X114" s="79">
        <v>300.0</v>
      </c>
    </row>
    <row r="115" ht="22.5" customHeight="1">
      <c r="A115" s="34"/>
      <c r="B115" s="34"/>
      <c r="C115" s="37"/>
      <c r="D115" s="38"/>
      <c r="E115" s="103"/>
      <c r="F115" s="49"/>
      <c r="G115" s="37"/>
      <c r="H115" s="43" t="s">
        <v>41</v>
      </c>
      <c r="I115" s="34"/>
      <c r="J115" s="41" t="s">
        <v>261</v>
      </c>
      <c r="K115" s="41" t="s">
        <v>261</v>
      </c>
      <c r="L115" s="41"/>
      <c r="M115" s="42"/>
      <c r="N115" s="42"/>
      <c r="O115" s="42"/>
      <c r="P115" s="41"/>
      <c r="Q115" s="39"/>
      <c r="R115" s="41"/>
      <c r="S115" s="46">
        <v>0.67</v>
      </c>
      <c r="T115" s="50">
        <f>IFERROR(__xludf.DUMMYFUNCTION("((IFERROR(MIN(FILTER({L115, O115, R115}, ISNUMBER({L115, O115, R115}), {L115, O115, R115} &gt; 0)), """"))*S115)+IFERROR(MIN(FILTER({L115, O115, R115}, ISNUMBER({L115, O115, R115}), {L115, O115, R115} &gt; 0)), """")"),0.0)</f>
        <v>0</v>
      </c>
      <c r="U115" s="50"/>
      <c r="V115" s="77" t="str">
        <f>IFERROR(__xludf.DUMMYFUNCTION("(T115-(IFERROR(MIN(FILTER({L115, O115, R115}, ISNUMBER({L115, O115, R115}), {L115, O115, R115} &gt; 0)), """")))/T115"),"#DIV/0!")</f>
        <v>#DIV/0!</v>
      </c>
      <c r="W115" s="78"/>
      <c r="X115" s="79">
        <v>300.0</v>
      </c>
    </row>
    <row r="116" ht="22.5" customHeight="1">
      <c r="A116" s="34"/>
      <c r="B116" s="34"/>
      <c r="C116" s="37"/>
      <c r="D116" s="38"/>
      <c r="E116" s="103"/>
      <c r="F116" s="49"/>
      <c r="G116" s="37"/>
      <c r="H116" s="43" t="s">
        <v>41</v>
      </c>
      <c r="I116" s="34"/>
      <c r="J116" s="41" t="s">
        <v>261</v>
      </c>
      <c r="K116" s="41" t="s">
        <v>261</v>
      </c>
      <c r="L116" s="41"/>
      <c r="M116" s="42"/>
      <c r="N116" s="42"/>
      <c r="O116" s="42"/>
      <c r="P116" s="41"/>
      <c r="Q116" s="39"/>
      <c r="R116" s="41"/>
      <c r="S116" s="46">
        <v>0.67</v>
      </c>
      <c r="T116" s="50">
        <f>IFERROR(__xludf.DUMMYFUNCTION("((IFERROR(MIN(FILTER({L116, O116, R116}, ISNUMBER({L116, O116, R116}), {L116, O116, R116} &gt; 0)), """"))*S116)+IFERROR(MIN(FILTER({L116, O116, R116}, ISNUMBER({L116, O116, R116}), {L116, O116, R116} &gt; 0)), """")"),0.0)</f>
        <v>0</v>
      </c>
      <c r="U116" s="50"/>
      <c r="V116" s="77" t="str">
        <f>IFERROR(__xludf.DUMMYFUNCTION("(T116-(IFERROR(MIN(FILTER({L116, O116, R116}, ISNUMBER({L116, O116, R116}), {L116, O116, R116} &gt; 0)), """")))/T116"),"#DIV/0!")</f>
        <v>#DIV/0!</v>
      </c>
      <c r="W116" s="78"/>
      <c r="X116" s="79">
        <v>300.0</v>
      </c>
    </row>
    <row r="117" ht="22.5" customHeight="1">
      <c r="A117" s="34"/>
      <c r="B117" s="34"/>
      <c r="C117" s="37"/>
      <c r="D117" s="38"/>
      <c r="E117" s="103"/>
      <c r="F117" s="49"/>
      <c r="G117" s="37"/>
      <c r="H117" s="43" t="s">
        <v>41</v>
      </c>
      <c r="I117" s="34"/>
      <c r="J117" s="41" t="s">
        <v>261</v>
      </c>
      <c r="K117" s="41" t="s">
        <v>261</v>
      </c>
      <c r="L117" s="41"/>
      <c r="M117" s="42"/>
      <c r="N117" s="42"/>
      <c r="O117" s="42"/>
      <c r="P117" s="41"/>
      <c r="Q117" s="39"/>
      <c r="R117" s="41"/>
      <c r="S117" s="46">
        <v>0.67</v>
      </c>
      <c r="T117" s="50">
        <f>IFERROR(__xludf.DUMMYFUNCTION("((IFERROR(MIN(FILTER({L117, O117, R117}, ISNUMBER({L117, O117, R117}), {L117, O117, R117} &gt; 0)), """"))*S117)+IFERROR(MIN(FILTER({L117, O117, R117}, ISNUMBER({L117, O117, R117}), {L117, O117, R117} &gt; 0)), """")"),0.0)</f>
        <v>0</v>
      </c>
      <c r="U117" s="50"/>
      <c r="V117" s="77" t="str">
        <f>IFERROR(__xludf.DUMMYFUNCTION("(T117-(IFERROR(MIN(FILTER({L117, O117, R117}, ISNUMBER({L117, O117, R117}), {L117, O117, R117} &gt; 0)), """")))/T117"),"#DIV/0!")</f>
        <v>#DIV/0!</v>
      </c>
      <c r="W117" s="78"/>
      <c r="X117" s="79">
        <v>300.0</v>
      </c>
    </row>
    <row r="118" ht="22.5" customHeight="1">
      <c r="A118" s="34"/>
      <c r="B118" s="34"/>
      <c r="C118" s="37"/>
      <c r="D118" s="38"/>
      <c r="E118" s="103"/>
      <c r="F118" s="49"/>
      <c r="G118" s="37"/>
      <c r="H118" s="43" t="s">
        <v>41</v>
      </c>
      <c r="I118" s="34"/>
      <c r="J118" s="41" t="s">
        <v>261</v>
      </c>
      <c r="K118" s="41" t="s">
        <v>261</v>
      </c>
      <c r="L118" s="41"/>
      <c r="M118" s="42"/>
      <c r="N118" s="42"/>
      <c r="O118" s="42"/>
      <c r="P118" s="41"/>
      <c r="Q118" s="39"/>
      <c r="R118" s="41"/>
      <c r="S118" s="46">
        <v>0.67</v>
      </c>
      <c r="T118" s="50">
        <f>IFERROR(__xludf.DUMMYFUNCTION("((IFERROR(MIN(FILTER({L118, O118, R118}, ISNUMBER({L118, O118, R118}), {L118, O118, R118} &gt; 0)), """"))*S118)+IFERROR(MIN(FILTER({L118, O118, R118}, ISNUMBER({L118, O118, R118}), {L118, O118, R118} &gt; 0)), """")"),0.0)</f>
        <v>0</v>
      </c>
      <c r="U118" s="50"/>
      <c r="V118" s="77" t="str">
        <f>IFERROR(__xludf.DUMMYFUNCTION("(T118-(IFERROR(MIN(FILTER({L118, O118, R118}, ISNUMBER({L118, O118, R118}), {L118, O118, R118} &gt; 0)), """")))/T118"),"#DIV/0!")</f>
        <v>#DIV/0!</v>
      </c>
      <c r="W118" s="78"/>
      <c r="X118" s="79">
        <v>300.0</v>
      </c>
    </row>
    <row r="119" ht="22.5" customHeight="1">
      <c r="A119" s="34"/>
      <c r="B119" s="34"/>
      <c r="C119" s="37"/>
      <c r="D119" s="38"/>
      <c r="E119" s="103"/>
      <c r="F119" s="49"/>
      <c r="G119" s="37"/>
      <c r="H119" s="43" t="s">
        <v>41</v>
      </c>
      <c r="I119" s="34"/>
      <c r="J119" s="41" t="s">
        <v>261</v>
      </c>
      <c r="K119" s="41" t="s">
        <v>261</v>
      </c>
      <c r="L119" s="41"/>
      <c r="M119" s="42"/>
      <c r="N119" s="42"/>
      <c r="O119" s="42"/>
      <c r="P119" s="41"/>
      <c r="Q119" s="39"/>
      <c r="R119" s="41"/>
      <c r="S119" s="46">
        <v>0.67</v>
      </c>
      <c r="T119" s="50">
        <f>IFERROR(__xludf.DUMMYFUNCTION("((IFERROR(MIN(FILTER({L119, O119, R119}, ISNUMBER({L119, O119, R119}), {L119, O119, R119} &gt; 0)), """"))*S119)+IFERROR(MIN(FILTER({L119, O119, R119}, ISNUMBER({L119, O119, R119}), {L119, O119, R119} &gt; 0)), """")"),0.0)</f>
        <v>0</v>
      </c>
      <c r="U119" s="50"/>
      <c r="V119" s="77" t="str">
        <f>IFERROR(__xludf.DUMMYFUNCTION("(T119-(IFERROR(MIN(FILTER({L119, O119, R119}, ISNUMBER({L119, O119, R119}), {L119, O119, R119} &gt; 0)), """")))/T119"),"#DIV/0!")</f>
        <v>#DIV/0!</v>
      </c>
      <c r="W119" s="78"/>
      <c r="X119" s="79">
        <v>300.0</v>
      </c>
    </row>
    <row r="120" ht="22.5" customHeight="1">
      <c r="A120" s="34"/>
      <c r="B120" s="34"/>
      <c r="C120" s="37"/>
      <c r="D120" s="38"/>
      <c r="E120" s="103"/>
      <c r="F120" s="49"/>
      <c r="G120" s="37"/>
      <c r="H120" s="43" t="s">
        <v>41</v>
      </c>
      <c r="I120" s="34"/>
      <c r="J120" s="41" t="s">
        <v>261</v>
      </c>
      <c r="K120" s="41" t="s">
        <v>261</v>
      </c>
      <c r="L120" s="41"/>
      <c r="M120" s="42"/>
      <c r="N120" s="42"/>
      <c r="O120" s="42"/>
      <c r="P120" s="41"/>
      <c r="Q120" s="39"/>
      <c r="R120" s="41"/>
      <c r="S120" s="46">
        <v>0.67</v>
      </c>
      <c r="T120" s="50">
        <f>IFERROR(__xludf.DUMMYFUNCTION("((IFERROR(MIN(FILTER({L120, O120, R120}, ISNUMBER({L120, O120, R120}), {L120, O120, R120} &gt; 0)), """"))*S120)+IFERROR(MIN(FILTER({L120, O120, R120}, ISNUMBER({L120, O120, R120}), {L120, O120, R120} &gt; 0)), """")"),0.0)</f>
        <v>0</v>
      </c>
      <c r="U120" s="50"/>
      <c r="V120" s="77" t="str">
        <f>IFERROR(__xludf.DUMMYFUNCTION("(T120-(IFERROR(MIN(FILTER({L120, O120, R120}, ISNUMBER({L120, O120, R120}), {L120, O120, R120} &gt; 0)), """")))/T120"),"#DIV/0!")</f>
        <v>#DIV/0!</v>
      </c>
      <c r="W120" s="78"/>
      <c r="X120" s="79">
        <v>300.0</v>
      </c>
    </row>
    <row r="121" ht="22.5" customHeight="1">
      <c r="A121" s="34"/>
      <c r="B121" s="34"/>
      <c r="C121" s="37"/>
      <c r="D121" s="38"/>
      <c r="E121" s="103"/>
      <c r="F121" s="49"/>
      <c r="G121" s="37"/>
      <c r="H121" s="43" t="s">
        <v>41</v>
      </c>
      <c r="I121" s="34"/>
      <c r="J121" s="41" t="s">
        <v>261</v>
      </c>
      <c r="K121" s="41" t="s">
        <v>261</v>
      </c>
      <c r="L121" s="41"/>
      <c r="M121" s="42"/>
      <c r="N121" s="42"/>
      <c r="O121" s="42"/>
      <c r="P121" s="41"/>
      <c r="Q121" s="39"/>
      <c r="R121" s="41"/>
      <c r="S121" s="46">
        <v>0.67</v>
      </c>
      <c r="T121" s="50">
        <f>IFERROR(__xludf.DUMMYFUNCTION("((IFERROR(MIN(FILTER({L121, O121, R121}, ISNUMBER({L121, O121, R121}), {L121, O121, R121} &gt; 0)), """"))*S121)+IFERROR(MIN(FILTER({L121, O121, R121}, ISNUMBER({L121, O121, R121}), {L121, O121, R121} &gt; 0)), """")"),0.0)</f>
        <v>0</v>
      </c>
      <c r="U121" s="50"/>
      <c r="V121" s="77" t="str">
        <f>IFERROR(__xludf.DUMMYFUNCTION("(T121-(IFERROR(MIN(FILTER({L121, O121, R121}, ISNUMBER({L121, O121, R121}), {L121, O121, R121} &gt; 0)), """")))/T121"),"#DIV/0!")</f>
        <v>#DIV/0!</v>
      </c>
      <c r="W121" s="78"/>
      <c r="X121" s="79">
        <v>300.0</v>
      </c>
    </row>
    <row r="122" ht="22.5" customHeight="1">
      <c r="A122" s="34"/>
      <c r="B122" s="34"/>
      <c r="C122" s="37"/>
      <c r="D122" s="38"/>
      <c r="E122" s="103"/>
      <c r="F122" s="49"/>
      <c r="G122" s="37"/>
      <c r="H122" s="107"/>
      <c r="I122" s="34"/>
      <c r="J122" s="41" t="s">
        <v>261</v>
      </c>
      <c r="K122" s="41" t="s">
        <v>261</v>
      </c>
      <c r="L122" s="41"/>
      <c r="M122" s="108"/>
      <c r="N122" s="108"/>
      <c r="O122" s="108"/>
      <c r="P122" s="41"/>
      <c r="Q122" s="39"/>
      <c r="R122" s="41"/>
      <c r="S122" s="46">
        <v>0.67</v>
      </c>
      <c r="T122" s="109">
        <f>IFERROR(__xludf.DUMMYFUNCTION("((IFERROR(MIN(FILTER({L122, O122, R122}, ISNUMBER({L122, O122, R122}), {L122, O122, R122} &gt; 0)), """"))*S122)+IFERROR(MIN(FILTER({L122, O122, R122}, ISNUMBER({L122, O122, R122}), {L122, O122, R122} &gt; 0)), """")"),0.0)</f>
        <v>0</v>
      </c>
      <c r="U122" s="109"/>
      <c r="V122" s="77" t="str">
        <f>IFERROR(__xludf.DUMMYFUNCTION("(T122-(IFERROR(MIN(FILTER({L122, O122, R122}, ISNUMBER({L122, O122, R122}), {L122, O122, R122} &gt; 0)), """")))/T122"),"#DIV/0!")</f>
        <v>#DIV/0!</v>
      </c>
      <c r="W122" s="78"/>
      <c r="X122" s="79">
        <v>300.0</v>
      </c>
    </row>
    <row r="123" ht="22.5" customHeight="1">
      <c r="A123" s="34"/>
      <c r="B123" s="34"/>
      <c r="C123" s="37"/>
      <c r="D123" s="38"/>
      <c r="E123" s="103"/>
      <c r="F123" s="49"/>
      <c r="G123" s="37"/>
      <c r="H123" s="107"/>
      <c r="I123" s="34"/>
      <c r="J123" s="41" t="s">
        <v>261</v>
      </c>
      <c r="K123" s="41" t="s">
        <v>261</v>
      </c>
      <c r="L123" s="41"/>
      <c r="M123" s="108"/>
      <c r="N123" s="108"/>
      <c r="O123" s="108"/>
      <c r="P123" s="41"/>
      <c r="Q123" s="39"/>
      <c r="R123" s="41"/>
      <c r="S123" s="46">
        <v>0.67</v>
      </c>
      <c r="T123" s="109">
        <f>IFERROR(__xludf.DUMMYFUNCTION("((IFERROR(MIN(FILTER({L123, O123, R123}, ISNUMBER({L123, O123, R123}), {L123, O123, R123} &gt; 0)), """"))*S123)+IFERROR(MIN(FILTER({L123, O123, R123}, ISNUMBER({L123, O123, R123}), {L123, O123, R123} &gt; 0)), """")"),0.0)</f>
        <v>0</v>
      </c>
      <c r="U123" s="109"/>
      <c r="V123" s="77" t="str">
        <f>IFERROR(__xludf.DUMMYFUNCTION("(T123-(IFERROR(MIN(FILTER({L123, O123, R123}, ISNUMBER({L123, O123, R123}), {L123, O123, R123} &gt; 0)), """")))/T123"),"#DIV/0!")</f>
        <v>#DIV/0!</v>
      </c>
      <c r="W123" s="78"/>
      <c r="X123" s="79">
        <v>300.0</v>
      </c>
    </row>
    <row r="124" ht="22.5" customHeight="1">
      <c r="A124" s="34"/>
      <c r="B124" s="34"/>
      <c r="C124" s="37"/>
      <c r="D124" s="38"/>
      <c r="E124" s="103"/>
      <c r="F124" s="49"/>
      <c r="G124" s="37"/>
      <c r="H124" s="107"/>
      <c r="I124" s="34"/>
      <c r="J124" s="41" t="s">
        <v>261</v>
      </c>
      <c r="K124" s="41" t="s">
        <v>261</v>
      </c>
      <c r="L124" s="41"/>
      <c r="M124" s="108"/>
      <c r="N124" s="108"/>
      <c r="O124" s="108"/>
      <c r="P124" s="41"/>
      <c r="Q124" s="39"/>
      <c r="R124" s="41"/>
      <c r="S124" s="46">
        <v>0.67</v>
      </c>
      <c r="T124" s="109">
        <f>IFERROR(__xludf.DUMMYFUNCTION("((IFERROR(MIN(FILTER({L124, O124, R124}, ISNUMBER({L124, O124, R124}), {L124, O124, R124} &gt; 0)), """"))*S124)+IFERROR(MIN(FILTER({L124, O124, R124}, ISNUMBER({L124, O124, R124}), {L124, O124, R124} &gt; 0)), """")"),0.0)</f>
        <v>0</v>
      </c>
      <c r="U124" s="109"/>
      <c r="V124" s="77" t="str">
        <f>IFERROR(__xludf.DUMMYFUNCTION("(T124-(IFERROR(MIN(FILTER({L124, O124, R124}, ISNUMBER({L124, O124, R124}), {L124, O124, R124} &gt; 0)), """")))/T124"),"#DIV/0!")</f>
        <v>#DIV/0!</v>
      </c>
      <c r="W124" s="78"/>
      <c r="X124" s="79">
        <v>300.0</v>
      </c>
    </row>
    <row r="125" ht="22.5" customHeight="1">
      <c r="A125" s="34"/>
      <c r="B125" s="34"/>
      <c r="C125" s="37"/>
      <c r="D125" s="38"/>
      <c r="E125" s="103"/>
      <c r="F125" s="49"/>
      <c r="G125" s="37"/>
      <c r="H125" s="107"/>
      <c r="I125" s="34"/>
      <c r="J125" s="41" t="s">
        <v>261</v>
      </c>
      <c r="K125" s="41" t="s">
        <v>261</v>
      </c>
      <c r="L125" s="41"/>
      <c r="M125" s="108"/>
      <c r="N125" s="108"/>
      <c r="O125" s="108"/>
      <c r="P125" s="41"/>
      <c r="Q125" s="39"/>
      <c r="R125" s="41"/>
      <c r="S125" s="46">
        <v>0.67</v>
      </c>
      <c r="T125" s="109">
        <f>IFERROR(__xludf.DUMMYFUNCTION("((IFERROR(MIN(FILTER({L125, O125, R125}, ISNUMBER({L125, O125, R125}), {L125, O125, R125} &gt; 0)), """"))*S125)+IFERROR(MIN(FILTER({L125, O125, R125}, ISNUMBER({L125, O125, R125}), {L125, O125, R125} &gt; 0)), """")"),0.0)</f>
        <v>0</v>
      </c>
      <c r="U125" s="109"/>
      <c r="V125" s="77" t="str">
        <f>IFERROR(__xludf.DUMMYFUNCTION("(T125-(IFERROR(MIN(FILTER({L125, O125, R125}, ISNUMBER({L125, O125, R125}), {L125, O125, R125} &gt; 0)), """")))/T125"),"#DIV/0!")</f>
        <v>#DIV/0!</v>
      </c>
      <c r="W125" s="78"/>
      <c r="X125" s="79">
        <v>300.0</v>
      </c>
    </row>
    <row r="126" ht="22.5" customHeight="1">
      <c r="A126" s="34"/>
      <c r="B126" s="34"/>
      <c r="C126" s="37"/>
      <c r="D126" s="38"/>
      <c r="E126" s="103"/>
      <c r="F126" s="49"/>
      <c r="G126" s="37"/>
      <c r="H126" s="107"/>
      <c r="I126" s="34"/>
      <c r="J126" s="41" t="s">
        <v>261</v>
      </c>
      <c r="K126" s="41" t="s">
        <v>261</v>
      </c>
      <c r="L126" s="41"/>
      <c r="M126" s="108"/>
      <c r="N126" s="108"/>
      <c r="O126" s="108"/>
      <c r="P126" s="41"/>
      <c r="Q126" s="39"/>
      <c r="R126" s="41"/>
      <c r="S126" s="46">
        <v>0.67</v>
      </c>
      <c r="T126" s="109">
        <f>IFERROR(__xludf.DUMMYFUNCTION("((IFERROR(MIN(FILTER({L126, O126, R126}, ISNUMBER({L126, O126, R126}), {L126, O126, R126} &gt; 0)), """"))*S126)+IFERROR(MIN(FILTER({L126, O126, R126}, ISNUMBER({L126, O126, R126}), {L126, O126, R126} &gt; 0)), """")"),0.0)</f>
        <v>0</v>
      </c>
      <c r="U126" s="109"/>
      <c r="V126" s="77" t="str">
        <f>IFERROR(__xludf.DUMMYFUNCTION("(T126-(IFERROR(MIN(FILTER({L126, O126, R126}, ISNUMBER({L126, O126, R126}), {L126, O126, R126} &gt; 0)), """")))/T126"),"#DIV/0!")</f>
        <v>#DIV/0!</v>
      </c>
      <c r="W126" s="78"/>
      <c r="X126" s="79">
        <v>300.0</v>
      </c>
    </row>
    <row r="127" ht="22.5" customHeight="1">
      <c r="A127" s="34"/>
      <c r="B127" s="34"/>
      <c r="C127" s="37"/>
      <c r="D127" s="38"/>
      <c r="E127" s="103"/>
      <c r="F127" s="49"/>
      <c r="G127" s="37"/>
      <c r="H127" s="107"/>
      <c r="I127" s="34"/>
      <c r="J127" s="41" t="s">
        <v>261</v>
      </c>
      <c r="K127" s="41" t="s">
        <v>261</v>
      </c>
      <c r="L127" s="41"/>
      <c r="M127" s="108"/>
      <c r="N127" s="108"/>
      <c r="O127" s="108"/>
      <c r="P127" s="41"/>
      <c r="Q127" s="39"/>
      <c r="R127" s="41"/>
      <c r="S127" s="46">
        <v>0.67</v>
      </c>
      <c r="T127" s="109">
        <f>IFERROR(__xludf.DUMMYFUNCTION("((IFERROR(MIN(FILTER({L127, O127, R127}, ISNUMBER({L127, O127, R127}), {L127, O127, R127} &gt; 0)), """"))*S127)+IFERROR(MIN(FILTER({L127, O127, R127}, ISNUMBER({L127, O127, R127}), {L127, O127, R127} &gt; 0)), """")"),0.0)</f>
        <v>0</v>
      </c>
      <c r="U127" s="109"/>
      <c r="V127" s="77" t="str">
        <f>IFERROR(__xludf.DUMMYFUNCTION("(T127-(IFERROR(MIN(FILTER({L127, O127, R127}, ISNUMBER({L127, O127, R127}), {L127, O127, R127} &gt; 0)), """")))/T127"),"#DIV/0!")</f>
        <v>#DIV/0!</v>
      </c>
      <c r="W127" s="78"/>
      <c r="X127" s="79">
        <v>300.0</v>
      </c>
    </row>
    <row r="128" ht="22.5" customHeight="1">
      <c r="A128" s="34"/>
      <c r="B128" s="34"/>
      <c r="C128" s="37"/>
      <c r="D128" s="38"/>
      <c r="E128" s="103"/>
      <c r="F128" s="49"/>
      <c r="G128" s="37"/>
      <c r="H128" s="107"/>
      <c r="I128" s="34"/>
      <c r="J128" s="41" t="s">
        <v>261</v>
      </c>
      <c r="K128" s="41" t="s">
        <v>261</v>
      </c>
      <c r="L128" s="41"/>
      <c r="M128" s="108"/>
      <c r="N128" s="108"/>
      <c r="O128" s="108"/>
      <c r="P128" s="41"/>
      <c r="Q128" s="39"/>
      <c r="R128" s="41"/>
      <c r="S128" s="46">
        <v>0.67</v>
      </c>
      <c r="T128" s="109">
        <f>IFERROR(__xludf.DUMMYFUNCTION("((IFERROR(MIN(FILTER({L128, O128, R128}, ISNUMBER({L128, O128, R128}), {L128, O128, R128} &gt; 0)), """"))*S128)+IFERROR(MIN(FILTER({L128, O128, R128}, ISNUMBER({L128, O128, R128}), {L128, O128, R128} &gt; 0)), """")"),0.0)</f>
        <v>0</v>
      </c>
      <c r="U128" s="109"/>
      <c r="V128" s="77" t="str">
        <f>IFERROR(__xludf.DUMMYFUNCTION("(T128-(IFERROR(MIN(FILTER({L128, O128, R128}, ISNUMBER({L128, O128, R128}), {L128, O128, R128} &gt; 0)), """")))/T128"),"#DIV/0!")</f>
        <v>#DIV/0!</v>
      </c>
      <c r="W128" s="78"/>
      <c r="X128" s="79">
        <v>300.0</v>
      </c>
    </row>
    <row r="129" ht="22.5" customHeight="1">
      <c r="A129" s="34"/>
      <c r="B129" s="34"/>
      <c r="C129" s="37"/>
      <c r="D129" s="38"/>
      <c r="E129" s="103"/>
      <c r="F129" s="49"/>
      <c r="G129" s="37"/>
      <c r="H129" s="107"/>
      <c r="I129" s="34"/>
      <c r="J129" s="41" t="s">
        <v>261</v>
      </c>
      <c r="K129" s="41" t="s">
        <v>261</v>
      </c>
      <c r="L129" s="41"/>
      <c r="M129" s="108"/>
      <c r="N129" s="108"/>
      <c r="O129" s="108"/>
      <c r="P129" s="41"/>
      <c r="Q129" s="39"/>
      <c r="R129" s="41"/>
      <c r="S129" s="46">
        <v>0.67</v>
      </c>
      <c r="T129" s="109">
        <f>IFERROR(__xludf.DUMMYFUNCTION("((IFERROR(MIN(FILTER({L129, O129, R129}, ISNUMBER({L129, O129, R129}), {L129, O129, R129} &gt; 0)), """"))*S129)+IFERROR(MIN(FILTER({L129, O129, R129}, ISNUMBER({L129, O129, R129}), {L129, O129, R129} &gt; 0)), """")"),0.0)</f>
        <v>0</v>
      </c>
      <c r="U129" s="109"/>
      <c r="V129" s="77" t="str">
        <f>IFERROR(__xludf.DUMMYFUNCTION("(T129-(IFERROR(MIN(FILTER({L129, O129, R129}, ISNUMBER({L129, O129, R129}), {L129, O129, R129} &gt; 0)), """")))/T129"),"#DIV/0!")</f>
        <v>#DIV/0!</v>
      </c>
      <c r="W129" s="78"/>
      <c r="X129" s="79">
        <v>300.0</v>
      </c>
    </row>
    <row r="130" ht="22.5" customHeight="1">
      <c r="A130" s="34"/>
      <c r="B130" s="34"/>
      <c r="C130" s="37"/>
      <c r="D130" s="38"/>
      <c r="E130" s="103"/>
      <c r="F130" s="49"/>
      <c r="G130" s="37"/>
      <c r="H130" s="107"/>
      <c r="I130" s="34"/>
      <c r="J130" s="41" t="s">
        <v>261</v>
      </c>
      <c r="K130" s="41" t="s">
        <v>261</v>
      </c>
      <c r="L130" s="41"/>
      <c r="M130" s="108"/>
      <c r="N130" s="108"/>
      <c r="O130" s="108"/>
      <c r="P130" s="41"/>
      <c r="Q130" s="39"/>
      <c r="R130" s="41"/>
      <c r="S130" s="46">
        <v>0.67</v>
      </c>
      <c r="T130" s="109">
        <f>IFERROR(__xludf.DUMMYFUNCTION("((IFERROR(MIN(FILTER({L130, O130, R130}, ISNUMBER({L130, O130, R130}), {L130, O130, R130} &gt; 0)), """"))*S130)+IFERROR(MIN(FILTER({L130, O130, R130}, ISNUMBER({L130, O130, R130}), {L130, O130, R130} &gt; 0)), """")"),0.0)</f>
        <v>0</v>
      </c>
      <c r="U130" s="109"/>
      <c r="V130" s="77" t="str">
        <f>IFERROR(__xludf.DUMMYFUNCTION("(T130-(IFERROR(MIN(FILTER({L130, O130, R130}, ISNUMBER({L130, O130, R130}), {L130, O130, R130} &gt; 0)), """")))/T130"),"#DIV/0!")</f>
        <v>#DIV/0!</v>
      </c>
      <c r="W130" s="78"/>
      <c r="X130" s="79">
        <v>300.0</v>
      </c>
    </row>
    <row r="131" ht="22.5" customHeight="1">
      <c r="A131" s="34"/>
      <c r="B131" s="34"/>
      <c r="C131" s="37"/>
      <c r="D131" s="38"/>
      <c r="E131" s="103"/>
      <c r="F131" s="49"/>
      <c r="G131" s="37"/>
      <c r="H131" s="107"/>
      <c r="I131" s="34"/>
      <c r="J131" s="41" t="s">
        <v>261</v>
      </c>
      <c r="K131" s="41" t="s">
        <v>261</v>
      </c>
      <c r="L131" s="41"/>
      <c r="M131" s="108"/>
      <c r="N131" s="108"/>
      <c r="O131" s="110"/>
      <c r="P131" s="41"/>
      <c r="Q131" s="39"/>
      <c r="R131" s="39"/>
      <c r="S131" s="46">
        <v>0.67</v>
      </c>
      <c r="T131" s="109">
        <f>IFERROR(__xludf.DUMMYFUNCTION("((IFERROR(MIN(FILTER({L131, O131, R131}, ISNUMBER({L131, O131, R131}), {L131, O131, R131} &gt; 0)), """"))*S131)+IFERROR(MIN(FILTER({L131, O131, R131}, ISNUMBER({L131, O131, R131}), {L131, O131, R131} &gt; 0)), """")"),0.0)</f>
        <v>0</v>
      </c>
      <c r="U131" s="109"/>
      <c r="V131" s="77" t="str">
        <f>IFERROR(__xludf.DUMMYFUNCTION("(T131-(IFERROR(MIN(FILTER({L131, O131, R131}, ISNUMBER({L131, O131, R131}), {L131, O131, R131} &gt; 0)), """")))/T131"),"#DIV/0!")</f>
        <v>#DIV/0!</v>
      </c>
      <c r="W131" s="78"/>
      <c r="X131" s="79">
        <v>300.0</v>
      </c>
    </row>
    <row r="132" ht="22.5" customHeight="1">
      <c r="A132" s="34"/>
      <c r="B132" s="34"/>
      <c r="C132" s="37"/>
      <c r="D132" s="38"/>
      <c r="E132" s="103"/>
      <c r="F132" s="49"/>
      <c r="G132" s="37"/>
      <c r="H132" s="107"/>
      <c r="I132" s="34"/>
      <c r="J132" s="41" t="s">
        <v>261</v>
      </c>
      <c r="K132" s="41" t="s">
        <v>261</v>
      </c>
      <c r="L132" s="41"/>
      <c r="M132" s="108"/>
      <c r="N132" s="108"/>
      <c r="O132" s="110"/>
      <c r="P132" s="41"/>
      <c r="Q132" s="39"/>
      <c r="R132" s="39"/>
      <c r="S132" s="46">
        <v>0.67</v>
      </c>
      <c r="T132" s="109">
        <f>IFERROR(__xludf.DUMMYFUNCTION("((IFERROR(MIN(FILTER({L132, O132, R132}, ISNUMBER({L132, O132, R132}), {L132, O132, R132} &gt; 0)), """"))*S132)+IFERROR(MIN(FILTER({L132, O132, R132}, ISNUMBER({L132, O132, R132}), {L132, O132, R132} &gt; 0)), """")"),0.0)</f>
        <v>0</v>
      </c>
      <c r="U132" s="109"/>
      <c r="V132" s="77" t="str">
        <f>IFERROR(__xludf.DUMMYFUNCTION("(T132-(IFERROR(MIN(FILTER({L132, O132, R132}, ISNUMBER({L132, O132, R132}), {L132, O132, R132} &gt; 0)), """")))/T132"),"#DIV/0!")</f>
        <v>#DIV/0!</v>
      </c>
      <c r="W132" s="78"/>
      <c r="X132" s="79">
        <v>300.0</v>
      </c>
    </row>
    <row r="133" ht="22.5" customHeight="1">
      <c r="A133" s="34"/>
      <c r="B133" s="34"/>
      <c r="C133" s="37"/>
      <c r="D133" s="38"/>
      <c r="E133" s="103"/>
      <c r="F133" s="49"/>
      <c r="G133" s="37"/>
      <c r="H133" s="107"/>
      <c r="I133" s="34"/>
      <c r="J133" s="41" t="s">
        <v>261</v>
      </c>
      <c r="K133" s="41" t="s">
        <v>261</v>
      </c>
      <c r="L133" s="41"/>
      <c r="M133" s="108"/>
      <c r="N133" s="108"/>
      <c r="O133" s="110"/>
      <c r="P133" s="41"/>
      <c r="Q133" s="39"/>
      <c r="R133" s="39"/>
      <c r="S133" s="46">
        <v>0.67</v>
      </c>
      <c r="T133" s="109">
        <f>IFERROR(__xludf.DUMMYFUNCTION("((IFERROR(MIN(FILTER({L133, O133, R133}, ISNUMBER({L133, O133, R133}), {L133, O133, R133} &gt; 0)), """"))*S133)+IFERROR(MIN(FILTER({L133, O133, R133}, ISNUMBER({L133, O133, R133}), {L133, O133, R133} &gt; 0)), """")"),0.0)</f>
        <v>0</v>
      </c>
      <c r="U133" s="109"/>
      <c r="V133" s="77" t="str">
        <f>IFERROR(__xludf.DUMMYFUNCTION("(T133-(IFERROR(MIN(FILTER({L133, O133, R133}, ISNUMBER({L133, O133, R133}), {L133, O133, R133} &gt; 0)), """")))/T133"),"#DIV/0!")</f>
        <v>#DIV/0!</v>
      </c>
      <c r="W133" s="78"/>
      <c r="X133" s="79">
        <v>300.0</v>
      </c>
    </row>
    <row r="134" ht="22.5" customHeight="1">
      <c r="A134" s="34"/>
      <c r="B134" s="34"/>
      <c r="C134" s="37"/>
      <c r="D134" s="38"/>
      <c r="E134" s="103"/>
      <c r="F134" s="49"/>
      <c r="G134" s="37"/>
      <c r="H134" s="107"/>
      <c r="I134" s="34"/>
      <c r="J134" s="41" t="s">
        <v>261</v>
      </c>
      <c r="K134" s="41" t="s">
        <v>261</v>
      </c>
      <c r="L134" s="41"/>
      <c r="M134" s="108"/>
      <c r="N134" s="108"/>
      <c r="O134" s="110"/>
      <c r="P134" s="41"/>
      <c r="Q134" s="39"/>
      <c r="R134" s="39"/>
      <c r="S134" s="46">
        <v>0.67</v>
      </c>
      <c r="T134" s="109">
        <f>IFERROR(__xludf.DUMMYFUNCTION("((IFERROR(MIN(FILTER({L134, O134, R134}, ISNUMBER({L134, O134, R134}), {L134, O134, R134} &gt; 0)), """"))*S134)+IFERROR(MIN(FILTER({L134, O134, R134}, ISNUMBER({L134, O134, R134}), {L134, O134, R134} &gt; 0)), """")"),0.0)</f>
        <v>0</v>
      </c>
      <c r="U134" s="109"/>
      <c r="V134" s="77" t="str">
        <f>IFERROR(__xludf.DUMMYFUNCTION("(T134-(IFERROR(MIN(FILTER({L134, O134, R134}, ISNUMBER({L134, O134, R134}), {L134, O134, R134} &gt; 0)), """")))/T134"),"#DIV/0!")</f>
        <v>#DIV/0!</v>
      </c>
      <c r="W134" s="78"/>
      <c r="X134" s="79">
        <v>300.0</v>
      </c>
    </row>
    <row r="135" ht="22.5" customHeight="1">
      <c r="A135" s="34"/>
      <c r="B135" s="34"/>
      <c r="C135" s="37"/>
      <c r="D135" s="38"/>
      <c r="E135" s="103"/>
      <c r="F135" s="49"/>
      <c r="G135" s="37"/>
      <c r="H135" s="107"/>
      <c r="I135" s="34"/>
      <c r="J135" s="41" t="s">
        <v>261</v>
      </c>
      <c r="K135" s="41" t="s">
        <v>261</v>
      </c>
      <c r="L135" s="41"/>
      <c r="M135" s="108"/>
      <c r="N135" s="108"/>
      <c r="O135" s="110"/>
      <c r="P135" s="41"/>
      <c r="Q135" s="39"/>
      <c r="R135" s="39"/>
      <c r="S135" s="46">
        <v>0.67</v>
      </c>
      <c r="T135" s="109">
        <f>IFERROR(__xludf.DUMMYFUNCTION("((IFERROR(MIN(FILTER({L135, O135, R135}, ISNUMBER({L135, O135, R135}), {L135, O135, R135} &gt; 0)), """"))*S135)+IFERROR(MIN(FILTER({L135, O135, R135}, ISNUMBER({L135, O135, R135}), {L135, O135, R135} &gt; 0)), """")"),0.0)</f>
        <v>0</v>
      </c>
      <c r="U135" s="109"/>
      <c r="V135" s="77" t="str">
        <f>IFERROR(__xludf.DUMMYFUNCTION("(T135-(IFERROR(MIN(FILTER({L135, O135, R135}, ISNUMBER({L135, O135, R135}), {L135, O135, R135} &gt; 0)), """")))/T135"),"#DIV/0!")</f>
        <v>#DIV/0!</v>
      </c>
      <c r="W135" s="78"/>
      <c r="X135" s="79">
        <v>300.0</v>
      </c>
    </row>
    <row r="136" ht="22.5" customHeight="1">
      <c r="A136" s="34"/>
      <c r="B136" s="34"/>
      <c r="C136" s="37"/>
      <c r="D136" s="38"/>
      <c r="E136" s="103"/>
      <c r="F136" s="49"/>
      <c r="G136" s="37"/>
      <c r="H136" s="107"/>
      <c r="I136" s="34"/>
      <c r="J136" s="41" t="s">
        <v>261</v>
      </c>
      <c r="K136" s="41" t="s">
        <v>261</v>
      </c>
      <c r="L136" s="41"/>
      <c r="M136" s="108"/>
      <c r="N136" s="108"/>
      <c r="O136" s="108"/>
      <c r="P136" s="41"/>
      <c r="Q136" s="39"/>
      <c r="R136" s="41"/>
      <c r="S136" s="46">
        <v>0.67</v>
      </c>
      <c r="T136" s="109">
        <f>IFERROR(__xludf.DUMMYFUNCTION("((IFERROR(MIN(FILTER({L136, O136, R136}, ISNUMBER({L136, O136, R136}), {L136, O136, R136} &gt; 0)), """"))*S136)+IFERROR(MIN(FILTER({L136, O136, R136}, ISNUMBER({L136, O136, R136}), {L136, O136, R136} &gt; 0)), """")"),0.0)</f>
        <v>0</v>
      </c>
      <c r="U136" s="109"/>
      <c r="V136" s="77" t="str">
        <f>IFERROR(__xludf.DUMMYFUNCTION("(T136-(IFERROR(MIN(FILTER({L136, O136, R136}, ISNUMBER({L136, O136, R136}), {L136, O136, R136} &gt; 0)), """")))/T136"),"#DIV/0!")</f>
        <v>#DIV/0!</v>
      </c>
      <c r="W136" s="78"/>
      <c r="X136" s="79">
        <v>300.0</v>
      </c>
    </row>
    <row r="137" ht="22.5" customHeight="1">
      <c r="A137" s="34"/>
      <c r="B137" s="34"/>
      <c r="C137" s="37"/>
      <c r="D137" s="38"/>
      <c r="E137" s="103"/>
      <c r="F137" s="49"/>
      <c r="G137" s="37"/>
      <c r="H137" s="107"/>
      <c r="I137" s="34"/>
      <c r="J137" s="41" t="s">
        <v>261</v>
      </c>
      <c r="K137" s="41" t="s">
        <v>261</v>
      </c>
      <c r="L137" s="41"/>
      <c r="M137" s="108"/>
      <c r="N137" s="108"/>
      <c r="O137" s="108"/>
      <c r="P137" s="41"/>
      <c r="Q137" s="39"/>
      <c r="R137" s="41"/>
      <c r="S137" s="46">
        <v>0.67</v>
      </c>
      <c r="T137" s="109">
        <f>IFERROR(__xludf.DUMMYFUNCTION("((IFERROR(MIN(FILTER({L137, O137, R137}, ISNUMBER({L137, O137, R137}), {L137, O137, R137} &gt; 0)), """"))*S137)+IFERROR(MIN(FILTER({L137, O137, R137}, ISNUMBER({L137, O137, R137}), {L137, O137, R137} &gt; 0)), """")"),0.0)</f>
        <v>0</v>
      </c>
      <c r="U137" s="109"/>
      <c r="V137" s="77" t="str">
        <f>IFERROR(__xludf.DUMMYFUNCTION("(T137-(IFERROR(MIN(FILTER({L137, O137, R137}, ISNUMBER({L137, O137, R137}), {L137, O137, R137} &gt; 0)), """")))/T137"),"#DIV/0!")</f>
        <v>#DIV/0!</v>
      </c>
      <c r="W137" s="78"/>
      <c r="X137" s="79">
        <v>300.0</v>
      </c>
    </row>
    <row r="138" ht="22.5" customHeight="1">
      <c r="A138" s="34"/>
      <c r="B138" s="34"/>
      <c r="C138" s="37"/>
      <c r="D138" s="38"/>
      <c r="E138" s="103"/>
      <c r="F138" s="49"/>
      <c r="G138" s="37"/>
      <c r="H138" s="107"/>
      <c r="I138" s="34"/>
      <c r="J138" s="41" t="s">
        <v>261</v>
      </c>
      <c r="K138" s="41" t="s">
        <v>261</v>
      </c>
      <c r="L138" s="41"/>
      <c r="M138" s="108"/>
      <c r="N138" s="108"/>
      <c r="O138" s="110"/>
      <c r="P138" s="41"/>
      <c r="Q138" s="39"/>
      <c r="R138" s="39"/>
      <c r="S138" s="46">
        <v>0.67</v>
      </c>
      <c r="T138" s="109">
        <f>IFERROR(__xludf.DUMMYFUNCTION("((IFERROR(MIN(FILTER({L138, O138, R138}, ISNUMBER({L138, O138, R138}), {L138, O138, R138} &gt; 0)), """"))*S138)+IFERROR(MIN(FILTER({L138, O138, R138}, ISNUMBER({L138, O138, R138}), {L138, O138, R138} &gt; 0)), """")"),0.0)</f>
        <v>0</v>
      </c>
      <c r="U138" s="109"/>
      <c r="V138" s="77" t="str">
        <f>IFERROR(__xludf.DUMMYFUNCTION("(T138-(IFERROR(MIN(FILTER({L138, O138, R138}, ISNUMBER({L138, O138, R138}), {L138, O138, R138} &gt; 0)), """")))/T138"),"#DIV/0!")</f>
        <v>#DIV/0!</v>
      </c>
      <c r="W138" s="78"/>
      <c r="X138" s="79">
        <v>300.0</v>
      </c>
    </row>
    <row r="139" ht="22.5" customHeight="1">
      <c r="A139" s="34"/>
      <c r="B139" s="34"/>
      <c r="C139" s="37"/>
      <c r="D139" s="38"/>
      <c r="E139" s="103"/>
      <c r="F139" s="49"/>
      <c r="G139" s="37"/>
      <c r="H139" s="107"/>
      <c r="I139" s="34"/>
      <c r="J139" s="41" t="s">
        <v>261</v>
      </c>
      <c r="K139" s="41" t="s">
        <v>261</v>
      </c>
      <c r="L139" s="41"/>
      <c r="M139" s="108"/>
      <c r="N139" s="108"/>
      <c r="O139" s="110"/>
      <c r="P139" s="41"/>
      <c r="Q139" s="39"/>
      <c r="R139" s="39"/>
      <c r="S139" s="46">
        <v>0.67</v>
      </c>
      <c r="T139" s="109">
        <f>IFERROR(__xludf.DUMMYFUNCTION("((IFERROR(MIN(FILTER({L139, O139, R139}, ISNUMBER({L139, O139, R139}), {L139, O139, R139} &gt; 0)), """"))*S139)+IFERROR(MIN(FILTER({L139, O139, R139}, ISNUMBER({L139, O139, R139}), {L139, O139, R139} &gt; 0)), """")"),0.0)</f>
        <v>0</v>
      </c>
      <c r="U139" s="109"/>
      <c r="V139" s="77" t="str">
        <f>IFERROR(__xludf.DUMMYFUNCTION("(T139-(IFERROR(MIN(FILTER({L139, O139, R139}, ISNUMBER({L139, O139, R139}), {L139, O139, R139} &gt; 0)), """")))/T139"),"#DIV/0!")</f>
        <v>#DIV/0!</v>
      </c>
      <c r="W139" s="78"/>
      <c r="X139" s="79">
        <v>300.0</v>
      </c>
    </row>
    <row r="140" ht="22.5" customHeight="1">
      <c r="A140" s="34"/>
      <c r="B140" s="34"/>
      <c r="C140" s="37"/>
      <c r="D140" s="38"/>
      <c r="E140" s="103"/>
      <c r="F140" s="49"/>
      <c r="G140" s="37"/>
      <c r="H140" s="107"/>
      <c r="I140" s="34"/>
      <c r="J140" s="41" t="s">
        <v>261</v>
      </c>
      <c r="K140" s="41" t="s">
        <v>261</v>
      </c>
      <c r="L140" s="41"/>
      <c r="M140" s="108"/>
      <c r="N140" s="108"/>
      <c r="O140" s="110"/>
      <c r="P140" s="41"/>
      <c r="Q140" s="39"/>
      <c r="R140" s="39"/>
      <c r="S140" s="46">
        <v>0.67</v>
      </c>
      <c r="T140" s="109">
        <f>IFERROR(__xludf.DUMMYFUNCTION("((IFERROR(MIN(FILTER({L140, O140, R140}, ISNUMBER({L140, O140, R140}), {L140, O140, R140} &gt; 0)), """"))*S140)+IFERROR(MIN(FILTER({L140, O140, R140}, ISNUMBER({L140, O140, R140}), {L140, O140, R140} &gt; 0)), """")"),0.0)</f>
        <v>0</v>
      </c>
      <c r="U140" s="109"/>
      <c r="V140" s="77" t="str">
        <f>IFERROR(__xludf.DUMMYFUNCTION("(T140-(IFERROR(MIN(FILTER({L140, O140, R140}, ISNUMBER({L140, O140, R140}), {L140, O140, R140} &gt; 0)), """")))/T140"),"#DIV/0!")</f>
        <v>#DIV/0!</v>
      </c>
      <c r="W140" s="78"/>
      <c r="X140" s="79">
        <v>300.0</v>
      </c>
    </row>
    <row r="141" ht="22.5" customHeight="1">
      <c r="A141" s="34"/>
      <c r="B141" s="34"/>
      <c r="C141" s="37"/>
      <c r="D141" s="38"/>
      <c r="E141" s="103"/>
      <c r="F141" s="49"/>
      <c r="G141" s="37"/>
      <c r="H141" s="107"/>
      <c r="I141" s="34"/>
      <c r="J141" s="41" t="s">
        <v>261</v>
      </c>
      <c r="K141" s="41" t="s">
        <v>261</v>
      </c>
      <c r="L141" s="41"/>
      <c r="M141" s="108"/>
      <c r="N141" s="108"/>
      <c r="O141" s="110"/>
      <c r="P141" s="41"/>
      <c r="Q141" s="39"/>
      <c r="R141" s="39"/>
      <c r="S141" s="46">
        <v>0.67</v>
      </c>
      <c r="T141" s="109">
        <f>IFERROR(__xludf.DUMMYFUNCTION("((IFERROR(MIN(FILTER({L141, O141, R141}, ISNUMBER({L141, O141, R141}), {L141, O141, R141} &gt; 0)), """"))*S141)+IFERROR(MIN(FILTER({L141, O141, R141}, ISNUMBER({L141, O141, R141}), {L141, O141, R141} &gt; 0)), """")"),0.0)</f>
        <v>0</v>
      </c>
      <c r="U141" s="109"/>
      <c r="V141" s="77" t="str">
        <f>IFERROR(__xludf.DUMMYFUNCTION("(T141-(IFERROR(MIN(FILTER({L141, O141, R141}, ISNUMBER({L141, O141, R141}), {L141, O141, R141} &gt; 0)), """")))/T141"),"#DIV/0!")</f>
        <v>#DIV/0!</v>
      </c>
      <c r="W141" s="78"/>
      <c r="X141" s="79">
        <v>300.0</v>
      </c>
    </row>
    <row r="142" ht="22.5" customHeight="1">
      <c r="A142" s="34"/>
      <c r="B142" s="34"/>
      <c r="C142" s="37"/>
      <c r="D142" s="38"/>
      <c r="E142" s="103"/>
      <c r="F142" s="49"/>
      <c r="G142" s="37"/>
      <c r="H142" s="107"/>
      <c r="I142" s="34"/>
      <c r="J142" s="41" t="s">
        <v>261</v>
      </c>
      <c r="K142" s="41" t="s">
        <v>261</v>
      </c>
      <c r="L142" s="41"/>
      <c r="M142" s="108"/>
      <c r="N142" s="108"/>
      <c r="O142" s="108"/>
      <c r="P142" s="41"/>
      <c r="Q142" s="39"/>
      <c r="R142" s="39"/>
      <c r="S142" s="46">
        <v>0.67</v>
      </c>
      <c r="T142" s="109">
        <f>IFERROR(__xludf.DUMMYFUNCTION("((IFERROR(MIN(FILTER({L142, O142, R142}, ISNUMBER({L142, O142, R142}), {L142, O142, R142} &gt; 0)), """"))*S142)+IFERROR(MIN(FILTER({L142, O142, R142}, ISNUMBER({L142, O142, R142}), {L142, O142, R142} &gt; 0)), """")"),0.0)</f>
        <v>0</v>
      </c>
      <c r="U142" s="109"/>
      <c r="V142" s="77" t="str">
        <f>IFERROR(__xludf.DUMMYFUNCTION("(T142-(IFERROR(MIN(FILTER({L142, O142, R142}, ISNUMBER({L142, O142, R142}), {L142, O142, R142} &gt; 0)), """")))/T142"),"#DIV/0!")</f>
        <v>#DIV/0!</v>
      </c>
      <c r="W142" s="78"/>
      <c r="X142" s="79">
        <v>300.0</v>
      </c>
    </row>
    <row r="143" ht="22.5" customHeight="1">
      <c r="A143" s="34"/>
      <c r="B143" s="34"/>
      <c r="C143" s="37"/>
      <c r="D143" s="38"/>
      <c r="E143" s="103"/>
      <c r="F143" s="49"/>
      <c r="G143" s="37"/>
      <c r="H143" s="107"/>
      <c r="I143" s="34"/>
      <c r="J143" s="41" t="s">
        <v>261</v>
      </c>
      <c r="K143" s="41" t="s">
        <v>261</v>
      </c>
      <c r="L143" s="41"/>
      <c r="M143" s="108"/>
      <c r="N143" s="108"/>
      <c r="O143" s="110"/>
      <c r="P143" s="41"/>
      <c r="Q143" s="39"/>
      <c r="R143" s="39"/>
      <c r="S143" s="46">
        <v>0.67</v>
      </c>
      <c r="T143" s="109">
        <f>IFERROR(__xludf.DUMMYFUNCTION("((IFERROR(MIN(FILTER({L143, O143, R143}, ISNUMBER({L143, O143, R143}), {L143, O143, R143} &gt; 0)), """"))*S143)+IFERROR(MIN(FILTER({L143, O143, R143}, ISNUMBER({L143, O143, R143}), {L143, O143, R143} &gt; 0)), """")"),0.0)</f>
        <v>0</v>
      </c>
      <c r="U143" s="109"/>
      <c r="V143" s="77" t="str">
        <f>IFERROR(__xludf.DUMMYFUNCTION("(T143-(IFERROR(MIN(FILTER({L143, O143, R143}, ISNUMBER({L143, O143, R143}), {L143, O143, R143} &gt; 0)), """")))/T143"),"#DIV/0!")</f>
        <v>#DIV/0!</v>
      </c>
      <c r="W143" s="78"/>
      <c r="X143" s="79">
        <v>300.0</v>
      </c>
    </row>
    <row r="144" ht="22.5" customHeight="1">
      <c r="A144" s="34"/>
      <c r="B144" s="34"/>
      <c r="C144" s="37"/>
      <c r="D144" s="38"/>
      <c r="E144" s="103"/>
      <c r="F144" s="49"/>
      <c r="G144" s="37"/>
      <c r="H144" s="107"/>
      <c r="I144" s="34"/>
      <c r="J144" s="41" t="s">
        <v>261</v>
      </c>
      <c r="K144" s="41" t="s">
        <v>261</v>
      </c>
      <c r="L144" s="41"/>
      <c r="M144" s="108"/>
      <c r="N144" s="108"/>
      <c r="O144" s="108"/>
      <c r="P144" s="41"/>
      <c r="Q144" s="39"/>
      <c r="R144" s="41"/>
      <c r="S144" s="46">
        <v>0.67</v>
      </c>
      <c r="T144" s="109">
        <f>IFERROR(__xludf.DUMMYFUNCTION("((IFERROR(MIN(FILTER({L144, O144, R144}, ISNUMBER({L144, O144, R144}), {L144, O144, R144} &gt; 0)), """"))*S144)+IFERROR(MIN(FILTER({L144, O144, R144}, ISNUMBER({L144, O144, R144}), {L144, O144, R144} &gt; 0)), """")"),0.0)</f>
        <v>0</v>
      </c>
      <c r="U144" s="109"/>
      <c r="V144" s="77" t="str">
        <f>IFERROR(__xludf.DUMMYFUNCTION("(T144-(IFERROR(MIN(FILTER({L144, O144, R144}, ISNUMBER({L144, O144, R144}), {L144, O144, R144} &gt; 0)), """")))/T144"),"#DIV/0!")</f>
        <v>#DIV/0!</v>
      </c>
      <c r="W144" s="78"/>
      <c r="X144" s="79">
        <v>300.0</v>
      </c>
    </row>
    <row r="145" ht="22.5" customHeight="1">
      <c r="A145" s="34"/>
      <c r="B145" s="34"/>
      <c r="C145" s="37"/>
      <c r="D145" s="38"/>
      <c r="E145" s="103"/>
      <c r="F145" s="49"/>
      <c r="G145" s="37"/>
      <c r="H145" s="107"/>
      <c r="I145" s="34"/>
      <c r="J145" s="41" t="s">
        <v>261</v>
      </c>
      <c r="K145" s="41" t="s">
        <v>261</v>
      </c>
      <c r="L145" s="41"/>
      <c r="M145" s="108"/>
      <c r="N145" s="108"/>
      <c r="O145" s="108"/>
      <c r="P145" s="41"/>
      <c r="Q145" s="39"/>
      <c r="R145" s="41"/>
      <c r="S145" s="46">
        <v>0.67</v>
      </c>
      <c r="T145" s="109">
        <f>IFERROR(__xludf.DUMMYFUNCTION("((IFERROR(MIN(FILTER({L145, O145, R145}, ISNUMBER({L145, O145, R145}), {L145, O145, R145} &gt; 0)), """"))*S145)+IFERROR(MIN(FILTER({L145, O145, R145}, ISNUMBER({L145, O145, R145}), {L145, O145, R145} &gt; 0)), """")"),0.0)</f>
        <v>0</v>
      </c>
      <c r="U145" s="109"/>
      <c r="V145" s="77" t="str">
        <f>IFERROR(__xludf.DUMMYFUNCTION("(T145-(IFERROR(MIN(FILTER({L145, O145, R145}, ISNUMBER({L145, O145, R145}), {L145, O145, R145} &gt; 0)), """")))/T145"),"#DIV/0!")</f>
        <v>#DIV/0!</v>
      </c>
      <c r="W145" s="78"/>
      <c r="X145" s="79">
        <v>300.0</v>
      </c>
    </row>
    <row r="146" ht="22.5" customHeight="1">
      <c r="A146" s="34"/>
      <c r="B146" s="34"/>
      <c r="C146" s="37"/>
      <c r="D146" s="38"/>
      <c r="E146" s="103"/>
      <c r="F146" s="49"/>
      <c r="G146" s="37"/>
      <c r="H146" s="107"/>
      <c r="I146" s="34"/>
      <c r="J146" s="41" t="s">
        <v>261</v>
      </c>
      <c r="K146" s="41" t="s">
        <v>261</v>
      </c>
      <c r="L146" s="41"/>
      <c r="M146" s="108"/>
      <c r="N146" s="108"/>
      <c r="O146" s="108"/>
      <c r="P146" s="41"/>
      <c r="Q146" s="39"/>
      <c r="R146" s="41"/>
      <c r="S146" s="46">
        <v>0.67</v>
      </c>
      <c r="T146" s="109">
        <f>IFERROR(__xludf.DUMMYFUNCTION("((IFERROR(MIN(FILTER({L146, O146, R146}, ISNUMBER({L146, O146, R146}), {L146, O146, R146} &gt; 0)), """"))*S146)+IFERROR(MIN(FILTER({L146, O146, R146}, ISNUMBER({L146, O146, R146}), {L146, O146, R146} &gt; 0)), """")"),0.0)</f>
        <v>0</v>
      </c>
      <c r="U146" s="109"/>
      <c r="V146" s="77" t="str">
        <f>IFERROR(__xludf.DUMMYFUNCTION("(T146-(IFERROR(MIN(FILTER({L146, O146, R146}, ISNUMBER({L146, O146, R146}), {L146, O146, R146} &gt; 0)), """")))/T146"),"#DIV/0!")</f>
        <v>#DIV/0!</v>
      </c>
      <c r="W146" s="78"/>
      <c r="X146" s="79">
        <v>300.0</v>
      </c>
    </row>
    <row r="147" ht="22.5" customHeight="1">
      <c r="A147" s="34"/>
      <c r="B147" s="34"/>
      <c r="C147" s="37"/>
      <c r="D147" s="38"/>
      <c r="E147" s="103"/>
      <c r="F147" s="49"/>
      <c r="G147" s="37"/>
      <c r="H147" s="107"/>
      <c r="I147" s="34"/>
      <c r="J147" s="41" t="s">
        <v>261</v>
      </c>
      <c r="K147" s="41" t="s">
        <v>261</v>
      </c>
      <c r="L147" s="41"/>
      <c r="M147" s="108"/>
      <c r="N147" s="108"/>
      <c r="O147" s="108"/>
      <c r="P147" s="41"/>
      <c r="Q147" s="39"/>
      <c r="R147" s="39"/>
      <c r="S147" s="46">
        <v>0.67</v>
      </c>
      <c r="T147" s="109">
        <f>IFERROR(__xludf.DUMMYFUNCTION("((IFERROR(MIN(FILTER({L147, O147, R147}, ISNUMBER({L147, O147, R147}), {L147, O147, R147} &gt; 0)), """"))*S147)+IFERROR(MIN(FILTER({L147, O147, R147}, ISNUMBER({L147, O147, R147}), {L147, O147, R147} &gt; 0)), """")"),0.0)</f>
        <v>0</v>
      </c>
      <c r="U147" s="109"/>
      <c r="V147" s="77" t="str">
        <f>IFERROR(__xludf.DUMMYFUNCTION("(T147-(IFERROR(MIN(FILTER({L147, O147, R147}, ISNUMBER({L147, O147, R147}), {L147, O147, R147} &gt; 0)), """")))/T147"),"#DIV/0!")</f>
        <v>#DIV/0!</v>
      </c>
      <c r="W147" s="78"/>
      <c r="X147" s="79">
        <v>300.0</v>
      </c>
    </row>
    <row r="148" ht="22.5" customHeight="1">
      <c r="A148" s="34"/>
      <c r="B148" s="34"/>
      <c r="C148" s="37"/>
      <c r="D148" s="38"/>
      <c r="E148" s="103"/>
      <c r="F148" s="49"/>
      <c r="G148" s="37"/>
      <c r="H148" s="107"/>
      <c r="I148" s="34"/>
      <c r="J148" s="41" t="s">
        <v>261</v>
      </c>
      <c r="K148" s="41" t="s">
        <v>261</v>
      </c>
      <c r="L148" s="41"/>
      <c r="M148" s="108"/>
      <c r="N148" s="108"/>
      <c r="O148" s="110"/>
      <c r="P148" s="41"/>
      <c r="Q148" s="39"/>
      <c r="R148" s="39"/>
      <c r="S148" s="46">
        <v>0.67</v>
      </c>
      <c r="T148" s="109">
        <f>IFERROR(__xludf.DUMMYFUNCTION("((IFERROR(MIN(FILTER({L148, O148, R148}, ISNUMBER({L148, O148, R148}), {L148, O148, R148} &gt; 0)), """"))*S148)+IFERROR(MIN(FILTER({L148, O148, R148}, ISNUMBER({L148, O148, R148}), {L148, O148, R148} &gt; 0)), """")"),0.0)</f>
        <v>0</v>
      </c>
      <c r="U148" s="109"/>
      <c r="V148" s="77" t="str">
        <f>IFERROR(__xludf.DUMMYFUNCTION("(T148-(IFERROR(MIN(FILTER({L148, O148, R148}, ISNUMBER({L148, O148, R148}), {L148, O148, R148} &gt; 0)), """")))/T148"),"#DIV/0!")</f>
        <v>#DIV/0!</v>
      </c>
      <c r="W148" s="78"/>
      <c r="X148" s="79">
        <v>300.0</v>
      </c>
    </row>
    <row r="149" ht="22.5" customHeight="1">
      <c r="A149" s="34"/>
      <c r="B149" s="34"/>
      <c r="C149" s="37"/>
      <c r="D149" s="38"/>
      <c r="E149" s="103"/>
      <c r="F149" s="49"/>
      <c r="G149" s="37"/>
      <c r="H149" s="107"/>
      <c r="I149" s="34"/>
      <c r="J149" s="41" t="s">
        <v>261</v>
      </c>
      <c r="K149" s="41" t="s">
        <v>261</v>
      </c>
      <c r="L149" s="41"/>
      <c r="M149" s="108"/>
      <c r="N149" s="108"/>
      <c r="O149" s="110"/>
      <c r="P149" s="41"/>
      <c r="Q149" s="39"/>
      <c r="R149" s="39"/>
      <c r="S149" s="46">
        <v>0.67</v>
      </c>
      <c r="T149" s="109">
        <f>IFERROR(__xludf.DUMMYFUNCTION("((IFERROR(MIN(FILTER({L149, O149, R149}, ISNUMBER({L149, O149, R149}), {L149, O149, R149} &gt; 0)), """"))*S149)+IFERROR(MIN(FILTER({L149, O149, R149}, ISNUMBER({L149, O149, R149}), {L149, O149, R149} &gt; 0)), """")"),0.0)</f>
        <v>0</v>
      </c>
      <c r="U149" s="109"/>
      <c r="V149" s="77" t="str">
        <f>IFERROR(__xludf.DUMMYFUNCTION("(T149-(IFERROR(MIN(FILTER({L149, O149, R149}, ISNUMBER({L149, O149, R149}), {L149, O149, R149} &gt; 0)), """")))/T149"),"#DIV/0!")</f>
        <v>#DIV/0!</v>
      </c>
      <c r="W149" s="78"/>
      <c r="X149" s="79">
        <v>300.0</v>
      </c>
    </row>
    <row r="150" ht="22.5" customHeight="1">
      <c r="A150" s="34"/>
      <c r="B150" s="34"/>
      <c r="C150" s="37"/>
      <c r="D150" s="38"/>
      <c r="E150" s="103"/>
      <c r="F150" s="49"/>
      <c r="G150" s="37"/>
      <c r="H150" s="107"/>
      <c r="I150" s="34"/>
      <c r="J150" s="41" t="s">
        <v>261</v>
      </c>
      <c r="K150" s="41" t="s">
        <v>261</v>
      </c>
      <c r="L150" s="41"/>
      <c r="M150" s="108"/>
      <c r="N150" s="108"/>
      <c r="O150" s="110"/>
      <c r="P150" s="41"/>
      <c r="Q150" s="39"/>
      <c r="R150" s="39"/>
      <c r="S150" s="46">
        <v>0.67</v>
      </c>
      <c r="T150" s="109">
        <f>IFERROR(__xludf.DUMMYFUNCTION("((IFERROR(MIN(FILTER({L150, O150, R150}, ISNUMBER({L150, O150, R150}), {L150, O150, R150} &gt; 0)), """"))*S150)+IFERROR(MIN(FILTER({L150, O150, R150}, ISNUMBER({L150, O150, R150}), {L150, O150, R150} &gt; 0)), """")"),0.0)</f>
        <v>0</v>
      </c>
      <c r="U150" s="109"/>
      <c r="V150" s="77" t="str">
        <f>IFERROR(__xludf.DUMMYFUNCTION("(T150-(IFERROR(MIN(FILTER({L150, O150, R150}, ISNUMBER({L150, O150, R150}), {L150, O150, R150} &gt; 0)), """")))/T150"),"#DIV/0!")</f>
        <v>#DIV/0!</v>
      </c>
      <c r="W150" s="78"/>
      <c r="X150" s="79">
        <v>300.0</v>
      </c>
    </row>
    <row r="151" ht="22.5" customHeight="1">
      <c r="A151" s="34"/>
      <c r="B151" s="34"/>
      <c r="C151" s="37"/>
      <c r="D151" s="38"/>
      <c r="E151" s="103"/>
      <c r="F151" s="49"/>
      <c r="G151" s="37"/>
      <c r="H151" s="107"/>
      <c r="I151" s="34"/>
      <c r="J151" s="41" t="s">
        <v>261</v>
      </c>
      <c r="K151" s="41" t="s">
        <v>261</v>
      </c>
      <c r="L151" s="41"/>
      <c r="M151" s="108"/>
      <c r="N151" s="108"/>
      <c r="O151" s="110"/>
      <c r="P151" s="41"/>
      <c r="Q151" s="39"/>
      <c r="R151" s="39"/>
      <c r="S151" s="46">
        <v>0.67</v>
      </c>
      <c r="T151" s="109">
        <f>IFERROR(__xludf.DUMMYFUNCTION("((IFERROR(MIN(FILTER({L151, O151, R151}, ISNUMBER({L151, O151, R151}), {L151, O151, R151} &gt; 0)), """"))*S151)+IFERROR(MIN(FILTER({L151, O151, R151}, ISNUMBER({L151, O151, R151}), {L151, O151, R151} &gt; 0)), """")"),0.0)</f>
        <v>0</v>
      </c>
      <c r="U151" s="109"/>
      <c r="V151" s="77" t="str">
        <f>IFERROR(__xludf.DUMMYFUNCTION("(T151-(IFERROR(MIN(FILTER({L151, O151, R151}, ISNUMBER({L151, O151, R151}), {L151, O151, R151} &gt; 0)), """")))/T151"),"#DIV/0!")</f>
        <v>#DIV/0!</v>
      </c>
      <c r="W151" s="78"/>
      <c r="X151" s="79">
        <v>300.0</v>
      </c>
    </row>
    <row r="152" ht="22.5" customHeight="1">
      <c r="A152" s="34"/>
      <c r="B152" s="34"/>
      <c r="C152" s="37"/>
      <c r="D152" s="38"/>
      <c r="E152" s="103"/>
      <c r="F152" s="49"/>
      <c r="G152" s="37"/>
      <c r="H152" s="107"/>
      <c r="I152" s="34"/>
      <c r="J152" s="41" t="s">
        <v>261</v>
      </c>
      <c r="K152" s="41" t="s">
        <v>261</v>
      </c>
      <c r="L152" s="41"/>
      <c r="M152" s="108"/>
      <c r="N152" s="108"/>
      <c r="O152" s="110"/>
      <c r="P152" s="41"/>
      <c r="Q152" s="39"/>
      <c r="R152" s="39"/>
      <c r="S152" s="46">
        <v>0.67</v>
      </c>
      <c r="T152" s="109">
        <f>IFERROR(__xludf.DUMMYFUNCTION("((IFERROR(MIN(FILTER({L152, O152, R152}, ISNUMBER({L152, O152, R152}), {L152, O152, R152} &gt; 0)), """"))*S152)+IFERROR(MIN(FILTER({L152, O152, R152}, ISNUMBER({L152, O152, R152}), {L152, O152, R152} &gt; 0)), """")"),0.0)</f>
        <v>0</v>
      </c>
      <c r="U152" s="109"/>
      <c r="V152" s="77" t="str">
        <f>IFERROR(__xludf.DUMMYFUNCTION("(T152-(IFERROR(MIN(FILTER({L152, O152, R152}, ISNUMBER({L152, O152, R152}), {L152, O152, R152} &gt; 0)), """")))/T152"),"#DIV/0!")</f>
        <v>#DIV/0!</v>
      </c>
      <c r="W152" s="78"/>
      <c r="X152" s="79">
        <v>300.0</v>
      </c>
    </row>
    <row r="153" ht="22.5" customHeight="1">
      <c r="A153" s="34"/>
      <c r="B153" s="34"/>
      <c r="C153" s="37"/>
      <c r="D153" s="38"/>
      <c r="E153" s="103"/>
      <c r="F153" s="49"/>
      <c r="G153" s="37"/>
      <c r="H153" s="107"/>
      <c r="I153" s="34"/>
      <c r="J153" s="41" t="s">
        <v>261</v>
      </c>
      <c r="K153" s="41" t="s">
        <v>261</v>
      </c>
      <c r="L153" s="41"/>
      <c r="M153" s="108"/>
      <c r="N153" s="108"/>
      <c r="O153" s="110"/>
      <c r="P153" s="41"/>
      <c r="Q153" s="39"/>
      <c r="R153" s="39"/>
      <c r="S153" s="46">
        <v>0.67</v>
      </c>
      <c r="T153" s="109">
        <f>IFERROR(__xludf.DUMMYFUNCTION("((IFERROR(MIN(FILTER({L153, O153, R153}, ISNUMBER({L153, O153, R153}), {L153, O153, R153} &gt; 0)), """"))*S153)+IFERROR(MIN(FILTER({L153, O153, R153}, ISNUMBER({L153, O153, R153}), {L153, O153, R153} &gt; 0)), """")"),0.0)</f>
        <v>0</v>
      </c>
      <c r="U153" s="109"/>
      <c r="V153" s="77" t="str">
        <f>IFERROR(__xludf.DUMMYFUNCTION("(T153-(IFERROR(MIN(FILTER({L153, O153, R153}, ISNUMBER({L153, O153, R153}), {L153, O153, R153} &gt; 0)), """")))/T153"),"#DIV/0!")</f>
        <v>#DIV/0!</v>
      </c>
      <c r="W153" s="78"/>
      <c r="X153" s="79">
        <v>300.0</v>
      </c>
    </row>
    <row r="154" ht="22.5" customHeight="1">
      <c r="A154" s="34"/>
      <c r="B154" s="34"/>
      <c r="C154" s="37"/>
      <c r="D154" s="38"/>
      <c r="E154" s="103"/>
      <c r="F154" s="49"/>
      <c r="G154" s="37"/>
      <c r="H154" s="107"/>
      <c r="I154" s="34"/>
      <c r="J154" s="41" t="s">
        <v>261</v>
      </c>
      <c r="K154" s="41" t="s">
        <v>261</v>
      </c>
      <c r="L154" s="41"/>
      <c r="M154" s="108"/>
      <c r="N154" s="108"/>
      <c r="O154" s="110"/>
      <c r="P154" s="41"/>
      <c r="Q154" s="39"/>
      <c r="R154" s="39"/>
      <c r="S154" s="46">
        <v>0.67</v>
      </c>
      <c r="T154" s="109">
        <f>IFERROR(__xludf.DUMMYFUNCTION("((IFERROR(MIN(FILTER({L154, O154, R154}, ISNUMBER({L154, O154, R154}), {L154, O154, R154} &gt; 0)), """"))*S154)+IFERROR(MIN(FILTER({L154, O154, R154}, ISNUMBER({L154, O154, R154}), {L154, O154, R154} &gt; 0)), """")"),0.0)</f>
        <v>0</v>
      </c>
      <c r="U154" s="109"/>
      <c r="V154" s="77" t="str">
        <f>IFERROR(__xludf.DUMMYFUNCTION("(T154-(IFERROR(MIN(FILTER({L154, O154, R154}, ISNUMBER({L154, O154, R154}), {L154, O154, R154} &gt; 0)), """")))/T154"),"#DIV/0!")</f>
        <v>#DIV/0!</v>
      </c>
      <c r="W154" s="78"/>
      <c r="X154" s="79">
        <v>300.0</v>
      </c>
    </row>
    <row r="155" ht="22.5" customHeight="1">
      <c r="A155" s="34"/>
      <c r="B155" s="34"/>
      <c r="C155" s="37"/>
      <c r="D155" s="38"/>
      <c r="E155" s="103"/>
      <c r="F155" s="49"/>
      <c r="G155" s="37"/>
      <c r="H155" s="107"/>
      <c r="I155" s="34"/>
      <c r="J155" s="41" t="s">
        <v>261</v>
      </c>
      <c r="K155" s="41" t="s">
        <v>261</v>
      </c>
      <c r="L155" s="41"/>
      <c r="M155" s="108"/>
      <c r="N155" s="108"/>
      <c r="O155" s="110"/>
      <c r="P155" s="41"/>
      <c r="Q155" s="39"/>
      <c r="R155" s="39"/>
      <c r="S155" s="46">
        <v>0.67</v>
      </c>
      <c r="T155" s="109">
        <f>IFERROR(__xludf.DUMMYFUNCTION("((IFERROR(MIN(FILTER({L155, O155, R155}, ISNUMBER({L155, O155, R155}), {L155, O155, R155} &gt; 0)), """"))*S155)+IFERROR(MIN(FILTER({L155, O155, R155}, ISNUMBER({L155, O155, R155}), {L155, O155, R155} &gt; 0)), """")"),0.0)</f>
        <v>0</v>
      </c>
      <c r="U155" s="109"/>
      <c r="V155" s="77" t="str">
        <f>IFERROR(__xludf.DUMMYFUNCTION("(T155-(IFERROR(MIN(FILTER({L155, O155, R155}, ISNUMBER({L155, O155, R155}), {L155, O155, R155} &gt; 0)), """")))/T155"),"#DIV/0!")</f>
        <v>#DIV/0!</v>
      </c>
      <c r="W155" s="78"/>
      <c r="X155" s="79">
        <v>300.0</v>
      </c>
    </row>
    <row r="156" ht="22.5" customHeight="1">
      <c r="A156" s="34"/>
      <c r="B156" s="34"/>
      <c r="C156" s="37"/>
      <c r="D156" s="38"/>
      <c r="E156" s="103"/>
      <c r="F156" s="49"/>
      <c r="G156" s="37"/>
      <c r="H156" s="107"/>
      <c r="I156" s="34"/>
      <c r="J156" s="41" t="s">
        <v>261</v>
      </c>
      <c r="K156" s="41" t="s">
        <v>261</v>
      </c>
      <c r="L156" s="41"/>
      <c r="M156" s="108"/>
      <c r="N156" s="108"/>
      <c r="O156" s="110"/>
      <c r="P156" s="41"/>
      <c r="Q156" s="39"/>
      <c r="R156" s="39"/>
      <c r="S156" s="46">
        <v>0.67</v>
      </c>
      <c r="T156" s="109">
        <f>IFERROR(__xludf.DUMMYFUNCTION("((IFERROR(MIN(FILTER({L156, O156, R156}, ISNUMBER({L156, O156, R156}), {L156, O156, R156} &gt; 0)), """"))*S156)+IFERROR(MIN(FILTER({L156, O156, R156}, ISNUMBER({L156, O156, R156}), {L156, O156, R156} &gt; 0)), """")"),0.0)</f>
        <v>0</v>
      </c>
      <c r="U156" s="109"/>
      <c r="V156" s="77" t="str">
        <f>IFERROR(__xludf.DUMMYFUNCTION("(T156-(IFERROR(MIN(FILTER({L156, O156, R156}, ISNUMBER({L156, O156, R156}), {L156, O156, R156} &gt; 0)), """")))/T156"),"#DIV/0!")</f>
        <v>#DIV/0!</v>
      </c>
      <c r="W156" s="78"/>
      <c r="X156" s="79">
        <v>300.0</v>
      </c>
    </row>
    <row r="157" ht="22.5" customHeight="1">
      <c r="A157" s="34"/>
      <c r="B157" s="34"/>
      <c r="C157" s="37"/>
      <c r="D157" s="38"/>
      <c r="E157" s="103"/>
      <c r="F157" s="49"/>
      <c r="G157" s="37"/>
      <c r="H157" s="107"/>
      <c r="I157" s="34"/>
      <c r="J157" s="41" t="s">
        <v>261</v>
      </c>
      <c r="K157" s="41" t="s">
        <v>261</v>
      </c>
      <c r="L157" s="41"/>
      <c r="M157" s="108"/>
      <c r="N157" s="108"/>
      <c r="O157" s="110"/>
      <c r="P157" s="41"/>
      <c r="Q157" s="39"/>
      <c r="R157" s="39"/>
      <c r="S157" s="46">
        <v>0.67</v>
      </c>
      <c r="T157" s="109">
        <f>IFERROR(__xludf.DUMMYFUNCTION("((IFERROR(MIN(FILTER({L157, O157, R157}, ISNUMBER({L157, O157, R157}), {L157, O157, R157} &gt; 0)), """"))*S157)+IFERROR(MIN(FILTER({L157, O157, R157}, ISNUMBER({L157, O157, R157}), {L157, O157, R157} &gt; 0)), """")"),0.0)</f>
        <v>0</v>
      </c>
      <c r="U157" s="109"/>
      <c r="V157" s="77" t="str">
        <f>IFERROR(__xludf.DUMMYFUNCTION("(T157-(IFERROR(MIN(FILTER({L157, O157, R157}, ISNUMBER({L157, O157, R157}), {L157, O157, R157} &gt; 0)), """")))/T157"),"#DIV/0!")</f>
        <v>#DIV/0!</v>
      </c>
      <c r="W157" s="78"/>
      <c r="X157" s="79">
        <v>300.0</v>
      </c>
    </row>
    <row r="158" ht="22.5" customHeight="1">
      <c r="A158" s="34"/>
      <c r="B158" s="34"/>
      <c r="C158" s="37"/>
      <c r="D158" s="38"/>
      <c r="E158" s="103"/>
      <c r="F158" s="49"/>
      <c r="G158" s="37"/>
      <c r="H158" s="107"/>
      <c r="I158" s="34"/>
      <c r="J158" s="41" t="s">
        <v>261</v>
      </c>
      <c r="K158" s="41" t="s">
        <v>261</v>
      </c>
      <c r="L158" s="41"/>
      <c r="M158" s="108"/>
      <c r="N158" s="108"/>
      <c r="O158" s="110"/>
      <c r="P158" s="41"/>
      <c r="Q158" s="39"/>
      <c r="R158" s="39"/>
      <c r="S158" s="46">
        <v>0.67</v>
      </c>
      <c r="T158" s="109">
        <f>IFERROR(__xludf.DUMMYFUNCTION("((IFERROR(MIN(FILTER({L158, O158, R158}, ISNUMBER({L158, O158, R158}), {L158, O158, R158} &gt; 0)), """"))*S158)+IFERROR(MIN(FILTER({L158, O158, R158}, ISNUMBER({L158, O158, R158}), {L158, O158, R158} &gt; 0)), """")"),0.0)</f>
        <v>0</v>
      </c>
      <c r="U158" s="109"/>
      <c r="V158" s="77" t="str">
        <f>IFERROR(__xludf.DUMMYFUNCTION("(T158-(IFERROR(MIN(FILTER({L158, O158, R158}, ISNUMBER({L158, O158, R158}), {L158, O158, R158} &gt; 0)), """")))/T158"),"#DIV/0!")</f>
        <v>#DIV/0!</v>
      </c>
      <c r="W158" s="78"/>
      <c r="X158" s="79">
        <v>300.0</v>
      </c>
    </row>
    <row r="159" ht="22.5" customHeight="1">
      <c r="A159" s="34"/>
      <c r="B159" s="34"/>
      <c r="C159" s="37"/>
      <c r="D159" s="38"/>
      <c r="E159" s="103"/>
      <c r="F159" s="49"/>
      <c r="G159" s="37"/>
      <c r="H159" s="107"/>
      <c r="I159" s="34"/>
      <c r="J159" s="41" t="s">
        <v>261</v>
      </c>
      <c r="K159" s="41" t="s">
        <v>261</v>
      </c>
      <c r="L159" s="41"/>
      <c r="M159" s="108"/>
      <c r="N159" s="108"/>
      <c r="O159" s="110"/>
      <c r="P159" s="41"/>
      <c r="Q159" s="39"/>
      <c r="R159" s="39"/>
      <c r="S159" s="46">
        <v>0.67</v>
      </c>
      <c r="T159" s="109">
        <f>IFERROR(__xludf.DUMMYFUNCTION("((IFERROR(MIN(FILTER({L159, O159, R159}, ISNUMBER({L159, O159, R159}), {L159, O159, R159} &gt; 0)), """"))*S159)+IFERROR(MIN(FILTER({L159, O159, R159}, ISNUMBER({L159, O159, R159}), {L159, O159, R159} &gt; 0)), """")"),0.0)</f>
        <v>0</v>
      </c>
      <c r="U159" s="109"/>
      <c r="V159" s="77" t="str">
        <f>IFERROR(__xludf.DUMMYFUNCTION("(T159-(IFERROR(MIN(FILTER({L159, O159, R159}, ISNUMBER({L159, O159, R159}), {L159, O159, R159} &gt; 0)), """")))/T159"),"#DIV/0!")</f>
        <v>#DIV/0!</v>
      </c>
      <c r="W159" s="78"/>
      <c r="X159" s="79">
        <v>300.0</v>
      </c>
    </row>
    <row r="160" ht="22.5" customHeight="1">
      <c r="A160" s="34"/>
      <c r="B160" s="34"/>
      <c r="C160" s="37"/>
      <c r="D160" s="38"/>
      <c r="E160" s="103"/>
      <c r="F160" s="49"/>
      <c r="G160" s="37"/>
      <c r="H160" s="107"/>
      <c r="I160" s="34"/>
      <c r="J160" s="41" t="s">
        <v>261</v>
      </c>
      <c r="K160" s="41" t="s">
        <v>261</v>
      </c>
      <c r="L160" s="41"/>
      <c r="M160" s="108"/>
      <c r="N160" s="108"/>
      <c r="O160" s="108"/>
      <c r="P160" s="41"/>
      <c r="Q160" s="39"/>
      <c r="R160" s="39"/>
      <c r="S160" s="46">
        <v>0.67</v>
      </c>
      <c r="T160" s="109">
        <f>IFERROR(__xludf.DUMMYFUNCTION("((IFERROR(MIN(FILTER({L160, O160, R160}, ISNUMBER({L160, O160, R160}), {L160, O160, R160} &gt; 0)), """"))*S160)+IFERROR(MIN(FILTER({L160, O160, R160}, ISNUMBER({L160, O160, R160}), {L160, O160, R160} &gt; 0)), """")"),0.0)</f>
        <v>0</v>
      </c>
      <c r="U160" s="109"/>
      <c r="V160" s="77" t="str">
        <f>IFERROR(__xludf.DUMMYFUNCTION("(T160-(IFERROR(MIN(FILTER({L160, O160, R160}, ISNUMBER({L160, O160, R160}), {L160, O160, R160} &gt; 0)), """")))/T160"),"#DIV/0!")</f>
        <v>#DIV/0!</v>
      </c>
      <c r="W160" s="78"/>
      <c r="X160" s="79">
        <v>300.0</v>
      </c>
    </row>
    <row r="161" ht="22.5" customHeight="1">
      <c r="A161" s="34"/>
      <c r="B161" s="34"/>
      <c r="C161" s="37"/>
      <c r="D161" s="38"/>
      <c r="E161" s="103"/>
      <c r="F161" s="49"/>
      <c r="G161" s="37"/>
      <c r="H161" s="107"/>
      <c r="I161" s="34"/>
      <c r="J161" s="41" t="s">
        <v>261</v>
      </c>
      <c r="K161" s="41" t="s">
        <v>261</v>
      </c>
      <c r="L161" s="41"/>
      <c r="M161" s="108"/>
      <c r="N161" s="108"/>
      <c r="O161" s="108"/>
      <c r="P161" s="41"/>
      <c r="Q161" s="39"/>
      <c r="R161" s="41"/>
      <c r="S161" s="46">
        <v>0.67</v>
      </c>
      <c r="T161" s="109">
        <f>IFERROR(__xludf.DUMMYFUNCTION("((IFERROR(MIN(FILTER({L161, O161, R161}, ISNUMBER({L161, O161, R161}), {L161, O161, R161} &gt; 0)), """"))*S161)+IFERROR(MIN(FILTER({L161, O161, R161}, ISNUMBER({L161, O161, R161}), {L161, O161, R161} &gt; 0)), """")"),0.0)</f>
        <v>0</v>
      </c>
      <c r="U161" s="109"/>
      <c r="V161" s="77" t="str">
        <f>IFERROR(__xludf.DUMMYFUNCTION("(T161-(IFERROR(MIN(FILTER({L161, O161, R161}, ISNUMBER({L161, O161, R161}), {L161, O161, R161} &gt; 0)), """")))/T161"),"#DIV/0!")</f>
        <v>#DIV/0!</v>
      </c>
      <c r="W161" s="78"/>
      <c r="X161" s="79">
        <v>300.0</v>
      </c>
    </row>
    <row r="162" ht="22.5" customHeight="1">
      <c r="A162" s="34"/>
      <c r="B162" s="34"/>
      <c r="C162" s="37"/>
      <c r="D162" s="38"/>
      <c r="E162" s="103"/>
      <c r="F162" s="49"/>
      <c r="G162" s="37"/>
      <c r="H162" s="107"/>
      <c r="I162" s="34"/>
      <c r="J162" s="39" t="s">
        <v>261</v>
      </c>
      <c r="K162" s="41" t="s">
        <v>261</v>
      </c>
      <c r="L162" s="39"/>
      <c r="M162" s="108"/>
      <c r="N162" s="108"/>
      <c r="O162" s="108"/>
      <c r="P162" s="39"/>
      <c r="Q162" s="39"/>
      <c r="R162" s="39"/>
      <c r="S162" s="46">
        <v>0.67</v>
      </c>
      <c r="T162" s="109">
        <f>IFERROR(__xludf.DUMMYFUNCTION("((IFERROR(MIN(FILTER({L162, O162, R162}, ISNUMBER({L162, O162, R162}), {L162, O162, R162} &gt; 0)), """"))*S162)+IFERROR(MIN(FILTER({L162, O162, R162}, ISNUMBER({L162, O162, R162}), {L162, O162, R162} &gt; 0)), """")"),0.0)</f>
        <v>0</v>
      </c>
      <c r="U162" s="109"/>
      <c r="V162" s="77" t="str">
        <f>IFERROR(__xludf.DUMMYFUNCTION("(T162-(IFERROR(MIN(FILTER({L162, O162, R162}, ISNUMBER({L162, O162, R162}), {L162, O162, R162} &gt; 0)), """")))/T162"),"#DIV/0!")</f>
        <v>#DIV/0!</v>
      </c>
      <c r="W162" s="78"/>
      <c r="X162" s="79">
        <v>300.0</v>
      </c>
    </row>
    <row r="163" ht="22.5" customHeight="1">
      <c r="A163" s="34"/>
      <c r="B163" s="34"/>
      <c r="C163" s="37"/>
      <c r="D163" s="38"/>
      <c r="E163" s="103"/>
      <c r="F163" s="49"/>
      <c r="G163" s="37"/>
      <c r="H163" s="107"/>
      <c r="I163" s="34"/>
      <c r="J163" s="39" t="s">
        <v>261</v>
      </c>
      <c r="K163" s="41" t="s">
        <v>261</v>
      </c>
      <c r="L163" s="39"/>
      <c r="M163" s="108"/>
      <c r="N163" s="108"/>
      <c r="O163" s="108"/>
      <c r="P163" s="39"/>
      <c r="Q163" s="39"/>
      <c r="R163" s="39"/>
      <c r="S163" s="46">
        <v>0.67</v>
      </c>
      <c r="T163" s="109">
        <f>IFERROR(__xludf.DUMMYFUNCTION("((IFERROR(MIN(FILTER({L163, O163, R163}, ISNUMBER({L163, O163, R163}), {L163, O163, R163} &gt; 0)), """"))*S163)+IFERROR(MIN(FILTER({L163, O163, R163}, ISNUMBER({L163, O163, R163}), {L163, O163, R163} &gt; 0)), """")"),0.0)</f>
        <v>0</v>
      </c>
      <c r="U163" s="109"/>
      <c r="V163" s="77" t="str">
        <f>IFERROR(__xludf.DUMMYFUNCTION("(T163-(IFERROR(MIN(FILTER({L163, O163, R163}, ISNUMBER({L163, O163, R163}), {L163, O163, R163} &gt; 0)), """")))/T163"),"#DIV/0!")</f>
        <v>#DIV/0!</v>
      </c>
      <c r="W163" s="78"/>
      <c r="X163" s="79">
        <v>300.0</v>
      </c>
    </row>
    <row r="164" ht="22.5" customHeight="1">
      <c r="A164" s="34"/>
      <c r="B164" s="34"/>
      <c r="C164" s="37"/>
      <c r="D164" s="38"/>
      <c r="E164" s="103"/>
      <c r="F164" s="49"/>
      <c r="G164" s="37"/>
      <c r="H164" s="107"/>
      <c r="I164" s="34"/>
      <c r="J164" s="39" t="s">
        <v>261</v>
      </c>
      <c r="K164" s="41" t="s">
        <v>261</v>
      </c>
      <c r="L164" s="39"/>
      <c r="M164" s="108"/>
      <c r="N164" s="108"/>
      <c r="O164" s="108"/>
      <c r="P164" s="39"/>
      <c r="Q164" s="39"/>
      <c r="R164" s="39"/>
      <c r="S164" s="46">
        <v>0.67</v>
      </c>
      <c r="T164" s="109">
        <f>IFERROR(__xludf.DUMMYFUNCTION("((IFERROR(MIN(FILTER({L164, O164, R164}, ISNUMBER({L164, O164, R164}), {L164, O164, R164} &gt; 0)), """"))*S164)+IFERROR(MIN(FILTER({L164, O164, R164}, ISNUMBER({L164, O164, R164}), {L164, O164, R164} &gt; 0)), """")"),0.0)</f>
        <v>0</v>
      </c>
      <c r="U164" s="109"/>
      <c r="V164" s="77" t="str">
        <f>IFERROR(__xludf.DUMMYFUNCTION("(T164-(IFERROR(MIN(FILTER({L164, O164, R164}, ISNUMBER({L164, O164, R164}), {L164, O164, R164} &gt; 0)), """")))/T164"),"#DIV/0!")</f>
        <v>#DIV/0!</v>
      </c>
      <c r="W164" s="78"/>
      <c r="X164" s="79">
        <v>300.0</v>
      </c>
    </row>
    <row r="165" ht="22.5" customHeight="1">
      <c r="A165" s="34"/>
      <c r="B165" s="34"/>
      <c r="C165" s="37"/>
      <c r="D165" s="38"/>
      <c r="E165" s="103"/>
      <c r="F165" s="49"/>
      <c r="G165" s="37"/>
      <c r="H165" s="107"/>
      <c r="I165" s="34"/>
      <c r="J165" s="39" t="s">
        <v>261</v>
      </c>
      <c r="K165" s="41" t="s">
        <v>261</v>
      </c>
      <c r="L165" s="39"/>
      <c r="M165" s="108"/>
      <c r="N165" s="108"/>
      <c r="O165" s="108"/>
      <c r="P165" s="39"/>
      <c r="Q165" s="39"/>
      <c r="R165" s="39"/>
      <c r="S165" s="46">
        <v>0.67</v>
      </c>
      <c r="T165" s="109">
        <f>IFERROR(__xludf.DUMMYFUNCTION("((IFERROR(MIN(FILTER({L165, O165, R165}, ISNUMBER({L165, O165, R165}), {L165, O165, R165} &gt; 0)), """"))*S165)+IFERROR(MIN(FILTER({L165, O165, R165}, ISNUMBER({L165, O165, R165}), {L165, O165, R165} &gt; 0)), """")"),0.0)</f>
        <v>0</v>
      </c>
      <c r="U165" s="109"/>
      <c r="V165" s="77" t="str">
        <f>IFERROR(__xludf.DUMMYFUNCTION("(T165-(IFERROR(MIN(FILTER({L165, O165, R165}, ISNUMBER({L165, O165, R165}), {L165, O165, R165} &gt; 0)), """")))/T165"),"#DIV/0!")</f>
        <v>#DIV/0!</v>
      </c>
      <c r="W165" s="78"/>
      <c r="X165" s="79">
        <v>300.0</v>
      </c>
    </row>
    <row r="166" ht="22.5" customHeight="1">
      <c r="A166" s="34"/>
      <c r="B166" s="34"/>
      <c r="C166" s="37"/>
      <c r="D166" s="38"/>
      <c r="E166" s="103"/>
      <c r="F166" s="49"/>
      <c r="G166" s="37"/>
      <c r="H166" s="107"/>
      <c r="I166" s="34"/>
      <c r="J166" s="39" t="s">
        <v>261</v>
      </c>
      <c r="K166" s="41" t="s">
        <v>261</v>
      </c>
      <c r="L166" s="39"/>
      <c r="M166" s="108"/>
      <c r="N166" s="108"/>
      <c r="O166" s="108"/>
      <c r="P166" s="39"/>
      <c r="Q166" s="39"/>
      <c r="R166" s="39"/>
      <c r="S166" s="46">
        <v>0.67</v>
      </c>
      <c r="T166" s="109">
        <f>IFERROR(__xludf.DUMMYFUNCTION("((IFERROR(MIN(FILTER({L166, O166, R166}, ISNUMBER({L166, O166, R166}), {L166, O166, R166} &gt; 0)), """"))*S166)+IFERROR(MIN(FILTER({L166, O166, R166}, ISNUMBER({L166, O166, R166}), {L166, O166, R166} &gt; 0)), """")"),0.0)</f>
        <v>0</v>
      </c>
      <c r="U166" s="109"/>
      <c r="V166" s="77" t="str">
        <f>IFERROR(__xludf.DUMMYFUNCTION("(T166-(IFERROR(MIN(FILTER({L166, O166, R166}, ISNUMBER({L166, O166, R166}), {L166, O166, R166} &gt; 0)), """")))/T166"),"#DIV/0!")</f>
        <v>#DIV/0!</v>
      </c>
      <c r="W166" s="78"/>
      <c r="X166" s="79">
        <v>300.0</v>
      </c>
    </row>
    <row r="167" ht="22.5" customHeight="1">
      <c r="A167" s="34"/>
      <c r="B167" s="34"/>
      <c r="C167" s="37"/>
      <c r="D167" s="38"/>
      <c r="E167" s="103"/>
      <c r="F167" s="49"/>
      <c r="G167" s="37"/>
      <c r="H167" s="107"/>
      <c r="I167" s="34"/>
      <c r="J167" s="39" t="s">
        <v>261</v>
      </c>
      <c r="K167" s="41" t="s">
        <v>261</v>
      </c>
      <c r="L167" s="39"/>
      <c r="M167" s="108"/>
      <c r="N167" s="108"/>
      <c r="O167" s="108"/>
      <c r="P167" s="39"/>
      <c r="Q167" s="39"/>
      <c r="R167" s="39"/>
      <c r="S167" s="46">
        <v>0.67</v>
      </c>
      <c r="T167" s="109">
        <f>IFERROR(__xludf.DUMMYFUNCTION("((IFERROR(MIN(FILTER({L167, O167, R167}, ISNUMBER({L167, O167, R167}), {L167, O167, R167} &gt; 0)), """"))*S167)+IFERROR(MIN(FILTER({L167, O167, R167}, ISNUMBER({L167, O167, R167}), {L167, O167, R167} &gt; 0)), """")"),0.0)</f>
        <v>0</v>
      </c>
      <c r="U167" s="109"/>
      <c r="V167" s="77" t="str">
        <f>IFERROR(__xludf.DUMMYFUNCTION("(T167-(IFERROR(MIN(FILTER({L167, O167, R167}, ISNUMBER({L167, O167, R167}), {L167, O167, R167} &gt; 0)), """")))/T167"),"#DIV/0!")</f>
        <v>#DIV/0!</v>
      </c>
      <c r="W167" s="78"/>
      <c r="X167" s="79">
        <v>300.0</v>
      </c>
    </row>
    <row r="168" ht="22.5" customHeight="1">
      <c r="A168" s="34"/>
      <c r="B168" s="34"/>
      <c r="C168" s="37"/>
      <c r="D168" s="38"/>
      <c r="E168" s="103"/>
      <c r="F168" s="49"/>
      <c r="G168" s="37"/>
      <c r="H168" s="107"/>
      <c r="I168" s="34"/>
      <c r="J168" s="39" t="s">
        <v>261</v>
      </c>
      <c r="K168" s="41" t="s">
        <v>261</v>
      </c>
      <c r="L168" s="39"/>
      <c r="M168" s="108"/>
      <c r="N168" s="108"/>
      <c r="O168" s="108"/>
      <c r="P168" s="39"/>
      <c r="Q168" s="39"/>
      <c r="R168" s="39"/>
      <c r="S168" s="46">
        <v>0.67</v>
      </c>
      <c r="T168" s="109">
        <f>IFERROR(__xludf.DUMMYFUNCTION("((IFERROR(MIN(FILTER({L168, O168, R168}, ISNUMBER({L168, O168, R168}), {L168, O168, R168} &gt; 0)), """"))*S168)+IFERROR(MIN(FILTER({L168, O168, R168}, ISNUMBER({L168, O168, R168}), {L168, O168, R168} &gt; 0)), """")"),0.0)</f>
        <v>0</v>
      </c>
      <c r="U168" s="109"/>
      <c r="V168" s="77" t="str">
        <f>IFERROR(__xludf.DUMMYFUNCTION("(T168-(IFERROR(MIN(FILTER({L168, O168, R168}, ISNUMBER({L168, O168, R168}), {L168, O168, R168} &gt; 0)), """")))/T168"),"#DIV/0!")</f>
        <v>#DIV/0!</v>
      </c>
      <c r="W168" s="78"/>
      <c r="X168" s="79">
        <v>300.0</v>
      </c>
    </row>
    <row r="169" ht="22.5" customHeight="1">
      <c r="A169" s="34"/>
      <c r="B169" s="34"/>
      <c r="C169" s="37"/>
      <c r="D169" s="38"/>
      <c r="E169" s="103"/>
      <c r="F169" s="49"/>
      <c r="G169" s="97"/>
      <c r="H169" s="107"/>
      <c r="I169" s="34"/>
      <c r="J169" s="39" t="s">
        <v>261</v>
      </c>
      <c r="K169" s="41" t="s">
        <v>261</v>
      </c>
      <c r="L169" s="39"/>
      <c r="M169" s="108"/>
      <c r="N169" s="108"/>
      <c r="O169" s="108"/>
      <c r="P169" s="39"/>
      <c r="Q169" s="39"/>
      <c r="R169" s="39"/>
      <c r="S169" s="46">
        <v>0.67</v>
      </c>
      <c r="T169" s="109">
        <f>IFERROR(__xludf.DUMMYFUNCTION("((IFERROR(MIN(FILTER({L169, O169, R169}, ISNUMBER({L169, O169, R169}), {L169, O169, R169} &gt; 0)), """"))*S169)+IFERROR(MIN(FILTER({L169, O169, R169}, ISNUMBER({L169, O169, R169}), {L169, O169, R169} &gt; 0)), """")"),0.0)</f>
        <v>0</v>
      </c>
      <c r="U169" s="109"/>
      <c r="V169" s="77" t="str">
        <f>IFERROR(__xludf.DUMMYFUNCTION("(T169-(IFERROR(MIN(FILTER({L169, O169, R169}, ISNUMBER({L169, O169, R169}), {L169, O169, R169} &gt; 0)), """")))/T169"),"#DIV/0!")</f>
        <v>#DIV/0!</v>
      </c>
      <c r="W169" s="78"/>
      <c r="X169" s="79">
        <v>300.0</v>
      </c>
    </row>
    <row r="170" ht="22.5" customHeight="1">
      <c r="A170" s="34"/>
      <c r="B170" s="34"/>
      <c r="C170" s="37"/>
      <c r="D170" s="38"/>
      <c r="E170" s="103"/>
      <c r="F170" s="49"/>
      <c r="G170" s="97"/>
      <c r="H170" s="107"/>
      <c r="I170" s="34"/>
      <c r="J170" s="39" t="s">
        <v>261</v>
      </c>
      <c r="K170" s="41" t="s">
        <v>261</v>
      </c>
      <c r="L170" s="39"/>
      <c r="M170" s="108"/>
      <c r="N170" s="108"/>
      <c r="O170" s="108"/>
      <c r="P170" s="39"/>
      <c r="Q170" s="39"/>
      <c r="R170" s="39"/>
      <c r="S170" s="46">
        <v>0.67</v>
      </c>
      <c r="T170" s="109">
        <f>IFERROR(__xludf.DUMMYFUNCTION("((IFERROR(MIN(FILTER({L170, O170, R170}, ISNUMBER({L170, O170, R170}), {L170, O170, R170} &gt; 0)), """"))*S170)+IFERROR(MIN(FILTER({L170, O170, R170}, ISNUMBER({L170, O170, R170}), {L170, O170, R170} &gt; 0)), """")"),0.0)</f>
        <v>0</v>
      </c>
      <c r="U170" s="109"/>
      <c r="V170" s="77" t="str">
        <f>IFERROR(__xludf.DUMMYFUNCTION("(T170-(IFERROR(MIN(FILTER({L170, O170, R170}, ISNUMBER({L170, O170, R170}), {L170, O170, R170} &gt; 0)), """")))/T170"),"#DIV/0!")</f>
        <v>#DIV/0!</v>
      </c>
      <c r="W170" s="78"/>
      <c r="X170" s="79">
        <v>300.0</v>
      </c>
    </row>
    <row r="171" ht="22.5" customHeight="1">
      <c r="A171" s="34"/>
      <c r="B171" s="34"/>
      <c r="C171" s="37"/>
      <c r="D171" s="38"/>
      <c r="E171" s="103"/>
      <c r="F171" s="49"/>
      <c r="G171" s="37"/>
      <c r="H171" s="107"/>
      <c r="I171" s="34"/>
      <c r="J171" s="39" t="s">
        <v>261</v>
      </c>
      <c r="K171" s="41" t="s">
        <v>261</v>
      </c>
      <c r="L171" s="39"/>
      <c r="M171" s="108"/>
      <c r="N171" s="108"/>
      <c r="O171" s="108"/>
      <c r="P171" s="39"/>
      <c r="Q171" s="39"/>
      <c r="R171" s="39"/>
      <c r="S171" s="46">
        <v>0.67</v>
      </c>
      <c r="T171" s="109">
        <f>IFERROR(__xludf.DUMMYFUNCTION("((IFERROR(MIN(FILTER({L171, O171, R171}, ISNUMBER({L171, O171, R171}), {L171, O171, R171} &gt; 0)), """"))*S171)+IFERROR(MIN(FILTER({L171, O171, R171}, ISNUMBER({L171, O171, R171}), {L171, O171, R171} &gt; 0)), """")"),0.0)</f>
        <v>0</v>
      </c>
      <c r="U171" s="109"/>
      <c r="V171" s="77" t="str">
        <f>IFERROR(__xludf.DUMMYFUNCTION("(T171-(IFERROR(MIN(FILTER({L171, O171, R171}, ISNUMBER({L171, O171, R171}), {L171, O171, R171} &gt; 0)), """")))/T171"),"#DIV/0!")</f>
        <v>#DIV/0!</v>
      </c>
      <c r="W171" s="78"/>
      <c r="X171" s="79">
        <v>300.0</v>
      </c>
    </row>
    <row r="172" ht="22.5" customHeight="1">
      <c r="A172" s="34"/>
      <c r="B172" s="34"/>
      <c r="C172" s="37"/>
      <c r="D172" s="38"/>
      <c r="E172" s="103"/>
      <c r="F172" s="49"/>
      <c r="G172" s="37"/>
      <c r="H172" s="107"/>
      <c r="I172" s="34"/>
      <c r="J172" s="39" t="s">
        <v>261</v>
      </c>
      <c r="K172" s="41" t="s">
        <v>261</v>
      </c>
      <c r="L172" s="39"/>
      <c r="M172" s="108"/>
      <c r="N172" s="108"/>
      <c r="O172" s="108"/>
      <c r="P172" s="39"/>
      <c r="Q172" s="39"/>
      <c r="R172" s="39"/>
      <c r="S172" s="46">
        <v>0.67</v>
      </c>
      <c r="T172" s="109">
        <f>IFERROR(__xludf.DUMMYFUNCTION("((IFERROR(MIN(FILTER({L172, O172, R172}, ISNUMBER({L172, O172, R172}), {L172, O172, R172} &gt; 0)), """"))*S172)+IFERROR(MIN(FILTER({L172, O172, R172}, ISNUMBER({L172, O172, R172}), {L172, O172, R172} &gt; 0)), """")"),0.0)</f>
        <v>0</v>
      </c>
      <c r="U172" s="109"/>
      <c r="V172" s="77" t="str">
        <f>IFERROR(__xludf.DUMMYFUNCTION("(T172-(IFERROR(MIN(FILTER({L172, O172, R172}, ISNUMBER({L172, O172, R172}), {L172, O172, R172} &gt; 0)), """")))/T172"),"#DIV/0!")</f>
        <v>#DIV/0!</v>
      </c>
      <c r="W172" s="78"/>
      <c r="X172" s="79">
        <v>300.0</v>
      </c>
    </row>
    <row r="173" ht="22.5" customHeight="1">
      <c r="A173" s="34"/>
      <c r="B173" s="34"/>
      <c r="C173" s="37"/>
      <c r="D173" s="38"/>
      <c r="E173" s="103"/>
      <c r="F173" s="49"/>
      <c r="G173" s="37"/>
      <c r="H173" s="107"/>
      <c r="I173" s="34"/>
      <c r="J173" s="39" t="s">
        <v>261</v>
      </c>
      <c r="K173" s="41" t="s">
        <v>261</v>
      </c>
      <c r="L173" s="39"/>
      <c r="M173" s="108"/>
      <c r="N173" s="108"/>
      <c r="O173" s="108"/>
      <c r="P173" s="39"/>
      <c r="Q173" s="39"/>
      <c r="R173" s="39"/>
      <c r="S173" s="46">
        <v>0.67</v>
      </c>
      <c r="T173" s="109">
        <f>IFERROR(__xludf.DUMMYFUNCTION("((IFERROR(MIN(FILTER({L173, O173, R173}, ISNUMBER({L173, O173, R173}), {L173, O173, R173} &gt; 0)), """"))*S173)+IFERROR(MIN(FILTER({L173, O173, R173}, ISNUMBER({L173, O173, R173}), {L173, O173, R173} &gt; 0)), """")"),0.0)</f>
        <v>0</v>
      </c>
      <c r="U173" s="109"/>
      <c r="V173" s="77" t="str">
        <f>IFERROR(__xludf.DUMMYFUNCTION("(T173-(IFERROR(MIN(FILTER({L173, O173, R173}, ISNUMBER({L173, O173, R173}), {L173, O173, R173} &gt; 0)), """")))/T173"),"#DIV/0!")</f>
        <v>#DIV/0!</v>
      </c>
      <c r="W173" s="78"/>
      <c r="X173" s="79">
        <v>300.0</v>
      </c>
    </row>
    <row r="174" ht="22.5" customHeight="1">
      <c r="A174" s="34"/>
      <c r="B174" s="34"/>
      <c r="C174" s="37"/>
      <c r="D174" s="38"/>
      <c r="E174" s="103"/>
      <c r="F174" s="49"/>
      <c r="G174" s="37"/>
      <c r="H174" s="107"/>
      <c r="I174" s="34"/>
      <c r="J174" s="39" t="s">
        <v>261</v>
      </c>
      <c r="K174" s="41" t="s">
        <v>261</v>
      </c>
      <c r="L174" s="39"/>
      <c r="M174" s="108"/>
      <c r="N174" s="108"/>
      <c r="O174" s="108"/>
      <c r="P174" s="39"/>
      <c r="Q174" s="39"/>
      <c r="R174" s="39"/>
      <c r="S174" s="46">
        <v>0.67</v>
      </c>
      <c r="T174" s="109">
        <f>IFERROR(__xludf.DUMMYFUNCTION("((IFERROR(MIN(FILTER({L174, O174, R174}, ISNUMBER({L174, O174, R174}), {L174, O174, R174} &gt; 0)), """"))*S174)+IFERROR(MIN(FILTER({L174, O174, R174}, ISNUMBER({L174, O174, R174}), {L174, O174, R174} &gt; 0)), """")"),0.0)</f>
        <v>0</v>
      </c>
      <c r="U174" s="109"/>
      <c r="V174" s="77" t="str">
        <f>IFERROR(__xludf.DUMMYFUNCTION("(T174-(IFERROR(MIN(FILTER({L174, O174, R174}, ISNUMBER({L174, O174, R174}), {L174, O174, R174} &gt; 0)), """")))/T174"),"#DIV/0!")</f>
        <v>#DIV/0!</v>
      </c>
      <c r="W174" s="78"/>
      <c r="X174" s="79">
        <v>300.0</v>
      </c>
    </row>
    <row r="175" ht="22.5" customHeight="1">
      <c r="A175" s="34"/>
      <c r="B175" s="34"/>
      <c r="C175" s="37"/>
      <c r="D175" s="38"/>
      <c r="E175" s="103"/>
      <c r="F175" s="49"/>
      <c r="G175" s="37"/>
      <c r="H175" s="107"/>
      <c r="I175" s="34"/>
      <c r="J175" s="39" t="s">
        <v>261</v>
      </c>
      <c r="K175" s="41" t="s">
        <v>261</v>
      </c>
      <c r="L175" s="39"/>
      <c r="M175" s="108"/>
      <c r="N175" s="108"/>
      <c r="O175" s="108"/>
      <c r="P175" s="39"/>
      <c r="Q175" s="39"/>
      <c r="R175" s="39"/>
      <c r="S175" s="46">
        <v>0.67</v>
      </c>
      <c r="T175" s="109">
        <f>IFERROR(__xludf.DUMMYFUNCTION("((IFERROR(MIN(FILTER({L175, O175, R175}, ISNUMBER({L175, O175, R175}), {L175, O175, R175} &gt; 0)), """"))*S175)+IFERROR(MIN(FILTER({L175, O175, R175}, ISNUMBER({L175, O175, R175}), {L175, O175, R175} &gt; 0)), """")"),0.0)</f>
        <v>0</v>
      </c>
      <c r="U175" s="109"/>
      <c r="V175" s="77" t="str">
        <f>IFERROR(__xludf.DUMMYFUNCTION("(T175-(IFERROR(MIN(FILTER({L175, O175, R175}, ISNUMBER({L175, O175, R175}), {L175, O175, R175} &gt; 0)), """")))/T175"),"#DIV/0!")</f>
        <v>#DIV/0!</v>
      </c>
      <c r="W175" s="78"/>
      <c r="X175" s="79">
        <v>300.0</v>
      </c>
    </row>
    <row r="176" ht="22.5" customHeight="1">
      <c r="A176" s="34"/>
      <c r="B176" s="34"/>
      <c r="C176" s="37"/>
      <c r="D176" s="38"/>
      <c r="E176" s="103"/>
      <c r="F176" s="49"/>
      <c r="G176" s="37"/>
      <c r="H176" s="107"/>
      <c r="I176" s="34"/>
      <c r="J176" s="39" t="s">
        <v>261</v>
      </c>
      <c r="K176" s="41" t="s">
        <v>261</v>
      </c>
      <c r="L176" s="39"/>
      <c r="M176" s="108"/>
      <c r="N176" s="108"/>
      <c r="O176" s="108"/>
      <c r="P176" s="39"/>
      <c r="Q176" s="39"/>
      <c r="R176" s="39"/>
      <c r="S176" s="46">
        <v>0.67</v>
      </c>
      <c r="T176" s="109">
        <f>IFERROR(__xludf.DUMMYFUNCTION("((IFERROR(MIN(FILTER({L176, O176, R176}, ISNUMBER({L176, O176, R176}), {L176, O176, R176} &gt; 0)), """"))*S176)+IFERROR(MIN(FILTER({L176, O176, R176}, ISNUMBER({L176, O176, R176}), {L176, O176, R176} &gt; 0)), """")"),0.0)</f>
        <v>0</v>
      </c>
      <c r="U176" s="109"/>
      <c r="V176" s="77" t="str">
        <f>IFERROR(__xludf.DUMMYFUNCTION("(T176-(IFERROR(MIN(FILTER({L176, O176, R176}, ISNUMBER({L176, O176, R176}), {L176, O176, R176} &gt; 0)), """")))/T176"),"#DIV/0!")</f>
        <v>#DIV/0!</v>
      </c>
      <c r="W176" s="78"/>
      <c r="X176" s="79">
        <v>300.0</v>
      </c>
    </row>
    <row r="177" ht="22.5" customHeight="1">
      <c r="A177" s="34"/>
      <c r="B177" s="34"/>
      <c r="C177" s="37"/>
      <c r="D177" s="38"/>
      <c r="E177" s="103"/>
      <c r="F177" s="49"/>
      <c r="G177" s="37"/>
      <c r="H177" s="107"/>
      <c r="I177" s="34"/>
      <c r="J177" s="39" t="s">
        <v>261</v>
      </c>
      <c r="K177" s="41" t="s">
        <v>261</v>
      </c>
      <c r="L177" s="39"/>
      <c r="M177" s="108"/>
      <c r="N177" s="108"/>
      <c r="O177" s="108"/>
      <c r="P177" s="39"/>
      <c r="Q177" s="39"/>
      <c r="R177" s="39"/>
      <c r="S177" s="46">
        <v>0.67</v>
      </c>
      <c r="T177" s="109">
        <f>IFERROR(__xludf.DUMMYFUNCTION("((IFERROR(MIN(FILTER({L177, O177, R177}, ISNUMBER({L177, O177, R177}), {L177, O177, R177} &gt; 0)), """"))*S177)+IFERROR(MIN(FILTER({L177, O177, R177}, ISNUMBER({L177, O177, R177}), {L177, O177, R177} &gt; 0)), """")"),0.0)</f>
        <v>0</v>
      </c>
      <c r="U177" s="109"/>
      <c r="V177" s="77" t="str">
        <f>IFERROR(__xludf.DUMMYFUNCTION("(T177-(IFERROR(MIN(FILTER({L177, O177, R177}, ISNUMBER({L177, O177, R177}), {L177, O177, R177} &gt; 0)), """")))/T177"),"#DIV/0!")</f>
        <v>#DIV/0!</v>
      </c>
      <c r="W177" s="78"/>
      <c r="X177" s="79">
        <v>300.0</v>
      </c>
    </row>
    <row r="178" ht="22.5" customHeight="1">
      <c r="A178" s="34"/>
      <c r="B178" s="34"/>
      <c r="C178" s="37"/>
      <c r="D178" s="38"/>
      <c r="E178" s="103"/>
      <c r="F178" s="49"/>
      <c r="G178" s="37"/>
      <c r="H178" s="107"/>
      <c r="I178" s="34"/>
      <c r="J178" s="39" t="s">
        <v>261</v>
      </c>
      <c r="K178" s="41" t="s">
        <v>261</v>
      </c>
      <c r="L178" s="39"/>
      <c r="M178" s="108"/>
      <c r="N178" s="108"/>
      <c r="O178" s="108"/>
      <c r="P178" s="39"/>
      <c r="Q178" s="39"/>
      <c r="R178" s="39"/>
      <c r="S178" s="46">
        <v>0.67</v>
      </c>
      <c r="T178" s="109">
        <f>IFERROR(__xludf.DUMMYFUNCTION("((IFERROR(MIN(FILTER({L178, O178, R178}, ISNUMBER({L178, O178, R178}), {L178, O178, R178} &gt; 0)), """"))*S178)+IFERROR(MIN(FILTER({L178, O178, R178}, ISNUMBER({L178, O178, R178}), {L178, O178, R178} &gt; 0)), """")"),0.0)</f>
        <v>0</v>
      </c>
      <c r="U178" s="109"/>
      <c r="V178" s="77" t="str">
        <f>IFERROR(__xludf.DUMMYFUNCTION("(T178-(IFERROR(MIN(FILTER({L178, O178, R178}, ISNUMBER({L178, O178, R178}), {L178, O178, R178} &gt; 0)), """")))/T178"),"#DIV/0!")</f>
        <v>#DIV/0!</v>
      </c>
      <c r="W178" s="78"/>
      <c r="X178" s="79">
        <v>300.0</v>
      </c>
    </row>
    <row r="179" ht="22.5" customHeight="1">
      <c r="A179" s="34"/>
      <c r="B179" s="34"/>
      <c r="C179" s="37"/>
      <c r="D179" s="38"/>
      <c r="E179" s="103"/>
      <c r="F179" s="49"/>
      <c r="G179" s="37"/>
      <c r="H179" s="107"/>
      <c r="I179" s="34"/>
      <c r="J179" s="39" t="s">
        <v>261</v>
      </c>
      <c r="K179" s="41" t="s">
        <v>261</v>
      </c>
      <c r="L179" s="39"/>
      <c r="M179" s="108"/>
      <c r="N179" s="108"/>
      <c r="O179" s="108"/>
      <c r="P179" s="39"/>
      <c r="Q179" s="39"/>
      <c r="R179" s="39"/>
      <c r="S179" s="46">
        <v>0.67</v>
      </c>
      <c r="T179" s="109">
        <f>IFERROR(__xludf.DUMMYFUNCTION("((IFERROR(MIN(FILTER({L179, O179, R179}, ISNUMBER({L179, O179, R179}), {L179, O179, R179} &gt; 0)), """"))*S179)+IFERROR(MIN(FILTER({L179, O179, R179}, ISNUMBER({L179, O179, R179}), {L179, O179, R179} &gt; 0)), """")"),0.0)</f>
        <v>0</v>
      </c>
      <c r="U179" s="109"/>
      <c r="V179" s="77" t="str">
        <f>IFERROR(__xludf.DUMMYFUNCTION("(T179-(IFERROR(MIN(FILTER({L179, O179, R179}, ISNUMBER({L179, O179, R179}), {L179, O179, R179} &gt; 0)), """")))/T179"),"#DIV/0!")</f>
        <v>#DIV/0!</v>
      </c>
      <c r="W179" s="78"/>
      <c r="X179" s="79">
        <v>300.0</v>
      </c>
    </row>
    <row r="180" ht="22.5" customHeight="1">
      <c r="A180" s="34"/>
      <c r="B180" s="34"/>
      <c r="C180" s="37"/>
      <c r="D180" s="38"/>
      <c r="E180" s="103"/>
      <c r="F180" s="49"/>
      <c r="G180" s="37"/>
      <c r="H180" s="107"/>
      <c r="I180" s="34"/>
      <c r="J180" s="39" t="s">
        <v>261</v>
      </c>
      <c r="K180" s="41" t="s">
        <v>261</v>
      </c>
      <c r="L180" s="39"/>
      <c r="M180" s="108"/>
      <c r="N180" s="108"/>
      <c r="O180" s="108"/>
      <c r="P180" s="39"/>
      <c r="Q180" s="39"/>
      <c r="R180" s="39"/>
      <c r="S180" s="46">
        <v>0.67</v>
      </c>
      <c r="T180" s="109">
        <f>IFERROR(__xludf.DUMMYFUNCTION("((IFERROR(MIN(FILTER({L180, O180, R180}, ISNUMBER({L180, O180, R180}), {L180, O180, R180} &gt; 0)), """"))*S180)+IFERROR(MIN(FILTER({L180, O180, R180}, ISNUMBER({L180, O180, R180}), {L180, O180, R180} &gt; 0)), """")"),0.0)</f>
        <v>0</v>
      </c>
      <c r="U180" s="109"/>
      <c r="V180" s="77" t="str">
        <f>IFERROR(__xludf.DUMMYFUNCTION("(T180-(IFERROR(MIN(FILTER({L180, O180, R180}, ISNUMBER({L180, O180, R180}), {L180, O180, R180} &gt; 0)), """")))/T180"),"#DIV/0!")</f>
        <v>#DIV/0!</v>
      </c>
      <c r="W180" s="78"/>
      <c r="X180" s="79">
        <v>300.0</v>
      </c>
    </row>
    <row r="181" ht="22.5" customHeight="1">
      <c r="A181" s="34"/>
      <c r="B181" s="34"/>
      <c r="C181" s="37"/>
      <c r="D181" s="38"/>
      <c r="E181" s="103"/>
      <c r="F181" s="49"/>
      <c r="G181" s="37"/>
      <c r="H181" s="107"/>
      <c r="I181" s="34"/>
      <c r="J181" s="39" t="s">
        <v>261</v>
      </c>
      <c r="K181" s="41" t="s">
        <v>261</v>
      </c>
      <c r="L181" s="39"/>
      <c r="M181" s="108"/>
      <c r="N181" s="108"/>
      <c r="O181" s="108"/>
      <c r="P181" s="39"/>
      <c r="Q181" s="39"/>
      <c r="R181" s="39"/>
      <c r="S181" s="46">
        <v>0.67</v>
      </c>
      <c r="T181" s="109">
        <f>IFERROR(__xludf.DUMMYFUNCTION("((IFERROR(MIN(FILTER({L181, O181, R181}, ISNUMBER({L181, O181, R181}), {L181, O181, R181} &gt; 0)), """"))*S181)+IFERROR(MIN(FILTER({L181, O181, R181}, ISNUMBER({L181, O181, R181}), {L181, O181, R181} &gt; 0)), """")"),0.0)</f>
        <v>0</v>
      </c>
      <c r="U181" s="109"/>
      <c r="V181" s="77" t="str">
        <f>IFERROR(__xludf.DUMMYFUNCTION("(T181-(IFERROR(MIN(FILTER({L181, O181, R181}, ISNUMBER({L181, O181, R181}), {L181, O181, R181} &gt; 0)), """")))/T181"),"#DIV/0!")</f>
        <v>#DIV/0!</v>
      </c>
      <c r="W181" s="78"/>
      <c r="X181" s="79">
        <v>300.0</v>
      </c>
    </row>
    <row r="182" ht="22.5" customHeight="1">
      <c r="A182" s="34"/>
      <c r="B182" s="34"/>
      <c r="C182" s="37"/>
      <c r="D182" s="38"/>
      <c r="E182" s="103"/>
      <c r="F182" s="49"/>
      <c r="G182" s="37"/>
      <c r="H182" s="107"/>
      <c r="I182" s="34"/>
      <c r="J182" s="39" t="s">
        <v>261</v>
      </c>
      <c r="K182" s="41" t="s">
        <v>261</v>
      </c>
      <c r="L182" s="39"/>
      <c r="M182" s="108"/>
      <c r="N182" s="108"/>
      <c r="O182" s="108"/>
      <c r="P182" s="39"/>
      <c r="Q182" s="39"/>
      <c r="R182" s="39"/>
      <c r="S182" s="46">
        <v>0.67</v>
      </c>
      <c r="T182" s="109">
        <f>IFERROR(__xludf.DUMMYFUNCTION("((IFERROR(MIN(FILTER({L182, O182, R182}, ISNUMBER({L182, O182, R182}), {L182, O182, R182} &gt; 0)), """"))*S182)+IFERROR(MIN(FILTER({L182, O182, R182}, ISNUMBER({L182, O182, R182}), {L182, O182, R182} &gt; 0)), """")"),0.0)</f>
        <v>0</v>
      </c>
      <c r="U182" s="109"/>
      <c r="V182" s="77" t="str">
        <f>IFERROR(__xludf.DUMMYFUNCTION("(T182-(IFERROR(MIN(FILTER({L182, O182, R182}, ISNUMBER({L182, O182, R182}), {L182, O182, R182} &gt; 0)), """")))/T182"),"#DIV/0!")</f>
        <v>#DIV/0!</v>
      </c>
      <c r="W182" s="78"/>
      <c r="X182" s="79">
        <v>300.0</v>
      </c>
    </row>
    <row r="183" ht="22.5" customHeight="1">
      <c r="A183" s="34"/>
      <c r="B183" s="34"/>
      <c r="C183" s="37"/>
      <c r="D183" s="38"/>
      <c r="E183" s="103"/>
      <c r="F183" s="49"/>
      <c r="G183" s="37"/>
      <c r="H183" s="107"/>
      <c r="I183" s="34"/>
      <c r="J183" s="39" t="s">
        <v>261</v>
      </c>
      <c r="K183" s="41" t="s">
        <v>261</v>
      </c>
      <c r="L183" s="39"/>
      <c r="M183" s="108"/>
      <c r="N183" s="108"/>
      <c r="O183" s="108"/>
      <c r="P183" s="39"/>
      <c r="Q183" s="39"/>
      <c r="R183" s="39"/>
      <c r="S183" s="46">
        <v>0.67</v>
      </c>
      <c r="T183" s="109">
        <f>IFERROR(__xludf.DUMMYFUNCTION("((IFERROR(MIN(FILTER({L183, O183, R183}, ISNUMBER({L183, O183, R183}), {L183, O183, R183} &gt; 0)), """"))*S183)+IFERROR(MIN(FILTER({L183, O183, R183}, ISNUMBER({L183, O183, R183}), {L183, O183, R183} &gt; 0)), """")"),0.0)</f>
        <v>0</v>
      </c>
      <c r="U183" s="109"/>
      <c r="V183" s="77" t="str">
        <f>IFERROR(__xludf.DUMMYFUNCTION("(T183-(IFERROR(MIN(FILTER({L183, O183, R183}, ISNUMBER({L183, O183, R183}), {L183, O183, R183} &gt; 0)), """")))/T183"),"#DIV/0!")</f>
        <v>#DIV/0!</v>
      </c>
      <c r="W183" s="78"/>
      <c r="X183" s="79">
        <v>300.0</v>
      </c>
    </row>
    <row r="184" ht="22.5" customHeight="1">
      <c r="A184" s="34"/>
      <c r="B184" s="34"/>
      <c r="C184" s="37"/>
      <c r="D184" s="38"/>
      <c r="E184" s="103"/>
      <c r="F184" s="49"/>
      <c r="G184" s="37"/>
      <c r="H184" s="107"/>
      <c r="I184" s="34"/>
      <c r="J184" s="41" t="s">
        <v>261</v>
      </c>
      <c r="K184" s="41" t="s">
        <v>261</v>
      </c>
      <c r="L184" s="41"/>
      <c r="M184" s="108"/>
      <c r="N184" s="108"/>
      <c r="O184" s="110"/>
      <c r="P184" s="41"/>
      <c r="Q184" s="39"/>
      <c r="R184" s="39"/>
      <c r="S184" s="46">
        <v>0.67</v>
      </c>
      <c r="T184" s="109">
        <f>IFERROR(__xludf.DUMMYFUNCTION("((IFERROR(MIN(FILTER({L184, O184, R184}, ISNUMBER({L184, O184, R184}), {L184, O184, R184} &gt; 0)), """"))*S184)+IFERROR(MIN(FILTER({L184, O184, R184}, ISNUMBER({L184, O184, R184}), {L184, O184, R184} &gt; 0)), """")"),0.0)</f>
        <v>0</v>
      </c>
      <c r="U184" s="109"/>
      <c r="V184" s="77" t="str">
        <f>IFERROR(__xludf.DUMMYFUNCTION("(T184-(IFERROR(MIN(FILTER({L184, O184, R184}, ISNUMBER({L184, O184, R184}), {L184, O184, R184} &gt; 0)), """")))/T184"),"#DIV/0!")</f>
        <v>#DIV/0!</v>
      </c>
      <c r="W184" s="78"/>
      <c r="X184" s="79">
        <v>300.0</v>
      </c>
    </row>
    <row r="185" ht="22.5" customHeight="1">
      <c r="A185" s="34"/>
      <c r="B185" s="34"/>
      <c r="C185" s="37"/>
      <c r="D185" s="38"/>
      <c r="E185" s="103"/>
      <c r="F185" s="49"/>
      <c r="G185" s="37"/>
      <c r="H185" s="107"/>
      <c r="I185" s="34"/>
      <c r="J185" s="39" t="s">
        <v>261</v>
      </c>
      <c r="K185" s="41" t="s">
        <v>261</v>
      </c>
      <c r="L185" s="39"/>
      <c r="M185" s="108"/>
      <c r="N185" s="108"/>
      <c r="O185" s="108"/>
      <c r="P185" s="39"/>
      <c r="Q185" s="39"/>
      <c r="R185" s="39"/>
      <c r="S185" s="46">
        <v>0.67</v>
      </c>
      <c r="T185" s="109">
        <f>IFERROR(__xludf.DUMMYFUNCTION("((IFERROR(MIN(FILTER({L185, O185, R185}, ISNUMBER({L185, O185, R185}), {L185, O185, R185} &gt; 0)), """"))*S185)+IFERROR(MIN(FILTER({L185, O185, R185}, ISNUMBER({L185, O185, R185}), {L185, O185, R185} &gt; 0)), """")"),0.0)</f>
        <v>0</v>
      </c>
      <c r="U185" s="109"/>
      <c r="V185" s="77" t="str">
        <f>IFERROR(__xludf.DUMMYFUNCTION("(T185-(IFERROR(MIN(FILTER({L185, O185, R185}, ISNUMBER({L185, O185, R185}), {L185, O185, R185} &gt; 0)), """")))/T185"),"#DIV/0!")</f>
        <v>#DIV/0!</v>
      </c>
      <c r="W185" s="78"/>
      <c r="X185" s="79">
        <v>300.0</v>
      </c>
    </row>
    <row r="186" ht="22.5" customHeight="1">
      <c r="A186" s="34"/>
      <c r="B186" s="34"/>
      <c r="C186" s="37"/>
      <c r="D186" s="38"/>
      <c r="E186" s="103"/>
      <c r="F186" s="49"/>
      <c r="G186" s="37"/>
      <c r="H186" s="107"/>
      <c r="I186" s="34"/>
      <c r="J186" s="39" t="s">
        <v>261</v>
      </c>
      <c r="K186" s="41" t="s">
        <v>261</v>
      </c>
      <c r="L186" s="39"/>
      <c r="M186" s="108"/>
      <c r="N186" s="108"/>
      <c r="O186" s="108"/>
      <c r="P186" s="39"/>
      <c r="Q186" s="39"/>
      <c r="R186" s="39"/>
      <c r="S186" s="46">
        <v>0.67</v>
      </c>
      <c r="T186" s="109">
        <f>IFERROR(__xludf.DUMMYFUNCTION("((IFERROR(MIN(FILTER({L186, O186, R186}, ISNUMBER({L186, O186, R186}), {L186, O186, R186} &gt; 0)), """"))*S186)+IFERROR(MIN(FILTER({L186, O186, R186}, ISNUMBER({L186, O186, R186}), {L186, O186, R186} &gt; 0)), """")"),0.0)</f>
        <v>0</v>
      </c>
      <c r="U186" s="109"/>
      <c r="V186" s="77" t="str">
        <f>IFERROR(__xludf.DUMMYFUNCTION("(T186-(IFERROR(MIN(FILTER({L186, O186, R186}, ISNUMBER({L186, O186, R186}), {L186, O186, R186} &gt; 0)), """")))/T186"),"#DIV/0!")</f>
        <v>#DIV/0!</v>
      </c>
      <c r="W186" s="78"/>
      <c r="X186" s="79">
        <v>300.0</v>
      </c>
    </row>
    <row r="187" ht="22.5" customHeight="1">
      <c r="A187" s="34"/>
      <c r="B187" s="34"/>
      <c r="C187" s="37"/>
      <c r="D187" s="38"/>
      <c r="E187" s="103"/>
      <c r="F187" s="49"/>
      <c r="G187" s="37"/>
      <c r="H187" s="107"/>
      <c r="I187" s="34"/>
      <c r="J187" s="39" t="s">
        <v>261</v>
      </c>
      <c r="K187" s="41" t="s">
        <v>261</v>
      </c>
      <c r="L187" s="39"/>
      <c r="M187" s="108"/>
      <c r="N187" s="108"/>
      <c r="O187" s="108"/>
      <c r="P187" s="39"/>
      <c r="Q187" s="39"/>
      <c r="R187" s="39"/>
      <c r="S187" s="46">
        <v>0.67</v>
      </c>
      <c r="T187" s="109">
        <f>IFERROR(__xludf.DUMMYFUNCTION("((IFERROR(MIN(FILTER({L187, O187, R187}, ISNUMBER({L187, O187, R187}), {L187, O187, R187} &gt; 0)), """"))*S187)+IFERROR(MIN(FILTER({L187, O187, R187}, ISNUMBER({L187, O187, R187}), {L187, O187, R187} &gt; 0)), """")"),0.0)</f>
        <v>0</v>
      </c>
      <c r="U187" s="109"/>
      <c r="V187" s="77" t="str">
        <f>IFERROR(__xludf.DUMMYFUNCTION("(T187-(IFERROR(MIN(FILTER({L187, O187, R187}, ISNUMBER({L187, O187, R187}), {L187, O187, R187} &gt; 0)), """")))/T187"),"#DIV/0!")</f>
        <v>#DIV/0!</v>
      </c>
      <c r="W187" s="78"/>
      <c r="X187" s="79">
        <v>300.0</v>
      </c>
    </row>
    <row r="188" ht="22.5" customHeight="1">
      <c r="A188" s="34"/>
      <c r="B188" s="34"/>
      <c r="C188" s="37"/>
      <c r="D188" s="38"/>
      <c r="E188" s="103"/>
      <c r="F188" s="49"/>
      <c r="G188" s="37"/>
      <c r="H188" s="107"/>
      <c r="I188" s="34"/>
      <c r="J188" s="41" t="s">
        <v>261</v>
      </c>
      <c r="K188" s="41" t="s">
        <v>261</v>
      </c>
      <c r="L188" s="41"/>
      <c r="M188" s="108"/>
      <c r="N188" s="108"/>
      <c r="O188" s="110"/>
      <c r="P188" s="41"/>
      <c r="Q188" s="39"/>
      <c r="R188" s="39"/>
      <c r="S188" s="46">
        <v>0.67</v>
      </c>
      <c r="T188" s="109">
        <f>IFERROR(__xludf.DUMMYFUNCTION("((IFERROR(MIN(FILTER({L188, O188, R188}, ISNUMBER({L188, O188, R188}), {L188, O188, R188} &gt; 0)), """"))*S188)+IFERROR(MIN(FILTER({L188, O188, R188}, ISNUMBER({L188, O188, R188}), {L188, O188, R188} &gt; 0)), """")"),0.0)</f>
        <v>0</v>
      </c>
      <c r="U188" s="109"/>
      <c r="V188" s="77" t="str">
        <f>IFERROR(__xludf.DUMMYFUNCTION("(T188-(IFERROR(MIN(FILTER({L188, O188, R188}, ISNUMBER({L188, O188, R188}), {L188, O188, R188} &gt; 0)), """")))/T188"),"#DIV/0!")</f>
        <v>#DIV/0!</v>
      </c>
      <c r="W188" s="78"/>
      <c r="X188" s="79">
        <v>300.0</v>
      </c>
    </row>
    <row r="189" ht="22.5" customHeight="1">
      <c r="A189" s="34"/>
      <c r="B189" s="34"/>
      <c r="C189" s="37"/>
      <c r="D189" s="38"/>
      <c r="E189" s="103"/>
      <c r="F189" s="49"/>
      <c r="G189" s="37"/>
      <c r="H189" s="107"/>
      <c r="I189" s="34"/>
      <c r="J189" s="41" t="s">
        <v>261</v>
      </c>
      <c r="K189" s="41" t="s">
        <v>261</v>
      </c>
      <c r="L189" s="41"/>
      <c r="M189" s="108"/>
      <c r="N189" s="108"/>
      <c r="O189" s="110"/>
      <c r="P189" s="41"/>
      <c r="Q189" s="39"/>
      <c r="R189" s="39"/>
      <c r="S189" s="46">
        <v>0.67</v>
      </c>
      <c r="T189" s="109">
        <f>IFERROR(__xludf.DUMMYFUNCTION("((IFERROR(MIN(FILTER({L189, O189, R189}, ISNUMBER({L189, O189, R189}), {L189, O189, R189} &gt; 0)), """"))*S189)+IFERROR(MIN(FILTER({L189, O189, R189}, ISNUMBER({L189, O189, R189}), {L189, O189, R189} &gt; 0)), """")"),0.0)</f>
        <v>0</v>
      </c>
      <c r="U189" s="109"/>
      <c r="V189" s="77" t="str">
        <f>IFERROR(__xludf.DUMMYFUNCTION("(T189-(IFERROR(MIN(FILTER({L189, O189, R189}, ISNUMBER({L189, O189, R189}), {L189, O189, R189} &gt; 0)), """")))/T189"),"#DIV/0!")</f>
        <v>#DIV/0!</v>
      </c>
      <c r="W189" s="78"/>
      <c r="X189" s="79">
        <v>300.0</v>
      </c>
    </row>
    <row r="190" ht="22.5" customHeight="1">
      <c r="A190" s="34"/>
      <c r="B190" s="34"/>
      <c r="C190" s="37"/>
      <c r="D190" s="38"/>
      <c r="E190" s="103"/>
      <c r="F190" s="49"/>
      <c r="G190" s="37"/>
      <c r="H190" s="107"/>
      <c r="I190" s="34"/>
      <c r="J190" s="41" t="s">
        <v>261</v>
      </c>
      <c r="K190" s="41" t="s">
        <v>261</v>
      </c>
      <c r="L190" s="41"/>
      <c r="M190" s="108"/>
      <c r="N190" s="108"/>
      <c r="O190" s="110"/>
      <c r="P190" s="41"/>
      <c r="Q190" s="39"/>
      <c r="R190" s="39"/>
      <c r="S190" s="46">
        <v>0.67</v>
      </c>
      <c r="T190" s="109">
        <f>IFERROR(__xludf.DUMMYFUNCTION("((IFERROR(MIN(FILTER({L190, O190, R190}, ISNUMBER({L190, O190, R190}), {L190, O190, R190} &gt; 0)), """"))*S190)+IFERROR(MIN(FILTER({L190, O190, R190}, ISNUMBER({L190, O190, R190}), {L190, O190, R190} &gt; 0)), """")"),0.0)</f>
        <v>0</v>
      </c>
      <c r="U190" s="109"/>
      <c r="V190" s="77" t="str">
        <f>IFERROR(__xludf.DUMMYFUNCTION("(T190-(IFERROR(MIN(FILTER({L190, O190, R190}, ISNUMBER({L190, O190, R190}), {L190, O190, R190} &gt; 0)), """")))/T190"),"#DIV/0!")</f>
        <v>#DIV/0!</v>
      </c>
      <c r="W190" s="78"/>
      <c r="X190" s="79">
        <v>300.0</v>
      </c>
    </row>
    <row r="191" ht="22.5" customHeight="1">
      <c r="A191" s="34"/>
      <c r="B191" s="34"/>
      <c r="C191" s="37"/>
      <c r="D191" s="38"/>
      <c r="E191" s="103"/>
      <c r="F191" s="49"/>
      <c r="G191" s="37"/>
      <c r="H191" s="107"/>
      <c r="I191" s="34"/>
      <c r="J191" s="41" t="s">
        <v>261</v>
      </c>
      <c r="K191" s="41" t="s">
        <v>261</v>
      </c>
      <c r="L191" s="41"/>
      <c r="M191" s="108"/>
      <c r="N191" s="108"/>
      <c r="O191" s="110"/>
      <c r="P191" s="41"/>
      <c r="Q191" s="39"/>
      <c r="R191" s="39"/>
      <c r="S191" s="46">
        <v>0.67</v>
      </c>
      <c r="T191" s="109">
        <f>IFERROR(__xludf.DUMMYFUNCTION("((IFERROR(MIN(FILTER({L191, O191, R191}, ISNUMBER({L191, O191, R191}), {L191, O191, R191} &gt; 0)), """"))*S191)+IFERROR(MIN(FILTER({L191, O191, R191}, ISNUMBER({L191, O191, R191}), {L191, O191, R191} &gt; 0)), """")"),0.0)</f>
        <v>0</v>
      </c>
      <c r="U191" s="109"/>
      <c r="V191" s="77" t="str">
        <f>IFERROR(__xludf.DUMMYFUNCTION("(T191-(IFERROR(MIN(FILTER({L191, O191, R191}, ISNUMBER({L191, O191, R191}), {L191, O191, R191} &gt; 0)), """")))/T191"),"#DIV/0!")</f>
        <v>#DIV/0!</v>
      </c>
      <c r="W191" s="78"/>
      <c r="X191" s="79">
        <v>300.0</v>
      </c>
    </row>
    <row r="192" ht="22.5" customHeight="1">
      <c r="A192" s="34"/>
      <c r="B192" s="34"/>
      <c r="C192" s="37"/>
      <c r="D192" s="38"/>
      <c r="E192" s="103"/>
      <c r="F192" s="49"/>
      <c r="G192" s="37"/>
      <c r="H192" s="107"/>
      <c r="I192" s="34"/>
      <c r="J192" s="39" t="s">
        <v>261</v>
      </c>
      <c r="K192" s="41" t="s">
        <v>261</v>
      </c>
      <c r="L192" s="39"/>
      <c r="M192" s="108"/>
      <c r="N192" s="108"/>
      <c r="O192" s="108"/>
      <c r="P192" s="39"/>
      <c r="Q192" s="39"/>
      <c r="R192" s="39"/>
      <c r="S192" s="46">
        <v>0.67</v>
      </c>
      <c r="T192" s="109">
        <f>IFERROR(__xludf.DUMMYFUNCTION("((IFERROR(MIN(FILTER({L192, O192, R192}, ISNUMBER({L192, O192, R192}), {L192, O192, R192} &gt; 0)), """"))*S192)+IFERROR(MIN(FILTER({L192, O192, R192}, ISNUMBER({L192, O192, R192}), {L192, O192, R192} &gt; 0)), """")"),0.0)</f>
        <v>0</v>
      </c>
      <c r="U192" s="109"/>
      <c r="V192" s="77" t="str">
        <f>IFERROR(__xludf.DUMMYFUNCTION("(T192-(IFERROR(MIN(FILTER({L192, O192, R192}, ISNUMBER({L192, O192, R192}), {L192, O192, R192} &gt; 0)), """")))/T192"),"#DIV/0!")</f>
        <v>#DIV/0!</v>
      </c>
      <c r="W192" s="78"/>
      <c r="X192" s="79">
        <v>300.0</v>
      </c>
    </row>
    <row r="193" ht="22.5" customHeight="1">
      <c r="A193" s="34"/>
      <c r="B193" s="34"/>
      <c r="C193" s="37"/>
      <c r="D193" s="38"/>
      <c r="E193" s="103"/>
      <c r="F193" s="49"/>
      <c r="G193" s="37"/>
      <c r="H193" s="107"/>
      <c r="I193" s="34"/>
      <c r="J193" s="39" t="s">
        <v>261</v>
      </c>
      <c r="K193" s="41" t="s">
        <v>261</v>
      </c>
      <c r="L193" s="39"/>
      <c r="M193" s="108"/>
      <c r="N193" s="108"/>
      <c r="O193" s="108"/>
      <c r="P193" s="39"/>
      <c r="Q193" s="39"/>
      <c r="R193" s="39"/>
      <c r="S193" s="46">
        <v>0.67</v>
      </c>
      <c r="T193" s="109">
        <f>IFERROR(__xludf.DUMMYFUNCTION("((IFERROR(MIN(FILTER({L193, O193, R193}, ISNUMBER({L193, O193, R193}), {L193, O193, R193} &gt; 0)), """"))*S193)+IFERROR(MIN(FILTER({L193, O193, R193}, ISNUMBER({L193, O193, R193}), {L193, O193, R193} &gt; 0)), """")"),0.0)</f>
        <v>0</v>
      </c>
      <c r="U193" s="109"/>
      <c r="V193" s="77" t="str">
        <f>IFERROR(__xludf.DUMMYFUNCTION("(T193-(IFERROR(MIN(FILTER({L193, O193, R193}, ISNUMBER({L193, O193, R193}), {L193, O193, R193} &gt; 0)), """")))/T193"),"#DIV/0!")</f>
        <v>#DIV/0!</v>
      </c>
      <c r="W193" s="78"/>
      <c r="X193" s="79">
        <v>300.0</v>
      </c>
    </row>
    <row r="194" ht="22.5" customHeight="1">
      <c r="A194" s="34"/>
      <c r="B194" s="34"/>
      <c r="C194" s="37"/>
      <c r="D194" s="38"/>
      <c r="E194" s="103"/>
      <c r="F194" s="49"/>
      <c r="G194" s="37"/>
      <c r="H194" s="107"/>
      <c r="I194" s="34"/>
      <c r="J194" s="41" t="s">
        <v>261</v>
      </c>
      <c r="K194" s="41" t="s">
        <v>261</v>
      </c>
      <c r="L194" s="41"/>
      <c r="M194" s="108"/>
      <c r="N194" s="108"/>
      <c r="O194" s="110"/>
      <c r="P194" s="41"/>
      <c r="Q194" s="39"/>
      <c r="R194" s="39"/>
      <c r="S194" s="46">
        <v>0.67</v>
      </c>
      <c r="T194" s="109">
        <f>IFERROR(__xludf.DUMMYFUNCTION("((IFERROR(MIN(FILTER({L194, O194, R194}, ISNUMBER({L194, O194, R194}), {L194, O194, R194} &gt; 0)), """"))*S194)+IFERROR(MIN(FILTER({L194, O194, R194}, ISNUMBER({L194, O194, R194}), {L194, O194, R194} &gt; 0)), """")"),0.0)</f>
        <v>0</v>
      </c>
      <c r="U194" s="109"/>
      <c r="V194" s="77" t="str">
        <f>IFERROR(__xludf.DUMMYFUNCTION("(T194-(IFERROR(MIN(FILTER({L194, O194, R194}, ISNUMBER({L194, O194, R194}), {L194, O194, R194} &gt; 0)), """")))/T194"),"#DIV/0!")</f>
        <v>#DIV/0!</v>
      </c>
      <c r="W194" s="78"/>
      <c r="X194" s="79">
        <v>300.0</v>
      </c>
    </row>
    <row r="195" ht="22.5" customHeight="1">
      <c r="A195" s="34"/>
      <c r="B195" s="34"/>
      <c r="C195" s="37"/>
      <c r="D195" s="38"/>
      <c r="E195" s="103"/>
      <c r="F195" s="49"/>
      <c r="G195" s="37"/>
      <c r="H195" s="107"/>
      <c r="I195" s="34"/>
      <c r="J195" s="41" t="s">
        <v>261</v>
      </c>
      <c r="K195" s="41" t="s">
        <v>261</v>
      </c>
      <c r="L195" s="41"/>
      <c r="M195" s="108"/>
      <c r="N195" s="108"/>
      <c r="O195" s="110"/>
      <c r="P195" s="41"/>
      <c r="Q195" s="39"/>
      <c r="R195" s="39"/>
      <c r="S195" s="46">
        <v>0.67</v>
      </c>
      <c r="T195" s="109">
        <f>IFERROR(__xludf.DUMMYFUNCTION("((IFERROR(MIN(FILTER({L195, O195, R195}, ISNUMBER({L195, O195, R195}), {L195, O195, R195} &gt; 0)), """"))*S195)+IFERROR(MIN(FILTER({L195, O195, R195}, ISNUMBER({L195, O195, R195}), {L195, O195, R195} &gt; 0)), """")"),0.0)</f>
        <v>0</v>
      </c>
      <c r="U195" s="109"/>
      <c r="V195" s="77" t="str">
        <f>IFERROR(__xludf.DUMMYFUNCTION("(T195-(IFERROR(MIN(FILTER({L195, O195, R195}, ISNUMBER({L195, O195, R195}), {L195, O195, R195} &gt; 0)), """")))/T195"),"#DIV/0!")</f>
        <v>#DIV/0!</v>
      </c>
      <c r="W195" s="78"/>
      <c r="X195" s="79">
        <v>300.0</v>
      </c>
    </row>
    <row r="196" ht="22.5" customHeight="1">
      <c r="A196" s="34"/>
      <c r="B196" s="34"/>
      <c r="C196" s="37"/>
      <c r="D196" s="38"/>
      <c r="E196" s="103"/>
      <c r="F196" s="49"/>
      <c r="G196" s="37"/>
      <c r="H196" s="107"/>
      <c r="I196" s="34"/>
      <c r="J196" s="41" t="s">
        <v>261</v>
      </c>
      <c r="K196" s="41" t="s">
        <v>261</v>
      </c>
      <c r="L196" s="41"/>
      <c r="M196" s="108"/>
      <c r="N196" s="108"/>
      <c r="O196" s="110"/>
      <c r="P196" s="41"/>
      <c r="Q196" s="39"/>
      <c r="R196" s="39"/>
      <c r="S196" s="46">
        <v>0.67</v>
      </c>
      <c r="T196" s="109">
        <f>IFERROR(__xludf.DUMMYFUNCTION("((IFERROR(MIN(FILTER({L196, O196, R196}, ISNUMBER({L196, O196, R196}), {L196, O196, R196} &gt; 0)), """"))*S196)+IFERROR(MIN(FILTER({L196, O196, R196}, ISNUMBER({L196, O196, R196}), {L196, O196, R196} &gt; 0)), """")"),0.0)</f>
        <v>0</v>
      </c>
      <c r="U196" s="109"/>
      <c r="V196" s="77" t="str">
        <f>IFERROR(__xludf.DUMMYFUNCTION("(T196-(IFERROR(MIN(FILTER({L196, O196, R196}, ISNUMBER({L196, O196, R196}), {L196, O196, R196} &gt; 0)), """")))/T196"),"#DIV/0!")</f>
        <v>#DIV/0!</v>
      </c>
      <c r="W196" s="78"/>
      <c r="X196" s="79">
        <v>300.0</v>
      </c>
    </row>
    <row r="197" ht="22.5" customHeight="1">
      <c r="A197" s="34"/>
      <c r="B197" s="34"/>
      <c r="C197" s="37"/>
      <c r="D197" s="38"/>
      <c r="E197" s="103"/>
      <c r="F197" s="49"/>
      <c r="G197" s="37"/>
      <c r="H197" s="107"/>
      <c r="I197" s="34"/>
      <c r="J197" s="41" t="s">
        <v>261</v>
      </c>
      <c r="K197" s="41" t="s">
        <v>261</v>
      </c>
      <c r="L197" s="41"/>
      <c r="M197" s="108"/>
      <c r="N197" s="108"/>
      <c r="O197" s="110"/>
      <c r="P197" s="41"/>
      <c r="Q197" s="39"/>
      <c r="R197" s="39"/>
      <c r="S197" s="46">
        <v>0.67</v>
      </c>
      <c r="T197" s="109">
        <f>IFERROR(__xludf.DUMMYFUNCTION("((IFERROR(MIN(FILTER({L197, O197, R197}, ISNUMBER({L197, O197, R197}), {L197, O197, R197} &gt; 0)), """"))*S197)+IFERROR(MIN(FILTER({L197, O197, R197}, ISNUMBER({L197, O197, R197}), {L197, O197, R197} &gt; 0)), """")"),0.0)</f>
        <v>0</v>
      </c>
      <c r="U197" s="109"/>
      <c r="V197" s="77" t="str">
        <f>IFERROR(__xludf.DUMMYFUNCTION("(T197-(IFERROR(MIN(FILTER({L197, O197, R197}, ISNUMBER({L197, O197, R197}), {L197, O197, R197} &gt; 0)), """")))/T197"),"#DIV/0!")</f>
        <v>#DIV/0!</v>
      </c>
      <c r="W197" s="78"/>
      <c r="X197" s="79">
        <v>300.0</v>
      </c>
    </row>
    <row r="198" ht="22.5" customHeight="1">
      <c r="A198" s="34"/>
      <c r="B198" s="34"/>
      <c r="C198" s="37"/>
      <c r="D198" s="38"/>
      <c r="E198" s="103"/>
      <c r="F198" s="49"/>
      <c r="G198" s="37"/>
      <c r="H198" s="107"/>
      <c r="I198" s="34"/>
      <c r="J198" s="41" t="s">
        <v>261</v>
      </c>
      <c r="K198" s="41" t="s">
        <v>261</v>
      </c>
      <c r="L198" s="41"/>
      <c r="M198" s="108"/>
      <c r="N198" s="108"/>
      <c r="O198" s="110"/>
      <c r="P198" s="41"/>
      <c r="Q198" s="39"/>
      <c r="R198" s="39"/>
      <c r="S198" s="46">
        <v>0.67</v>
      </c>
      <c r="T198" s="109">
        <f>IFERROR(__xludf.DUMMYFUNCTION("((IFERROR(MIN(FILTER({L198, O198, R198}, ISNUMBER({L198, O198, R198}), {L198, O198, R198} &gt; 0)), """"))*S198)+IFERROR(MIN(FILTER({L198, O198, R198}, ISNUMBER({L198, O198, R198}), {L198, O198, R198} &gt; 0)), """")"),0.0)</f>
        <v>0</v>
      </c>
      <c r="U198" s="109"/>
      <c r="V198" s="77" t="str">
        <f>IFERROR(__xludf.DUMMYFUNCTION("(T198-(IFERROR(MIN(FILTER({L198, O198, R198}, ISNUMBER({L198, O198, R198}), {L198, O198, R198} &gt; 0)), """")))/T198"),"#DIV/0!")</f>
        <v>#DIV/0!</v>
      </c>
      <c r="W198" s="78"/>
      <c r="X198" s="79">
        <v>300.0</v>
      </c>
    </row>
    <row r="199" ht="22.5" customHeight="1">
      <c r="A199" s="34"/>
      <c r="B199" s="34"/>
      <c r="C199" s="37"/>
      <c r="D199" s="38"/>
      <c r="E199" s="103"/>
      <c r="F199" s="49"/>
      <c r="G199" s="37"/>
      <c r="H199" s="107"/>
      <c r="I199" s="34"/>
      <c r="J199" s="41" t="s">
        <v>261</v>
      </c>
      <c r="K199" s="41" t="s">
        <v>261</v>
      </c>
      <c r="L199" s="41"/>
      <c r="M199" s="108"/>
      <c r="N199" s="108"/>
      <c r="O199" s="110"/>
      <c r="P199" s="41"/>
      <c r="Q199" s="39"/>
      <c r="R199" s="39"/>
      <c r="S199" s="46">
        <v>0.67</v>
      </c>
      <c r="T199" s="109">
        <f>IFERROR(__xludf.DUMMYFUNCTION("((IFERROR(MIN(FILTER({L199, O199, R199}, ISNUMBER({L199, O199, R199}), {L199, O199, R199} &gt; 0)), """"))*S199)+IFERROR(MIN(FILTER({L199, O199, R199}, ISNUMBER({L199, O199, R199}), {L199, O199, R199} &gt; 0)), """")"),0.0)</f>
        <v>0</v>
      </c>
      <c r="U199" s="109"/>
      <c r="V199" s="77" t="str">
        <f>IFERROR(__xludf.DUMMYFUNCTION("(T199-(IFERROR(MIN(FILTER({L199, O199, R199}, ISNUMBER({L199, O199, R199}), {L199, O199, R199} &gt; 0)), """")))/T199"),"#DIV/0!")</f>
        <v>#DIV/0!</v>
      </c>
      <c r="W199" s="78"/>
      <c r="X199" s="79">
        <v>300.0</v>
      </c>
    </row>
    <row r="200" ht="22.5" customHeight="1">
      <c r="A200" s="34"/>
      <c r="B200" s="34"/>
      <c r="C200" s="37"/>
      <c r="D200" s="38"/>
      <c r="E200" s="103"/>
      <c r="F200" s="49"/>
      <c r="G200" s="37"/>
      <c r="H200" s="107"/>
      <c r="I200" s="34"/>
      <c r="J200" s="41" t="s">
        <v>261</v>
      </c>
      <c r="K200" s="41" t="s">
        <v>261</v>
      </c>
      <c r="L200" s="41"/>
      <c r="M200" s="108"/>
      <c r="N200" s="108"/>
      <c r="O200" s="110"/>
      <c r="P200" s="41"/>
      <c r="Q200" s="39"/>
      <c r="R200" s="39"/>
      <c r="S200" s="46">
        <v>0.67</v>
      </c>
      <c r="T200" s="109">
        <f>IFERROR(__xludf.DUMMYFUNCTION("((IFERROR(MIN(FILTER({L200, O200, R200}, ISNUMBER({L200, O200, R200}), {L200, O200, R200} &gt; 0)), """"))*S200)+IFERROR(MIN(FILTER({L200, O200, R200}, ISNUMBER({L200, O200, R200}), {L200, O200, R200} &gt; 0)), """")"),0.0)</f>
        <v>0</v>
      </c>
      <c r="U200" s="109"/>
      <c r="V200" s="77" t="str">
        <f>IFERROR(__xludf.DUMMYFUNCTION("(T200-(IFERROR(MIN(FILTER({L200, O200, R200}, ISNUMBER({L200, O200, R200}), {L200, O200, R200} &gt; 0)), """")))/T200"),"#DIV/0!")</f>
        <v>#DIV/0!</v>
      </c>
      <c r="W200" s="78"/>
      <c r="X200" s="79">
        <v>300.0</v>
      </c>
    </row>
    <row r="201" ht="22.5" customHeight="1">
      <c r="A201" s="34"/>
      <c r="B201" s="34"/>
      <c r="C201" s="37"/>
      <c r="D201" s="38"/>
      <c r="E201" s="103"/>
      <c r="F201" s="49"/>
      <c r="G201" s="37"/>
      <c r="H201" s="107"/>
      <c r="I201" s="34"/>
      <c r="J201" s="41" t="s">
        <v>261</v>
      </c>
      <c r="K201" s="41" t="s">
        <v>261</v>
      </c>
      <c r="L201" s="41"/>
      <c r="M201" s="108"/>
      <c r="N201" s="108"/>
      <c r="O201" s="110"/>
      <c r="P201" s="41"/>
      <c r="Q201" s="39"/>
      <c r="R201" s="39"/>
      <c r="S201" s="46">
        <v>0.67</v>
      </c>
      <c r="T201" s="109">
        <f>IFERROR(__xludf.DUMMYFUNCTION("((IFERROR(MIN(FILTER({L201, O201, R201}, ISNUMBER({L201, O201, R201}), {L201, O201, R201} &gt; 0)), """"))*S201)+IFERROR(MIN(FILTER({L201, O201, R201}, ISNUMBER({L201, O201, R201}), {L201, O201, R201} &gt; 0)), """")"),0.0)</f>
        <v>0</v>
      </c>
      <c r="U201" s="109"/>
      <c r="V201" s="77" t="str">
        <f>IFERROR(__xludf.DUMMYFUNCTION("(T201-(IFERROR(MIN(FILTER({L201, O201, R201}, ISNUMBER({L201, O201, R201}), {L201, O201, R201} &gt; 0)), """")))/T201"),"#DIV/0!")</f>
        <v>#DIV/0!</v>
      </c>
      <c r="W201" s="78"/>
      <c r="X201" s="79">
        <v>300.0</v>
      </c>
    </row>
    <row r="202" ht="22.5" customHeight="1">
      <c r="A202" s="34"/>
      <c r="B202" s="34"/>
      <c r="C202" s="37"/>
      <c r="D202" s="38"/>
      <c r="E202" s="103"/>
      <c r="F202" s="49"/>
      <c r="G202" s="37"/>
      <c r="H202" s="107"/>
      <c r="I202" s="34"/>
      <c r="J202" s="41" t="s">
        <v>261</v>
      </c>
      <c r="K202" s="41" t="s">
        <v>261</v>
      </c>
      <c r="L202" s="41"/>
      <c r="M202" s="108"/>
      <c r="N202" s="108"/>
      <c r="O202" s="110"/>
      <c r="P202" s="41"/>
      <c r="Q202" s="39"/>
      <c r="R202" s="39"/>
      <c r="S202" s="46">
        <v>0.67</v>
      </c>
      <c r="T202" s="109">
        <f>IFERROR(__xludf.DUMMYFUNCTION("((IFERROR(MIN(FILTER({L202, O202, R202}, ISNUMBER({L202, O202, R202}), {L202, O202, R202} &gt; 0)), """"))*S202)+IFERROR(MIN(FILTER({L202, O202, R202}, ISNUMBER({L202, O202, R202}), {L202, O202, R202} &gt; 0)), """")"),0.0)</f>
        <v>0</v>
      </c>
      <c r="U202" s="109"/>
      <c r="V202" s="77" t="str">
        <f>IFERROR(__xludf.DUMMYFUNCTION("(T202-(IFERROR(MIN(FILTER({L202, O202, R202}, ISNUMBER({L202, O202, R202}), {L202, O202, R202} &gt; 0)), """")))/T202"),"#DIV/0!")</f>
        <v>#DIV/0!</v>
      </c>
      <c r="W202" s="78"/>
      <c r="X202" s="79">
        <v>300.0</v>
      </c>
    </row>
    <row r="203" ht="22.5" customHeight="1">
      <c r="A203" s="34"/>
      <c r="B203" s="34"/>
      <c r="C203" s="37"/>
      <c r="D203" s="38"/>
      <c r="E203" s="103"/>
      <c r="F203" s="49"/>
      <c r="G203" s="37"/>
      <c r="H203" s="107"/>
      <c r="I203" s="34"/>
      <c r="J203" s="41" t="s">
        <v>261</v>
      </c>
      <c r="K203" s="41" t="s">
        <v>261</v>
      </c>
      <c r="L203" s="41"/>
      <c r="M203" s="108"/>
      <c r="N203" s="108"/>
      <c r="O203" s="110"/>
      <c r="P203" s="41"/>
      <c r="Q203" s="39"/>
      <c r="R203" s="39"/>
      <c r="S203" s="46">
        <v>0.67</v>
      </c>
      <c r="T203" s="109">
        <f>IFERROR(__xludf.DUMMYFUNCTION("((IFERROR(MIN(FILTER({L203, O203, R203}, ISNUMBER({L203, O203, R203}), {L203, O203, R203} &gt; 0)), """"))*S203)+IFERROR(MIN(FILTER({L203, O203, R203}, ISNUMBER({L203, O203, R203}), {L203, O203, R203} &gt; 0)), """")"),0.0)</f>
        <v>0</v>
      </c>
      <c r="U203" s="109"/>
      <c r="V203" s="77" t="str">
        <f>IFERROR(__xludf.DUMMYFUNCTION("(T203-(IFERROR(MIN(FILTER({L203, O203, R203}, ISNUMBER({L203, O203, R203}), {L203, O203, R203} &gt; 0)), """")))/T203"),"#DIV/0!")</f>
        <v>#DIV/0!</v>
      </c>
      <c r="W203" s="78"/>
      <c r="X203" s="79">
        <v>300.0</v>
      </c>
    </row>
    <row r="204" ht="22.5" customHeight="1">
      <c r="A204" s="34"/>
      <c r="B204" s="34"/>
      <c r="C204" s="37"/>
      <c r="D204" s="38"/>
      <c r="E204" s="103"/>
      <c r="F204" s="49"/>
      <c r="G204" s="37"/>
      <c r="H204" s="107"/>
      <c r="I204" s="34"/>
      <c r="J204" s="39" t="s">
        <v>261</v>
      </c>
      <c r="K204" s="41" t="s">
        <v>261</v>
      </c>
      <c r="L204" s="39"/>
      <c r="M204" s="108"/>
      <c r="N204" s="108"/>
      <c r="O204" s="108"/>
      <c r="P204" s="39"/>
      <c r="Q204" s="39"/>
      <c r="R204" s="39"/>
      <c r="S204" s="46">
        <v>0.67</v>
      </c>
      <c r="T204" s="109">
        <f>IFERROR(__xludf.DUMMYFUNCTION("((IFERROR(MIN(FILTER({L204, O204, R204}, ISNUMBER({L204, O204, R204}), {L204, O204, R204} &gt; 0)), """"))*S204)+IFERROR(MIN(FILTER({L204, O204, R204}, ISNUMBER({L204, O204, R204}), {L204, O204, R204} &gt; 0)), """")"),0.0)</f>
        <v>0</v>
      </c>
      <c r="U204" s="109"/>
      <c r="V204" s="77" t="str">
        <f>IFERROR(__xludf.DUMMYFUNCTION("(T204-(IFERROR(MIN(FILTER({L204, O204, R204}, ISNUMBER({L204, O204, R204}), {L204, O204, R204} &gt; 0)), """")))/T204"),"#DIV/0!")</f>
        <v>#DIV/0!</v>
      </c>
      <c r="W204" s="78"/>
      <c r="X204" s="79">
        <v>300.0</v>
      </c>
    </row>
    <row r="205" ht="22.5" customHeight="1">
      <c r="A205" s="34"/>
      <c r="B205" s="34"/>
      <c r="C205" s="37"/>
      <c r="D205" s="38"/>
      <c r="E205" s="103"/>
      <c r="F205" s="49"/>
      <c r="G205" s="37"/>
      <c r="H205" s="107"/>
      <c r="I205" s="34"/>
      <c r="J205" s="39" t="s">
        <v>261</v>
      </c>
      <c r="K205" s="41" t="s">
        <v>261</v>
      </c>
      <c r="L205" s="39"/>
      <c r="M205" s="108"/>
      <c r="N205" s="108"/>
      <c r="O205" s="108"/>
      <c r="P205" s="39"/>
      <c r="Q205" s="39"/>
      <c r="R205" s="39"/>
      <c r="S205" s="46">
        <v>0.67</v>
      </c>
      <c r="T205" s="109">
        <f>IFERROR(__xludf.DUMMYFUNCTION("((IFERROR(MIN(FILTER({L205, O205, R205}, ISNUMBER({L205, O205, R205}), {L205, O205, R205} &gt; 0)), """"))*S205)+IFERROR(MIN(FILTER({L205, O205, R205}, ISNUMBER({L205, O205, R205}), {L205, O205, R205} &gt; 0)), """")"),0.0)</f>
        <v>0</v>
      </c>
      <c r="U205" s="109"/>
      <c r="V205" s="77" t="str">
        <f>IFERROR(__xludf.DUMMYFUNCTION("(T205-(IFERROR(MIN(FILTER({L205, O205, R205}, ISNUMBER({L205, O205, R205}), {L205, O205, R205} &gt; 0)), """")))/T205"),"#DIV/0!")</f>
        <v>#DIV/0!</v>
      </c>
      <c r="W205" s="78"/>
      <c r="X205" s="79">
        <v>300.0</v>
      </c>
    </row>
    <row r="206" ht="22.5" customHeight="1">
      <c r="A206" s="34"/>
      <c r="B206" s="34"/>
      <c r="C206" s="37"/>
      <c r="D206" s="38"/>
      <c r="E206" s="103"/>
      <c r="F206" s="49"/>
      <c r="G206" s="37"/>
      <c r="H206" s="107"/>
      <c r="I206" s="34"/>
      <c r="J206" s="41" t="s">
        <v>261</v>
      </c>
      <c r="K206" s="41" t="s">
        <v>261</v>
      </c>
      <c r="L206" s="41"/>
      <c r="M206" s="108"/>
      <c r="N206" s="108"/>
      <c r="O206" s="110"/>
      <c r="P206" s="41"/>
      <c r="Q206" s="39"/>
      <c r="R206" s="39"/>
      <c r="S206" s="46">
        <v>0.67</v>
      </c>
      <c r="T206" s="109">
        <f>IFERROR(__xludf.DUMMYFUNCTION("((IFERROR(MIN(FILTER({L206, O206, R206}, ISNUMBER({L206, O206, R206}), {L206, O206, R206} &gt; 0)), """"))*S206)+IFERROR(MIN(FILTER({L206, O206, R206}, ISNUMBER({L206, O206, R206}), {L206, O206, R206} &gt; 0)), """")"),0.0)</f>
        <v>0</v>
      </c>
      <c r="U206" s="109"/>
      <c r="V206" s="77" t="str">
        <f>IFERROR(__xludf.DUMMYFUNCTION("(T206-(IFERROR(MIN(FILTER({L206, O206, R206}, ISNUMBER({L206, O206, R206}), {L206, O206, R206} &gt; 0)), """")))/T206"),"#DIV/0!")</f>
        <v>#DIV/0!</v>
      </c>
      <c r="W206" s="78"/>
      <c r="X206" s="79">
        <v>300.0</v>
      </c>
    </row>
    <row r="207" ht="22.5" customHeight="1">
      <c r="A207" s="34"/>
      <c r="B207" s="34"/>
      <c r="C207" s="37"/>
      <c r="D207" s="38"/>
      <c r="E207" s="103"/>
      <c r="F207" s="49"/>
      <c r="G207" s="37"/>
      <c r="H207" s="107"/>
      <c r="I207" s="34"/>
      <c r="J207" s="41" t="s">
        <v>261</v>
      </c>
      <c r="K207" s="41" t="s">
        <v>261</v>
      </c>
      <c r="L207" s="41"/>
      <c r="M207" s="108"/>
      <c r="N207" s="108"/>
      <c r="O207" s="110"/>
      <c r="P207" s="41"/>
      <c r="Q207" s="39"/>
      <c r="R207" s="39"/>
      <c r="S207" s="46">
        <v>0.67</v>
      </c>
      <c r="T207" s="109">
        <f>IFERROR(__xludf.DUMMYFUNCTION("((IFERROR(MIN(FILTER({L207, O207, R207}, ISNUMBER({L207, O207, R207}), {L207, O207, R207} &gt; 0)), """"))*S207)+IFERROR(MIN(FILTER({L207, O207, R207}, ISNUMBER({L207, O207, R207}), {L207, O207, R207} &gt; 0)), """")"),0.0)</f>
        <v>0</v>
      </c>
      <c r="U207" s="109"/>
      <c r="V207" s="77" t="str">
        <f>IFERROR(__xludf.DUMMYFUNCTION("(T207-(IFERROR(MIN(FILTER({L207, O207, R207}, ISNUMBER({L207, O207, R207}), {L207, O207, R207} &gt; 0)), """")))/T207"),"#DIV/0!")</f>
        <v>#DIV/0!</v>
      </c>
      <c r="W207" s="78"/>
      <c r="X207" s="79">
        <v>300.0</v>
      </c>
    </row>
    <row r="208" ht="22.5" customHeight="1">
      <c r="A208" s="34"/>
      <c r="B208" s="34"/>
      <c r="C208" s="37"/>
      <c r="D208" s="38"/>
      <c r="E208" s="103"/>
      <c r="F208" s="49"/>
      <c r="G208" s="37"/>
      <c r="H208" s="107"/>
      <c r="I208" s="34"/>
      <c r="J208" s="41" t="s">
        <v>261</v>
      </c>
      <c r="K208" s="41" t="s">
        <v>261</v>
      </c>
      <c r="L208" s="41"/>
      <c r="M208" s="108"/>
      <c r="N208" s="108"/>
      <c r="O208" s="110"/>
      <c r="P208" s="41"/>
      <c r="Q208" s="39"/>
      <c r="R208" s="39"/>
      <c r="S208" s="46">
        <v>0.67</v>
      </c>
      <c r="T208" s="109">
        <f>IFERROR(__xludf.DUMMYFUNCTION("((IFERROR(MIN(FILTER({L208, O208, R208}, ISNUMBER({L208, O208, R208}), {L208, O208, R208} &gt; 0)), """"))*S208)+IFERROR(MIN(FILTER({L208, O208, R208}, ISNUMBER({L208, O208, R208}), {L208, O208, R208} &gt; 0)), """")"),0.0)</f>
        <v>0</v>
      </c>
      <c r="U208" s="109"/>
      <c r="V208" s="77" t="str">
        <f>IFERROR(__xludf.DUMMYFUNCTION("(T208-(IFERROR(MIN(FILTER({L208, O208, R208}, ISNUMBER({L208, O208, R208}), {L208, O208, R208} &gt; 0)), """")))/T208"),"#DIV/0!")</f>
        <v>#DIV/0!</v>
      </c>
      <c r="W208" s="78"/>
      <c r="X208" s="79">
        <v>300.0</v>
      </c>
    </row>
    <row r="209" ht="22.5" customHeight="1">
      <c r="A209" s="34"/>
      <c r="B209" s="34"/>
      <c r="C209" s="37"/>
      <c r="D209" s="38"/>
      <c r="E209" s="103"/>
      <c r="F209" s="49"/>
      <c r="G209" s="37"/>
      <c r="H209" s="107"/>
      <c r="I209" s="34"/>
      <c r="J209" s="41" t="s">
        <v>261</v>
      </c>
      <c r="K209" s="41" t="s">
        <v>261</v>
      </c>
      <c r="L209" s="41"/>
      <c r="M209" s="108"/>
      <c r="N209" s="108"/>
      <c r="O209" s="110"/>
      <c r="P209" s="41"/>
      <c r="Q209" s="39"/>
      <c r="R209" s="39"/>
      <c r="S209" s="46">
        <v>0.67</v>
      </c>
      <c r="T209" s="109">
        <f>IFERROR(__xludf.DUMMYFUNCTION("((IFERROR(MIN(FILTER({L209, O209, R209}, ISNUMBER({L209, O209, R209}), {L209, O209, R209} &gt; 0)), """"))*S209)+IFERROR(MIN(FILTER({L209, O209, R209}, ISNUMBER({L209, O209, R209}), {L209, O209, R209} &gt; 0)), """")"),0.0)</f>
        <v>0</v>
      </c>
      <c r="U209" s="109"/>
      <c r="V209" s="77" t="str">
        <f>IFERROR(__xludf.DUMMYFUNCTION("(T209-(IFERROR(MIN(FILTER({L209, O209, R209}, ISNUMBER({L209, O209, R209}), {L209, O209, R209} &gt; 0)), """")))/T209"),"#DIV/0!")</f>
        <v>#DIV/0!</v>
      </c>
      <c r="W209" s="78"/>
      <c r="X209" s="79">
        <v>300.0</v>
      </c>
    </row>
    <row r="210" ht="22.5" customHeight="1">
      <c r="A210" s="34"/>
      <c r="B210" s="34"/>
      <c r="C210" s="37"/>
      <c r="D210" s="38"/>
      <c r="E210" s="103"/>
      <c r="F210" s="49"/>
      <c r="G210" s="37"/>
      <c r="H210" s="107"/>
      <c r="I210" s="34"/>
      <c r="J210" s="41" t="s">
        <v>261</v>
      </c>
      <c r="K210" s="41" t="s">
        <v>261</v>
      </c>
      <c r="L210" s="41"/>
      <c r="M210" s="108"/>
      <c r="N210" s="108"/>
      <c r="O210" s="110"/>
      <c r="P210" s="41"/>
      <c r="Q210" s="39"/>
      <c r="R210" s="39"/>
      <c r="S210" s="46">
        <v>0.67</v>
      </c>
      <c r="T210" s="109">
        <f>IFERROR(__xludf.DUMMYFUNCTION("((IFERROR(MIN(FILTER({L210, O210, R210}, ISNUMBER({L210, O210, R210}), {L210, O210, R210} &gt; 0)), """"))*S210)+IFERROR(MIN(FILTER({L210, O210, R210}, ISNUMBER({L210, O210, R210}), {L210, O210, R210} &gt; 0)), """")"),0.0)</f>
        <v>0</v>
      </c>
      <c r="U210" s="109"/>
      <c r="V210" s="77" t="str">
        <f>IFERROR(__xludf.DUMMYFUNCTION("(T210-(IFERROR(MIN(FILTER({L210, O210, R210}, ISNUMBER({L210, O210, R210}), {L210, O210, R210} &gt; 0)), """")))/T210"),"#DIV/0!")</f>
        <v>#DIV/0!</v>
      </c>
      <c r="W210" s="78"/>
      <c r="X210" s="79">
        <v>300.0</v>
      </c>
    </row>
    <row r="211" ht="22.5" customHeight="1">
      <c r="A211" s="34"/>
      <c r="B211" s="34"/>
      <c r="C211" s="37"/>
      <c r="D211" s="38"/>
      <c r="E211" s="103"/>
      <c r="F211" s="49"/>
      <c r="G211" s="37"/>
      <c r="H211" s="107"/>
      <c r="I211" s="34"/>
      <c r="J211" s="41" t="s">
        <v>261</v>
      </c>
      <c r="K211" s="41" t="s">
        <v>261</v>
      </c>
      <c r="L211" s="41"/>
      <c r="M211" s="108"/>
      <c r="N211" s="108"/>
      <c r="O211" s="110"/>
      <c r="P211" s="41"/>
      <c r="Q211" s="39"/>
      <c r="R211" s="39"/>
      <c r="S211" s="46">
        <v>0.67</v>
      </c>
      <c r="T211" s="109">
        <f>IFERROR(__xludf.DUMMYFUNCTION("((IFERROR(MIN(FILTER({L211, O211, R211}, ISNUMBER({L211, O211, R211}), {L211, O211, R211} &gt; 0)), """"))*S211)+IFERROR(MIN(FILTER({L211, O211, R211}, ISNUMBER({L211, O211, R211}), {L211, O211, R211} &gt; 0)), """")"),0.0)</f>
        <v>0</v>
      </c>
      <c r="U211" s="109"/>
      <c r="V211" s="77" t="str">
        <f>IFERROR(__xludf.DUMMYFUNCTION("(T211-(IFERROR(MIN(FILTER({L211, O211, R211}, ISNUMBER({L211, O211, R211}), {L211, O211, R211} &gt; 0)), """")))/T211"),"#DIV/0!")</f>
        <v>#DIV/0!</v>
      </c>
      <c r="W211" s="78"/>
      <c r="X211" s="79">
        <v>300.0</v>
      </c>
    </row>
    <row r="212" ht="22.5" customHeight="1">
      <c r="A212" s="34"/>
      <c r="B212" s="34"/>
      <c r="C212" s="37"/>
      <c r="D212" s="38"/>
      <c r="E212" s="103"/>
      <c r="F212" s="49"/>
      <c r="G212" s="37"/>
      <c r="H212" s="107"/>
      <c r="I212" s="34"/>
      <c r="J212" s="41" t="s">
        <v>261</v>
      </c>
      <c r="K212" s="41" t="s">
        <v>261</v>
      </c>
      <c r="L212" s="41"/>
      <c r="M212" s="108"/>
      <c r="N212" s="108"/>
      <c r="O212" s="110"/>
      <c r="P212" s="41"/>
      <c r="Q212" s="39"/>
      <c r="R212" s="39"/>
      <c r="S212" s="46">
        <v>0.67</v>
      </c>
      <c r="T212" s="109">
        <f>IFERROR(__xludf.DUMMYFUNCTION("((IFERROR(MIN(FILTER({L212, O212, R212}, ISNUMBER({L212, O212, R212}), {L212, O212, R212} &gt; 0)), """"))*S212)+IFERROR(MIN(FILTER({L212, O212, R212}, ISNUMBER({L212, O212, R212}), {L212, O212, R212} &gt; 0)), """")"),0.0)</f>
        <v>0</v>
      </c>
      <c r="U212" s="109"/>
      <c r="V212" s="77" t="str">
        <f>IFERROR(__xludf.DUMMYFUNCTION("(T212-(IFERROR(MIN(FILTER({L212, O212, R212}, ISNUMBER({L212, O212, R212}), {L212, O212, R212} &gt; 0)), """")))/T212"),"#DIV/0!")</f>
        <v>#DIV/0!</v>
      </c>
      <c r="W212" s="78"/>
      <c r="X212" s="79">
        <v>300.0</v>
      </c>
    </row>
    <row r="213" ht="22.5" customHeight="1">
      <c r="A213" s="34"/>
      <c r="B213" s="34"/>
      <c r="C213" s="37"/>
      <c r="D213" s="38"/>
      <c r="E213" s="103"/>
      <c r="F213" s="49"/>
      <c r="G213" s="37"/>
      <c r="H213" s="107"/>
      <c r="I213" s="34"/>
      <c r="J213" s="41" t="s">
        <v>261</v>
      </c>
      <c r="K213" s="41" t="s">
        <v>261</v>
      </c>
      <c r="L213" s="41"/>
      <c r="M213" s="108"/>
      <c r="N213" s="108"/>
      <c r="O213" s="110"/>
      <c r="P213" s="41"/>
      <c r="Q213" s="39"/>
      <c r="R213" s="39"/>
      <c r="S213" s="46">
        <v>0.67</v>
      </c>
      <c r="T213" s="109">
        <f>IFERROR(__xludf.DUMMYFUNCTION("((IFERROR(MIN(FILTER({L213, O213, R213}, ISNUMBER({L213, O213, R213}), {L213, O213, R213} &gt; 0)), """"))*S213)+IFERROR(MIN(FILTER({L213, O213, R213}, ISNUMBER({L213, O213, R213}), {L213, O213, R213} &gt; 0)), """")"),0.0)</f>
        <v>0</v>
      </c>
      <c r="U213" s="109"/>
      <c r="V213" s="77" t="str">
        <f>IFERROR(__xludf.DUMMYFUNCTION("(T213-(IFERROR(MIN(FILTER({L213, O213, R213}, ISNUMBER({L213, O213, R213}), {L213, O213, R213} &gt; 0)), """")))/T213"),"#DIV/0!")</f>
        <v>#DIV/0!</v>
      </c>
      <c r="W213" s="78"/>
      <c r="X213" s="79">
        <v>300.0</v>
      </c>
    </row>
    <row r="214" ht="22.5" customHeight="1">
      <c r="A214" s="34"/>
      <c r="B214" s="34"/>
      <c r="C214" s="37"/>
      <c r="D214" s="38"/>
      <c r="E214" s="103"/>
      <c r="F214" s="49"/>
      <c r="G214" s="97"/>
      <c r="H214" s="107"/>
      <c r="I214" s="34"/>
      <c r="J214" s="41" t="s">
        <v>261</v>
      </c>
      <c r="K214" s="41" t="s">
        <v>261</v>
      </c>
      <c r="L214" s="41"/>
      <c r="M214" s="108"/>
      <c r="N214" s="108"/>
      <c r="O214" s="110"/>
      <c r="P214" s="41"/>
      <c r="Q214" s="39"/>
      <c r="R214" s="39"/>
      <c r="S214" s="46">
        <v>0.67</v>
      </c>
      <c r="T214" s="109">
        <f>IFERROR(__xludf.DUMMYFUNCTION("((IFERROR(MIN(FILTER({L214, O214, R214}, ISNUMBER({L214, O214, R214}), {L214, O214, R214} &gt; 0)), """"))*S214)+IFERROR(MIN(FILTER({L214, O214, R214}, ISNUMBER({L214, O214, R214}), {L214, O214, R214} &gt; 0)), """")"),0.0)</f>
        <v>0</v>
      </c>
      <c r="U214" s="109"/>
      <c r="V214" s="77" t="str">
        <f>IFERROR(__xludf.DUMMYFUNCTION("(T214-(IFERROR(MIN(FILTER({L214, O214, R214}, ISNUMBER({L214, O214, R214}), {L214, O214, R214} &gt; 0)), """")))/T214"),"#DIV/0!")</f>
        <v>#DIV/0!</v>
      </c>
      <c r="W214" s="78"/>
      <c r="X214" s="79">
        <v>300.0</v>
      </c>
    </row>
    <row r="215" ht="22.5" customHeight="1">
      <c r="A215" s="34"/>
      <c r="B215" s="34"/>
      <c r="C215" s="37"/>
      <c r="D215" s="38"/>
      <c r="E215" s="103"/>
      <c r="F215" s="49"/>
      <c r="G215" s="97"/>
      <c r="H215" s="107"/>
      <c r="I215" s="34"/>
      <c r="J215" s="41" t="s">
        <v>261</v>
      </c>
      <c r="K215" s="41" t="s">
        <v>261</v>
      </c>
      <c r="L215" s="41"/>
      <c r="M215" s="108"/>
      <c r="N215" s="108"/>
      <c r="O215" s="110"/>
      <c r="P215" s="41"/>
      <c r="Q215" s="39"/>
      <c r="R215" s="39"/>
      <c r="S215" s="46">
        <v>0.67</v>
      </c>
      <c r="T215" s="109">
        <f>IFERROR(__xludf.DUMMYFUNCTION("((IFERROR(MIN(FILTER({L215, O215, R215}, ISNUMBER({L215, O215, R215}), {L215, O215, R215} &gt; 0)), """"))*S215)+IFERROR(MIN(FILTER({L215, O215, R215}, ISNUMBER({L215, O215, R215}), {L215, O215, R215} &gt; 0)), """")"),0.0)</f>
        <v>0</v>
      </c>
      <c r="U215" s="109"/>
      <c r="V215" s="77" t="str">
        <f>IFERROR(__xludf.DUMMYFUNCTION("(T215-(IFERROR(MIN(FILTER({L215, O215, R215}, ISNUMBER({L215, O215, R215}), {L215, O215, R215} &gt; 0)), """")))/T215"),"#DIV/0!")</f>
        <v>#DIV/0!</v>
      </c>
      <c r="W215" s="78"/>
      <c r="X215" s="79">
        <v>300.0</v>
      </c>
    </row>
    <row r="216" ht="22.5" customHeight="1">
      <c r="A216" s="34"/>
      <c r="B216" s="34"/>
      <c r="C216" s="37"/>
      <c r="D216" s="38"/>
      <c r="E216" s="103"/>
      <c r="F216" s="49"/>
      <c r="G216" s="37"/>
      <c r="H216" s="107"/>
      <c r="I216" s="34"/>
      <c r="J216" s="41" t="s">
        <v>261</v>
      </c>
      <c r="K216" s="41" t="s">
        <v>261</v>
      </c>
      <c r="L216" s="41"/>
      <c r="M216" s="108"/>
      <c r="N216" s="108"/>
      <c r="O216" s="110"/>
      <c r="P216" s="41"/>
      <c r="Q216" s="39"/>
      <c r="R216" s="39"/>
      <c r="S216" s="46">
        <v>0.67</v>
      </c>
      <c r="T216" s="109">
        <f>IFERROR(__xludf.DUMMYFUNCTION("((IFERROR(MIN(FILTER({L216, O216, R216}, ISNUMBER({L216, O216, R216}), {L216, O216, R216} &gt; 0)), """"))*S216)+IFERROR(MIN(FILTER({L216, O216, R216}, ISNUMBER({L216, O216, R216}), {L216, O216, R216} &gt; 0)), """")"),0.0)</f>
        <v>0</v>
      </c>
      <c r="U216" s="109"/>
      <c r="V216" s="77" t="str">
        <f>IFERROR(__xludf.DUMMYFUNCTION("(T216-(IFERROR(MIN(FILTER({L216, O216, R216}, ISNUMBER({L216, O216, R216}), {L216, O216, R216} &gt; 0)), """")))/T216"),"#DIV/0!")</f>
        <v>#DIV/0!</v>
      </c>
      <c r="W216" s="78"/>
      <c r="X216" s="79">
        <v>300.0</v>
      </c>
    </row>
    <row r="217" ht="22.5" customHeight="1">
      <c r="A217" s="34"/>
      <c r="B217" s="34"/>
      <c r="C217" s="37"/>
      <c r="D217" s="38"/>
      <c r="E217" s="103"/>
      <c r="F217" s="49"/>
      <c r="G217" s="37"/>
      <c r="H217" s="107"/>
      <c r="I217" s="34"/>
      <c r="J217" s="41" t="s">
        <v>261</v>
      </c>
      <c r="K217" s="41" t="s">
        <v>261</v>
      </c>
      <c r="L217" s="41"/>
      <c r="M217" s="108"/>
      <c r="N217" s="108"/>
      <c r="O217" s="110"/>
      <c r="P217" s="41"/>
      <c r="Q217" s="39"/>
      <c r="R217" s="39"/>
      <c r="S217" s="46">
        <v>0.67</v>
      </c>
      <c r="T217" s="109">
        <f>IFERROR(__xludf.DUMMYFUNCTION("((IFERROR(MIN(FILTER({L217, O217, R217}, ISNUMBER({L217, O217, R217}), {L217, O217, R217} &gt; 0)), """"))*S217)+IFERROR(MIN(FILTER({L217, O217, R217}, ISNUMBER({L217, O217, R217}), {L217, O217, R217} &gt; 0)), """")"),0.0)</f>
        <v>0</v>
      </c>
      <c r="U217" s="109"/>
      <c r="V217" s="77" t="str">
        <f>IFERROR(__xludf.DUMMYFUNCTION("(T217-(IFERROR(MIN(FILTER({L217, O217, R217}, ISNUMBER({L217, O217, R217}), {L217, O217, R217} &gt; 0)), """")))/T217"),"#DIV/0!")</f>
        <v>#DIV/0!</v>
      </c>
      <c r="W217" s="78"/>
      <c r="X217" s="79">
        <v>300.0</v>
      </c>
    </row>
    <row r="218" ht="22.5" customHeight="1">
      <c r="A218" s="34"/>
      <c r="B218" s="34"/>
      <c r="C218" s="37"/>
      <c r="D218" s="38"/>
      <c r="E218" s="103"/>
      <c r="F218" s="49"/>
      <c r="G218" s="37"/>
      <c r="H218" s="107"/>
      <c r="I218" s="34"/>
      <c r="J218" s="41" t="s">
        <v>261</v>
      </c>
      <c r="K218" s="41" t="s">
        <v>261</v>
      </c>
      <c r="L218" s="41"/>
      <c r="M218" s="108"/>
      <c r="N218" s="108"/>
      <c r="O218" s="110"/>
      <c r="P218" s="41"/>
      <c r="Q218" s="39"/>
      <c r="R218" s="39"/>
      <c r="S218" s="46">
        <v>0.67</v>
      </c>
      <c r="T218" s="109">
        <f>IFERROR(__xludf.DUMMYFUNCTION("((IFERROR(MIN(FILTER({L218, O218, R218}, ISNUMBER({L218, O218, R218}), {L218, O218, R218} &gt; 0)), """"))*S218)+IFERROR(MIN(FILTER({L218, O218, R218}, ISNUMBER({L218, O218, R218}), {L218, O218, R218} &gt; 0)), """")"),0.0)</f>
        <v>0</v>
      </c>
      <c r="U218" s="109"/>
      <c r="V218" s="77" t="str">
        <f>IFERROR(__xludf.DUMMYFUNCTION("(T218-(IFERROR(MIN(FILTER({L218, O218, R218}, ISNUMBER({L218, O218, R218}), {L218, O218, R218} &gt; 0)), """")))/T218"),"#DIV/0!")</f>
        <v>#DIV/0!</v>
      </c>
      <c r="W218" s="78"/>
      <c r="X218" s="79">
        <v>300.0</v>
      </c>
    </row>
    <row r="219" ht="22.5" customHeight="1">
      <c r="A219" s="34"/>
      <c r="B219" s="34"/>
      <c r="C219" s="37"/>
      <c r="D219" s="38"/>
      <c r="E219" s="103"/>
      <c r="F219" s="49"/>
      <c r="G219" s="37"/>
      <c r="H219" s="107"/>
      <c r="I219" s="34"/>
      <c r="J219" s="41" t="s">
        <v>261</v>
      </c>
      <c r="K219" s="41" t="s">
        <v>261</v>
      </c>
      <c r="L219" s="41"/>
      <c r="M219" s="108"/>
      <c r="N219" s="108"/>
      <c r="O219" s="110"/>
      <c r="P219" s="41"/>
      <c r="Q219" s="39"/>
      <c r="R219" s="39"/>
      <c r="S219" s="46">
        <v>0.67</v>
      </c>
      <c r="T219" s="109">
        <f>IFERROR(__xludf.DUMMYFUNCTION("((IFERROR(MIN(FILTER({L219, O219, R219}, ISNUMBER({L219, O219, R219}), {L219, O219, R219} &gt; 0)), """"))*S219)+IFERROR(MIN(FILTER({L219, O219, R219}, ISNUMBER({L219, O219, R219}), {L219, O219, R219} &gt; 0)), """")"),0.0)</f>
        <v>0</v>
      </c>
      <c r="U219" s="109"/>
      <c r="V219" s="77" t="str">
        <f>IFERROR(__xludf.DUMMYFUNCTION("(T219-(IFERROR(MIN(FILTER({L219, O219, R219}, ISNUMBER({L219, O219, R219}), {L219, O219, R219} &gt; 0)), """")))/T219"),"#DIV/0!")</f>
        <v>#DIV/0!</v>
      </c>
      <c r="W219" s="78"/>
      <c r="X219" s="79">
        <v>300.0</v>
      </c>
    </row>
    <row r="220" ht="22.5" customHeight="1">
      <c r="A220" s="34"/>
      <c r="B220" s="34"/>
      <c r="C220" s="37"/>
      <c r="D220" s="38"/>
      <c r="E220" s="103"/>
      <c r="F220" s="49"/>
      <c r="G220" s="37"/>
      <c r="H220" s="107"/>
      <c r="I220" s="34"/>
      <c r="J220" s="41" t="s">
        <v>261</v>
      </c>
      <c r="K220" s="41" t="s">
        <v>261</v>
      </c>
      <c r="L220" s="41"/>
      <c r="M220" s="108"/>
      <c r="N220" s="108"/>
      <c r="O220" s="110"/>
      <c r="P220" s="41"/>
      <c r="Q220" s="39"/>
      <c r="R220" s="39"/>
      <c r="S220" s="46">
        <v>0.67</v>
      </c>
      <c r="T220" s="109">
        <f>IFERROR(__xludf.DUMMYFUNCTION("((IFERROR(MIN(FILTER({L220, O220, R220}, ISNUMBER({L220, O220, R220}), {L220, O220, R220} &gt; 0)), """"))*S220)+IFERROR(MIN(FILTER({L220, O220, R220}, ISNUMBER({L220, O220, R220}), {L220, O220, R220} &gt; 0)), """")"),0.0)</f>
        <v>0</v>
      </c>
      <c r="U220" s="109"/>
      <c r="V220" s="77" t="str">
        <f>IFERROR(__xludf.DUMMYFUNCTION("(T220-(IFERROR(MIN(FILTER({L220, O220, R220}, ISNUMBER({L220, O220, R220}), {L220, O220, R220} &gt; 0)), """")))/T220"),"#DIV/0!")</f>
        <v>#DIV/0!</v>
      </c>
      <c r="W220" s="78"/>
      <c r="X220" s="79">
        <v>300.0</v>
      </c>
    </row>
    <row r="221" ht="22.5" customHeight="1">
      <c r="A221" s="34"/>
      <c r="B221" s="34"/>
      <c r="C221" s="37"/>
      <c r="D221" s="38"/>
      <c r="E221" s="103"/>
      <c r="F221" s="49"/>
      <c r="G221" s="37"/>
      <c r="H221" s="107"/>
      <c r="I221" s="34"/>
      <c r="J221" s="41" t="s">
        <v>261</v>
      </c>
      <c r="K221" s="41" t="s">
        <v>261</v>
      </c>
      <c r="L221" s="41"/>
      <c r="M221" s="108"/>
      <c r="N221" s="108"/>
      <c r="O221" s="110"/>
      <c r="P221" s="41"/>
      <c r="Q221" s="39"/>
      <c r="R221" s="39"/>
      <c r="S221" s="46">
        <v>0.67</v>
      </c>
      <c r="T221" s="109">
        <f>IFERROR(__xludf.DUMMYFUNCTION("((IFERROR(MIN(FILTER({L221, O221, R221}, ISNUMBER({L221, O221, R221}), {L221, O221, R221} &gt; 0)), """"))*S221)+IFERROR(MIN(FILTER({L221, O221, R221}, ISNUMBER({L221, O221, R221}), {L221, O221, R221} &gt; 0)), """")"),0.0)</f>
        <v>0</v>
      </c>
      <c r="U221" s="109"/>
      <c r="V221" s="77" t="str">
        <f>IFERROR(__xludf.DUMMYFUNCTION("(T221-(IFERROR(MIN(FILTER({L221, O221, R221}, ISNUMBER({L221, O221, R221}), {L221, O221, R221} &gt; 0)), """")))/T221"),"#DIV/0!")</f>
        <v>#DIV/0!</v>
      </c>
      <c r="W221" s="78"/>
      <c r="X221" s="79">
        <v>300.0</v>
      </c>
    </row>
    <row r="222" ht="22.5" customHeight="1">
      <c r="A222" s="34"/>
      <c r="B222" s="34"/>
      <c r="C222" s="37"/>
      <c r="D222" s="38"/>
      <c r="E222" s="103"/>
      <c r="F222" s="49"/>
      <c r="G222" s="37"/>
      <c r="H222" s="107"/>
      <c r="I222" s="34"/>
      <c r="J222" s="41" t="s">
        <v>261</v>
      </c>
      <c r="K222" s="41" t="s">
        <v>261</v>
      </c>
      <c r="L222" s="41"/>
      <c r="M222" s="108"/>
      <c r="N222" s="108"/>
      <c r="O222" s="110"/>
      <c r="P222" s="41"/>
      <c r="Q222" s="39"/>
      <c r="R222" s="39"/>
      <c r="S222" s="46">
        <v>0.67</v>
      </c>
      <c r="T222" s="109">
        <f>IFERROR(__xludf.DUMMYFUNCTION("((IFERROR(MIN(FILTER({L222, O222, R222}, ISNUMBER({L222, O222, R222}), {L222, O222, R222} &gt; 0)), """"))*S222)+IFERROR(MIN(FILTER({L222, O222, R222}, ISNUMBER({L222, O222, R222}), {L222, O222, R222} &gt; 0)), """")"),0.0)</f>
        <v>0</v>
      </c>
      <c r="U222" s="109"/>
      <c r="V222" s="77" t="str">
        <f>IFERROR(__xludf.DUMMYFUNCTION("(T222-(IFERROR(MIN(FILTER({L222, O222, R222}, ISNUMBER({L222, O222, R222}), {L222, O222, R222} &gt; 0)), """")))/T222"),"#DIV/0!")</f>
        <v>#DIV/0!</v>
      </c>
      <c r="W222" s="78"/>
      <c r="X222" s="79">
        <v>300.0</v>
      </c>
    </row>
    <row r="223" ht="22.5" customHeight="1">
      <c r="A223" s="34"/>
      <c r="B223" s="34"/>
      <c r="C223" s="37"/>
      <c r="D223" s="38"/>
      <c r="E223" s="103"/>
      <c r="F223" s="49"/>
      <c r="G223" s="37"/>
      <c r="H223" s="107"/>
      <c r="I223" s="34"/>
      <c r="J223" s="41" t="s">
        <v>261</v>
      </c>
      <c r="K223" s="41" t="s">
        <v>261</v>
      </c>
      <c r="L223" s="41"/>
      <c r="M223" s="108"/>
      <c r="N223" s="108"/>
      <c r="O223" s="110"/>
      <c r="P223" s="41"/>
      <c r="Q223" s="39"/>
      <c r="R223" s="39"/>
      <c r="S223" s="46">
        <v>0.67</v>
      </c>
      <c r="T223" s="109">
        <f>IFERROR(__xludf.DUMMYFUNCTION("((IFERROR(MIN(FILTER({L223, O223, R223}, ISNUMBER({L223, O223, R223}), {L223, O223, R223} &gt; 0)), """"))*S223)+IFERROR(MIN(FILTER({L223, O223, R223}, ISNUMBER({L223, O223, R223}), {L223, O223, R223} &gt; 0)), """")"),0.0)</f>
        <v>0</v>
      </c>
      <c r="U223" s="109"/>
      <c r="V223" s="77" t="str">
        <f>IFERROR(__xludf.DUMMYFUNCTION("(T223-(IFERROR(MIN(FILTER({L223, O223, R223}, ISNUMBER({L223, O223, R223}), {L223, O223, R223} &gt; 0)), """")))/T223"),"#DIV/0!")</f>
        <v>#DIV/0!</v>
      </c>
      <c r="W223" s="78"/>
      <c r="X223" s="79">
        <v>300.0</v>
      </c>
    </row>
    <row r="224" ht="22.5" customHeight="1">
      <c r="A224" s="34"/>
      <c r="B224" s="34"/>
      <c r="C224" s="37"/>
      <c r="D224" s="38"/>
      <c r="E224" s="103"/>
      <c r="F224" s="49"/>
      <c r="G224" s="37"/>
      <c r="H224" s="107"/>
      <c r="I224" s="34"/>
      <c r="J224" s="41" t="s">
        <v>261</v>
      </c>
      <c r="K224" s="41" t="s">
        <v>261</v>
      </c>
      <c r="L224" s="41"/>
      <c r="M224" s="108"/>
      <c r="N224" s="108"/>
      <c r="O224" s="110"/>
      <c r="P224" s="41"/>
      <c r="Q224" s="39"/>
      <c r="R224" s="39"/>
      <c r="S224" s="46">
        <v>0.67</v>
      </c>
      <c r="T224" s="109">
        <f>IFERROR(__xludf.DUMMYFUNCTION("((IFERROR(MIN(FILTER({L224, O224, R224}, ISNUMBER({L224, O224, R224}), {L224, O224, R224} &gt; 0)), """"))*S224)+IFERROR(MIN(FILTER({L224, O224, R224}, ISNUMBER({L224, O224, R224}), {L224, O224, R224} &gt; 0)), """")"),0.0)</f>
        <v>0</v>
      </c>
      <c r="U224" s="109"/>
      <c r="V224" s="77" t="str">
        <f>IFERROR(__xludf.DUMMYFUNCTION("(T224-(IFERROR(MIN(FILTER({L224, O224, R224}, ISNUMBER({L224, O224, R224}), {L224, O224, R224} &gt; 0)), """")))/T224"),"#DIV/0!")</f>
        <v>#DIV/0!</v>
      </c>
      <c r="W224" s="78"/>
      <c r="X224" s="79">
        <v>300.0</v>
      </c>
    </row>
    <row r="225" ht="22.5" customHeight="1">
      <c r="A225" s="34"/>
      <c r="B225" s="34"/>
      <c r="C225" s="37"/>
      <c r="D225" s="38"/>
      <c r="E225" s="103"/>
      <c r="F225" s="49"/>
      <c r="G225" s="37"/>
      <c r="H225" s="107"/>
      <c r="I225" s="34"/>
      <c r="J225" s="41" t="s">
        <v>261</v>
      </c>
      <c r="K225" s="41" t="s">
        <v>261</v>
      </c>
      <c r="L225" s="41"/>
      <c r="M225" s="108"/>
      <c r="N225" s="108"/>
      <c r="O225" s="110"/>
      <c r="P225" s="41"/>
      <c r="Q225" s="39"/>
      <c r="R225" s="39"/>
      <c r="S225" s="46">
        <v>0.67</v>
      </c>
      <c r="T225" s="109">
        <f>IFERROR(__xludf.DUMMYFUNCTION("((IFERROR(MIN(FILTER({L225, O225, R225}, ISNUMBER({L225, O225, R225}), {L225, O225, R225} &gt; 0)), """"))*S225)+IFERROR(MIN(FILTER({L225, O225, R225}, ISNUMBER({L225, O225, R225}), {L225, O225, R225} &gt; 0)), """")"),0.0)</f>
        <v>0</v>
      </c>
      <c r="U225" s="109"/>
      <c r="V225" s="77" t="str">
        <f>IFERROR(__xludf.DUMMYFUNCTION("(T225-(IFERROR(MIN(FILTER({L225, O225, R225}, ISNUMBER({L225, O225, R225}), {L225, O225, R225} &gt; 0)), """")))/T225"),"#DIV/0!")</f>
        <v>#DIV/0!</v>
      </c>
      <c r="W225" s="78"/>
      <c r="X225" s="79">
        <v>300.0</v>
      </c>
    </row>
    <row r="226" ht="22.5" customHeight="1">
      <c r="A226" s="34"/>
      <c r="B226" s="34"/>
      <c r="C226" s="37"/>
      <c r="D226" s="38"/>
      <c r="E226" s="103"/>
      <c r="F226" s="49"/>
      <c r="G226" s="37"/>
      <c r="H226" s="107"/>
      <c r="I226" s="34"/>
      <c r="J226" s="41" t="s">
        <v>261</v>
      </c>
      <c r="K226" s="41" t="s">
        <v>261</v>
      </c>
      <c r="L226" s="41"/>
      <c r="M226" s="108"/>
      <c r="N226" s="108"/>
      <c r="O226" s="110"/>
      <c r="P226" s="41"/>
      <c r="Q226" s="39"/>
      <c r="R226" s="39"/>
      <c r="S226" s="46">
        <v>0.67</v>
      </c>
      <c r="T226" s="109">
        <f>IFERROR(__xludf.DUMMYFUNCTION("((IFERROR(MIN(FILTER({L226, O226, R226}, ISNUMBER({L226, O226, R226}), {L226, O226, R226} &gt; 0)), """"))*S226)+IFERROR(MIN(FILTER({L226, O226, R226}, ISNUMBER({L226, O226, R226}), {L226, O226, R226} &gt; 0)), """")"),0.0)</f>
        <v>0</v>
      </c>
      <c r="U226" s="109"/>
      <c r="V226" s="77" t="str">
        <f>IFERROR(__xludf.DUMMYFUNCTION("(T226-(IFERROR(MIN(FILTER({L226, O226, R226}, ISNUMBER({L226, O226, R226}), {L226, O226, R226} &gt; 0)), """")))/T226"),"#DIV/0!")</f>
        <v>#DIV/0!</v>
      </c>
      <c r="W226" s="78"/>
      <c r="X226" s="79">
        <v>300.0</v>
      </c>
    </row>
    <row r="227" ht="22.5" customHeight="1">
      <c r="A227" s="34"/>
      <c r="B227" s="34"/>
      <c r="C227" s="37"/>
      <c r="D227" s="38"/>
      <c r="E227" s="103"/>
      <c r="F227" s="49"/>
      <c r="G227" s="37"/>
      <c r="H227" s="107"/>
      <c r="I227" s="34"/>
      <c r="J227" s="41" t="s">
        <v>261</v>
      </c>
      <c r="K227" s="41" t="s">
        <v>261</v>
      </c>
      <c r="L227" s="41"/>
      <c r="M227" s="108"/>
      <c r="N227" s="108"/>
      <c r="O227" s="110"/>
      <c r="P227" s="41"/>
      <c r="Q227" s="39"/>
      <c r="R227" s="39"/>
      <c r="S227" s="46">
        <v>0.67</v>
      </c>
      <c r="T227" s="109">
        <f>IFERROR(__xludf.DUMMYFUNCTION("((IFERROR(MIN(FILTER({L227, O227, R227}, ISNUMBER({L227, O227, R227}), {L227, O227, R227} &gt; 0)), """"))*S227)+IFERROR(MIN(FILTER({L227, O227, R227}, ISNUMBER({L227, O227, R227}), {L227, O227, R227} &gt; 0)), """")"),0.0)</f>
        <v>0</v>
      </c>
      <c r="U227" s="109"/>
      <c r="V227" s="77" t="str">
        <f>IFERROR(__xludf.DUMMYFUNCTION("(T227-(IFERROR(MIN(FILTER({L227, O227, R227}, ISNUMBER({L227, O227, R227}), {L227, O227, R227} &gt; 0)), """")))/T227"),"#DIV/0!")</f>
        <v>#DIV/0!</v>
      </c>
      <c r="W227" s="78"/>
      <c r="X227" s="79">
        <v>300.0</v>
      </c>
    </row>
    <row r="228" ht="22.5" customHeight="1">
      <c r="A228" s="34"/>
      <c r="B228" s="34"/>
      <c r="C228" s="37"/>
      <c r="D228" s="38"/>
      <c r="E228" s="103"/>
      <c r="F228" s="49"/>
      <c r="G228" s="37"/>
      <c r="H228" s="107"/>
      <c r="I228" s="34"/>
      <c r="J228" s="41" t="s">
        <v>261</v>
      </c>
      <c r="K228" s="41" t="s">
        <v>261</v>
      </c>
      <c r="L228" s="41"/>
      <c r="M228" s="108"/>
      <c r="N228" s="108"/>
      <c r="O228" s="110"/>
      <c r="P228" s="41"/>
      <c r="Q228" s="39"/>
      <c r="R228" s="39"/>
      <c r="S228" s="46">
        <v>0.67</v>
      </c>
      <c r="T228" s="109">
        <f>IFERROR(__xludf.DUMMYFUNCTION("((IFERROR(MIN(FILTER({L228, O228, R228}, ISNUMBER({L228, O228, R228}), {L228, O228, R228} &gt; 0)), """"))*S228)+IFERROR(MIN(FILTER({L228, O228, R228}, ISNUMBER({L228, O228, R228}), {L228, O228, R228} &gt; 0)), """")"),0.0)</f>
        <v>0</v>
      </c>
      <c r="U228" s="109"/>
      <c r="V228" s="77" t="str">
        <f>IFERROR(__xludf.DUMMYFUNCTION("(T228-(IFERROR(MIN(FILTER({L228, O228, R228}, ISNUMBER({L228, O228, R228}), {L228, O228, R228} &gt; 0)), """")))/T228"),"#DIV/0!")</f>
        <v>#DIV/0!</v>
      </c>
      <c r="W228" s="78"/>
      <c r="X228" s="79">
        <v>300.0</v>
      </c>
    </row>
    <row r="229" ht="22.5" customHeight="1">
      <c r="A229" s="34"/>
      <c r="B229" s="34"/>
      <c r="C229" s="37"/>
      <c r="D229" s="38"/>
      <c r="E229" s="103"/>
      <c r="F229" s="49"/>
      <c r="G229" s="37"/>
      <c r="H229" s="107"/>
      <c r="I229" s="34"/>
      <c r="J229" s="41" t="s">
        <v>261</v>
      </c>
      <c r="K229" s="41" t="s">
        <v>261</v>
      </c>
      <c r="L229" s="41"/>
      <c r="M229" s="108"/>
      <c r="N229" s="108"/>
      <c r="O229" s="110"/>
      <c r="P229" s="41"/>
      <c r="Q229" s="39"/>
      <c r="R229" s="39"/>
      <c r="S229" s="46">
        <v>0.67</v>
      </c>
      <c r="T229" s="109">
        <f>IFERROR(__xludf.DUMMYFUNCTION("((IFERROR(MIN(FILTER({L229, O229, R229}, ISNUMBER({L229, O229, R229}), {L229, O229, R229} &gt; 0)), """"))*S229)+IFERROR(MIN(FILTER({L229, O229, R229}, ISNUMBER({L229, O229, R229}), {L229, O229, R229} &gt; 0)), """")"),0.0)</f>
        <v>0</v>
      </c>
      <c r="U229" s="109"/>
      <c r="V229" s="77" t="str">
        <f>IFERROR(__xludf.DUMMYFUNCTION("(T229-(IFERROR(MIN(FILTER({L229, O229, R229}, ISNUMBER({L229, O229, R229}), {L229, O229, R229} &gt; 0)), """")))/T229"),"#DIV/0!")</f>
        <v>#DIV/0!</v>
      </c>
      <c r="W229" s="78"/>
      <c r="X229" s="79">
        <v>300.0</v>
      </c>
    </row>
    <row r="230" ht="22.5" customHeight="1">
      <c r="A230" s="34"/>
      <c r="B230" s="34"/>
      <c r="C230" s="37"/>
      <c r="D230" s="38"/>
      <c r="E230" s="103"/>
      <c r="F230" s="49"/>
      <c r="G230" s="37"/>
      <c r="H230" s="107"/>
      <c r="I230" s="34"/>
      <c r="J230" s="41" t="s">
        <v>261</v>
      </c>
      <c r="K230" s="41" t="s">
        <v>261</v>
      </c>
      <c r="L230" s="41"/>
      <c r="M230" s="108"/>
      <c r="N230" s="108"/>
      <c r="O230" s="110"/>
      <c r="P230" s="41"/>
      <c r="Q230" s="39"/>
      <c r="R230" s="39"/>
      <c r="S230" s="46">
        <v>0.67</v>
      </c>
      <c r="T230" s="109">
        <f>IFERROR(__xludf.DUMMYFUNCTION("((IFERROR(MIN(FILTER({L230, O230, R230}, ISNUMBER({L230, O230, R230}), {L230, O230, R230} &gt; 0)), """"))*S230)+IFERROR(MIN(FILTER({L230, O230, R230}, ISNUMBER({L230, O230, R230}), {L230, O230, R230} &gt; 0)), """")"),0.0)</f>
        <v>0</v>
      </c>
      <c r="U230" s="109"/>
      <c r="V230" s="77" t="str">
        <f>IFERROR(__xludf.DUMMYFUNCTION("(T230-(IFERROR(MIN(FILTER({L230, O230, R230}, ISNUMBER({L230, O230, R230}), {L230, O230, R230} &gt; 0)), """")))/T230"),"#DIV/0!")</f>
        <v>#DIV/0!</v>
      </c>
      <c r="W230" s="78"/>
      <c r="X230" s="79">
        <v>300.0</v>
      </c>
    </row>
    <row r="231" ht="22.5" customHeight="1">
      <c r="A231" s="34"/>
      <c r="B231" s="34"/>
      <c r="C231" s="37"/>
      <c r="D231" s="38"/>
      <c r="E231" s="103"/>
      <c r="F231" s="49"/>
      <c r="G231" s="37"/>
      <c r="H231" s="107"/>
      <c r="I231" s="34"/>
      <c r="J231" s="41" t="s">
        <v>261</v>
      </c>
      <c r="K231" s="41" t="s">
        <v>261</v>
      </c>
      <c r="L231" s="41"/>
      <c r="M231" s="108"/>
      <c r="N231" s="108"/>
      <c r="O231" s="110"/>
      <c r="P231" s="41"/>
      <c r="Q231" s="39"/>
      <c r="R231" s="39"/>
      <c r="S231" s="46">
        <v>0.67</v>
      </c>
      <c r="T231" s="109">
        <f>IFERROR(__xludf.DUMMYFUNCTION("((IFERROR(MIN(FILTER({L231, O231, R231}, ISNUMBER({L231, O231, R231}), {L231, O231, R231} &gt; 0)), """"))*S231)+IFERROR(MIN(FILTER({L231, O231, R231}, ISNUMBER({L231, O231, R231}), {L231, O231, R231} &gt; 0)), """")"),0.0)</f>
        <v>0</v>
      </c>
      <c r="U231" s="109"/>
      <c r="V231" s="77" t="str">
        <f>IFERROR(__xludf.DUMMYFUNCTION("(T231-(IFERROR(MIN(FILTER({L231, O231, R231}, ISNUMBER({L231, O231, R231}), {L231, O231, R231} &gt; 0)), """")))/T231"),"#DIV/0!")</f>
        <v>#DIV/0!</v>
      </c>
      <c r="W231" s="78"/>
      <c r="X231" s="79">
        <v>300.0</v>
      </c>
    </row>
    <row r="232" ht="22.5" customHeight="1">
      <c r="A232" s="34"/>
      <c r="B232" s="34"/>
      <c r="C232" s="37"/>
      <c r="D232" s="38"/>
      <c r="E232" s="103"/>
      <c r="F232" s="49"/>
      <c r="G232" s="37"/>
      <c r="H232" s="107"/>
      <c r="I232" s="34"/>
      <c r="J232" s="39" t="s">
        <v>261</v>
      </c>
      <c r="K232" s="41" t="s">
        <v>261</v>
      </c>
      <c r="L232" s="39"/>
      <c r="M232" s="108"/>
      <c r="N232" s="108"/>
      <c r="O232" s="108"/>
      <c r="P232" s="39"/>
      <c r="Q232" s="39"/>
      <c r="R232" s="39"/>
      <c r="S232" s="46">
        <v>0.67</v>
      </c>
      <c r="T232" s="109">
        <f>IFERROR(__xludf.DUMMYFUNCTION("((IFERROR(MIN(FILTER({L232, O232, R232}, ISNUMBER({L232, O232, R232}), {L232, O232, R232} &gt; 0)), """"))*S232)+IFERROR(MIN(FILTER({L232, O232, R232}, ISNUMBER({L232, O232, R232}), {L232, O232, R232} &gt; 0)), """")"),0.0)</f>
        <v>0</v>
      </c>
      <c r="U232" s="109"/>
      <c r="V232" s="77" t="str">
        <f>IFERROR(__xludf.DUMMYFUNCTION("(T232-(IFERROR(MIN(FILTER({L232, O232, R232}, ISNUMBER({L232, O232, R232}), {L232, O232, R232} &gt; 0)), """")))/T232"),"#DIV/0!")</f>
        <v>#DIV/0!</v>
      </c>
      <c r="W232" s="78"/>
      <c r="X232" s="79">
        <v>300.0</v>
      </c>
    </row>
    <row r="233" ht="22.5" customHeight="1">
      <c r="A233" s="34"/>
      <c r="B233" s="34"/>
      <c r="C233" s="37"/>
      <c r="D233" s="38"/>
      <c r="E233" s="103"/>
      <c r="F233" s="49"/>
      <c r="G233" s="37"/>
      <c r="H233" s="107"/>
      <c r="I233" s="34"/>
      <c r="J233" s="41" t="s">
        <v>261</v>
      </c>
      <c r="K233" s="41" t="s">
        <v>261</v>
      </c>
      <c r="L233" s="41"/>
      <c r="M233" s="108"/>
      <c r="N233" s="108"/>
      <c r="O233" s="110"/>
      <c r="P233" s="41"/>
      <c r="Q233" s="39"/>
      <c r="R233" s="39"/>
      <c r="S233" s="46">
        <v>0.67</v>
      </c>
      <c r="T233" s="109">
        <f>IFERROR(__xludf.DUMMYFUNCTION("((IFERROR(MIN(FILTER({L233, O233, R233}, ISNUMBER({L233, O233, R233}), {L233, O233, R233} &gt; 0)), """"))*S233)+IFERROR(MIN(FILTER({L233, O233, R233}, ISNUMBER({L233, O233, R233}), {L233, O233, R233} &gt; 0)), """")"),0.0)</f>
        <v>0</v>
      </c>
      <c r="U233" s="109"/>
      <c r="V233" s="77" t="str">
        <f>IFERROR(__xludf.DUMMYFUNCTION("(T233-(IFERROR(MIN(FILTER({L233, O233, R233}, ISNUMBER({L233, O233, R233}), {L233, O233, R233} &gt; 0)), """")))/T233"),"#DIV/0!")</f>
        <v>#DIV/0!</v>
      </c>
      <c r="W233" s="78"/>
      <c r="X233" s="79">
        <v>300.0</v>
      </c>
    </row>
    <row r="234" ht="22.5" customHeight="1">
      <c r="A234" s="34"/>
      <c r="B234" s="34"/>
      <c r="C234" s="37"/>
      <c r="D234" s="38"/>
      <c r="E234" s="103"/>
      <c r="F234" s="49"/>
      <c r="G234" s="37"/>
      <c r="H234" s="107"/>
      <c r="I234" s="34"/>
      <c r="J234" s="41" t="s">
        <v>261</v>
      </c>
      <c r="K234" s="41" t="s">
        <v>261</v>
      </c>
      <c r="L234" s="41"/>
      <c r="M234" s="108"/>
      <c r="N234" s="108"/>
      <c r="O234" s="110"/>
      <c r="P234" s="41"/>
      <c r="Q234" s="39"/>
      <c r="R234" s="39"/>
      <c r="S234" s="46">
        <v>0.67</v>
      </c>
      <c r="T234" s="109">
        <f>IFERROR(__xludf.DUMMYFUNCTION("((IFERROR(MIN(FILTER({L234, O234, R234}, ISNUMBER({L234, O234, R234}), {L234, O234, R234} &gt; 0)), """"))*S234)+IFERROR(MIN(FILTER({L234, O234, R234}, ISNUMBER({L234, O234, R234}), {L234, O234, R234} &gt; 0)), """")"),0.0)</f>
        <v>0</v>
      </c>
      <c r="U234" s="109"/>
      <c r="V234" s="77" t="str">
        <f>IFERROR(__xludf.DUMMYFUNCTION("(T234-(IFERROR(MIN(FILTER({L234, O234, R234}, ISNUMBER({L234, O234, R234}), {L234, O234, R234} &gt; 0)), """")))/T234"),"#DIV/0!")</f>
        <v>#DIV/0!</v>
      </c>
      <c r="W234" s="78"/>
      <c r="X234" s="79">
        <v>300.0</v>
      </c>
    </row>
    <row r="235" ht="22.5" customHeight="1">
      <c r="A235" s="34"/>
      <c r="B235" s="34"/>
      <c r="C235" s="37"/>
      <c r="D235" s="38"/>
      <c r="E235" s="103"/>
      <c r="F235" s="49"/>
      <c r="G235" s="37"/>
      <c r="H235" s="107"/>
      <c r="I235" s="34"/>
      <c r="J235" s="41" t="s">
        <v>261</v>
      </c>
      <c r="K235" s="41" t="s">
        <v>261</v>
      </c>
      <c r="L235" s="41"/>
      <c r="M235" s="108"/>
      <c r="N235" s="108"/>
      <c r="O235" s="110"/>
      <c r="P235" s="41"/>
      <c r="Q235" s="39"/>
      <c r="R235" s="39"/>
      <c r="S235" s="46">
        <v>0.67</v>
      </c>
      <c r="T235" s="109">
        <f>IFERROR(__xludf.DUMMYFUNCTION("((IFERROR(MIN(FILTER({L235, O235, R235}, ISNUMBER({L235, O235, R235}), {L235, O235, R235} &gt; 0)), """"))*S235)+IFERROR(MIN(FILTER({L235, O235, R235}, ISNUMBER({L235, O235, R235}), {L235, O235, R235} &gt; 0)), """")"),0.0)</f>
        <v>0</v>
      </c>
      <c r="U235" s="109"/>
      <c r="V235" s="77" t="str">
        <f>IFERROR(__xludf.DUMMYFUNCTION("(T235-(IFERROR(MIN(FILTER({L235, O235, R235}, ISNUMBER({L235, O235, R235}), {L235, O235, R235} &gt; 0)), """")))/T235"),"#DIV/0!")</f>
        <v>#DIV/0!</v>
      </c>
      <c r="W235" s="78"/>
      <c r="X235" s="79">
        <v>300.0</v>
      </c>
    </row>
    <row r="236" ht="22.5" customHeight="1">
      <c r="A236" s="34"/>
      <c r="B236" s="34"/>
      <c r="C236" s="37"/>
      <c r="D236" s="38"/>
      <c r="E236" s="103"/>
      <c r="F236" s="49"/>
      <c r="G236" s="37"/>
      <c r="H236" s="107"/>
      <c r="I236" s="34"/>
      <c r="J236" s="39" t="s">
        <v>261</v>
      </c>
      <c r="K236" s="41" t="s">
        <v>261</v>
      </c>
      <c r="L236" s="39"/>
      <c r="M236" s="108"/>
      <c r="N236" s="108"/>
      <c r="O236" s="108"/>
      <c r="P236" s="39"/>
      <c r="Q236" s="39"/>
      <c r="R236" s="39"/>
      <c r="S236" s="46">
        <v>0.67</v>
      </c>
      <c r="T236" s="109">
        <f>IFERROR(__xludf.DUMMYFUNCTION("((IFERROR(MIN(FILTER({L236, O236, R236}, ISNUMBER({L236, O236, R236}), {L236, O236, R236} &gt; 0)), """"))*S236)+IFERROR(MIN(FILTER({L236, O236, R236}, ISNUMBER({L236, O236, R236}), {L236, O236, R236} &gt; 0)), """")"),0.0)</f>
        <v>0</v>
      </c>
      <c r="U236" s="109"/>
      <c r="V236" s="77" t="str">
        <f>IFERROR(__xludf.DUMMYFUNCTION("(T236-(IFERROR(MIN(FILTER({L236, O236, R236}, ISNUMBER({L236, O236, R236}), {L236, O236, R236} &gt; 0)), """")))/T236"),"#DIV/0!")</f>
        <v>#DIV/0!</v>
      </c>
      <c r="W236" s="78"/>
      <c r="X236" s="79">
        <v>300.0</v>
      </c>
    </row>
    <row r="237" ht="22.5" customHeight="1">
      <c r="A237" s="34"/>
      <c r="B237" s="34"/>
      <c r="C237" s="37"/>
      <c r="D237" s="38"/>
      <c r="E237" s="103"/>
      <c r="F237" s="49"/>
      <c r="G237" s="37"/>
      <c r="H237" s="107"/>
      <c r="I237" s="34"/>
      <c r="J237" s="41" t="s">
        <v>261</v>
      </c>
      <c r="K237" s="41" t="s">
        <v>261</v>
      </c>
      <c r="L237" s="41"/>
      <c r="M237" s="108"/>
      <c r="N237" s="108"/>
      <c r="O237" s="110"/>
      <c r="P237" s="41"/>
      <c r="Q237" s="39"/>
      <c r="R237" s="39"/>
      <c r="S237" s="46">
        <v>0.67</v>
      </c>
      <c r="T237" s="109">
        <f>IFERROR(__xludf.DUMMYFUNCTION("((IFERROR(MIN(FILTER({L237, O237, R237}, ISNUMBER({L237, O237, R237}), {L237, O237, R237} &gt; 0)), """"))*S237)+IFERROR(MIN(FILTER({L237, O237, R237}, ISNUMBER({L237, O237, R237}), {L237, O237, R237} &gt; 0)), """")"),0.0)</f>
        <v>0</v>
      </c>
      <c r="U237" s="109"/>
      <c r="V237" s="77" t="str">
        <f>IFERROR(__xludf.DUMMYFUNCTION("(T237-(IFERROR(MIN(FILTER({L237, O237, R237}, ISNUMBER({L237, O237, R237}), {L237, O237, R237} &gt; 0)), """")))/T237"),"#DIV/0!")</f>
        <v>#DIV/0!</v>
      </c>
      <c r="W237" s="78"/>
      <c r="X237" s="79">
        <v>300.0</v>
      </c>
    </row>
    <row r="238" ht="22.5" customHeight="1">
      <c r="A238" s="34"/>
      <c r="B238" s="34"/>
      <c r="C238" s="37"/>
      <c r="D238" s="38"/>
      <c r="E238" s="103"/>
      <c r="F238" s="49"/>
      <c r="G238" s="37"/>
      <c r="H238" s="107"/>
      <c r="I238" s="34"/>
      <c r="J238" s="41" t="s">
        <v>261</v>
      </c>
      <c r="K238" s="41" t="s">
        <v>261</v>
      </c>
      <c r="L238" s="41"/>
      <c r="M238" s="108"/>
      <c r="N238" s="108"/>
      <c r="O238" s="110"/>
      <c r="P238" s="41"/>
      <c r="Q238" s="39"/>
      <c r="R238" s="39"/>
      <c r="S238" s="46">
        <v>0.67</v>
      </c>
      <c r="T238" s="109">
        <f>IFERROR(__xludf.DUMMYFUNCTION("((IFERROR(MIN(FILTER({L238, O238, R238}, ISNUMBER({L238, O238, R238}), {L238, O238, R238} &gt; 0)), """"))*S238)+IFERROR(MIN(FILTER({L238, O238, R238}, ISNUMBER({L238, O238, R238}), {L238, O238, R238} &gt; 0)), """")"),0.0)</f>
        <v>0</v>
      </c>
      <c r="U238" s="109"/>
      <c r="V238" s="77" t="str">
        <f>IFERROR(__xludf.DUMMYFUNCTION("(T238-(IFERROR(MIN(FILTER({L238, O238, R238}, ISNUMBER({L238, O238, R238}), {L238, O238, R238} &gt; 0)), """")))/T238"),"#DIV/0!")</f>
        <v>#DIV/0!</v>
      </c>
      <c r="W238" s="78"/>
      <c r="X238" s="79">
        <v>300.0</v>
      </c>
    </row>
    <row r="239" ht="22.5" customHeight="1">
      <c r="A239" s="34"/>
      <c r="B239" s="34"/>
      <c r="C239" s="37"/>
      <c r="D239" s="38"/>
      <c r="E239" s="103"/>
      <c r="F239" s="49"/>
      <c r="G239" s="37"/>
      <c r="H239" s="107"/>
      <c r="I239" s="34"/>
      <c r="J239" s="41" t="s">
        <v>261</v>
      </c>
      <c r="K239" s="41" t="s">
        <v>261</v>
      </c>
      <c r="L239" s="41"/>
      <c r="M239" s="108"/>
      <c r="N239" s="108"/>
      <c r="O239" s="110"/>
      <c r="P239" s="41"/>
      <c r="Q239" s="39"/>
      <c r="R239" s="39"/>
      <c r="S239" s="46">
        <v>0.67</v>
      </c>
      <c r="T239" s="109">
        <f>IFERROR(__xludf.DUMMYFUNCTION("((IFERROR(MIN(FILTER({L239, O239, R239}, ISNUMBER({L239, O239, R239}), {L239, O239, R239} &gt; 0)), """"))*S239)+IFERROR(MIN(FILTER({L239, O239, R239}, ISNUMBER({L239, O239, R239}), {L239, O239, R239} &gt; 0)), """")"),0.0)</f>
        <v>0</v>
      </c>
      <c r="U239" s="109"/>
      <c r="V239" s="77" t="str">
        <f>IFERROR(__xludf.DUMMYFUNCTION("(T239-(IFERROR(MIN(FILTER({L239, O239, R239}, ISNUMBER({L239, O239, R239}), {L239, O239, R239} &gt; 0)), """")))/T239"),"#DIV/0!")</f>
        <v>#DIV/0!</v>
      </c>
      <c r="W239" s="78"/>
      <c r="X239" s="79">
        <v>300.0</v>
      </c>
    </row>
    <row r="240" ht="22.5" customHeight="1">
      <c r="A240" s="34"/>
      <c r="B240" s="34"/>
      <c r="C240" s="37"/>
      <c r="D240" s="38"/>
      <c r="E240" s="103"/>
      <c r="F240" s="49"/>
      <c r="G240" s="37"/>
      <c r="H240" s="107"/>
      <c r="I240" s="34"/>
      <c r="J240" s="41" t="s">
        <v>261</v>
      </c>
      <c r="K240" s="41" t="s">
        <v>261</v>
      </c>
      <c r="L240" s="41"/>
      <c r="M240" s="108"/>
      <c r="N240" s="108"/>
      <c r="O240" s="110"/>
      <c r="P240" s="41"/>
      <c r="Q240" s="39"/>
      <c r="R240" s="39"/>
      <c r="S240" s="46">
        <v>0.67</v>
      </c>
      <c r="T240" s="109">
        <f>IFERROR(__xludf.DUMMYFUNCTION("((IFERROR(MIN(FILTER({L240, O240, R240}, ISNUMBER({L240, O240, R240}), {L240, O240, R240} &gt; 0)), """"))*S240)+IFERROR(MIN(FILTER({L240, O240, R240}, ISNUMBER({L240, O240, R240}), {L240, O240, R240} &gt; 0)), """")"),0.0)</f>
        <v>0</v>
      </c>
      <c r="U240" s="109"/>
      <c r="V240" s="77" t="str">
        <f>IFERROR(__xludf.DUMMYFUNCTION("(T240-(IFERROR(MIN(FILTER({L240, O240, R240}, ISNUMBER({L240, O240, R240}), {L240, O240, R240} &gt; 0)), """")))/T240"),"#DIV/0!")</f>
        <v>#DIV/0!</v>
      </c>
      <c r="W240" s="78"/>
      <c r="X240" s="79">
        <v>300.0</v>
      </c>
    </row>
    <row r="241" ht="22.5" customHeight="1">
      <c r="A241" s="34"/>
      <c r="B241" s="34"/>
      <c r="C241" s="37"/>
      <c r="D241" s="38"/>
      <c r="E241" s="103"/>
      <c r="F241" s="49"/>
      <c r="G241" s="37"/>
      <c r="H241" s="107"/>
      <c r="I241" s="34"/>
      <c r="J241" s="41" t="s">
        <v>261</v>
      </c>
      <c r="K241" s="41" t="s">
        <v>261</v>
      </c>
      <c r="L241" s="41"/>
      <c r="M241" s="108"/>
      <c r="N241" s="108"/>
      <c r="O241" s="110"/>
      <c r="P241" s="41"/>
      <c r="Q241" s="39"/>
      <c r="R241" s="39"/>
      <c r="S241" s="46">
        <v>0.67</v>
      </c>
      <c r="T241" s="109">
        <f>IFERROR(__xludf.DUMMYFUNCTION("((IFERROR(MIN(FILTER({L241, O241, R241}, ISNUMBER({L241, O241, R241}), {L241, O241, R241} &gt; 0)), """"))*S241)+IFERROR(MIN(FILTER({L241, O241, R241}, ISNUMBER({L241, O241, R241}), {L241, O241, R241} &gt; 0)), """")"),0.0)</f>
        <v>0</v>
      </c>
      <c r="U241" s="109"/>
      <c r="V241" s="77" t="str">
        <f>IFERROR(__xludf.DUMMYFUNCTION("(T241-(IFERROR(MIN(FILTER({L241, O241, R241}, ISNUMBER({L241, O241, R241}), {L241, O241, R241} &gt; 0)), """")))/T241"),"#DIV/0!")</f>
        <v>#DIV/0!</v>
      </c>
      <c r="W241" s="78"/>
      <c r="X241" s="79">
        <v>300.0</v>
      </c>
    </row>
    <row r="242" ht="22.5" customHeight="1">
      <c r="A242" s="34"/>
      <c r="B242" s="34"/>
      <c r="C242" s="37"/>
      <c r="D242" s="38"/>
      <c r="E242" s="103"/>
      <c r="F242" s="49"/>
      <c r="G242" s="37"/>
      <c r="H242" s="107"/>
      <c r="I242" s="34"/>
      <c r="J242" s="41" t="s">
        <v>261</v>
      </c>
      <c r="K242" s="41" t="s">
        <v>261</v>
      </c>
      <c r="L242" s="41"/>
      <c r="M242" s="108"/>
      <c r="N242" s="108"/>
      <c r="O242" s="110"/>
      <c r="P242" s="41"/>
      <c r="Q242" s="39"/>
      <c r="R242" s="39"/>
      <c r="S242" s="46">
        <v>0.67</v>
      </c>
      <c r="T242" s="109">
        <f>IFERROR(__xludf.DUMMYFUNCTION("((IFERROR(MIN(FILTER({L242, O242, R242}, ISNUMBER({L242, O242, R242}), {L242, O242, R242} &gt; 0)), """"))*S242)+IFERROR(MIN(FILTER({L242, O242, R242}, ISNUMBER({L242, O242, R242}), {L242, O242, R242} &gt; 0)), """")"),0.0)</f>
        <v>0</v>
      </c>
      <c r="U242" s="109"/>
      <c r="V242" s="77" t="str">
        <f>IFERROR(__xludf.DUMMYFUNCTION("(T242-(IFERROR(MIN(FILTER({L242, O242, R242}, ISNUMBER({L242, O242, R242}), {L242, O242, R242} &gt; 0)), """")))/T242"),"#DIV/0!")</f>
        <v>#DIV/0!</v>
      </c>
      <c r="W242" s="78"/>
      <c r="X242" s="79">
        <v>300.0</v>
      </c>
    </row>
    <row r="243" ht="22.5" customHeight="1">
      <c r="A243" s="34"/>
      <c r="B243" s="34"/>
      <c r="C243" s="37"/>
      <c r="D243" s="38"/>
      <c r="E243" s="103"/>
      <c r="F243" s="49"/>
      <c r="G243" s="37"/>
      <c r="H243" s="107"/>
      <c r="I243" s="34"/>
      <c r="J243" s="41" t="s">
        <v>261</v>
      </c>
      <c r="K243" s="41" t="s">
        <v>261</v>
      </c>
      <c r="L243" s="41"/>
      <c r="M243" s="108"/>
      <c r="N243" s="108"/>
      <c r="O243" s="110"/>
      <c r="P243" s="41"/>
      <c r="Q243" s="39"/>
      <c r="R243" s="39"/>
      <c r="S243" s="46">
        <v>0.67</v>
      </c>
      <c r="T243" s="109">
        <f>IFERROR(__xludf.DUMMYFUNCTION("((IFERROR(MIN(FILTER({L243, O243, R243}, ISNUMBER({L243, O243, R243}), {L243, O243, R243} &gt; 0)), """"))*S243)+IFERROR(MIN(FILTER({L243, O243, R243}, ISNUMBER({L243, O243, R243}), {L243, O243, R243} &gt; 0)), """")"),0.0)</f>
        <v>0</v>
      </c>
      <c r="U243" s="109"/>
      <c r="V243" s="77" t="str">
        <f>IFERROR(__xludf.DUMMYFUNCTION("(T243-(IFERROR(MIN(FILTER({L243, O243, R243}, ISNUMBER({L243, O243, R243}), {L243, O243, R243} &gt; 0)), """")))/T243"),"#DIV/0!")</f>
        <v>#DIV/0!</v>
      </c>
      <c r="W243" s="78"/>
      <c r="X243" s="79">
        <v>300.0</v>
      </c>
    </row>
    <row r="244" ht="22.5" customHeight="1">
      <c r="A244" s="34"/>
      <c r="B244" s="34"/>
      <c r="C244" s="37"/>
      <c r="D244" s="38"/>
      <c r="E244" s="103"/>
      <c r="F244" s="49"/>
      <c r="G244" s="37"/>
      <c r="H244" s="107"/>
      <c r="I244" s="34"/>
      <c r="J244" s="41" t="s">
        <v>261</v>
      </c>
      <c r="K244" s="41" t="s">
        <v>261</v>
      </c>
      <c r="L244" s="41"/>
      <c r="M244" s="108"/>
      <c r="N244" s="108"/>
      <c r="O244" s="110"/>
      <c r="P244" s="41"/>
      <c r="Q244" s="39"/>
      <c r="R244" s="39"/>
      <c r="S244" s="46">
        <v>0.67</v>
      </c>
      <c r="T244" s="109">
        <f>IFERROR(__xludf.DUMMYFUNCTION("((IFERROR(MIN(FILTER({L244, O244, R244}, ISNUMBER({L244, O244, R244}), {L244, O244, R244} &gt; 0)), """"))*S244)+IFERROR(MIN(FILTER({L244, O244, R244}, ISNUMBER({L244, O244, R244}), {L244, O244, R244} &gt; 0)), """")"),0.0)</f>
        <v>0</v>
      </c>
      <c r="U244" s="109"/>
      <c r="V244" s="77" t="str">
        <f>IFERROR(__xludf.DUMMYFUNCTION("(T244-(IFERROR(MIN(FILTER({L244, O244, R244}, ISNUMBER({L244, O244, R244}), {L244, O244, R244} &gt; 0)), """")))/T244"),"#DIV/0!")</f>
        <v>#DIV/0!</v>
      </c>
      <c r="W244" s="78"/>
      <c r="X244" s="79">
        <v>300.0</v>
      </c>
    </row>
    <row r="245" ht="22.5" customHeight="1">
      <c r="A245" s="34"/>
      <c r="B245" s="34"/>
      <c r="C245" s="37"/>
      <c r="D245" s="38"/>
      <c r="E245" s="103"/>
      <c r="F245" s="49"/>
      <c r="G245" s="37"/>
      <c r="H245" s="107"/>
      <c r="I245" s="34"/>
      <c r="J245" s="41" t="s">
        <v>261</v>
      </c>
      <c r="K245" s="41" t="s">
        <v>261</v>
      </c>
      <c r="L245" s="41"/>
      <c r="M245" s="108"/>
      <c r="N245" s="108"/>
      <c r="O245" s="110"/>
      <c r="P245" s="41"/>
      <c r="Q245" s="39"/>
      <c r="R245" s="39"/>
      <c r="S245" s="46">
        <v>0.67</v>
      </c>
      <c r="T245" s="109">
        <f>IFERROR(__xludf.DUMMYFUNCTION("((IFERROR(MIN(FILTER({L245, O245, R245}, ISNUMBER({L245, O245, R245}), {L245, O245, R245} &gt; 0)), """"))*S245)+IFERROR(MIN(FILTER({L245, O245, R245}, ISNUMBER({L245, O245, R245}), {L245, O245, R245} &gt; 0)), """")"),0.0)</f>
        <v>0</v>
      </c>
      <c r="U245" s="109"/>
      <c r="V245" s="77" t="str">
        <f>IFERROR(__xludf.DUMMYFUNCTION("(T245-(IFERROR(MIN(FILTER({L245, O245, R245}, ISNUMBER({L245, O245, R245}), {L245, O245, R245} &gt; 0)), """")))/T245"),"#DIV/0!")</f>
        <v>#DIV/0!</v>
      </c>
      <c r="W245" s="78"/>
      <c r="X245" s="79">
        <v>300.0</v>
      </c>
    </row>
    <row r="246" ht="22.5" customHeight="1">
      <c r="A246" s="34"/>
      <c r="B246" s="34"/>
      <c r="C246" s="37"/>
      <c r="D246" s="38"/>
      <c r="E246" s="103"/>
      <c r="F246" s="49"/>
      <c r="G246" s="37"/>
      <c r="H246" s="107"/>
      <c r="I246" s="34"/>
      <c r="J246" s="41" t="s">
        <v>261</v>
      </c>
      <c r="K246" s="41" t="s">
        <v>261</v>
      </c>
      <c r="L246" s="41"/>
      <c r="M246" s="108"/>
      <c r="N246" s="108"/>
      <c r="O246" s="110"/>
      <c r="P246" s="41"/>
      <c r="Q246" s="39"/>
      <c r="R246" s="39"/>
      <c r="S246" s="46">
        <v>0.67</v>
      </c>
      <c r="T246" s="109">
        <f>IFERROR(__xludf.DUMMYFUNCTION("((IFERROR(MIN(FILTER({L246, O246, R246}, ISNUMBER({L246, O246, R246}), {L246, O246, R246} &gt; 0)), """"))*S246)+IFERROR(MIN(FILTER({L246, O246, R246}, ISNUMBER({L246, O246, R246}), {L246, O246, R246} &gt; 0)), """")"),0.0)</f>
        <v>0</v>
      </c>
      <c r="U246" s="109"/>
      <c r="V246" s="77" t="str">
        <f>IFERROR(__xludf.DUMMYFUNCTION("(T246-(IFERROR(MIN(FILTER({L246, O246, R246}, ISNUMBER({L246, O246, R246}), {L246, O246, R246} &gt; 0)), """")))/T246"),"#DIV/0!")</f>
        <v>#DIV/0!</v>
      </c>
      <c r="W246" s="78"/>
      <c r="X246" s="79">
        <v>300.0</v>
      </c>
    </row>
    <row r="247" ht="22.5" customHeight="1">
      <c r="A247" s="34"/>
      <c r="B247" s="34"/>
      <c r="C247" s="37"/>
      <c r="D247" s="38"/>
      <c r="E247" s="103"/>
      <c r="F247" s="49"/>
      <c r="G247" s="37"/>
      <c r="H247" s="107"/>
      <c r="I247" s="34"/>
      <c r="J247" s="41" t="s">
        <v>261</v>
      </c>
      <c r="K247" s="41" t="s">
        <v>261</v>
      </c>
      <c r="L247" s="41"/>
      <c r="M247" s="108"/>
      <c r="N247" s="108"/>
      <c r="O247" s="110"/>
      <c r="P247" s="41"/>
      <c r="Q247" s="39"/>
      <c r="R247" s="39"/>
      <c r="S247" s="46">
        <v>0.67</v>
      </c>
      <c r="T247" s="109">
        <f>IFERROR(__xludf.DUMMYFUNCTION("((IFERROR(MIN(FILTER({L247, O247, R247}, ISNUMBER({L247, O247, R247}), {L247, O247, R247} &gt; 0)), """"))*S247)+IFERROR(MIN(FILTER({L247, O247, R247}, ISNUMBER({L247, O247, R247}), {L247, O247, R247} &gt; 0)), """")"),0.0)</f>
        <v>0</v>
      </c>
      <c r="U247" s="109"/>
      <c r="V247" s="77" t="str">
        <f>IFERROR(__xludf.DUMMYFUNCTION("(T247-(IFERROR(MIN(FILTER({L247, O247, R247}, ISNUMBER({L247, O247, R247}), {L247, O247, R247} &gt; 0)), """")))/T247"),"#DIV/0!")</f>
        <v>#DIV/0!</v>
      </c>
      <c r="W247" s="78"/>
      <c r="X247" s="79">
        <v>300.0</v>
      </c>
    </row>
    <row r="248" ht="22.5" customHeight="1">
      <c r="A248" s="34"/>
      <c r="B248" s="34"/>
      <c r="C248" s="37"/>
      <c r="D248" s="38"/>
      <c r="E248" s="103"/>
      <c r="F248" s="49"/>
      <c r="G248" s="37"/>
      <c r="H248" s="107"/>
      <c r="I248" s="34"/>
      <c r="J248" s="41" t="s">
        <v>261</v>
      </c>
      <c r="K248" s="41" t="s">
        <v>261</v>
      </c>
      <c r="L248" s="41"/>
      <c r="M248" s="108"/>
      <c r="N248" s="108"/>
      <c r="O248" s="110"/>
      <c r="P248" s="41"/>
      <c r="Q248" s="39"/>
      <c r="R248" s="39"/>
      <c r="S248" s="46">
        <v>0.67</v>
      </c>
      <c r="T248" s="109">
        <f>IFERROR(__xludf.DUMMYFUNCTION("((IFERROR(MIN(FILTER({L248, O248, R248}, ISNUMBER({L248, O248, R248}), {L248, O248, R248} &gt; 0)), """"))*S248)+IFERROR(MIN(FILTER({L248, O248, R248}, ISNUMBER({L248, O248, R248}), {L248, O248, R248} &gt; 0)), """")"),0.0)</f>
        <v>0</v>
      </c>
      <c r="U248" s="109"/>
      <c r="V248" s="77" t="str">
        <f>IFERROR(__xludf.DUMMYFUNCTION("(T248-(IFERROR(MIN(FILTER({L248, O248, R248}, ISNUMBER({L248, O248, R248}), {L248, O248, R248} &gt; 0)), """")))/T248"),"#DIV/0!")</f>
        <v>#DIV/0!</v>
      </c>
      <c r="W248" s="78"/>
      <c r="X248" s="79">
        <v>300.0</v>
      </c>
    </row>
    <row r="249" ht="22.5" customHeight="1">
      <c r="A249" s="34"/>
      <c r="B249" s="34"/>
      <c r="C249" s="37"/>
      <c r="D249" s="38"/>
      <c r="E249" s="103"/>
      <c r="F249" s="49"/>
      <c r="G249" s="37"/>
      <c r="H249" s="107"/>
      <c r="I249" s="34"/>
      <c r="J249" s="41" t="s">
        <v>261</v>
      </c>
      <c r="K249" s="41" t="s">
        <v>261</v>
      </c>
      <c r="L249" s="41"/>
      <c r="M249" s="108"/>
      <c r="N249" s="108"/>
      <c r="O249" s="110"/>
      <c r="P249" s="41"/>
      <c r="Q249" s="39"/>
      <c r="R249" s="39"/>
      <c r="S249" s="46">
        <v>0.67</v>
      </c>
      <c r="T249" s="109">
        <f>IFERROR(__xludf.DUMMYFUNCTION("((IFERROR(MIN(FILTER({L249, O249, R249}, ISNUMBER({L249, O249, R249}), {L249, O249, R249} &gt; 0)), """"))*S249)+IFERROR(MIN(FILTER({L249, O249, R249}, ISNUMBER({L249, O249, R249}), {L249, O249, R249} &gt; 0)), """")"),0.0)</f>
        <v>0</v>
      </c>
      <c r="U249" s="109"/>
      <c r="V249" s="77" t="str">
        <f>IFERROR(__xludf.DUMMYFUNCTION("(T249-(IFERROR(MIN(FILTER({L249, O249, R249}, ISNUMBER({L249, O249, R249}), {L249, O249, R249} &gt; 0)), """")))/T249"),"#DIV/0!")</f>
        <v>#DIV/0!</v>
      </c>
      <c r="W249" s="78"/>
      <c r="X249" s="79">
        <v>300.0</v>
      </c>
    </row>
    <row r="250" ht="22.5" customHeight="1">
      <c r="A250" s="34"/>
      <c r="B250" s="34"/>
      <c r="C250" s="37"/>
      <c r="D250" s="38"/>
      <c r="E250" s="103"/>
      <c r="F250" s="49"/>
      <c r="G250" s="37"/>
      <c r="H250" s="107"/>
      <c r="I250" s="34"/>
      <c r="J250" s="41" t="s">
        <v>261</v>
      </c>
      <c r="K250" s="41" t="s">
        <v>261</v>
      </c>
      <c r="L250" s="41"/>
      <c r="M250" s="108"/>
      <c r="N250" s="108"/>
      <c r="O250" s="108"/>
      <c r="P250" s="41"/>
      <c r="Q250" s="39"/>
      <c r="R250" s="41"/>
      <c r="S250" s="46">
        <v>0.67</v>
      </c>
      <c r="T250" s="109">
        <f>IFERROR(__xludf.DUMMYFUNCTION("((IFERROR(MIN(FILTER({L250, O250, R250}, ISNUMBER({L250, O250, R250}), {L250, O250, R250} &gt; 0)), """"))*S250)+IFERROR(MIN(FILTER({L250, O250, R250}, ISNUMBER({L250, O250, R250}), {L250, O250, R250} &gt; 0)), """")"),0.0)</f>
        <v>0</v>
      </c>
      <c r="U250" s="109"/>
      <c r="V250" s="77" t="str">
        <f>IFERROR(__xludf.DUMMYFUNCTION("(T250-(IFERROR(MIN(FILTER({L250, O250, R250}, ISNUMBER({L250, O250, R250}), {L250, O250, R250} &gt; 0)), """")))/T250"),"#DIV/0!")</f>
        <v>#DIV/0!</v>
      </c>
      <c r="W250" s="78"/>
      <c r="X250" s="79">
        <v>300.0</v>
      </c>
    </row>
    <row r="251" ht="22.5" customHeight="1">
      <c r="A251" s="34"/>
      <c r="B251" s="34"/>
      <c r="C251" s="37"/>
      <c r="D251" s="38"/>
      <c r="E251" s="103"/>
      <c r="F251" s="49"/>
      <c r="G251" s="37"/>
      <c r="H251" s="107"/>
      <c r="I251" s="34"/>
      <c r="J251" s="41" t="s">
        <v>261</v>
      </c>
      <c r="K251" s="41" t="s">
        <v>261</v>
      </c>
      <c r="L251" s="41"/>
      <c r="M251" s="108"/>
      <c r="N251" s="108"/>
      <c r="O251" s="108"/>
      <c r="P251" s="41"/>
      <c r="Q251" s="39"/>
      <c r="R251" s="41"/>
      <c r="S251" s="46">
        <v>0.67</v>
      </c>
      <c r="T251" s="109">
        <f>IFERROR(__xludf.DUMMYFUNCTION("((IFERROR(MIN(FILTER({L251, O251, R251}, ISNUMBER({L251, O251, R251}), {L251, O251, R251} &gt; 0)), """"))*S251)+IFERROR(MIN(FILTER({L251, O251, R251}, ISNUMBER({L251, O251, R251}), {L251, O251, R251} &gt; 0)), """")"),0.0)</f>
        <v>0</v>
      </c>
      <c r="U251" s="109"/>
      <c r="V251" s="77" t="str">
        <f>IFERROR(__xludf.DUMMYFUNCTION("(T251-(IFERROR(MIN(FILTER({L251, O251, R251}, ISNUMBER({L251, O251, R251}), {L251, O251, R251} &gt; 0)), """")))/T251"),"#DIV/0!")</f>
        <v>#DIV/0!</v>
      </c>
      <c r="W251" s="78"/>
      <c r="X251" s="79">
        <v>300.0</v>
      </c>
    </row>
    <row r="252" ht="22.5" customHeight="1">
      <c r="A252" s="34"/>
      <c r="B252" s="34"/>
      <c r="C252" s="37"/>
      <c r="D252" s="38"/>
      <c r="E252" s="103"/>
      <c r="F252" s="49"/>
      <c r="G252" s="37"/>
      <c r="H252" s="107"/>
      <c r="I252" s="34"/>
      <c r="J252" s="41" t="s">
        <v>261</v>
      </c>
      <c r="K252" s="41" t="s">
        <v>261</v>
      </c>
      <c r="L252" s="41"/>
      <c r="M252" s="108"/>
      <c r="N252" s="108"/>
      <c r="O252" s="108"/>
      <c r="P252" s="41"/>
      <c r="Q252" s="39"/>
      <c r="R252" s="41"/>
      <c r="S252" s="46">
        <v>0.67</v>
      </c>
      <c r="T252" s="109">
        <f>IFERROR(__xludf.DUMMYFUNCTION("((IFERROR(MIN(FILTER({L252, O252, R252}, ISNUMBER({L252, O252, R252}), {L252, O252, R252} &gt; 0)), """"))*S252)+IFERROR(MIN(FILTER({L252, O252, R252}, ISNUMBER({L252, O252, R252}), {L252, O252, R252} &gt; 0)), """")"),0.0)</f>
        <v>0</v>
      </c>
      <c r="U252" s="109"/>
      <c r="V252" s="77" t="str">
        <f>IFERROR(__xludf.DUMMYFUNCTION("(T252-(IFERROR(MIN(FILTER({L252, O252, R252}, ISNUMBER({L252, O252, R252}), {L252, O252, R252} &gt; 0)), """")))/T252"),"#DIV/0!")</f>
        <v>#DIV/0!</v>
      </c>
      <c r="W252" s="78"/>
      <c r="X252" s="79">
        <v>300.0</v>
      </c>
    </row>
    <row r="253" ht="22.5" customHeight="1">
      <c r="A253" s="34"/>
      <c r="B253" s="34"/>
      <c r="C253" s="37"/>
      <c r="D253" s="38"/>
      <c r="E253" s="103"/>
      <c r="F253" s="49"/>
      <c r="G253" s="37"/>
      <c r="H253" s="107"/>
      <c r="I253" s="34"/>
      <c r="J253" s="41" t="s">
        <v>261</v>
      </c>
      <c r="K253" s="41" t="s">
        <v>261</v>
      </c>
      <c r="L253" s="41"/>
      <c r="M253" s="108"/>
      <c r="N253" s="108"/>
      <c r="O253" s="108"/>
      <c r="P253" s="41"/>
      <c r="Q253" s="39"/>
      <c r="R253" s="41"/>
      <c r="S253" s="46">
        <v>0.67</v>
      </c>
      <c r="T253" s="109">
        <f>IFERROR(__xludf.DUMMYFUNCTION("((IFERROR(MIN(FILTER({L253, O253, R253}, ISNUMBER({L253, O253, R253}), {L253, O253, R253} &gt; 0)), """"))*S253)+IFERROR(MIN(FILTER({L253, O253, R253}, ISNUMBER({L253, O253, R253}), {L253, O253, R253} &gt; 0)), """")"),0.0)</f>
        <v>0</v>
      </c>
      <c r="U253" s="109"/>
      <c r="V253" s="77" t="str">
        <f>IFERROR(__xludf.DUMMYFUNCTION("(T253-(IFERROR(MIN(FILTER({L253, O253, R253}, ISNUMBER({L253, O253, R253}), {L253, O253, R253} &gt; 0)), """")))/T253"),"#DIV/0!")</f>
        <v>#DIV/0!</v>
      </c>
      <c r="W253" s="78"/>
      <c r="X253" s="79">
        <v>300.0</v>
      </c>
    </row>
    <row r="254" ht="22.5" customHeight="1">
      <c r="A254" s="34"/>
      <c r="B254" s="34"/>
      <c r="C254" s="37"/>
      <c r="D254" s="38"/>
      <c r="E254" s="103"/>
      <c r="F254" s="49"/>
      <c r="G254" s="37"/>
      <c r="H254" s="107"/>
      <c r="I254" s="34"/>
      <c r="J254" s="41" t="s">
        <v>261</v>
      </c>
      <c r="K254" s="41" t="s">
        <v>261</v>
      </c>
      <c r="L254" s="41"/>
      <c r="M254" s="108"/>
      <c r="N254" s="108"/>
      <c r="O254" s="110"/>
      <c r="P254" s="41"/>
      <c r="Q254" s="39"/>
      <c r="R254" s="41"/>
      <c r="S254" s="46">
        <v>0.67</v>
      </c>
      <c r="T254" s="109">
        <f>IFERROR(__xludf.DUMMYFUNCTION("((IFERROR(MIN(FILTER({L254, O254, R254}, ISNUMBER({L254, O254, R254}), {L254, O254, R254} &gt; 0)), """"))*S254)+IFERROR(MIN(FILTER({L254, O254, R254}, ISNUMBER({L254, O254, R254}), {L254, O254, R254} &gt; 0)), """")"),0.0)</f>
        <v>0</v>
      </c>
      <c r="U254" s="109"/>
      <c r="V254" s="77" t="str">
        <f>IFERROR(__xludf.DUMMYFUNCTION("(T254-(IFERROR(MIN(FILTER({L254, O254, R254}, ISNUMBER({L254, O254, R254}), {L254, O254, R254} &gt; 0)), """")))/T254"),"#DIV/0!")</f>
        <v>#DIV/0!</v>
      </c>
      <c r="W254" s="78"/>
      <c r="X254" s="79">
        <v>300.0</v>
      </c>
    </row>
    <row r="255" ht="22.5" customHeight="1">
      <c r="A255" s="34"/>
      <c r="B255" s="34"/>
      <c r="C255" s="37"/>
      <c r="D255" s="38"/>
      <c r="E255" s="103"/>
      <c r="F255" s="49"/>
      <c r="G255" s="37"/>
      <c r="H255" s="107"/>
      <c r="I255" s="34"/>
      <c r="J255" s="41" t="s">
        <v>261</v>
      </c>
      <c r="K255" s="41" t="s">
        <v>261</v>
      </c>
      <c r="L255" s="41"/>
      <c r="M255" s="108"/>
      <c r="N255" s="108"/>
      <c r="O255" s="110"/>
      <c r="P255" s="41"/>
      <c r="Q255" s="39"/>
      <c r="R255" s="41"/>
      <c r="S255" s="46">
        <v>0.67</v>
      </c>
      <c r="T255" s="109">
        <f>IFERROR(__xludf.DUMMYFUNCTION("((IFERROR(MIN(FILTER({L255, O255, R255}, ISNUMBER({L255, O255, R255}), {L255, O255, R255} &gt; 0)), """"))*S255)+IFERROR(MIN(FILTER({L255, O255, R255}, ISNUMBER({L255, O255, R255}), {L255, O255, R255} &gt; 0)), """")"),0.0)</f>
        <v>0</v>
      </c>
      <c r="U255" s="109"/>
      <c r="V255" s="77" t="str">
        <f>IFERROR(__xludf.DUMMYFUNCTION("(T255-(IFERROR(MIN(FILTER({L255, O255, R255}, ISNUMBER({L255, O255, R255}), {L255, O255, R255} &gt; 0)), """")))/T255"),"#DIV/0!")</f>
        <v>#DIV/0!</v>
      </c>
      <c r="W255" s="78"/>
      <c r="X255" s="79">
        <v>300.0</v>
      </c>
    </row>
    <row r="256" ht="22.5" customHeight="1">
      <c r="A256" s="34"/>
      <c r="B256" s="34"/>
      <c r="C256" s="37"/>
      <c r="D256" s="38"/>
      <c r="E256" s="103"/>
      <c r="F256" s="49"/>
      <c r="G256" s="37"/>
      <c r="H256" s="107"/>
      <c r="I256" s="34"/>
      <c r="J256" s="41" t="s">
        <v>261</v>
      </c>
      <c r="K256" s="41" t="s">
        <v>261</v>
      </c>
      <c r="L256" s="41"/>
      <c r="M256" s="108"/>
      <c r="N256" s="108"/>
      <c r="O256" s="110"/>
      <c r="P256" s="41"/>
      <c r="Q256" s="39"/>
      <c r="R256" s="41"/>
      <c r="S256" s="46">
        <v>0.67</v>
      </c>
      <c r="T256" s="109">
        <f>IFERROR(__xludf.DUMMYFUNCTION("((IFERROR(MIN(FILTER({L256, O256, R256}, ISNUMBER({L256, O256, R256}), {L256, O256, R256} &gt; 0)), """"))*S256)+IFERROR(MIN(FILTER({L256, O256, R256}, ISNUMBER({L256, O256, R256}), {L256, O256, R256} &gt; 0)), """")"),0.0)</f>
        <v>0</v>
      </c>
      <c r="U256" s="109"/>
      <c r="V256" s="77" t="str">
        <f>IFERROR(__xludf.DUMMYFUNCTION("(T256-(IFERROR(MIN(FILTER({L256, O256, R256}, ISNUMBER({L256, O256, R256}), {L256, O256, R256} &gt; 0)), """")))/T256"),"#DIV/0!")</f>
        <v>#DIV/0!</v>
      </c>
      <c r="W256" s="78"/>
      <c r="X256" s="79">
        <v>300.0</v>
      </c>
    </row>
    <row r="257" ht="22.5" customHeight="1">
      <c r="A257" s="37"/>
      <c r="B257" s="37"/>
      <c r="C257" s="37"/>
      <c r="D257" s="38"/>
      <c r="E257" s="103"/>
      <c r="F257" s="49"/>
      <c r="G257" s="37"/>
      <c r="H257" s="107"/>
      <c r="I257" s="34"/>
      <c r="J257" s="41" t="s">
        <v>261</v>
      </c>
      <c r="K257" s="41" t="s">
        <v>261</v>
      </c>
      <c r="L257" s="41"/>
      <c r="M257" s="108"/>
      <c r="N257" s="108"/>
      <c r="O257" s="108"/>
      <c r="P257" s="41"/>
      <c r="Q257" s="39"/>
      <c r="R257" s="41"/>
      <c r="S257" s="46">
        <v>0.67</v>
      </c>
      <c r="T257" s="109">
        <f>IFERROR(__xludf.DUMMYFUNCTION("((IFERROR(MIN(FILTER({L257, O257, R257}, ISNUMBER({L257, O257, R257}), {L257, O257, R257} &gt; 0)), """"))*S257)+IFERROR(MIN(FILTER({L257, O257, R257}, ISNUMBER({L257, O257, R257}), {L257, O257, R257} &gt; 0)), """")"),0.0)</f>
        <v>0</v>
      </c>
      <c r="U257" s="109"/>
      <c r="V257" s="77" t="str">
        <f>IFERROR(__xludf.DUMMYFUNCTION("(T257-(IFERROR(MIN(FILTER({L257, O257, R257}, ISNUMBER({L257, O257, R257}), {L257, O257, R257} &gt; 0)), """")))/T257"),"#DIV/0!")</f>
        <v>#DIV/0!</v>
      </c>
      <c r="W257" s="78"/>
      <c r="X257" s="79">
        <v>300.0</v>
      </c>
    </row>
    <row r="258" ht="22.5" customHeight="1">
      <c r="A258" s="37"/>
      <c r="B258" s="37"/>
      <c r="C258" s="37"/>
      <c r="D258" s="38"/>
      <c r="E258" s="103"/>
      <c r="F258" s="49"/>
      <c r="G258" s="37"/>
      <c r="H258" s="107"/>
      <c r="I258" s="34"/>
      <c r="J258" s="41" t="s">
        <v>261</v>
      </c>
      <c r="K258" s="41" t="s">
        <v>261</v>
      </c>
      <c r="L258" s="41"/>
      <c r="M258" s="108"/>
      <c r="N258" s="108"/>
      <c r="O258" s="108"/>
      <c r="P258" s="41"/>
      <c r="Q258" s="39"/>
      <c r="R258" s="41"/>
      <c r="S258" s="46">
        <v>0.67</v>
      </c>
      <c r="T258" s="109">
        <f>IFERROR(__xludf.DUMMYFUNCTION("((IFERROR(MIN(FILTER({L258, O258, R258}, ISNUMBER({L258, O258, R258}), {L258, O258, R258} &gt; 0)), """"))*S258)+IFERROR(MIN(FILTER({L258, O258, R258}, ISNUMBER({L258, O258, R258}), {L258, O258, R258} &gt; 0)), """")"),0.0)</f>
        <v>0</v>
      </c>
      <c r="U258" s="109"/>
      <c r="V258" s="77" t="str">
        <f>IFERROR(__xludf.DUMMYFUNCTION("(T258-(IFERROR(MIN(FILTER({L258, O258, R258}, ISNUMBER({L258, O258, R258}), {L258, O258, R258} &gt; 0)), """")))/T258"),"#DIV/0!")</f>
        <v>#DIV/0!</v>
      </c>
      <c r="W258" s="78"/>
      <c r="X258" s="79">
        <v>300.0</v>
      </c>
    </row>
    <row r="259" ht="22.5" customHeight="1">
      <c r="A259" s="37"/>
      <c r="B259" s="37"/>
      <c r="C259" s="37"/>
      <c r="D259" s="38"/>
      <c r="E259" s="103"/>
      <c r="F259" s="49"/>
      <c r="G259" s="37"/>
      <c r="H259" s="107"/>
      <c r="I259" s="34"/>
      <c r="J259" s="39" t="s">
        <v>261</v>
      </c>
      <c r="K259" s="41" t="s">
        <v>261</v>
      </c>
      <c r="L259" s="39"/>
      <c r="M259" s="108"/>
      <c r="N259" s="108"/>
      <c r="O259" s="108"/>
      <c r="P259" s="39"/>
      <c r="Q259" s="39"/>
      <c r="R259" s="39"/>
      <c r="S259" s="46">
        <v>0.67</v>
      </c>
      <c r="T259" s="109">
        <f>IFERROR(__xludf.DUMMYFUNCTION("((IFERROR(MIN(FILTER({L259, O259, R259}, ISNUMBER({L259, O259, R259}), {L259, O259, R259} &gt; 0)), """"))*S259)+IFERROR(MIN(FILTER({L259, O259, R259}, ISNUMBER({L259, O259, R259}), {L259, O259, R259} &gt; 0)), """")"),0.0)</f>
        <v>0</v>
      </c>
      <c r="U259" s="109"/>
      <c r="V259" s="77" t="str">
        <f>IFERROR(__xludf.DUMMYFUNCTION("(T259-(IFERROR(MIN(FILTER({L259, O259, R259}, ISNUMBER({L259, O259, R259}), {L259, O259, R259} &gt; 0)), """")))/T259"),"#DIV/0!")</f>
        <v>#DIV/0!</v>
      </c>
      <c r="W259" s="78"/>
      <c r="X259" s="79">
        <v>300.0</v>
      </c>
    </row>
    <row r="260" ht="22.5" customHeight="1">
      <c r="A260" s="37"/>
      <c r="B260" s="37"/>
      <c r="C260" s="37"/>
      <c r="D260" s="38"/>
      <c r="E260" s="103"/>
      <c r="F260" s="49"/>
      <c r="G260" s="37"/>
      <c r="H260" s="107"/>
      <c r="I260" s="34"/>
      <c r="J260" s="41" t="s">
        <v>261</v>
      </c>
      <c r="K260" s="41" t="s">
        <v>261</v>
      </c>
      <c r="L260" s="41"/>
      <c r="M260" s="108"/>
      <c r="N260" s="108"/>
      <c r="O260" s="110"/>
      <c r="P260" s="41"/>
      <c r="Q260" s="39"/>
      <c r="R260" s="39"/>
      <c r="S260" s="46">
        <v>0.67</v>
      </c>
      <c r="T260" s="109">
        <f>IFERROR(__xludf.DUMMYFUNCTION("((IFERROR(MIN(FILTER({L260, O260, R260}, ISNUMBER({L260, O260, R260}), {L260, O260, R260} &gt; 0)), """"))*S260)+IFERROR(MIN(FILTER({L260, O260, R260}, ISNUMBER({L260, O260, R260}), {L260, O260, R260} &gt; 0)), """")"),0.0)</f>
        <v>0</v>
      </c>
      <c r="U260" s="109"/>
      <c r="V260" s="77" t="str">
        <f>IFERROR(__xludf.DUMMYFUNCTION("(T260-(IFERROR(MIN(FILTER({L260, O260, R260}, ISNUMBER({L260, O260, R260}), {L260, O260, R260} &gt; 0)), """")))/T260"),"#DIV/0!")</f>
        <v>#DIV/0!</v>
      </c>
      <c r="W260" s="78"/>
      <c r="X260" s="79">
        <v>300.0</v>
      </c>
    </row>
    <row r="261" ht="22.5" customHeight="1">
      <c r="A261" s="37"/>
      <c r="B261" s="37"/>
      <c r="C261" s="37"/>
      <c r="D261" s="38"/>
      <c r="E261" s="103"/>
      <c r="F261" s="49"/>
      <c r="G261" s="37"/>
      <c r="H261" s="107"/>
      <c r="I261" s="34"/>
      <c r="J261" s="41" t="s">
        <v>261</v>
      </c>
      <c r="K261" s="41" t="s">
        <v>261</v>
      </c>
      <c r="L261" s="41"/>
      <c r="M261" s="108"/>
      <c r="N261" s="108"/>
      <c r="O261" s="110"/>
      <c r="P261" s="41"/>
      <c r="Q261" s="39"/>
      <c r="R261" s="39"/>
      <c r="S261" s="46">
        <v>0.67</v>
      </c>
      <c r="T261" s="109">
        <f>IFERROR(__xludf.DUMMYFUNCTION("((IFERROR(MIN(FILTER({L261, O261, R261}, ISNUMBER({L261, O261, R261}), {L261, O261, R261} &gt; 0)), """"))*S261)+IFERROR(MIN(FILTER({L261, O261, R261}, ISNUMBER({L261, O261, R261}), {L261, O261, R261} &gt; 0)), """")"),0.0)</f>
        <v>0</v>
      </c>
      <c r="U261" s="109"/>
      <c r="V261" s="77" t="str">
        <f>IFERROR(__xludf.DUMMYFUNCTION("(T261-(IFERROR(MIN(FILTER({L261, O261, R261}, ISNUMBER({L261, O261, R261}), {L261, O261, R261} &gt; 0)), """")))/T261"),"#DIV/0!")</f>
        <v>#DIV/0!</v>
      </c>
      <c r="W261" s="78"/>
      <c r="X261" s="79">
        <v>300.0</v>
      </c>
    </row>
    <row r="262" ht="22.5" customHeight="1">
      <c r="A262" s="37"/>
      <c r="B262" s="37"/>
      <c r="C262" s="37"/>
      <c r="D262" s="38"/>
      <c r="E262" s="103"/>
      <c r="F262" s="49"/>
      <c r="G262" s="37"/>
      <c r="H262" s="107"/>
      <c r="I262" s="34"/>
      <c r="J262" s="41" t="s">
        <v>261</v>
      </c>
      <c r="K262" s="41" t="s">
        <v>261</v>
      </c>
      <c r="L262" s="41"/>
      <c r="M262" s="108"/>
      <c r="N262" s="108"/>
      <c r="O262" s="110"/>
      <c r="P262" s="41"/>
      <c r="Q262" s="39"/>
      <c r="R262" s="39"/>
      <c r="S262" s="46">
        <v>0.67</v>
      </c>
      <c r="T262" s="109">
        <f>IFERROR(__xludf.DUMMYFUNCTION("((IFERROR(MIN(FILTER({L262, O262, R262}, ISNUMBER({L262, O262, R262}), {L262, O262, R262} &gt; 0)), """"))*S262)+IFERROR(MIN(FILTER({L262, O262, R262}, ISNUMBER({L262, O262, R262}), {L262, O262, R262} &gt; 0)), """")"),0.0)</f>
        <v>0</v>
      </c>
      <c r="U262" s="109"/>
      <c r="V262" s="77" t="str">
        <f>IFERROR(__xludf.DUMMYFUNCTION("(T262-(IFERROR(MIN(FILTER({L262, O262, R262}, ISNUMBER({L262, O262, R262}), {L262, O262, R262} &gt; 0)), """")))/T262"),"#DIV/0!")</f>
        <v>#DIV/0!</v>
      </c>
      <c r="W262" s="78"/>
      <c r="X262" s="79">
        <v>300.0</v>
      </c>
    </row>
    <row r="263" ht="22.5" customHeight="1">
      <c r="A263" s="37"/>
      <c r="B263" s="37"/>
      <c r="C263" s="37"/>
      <c r="D263" s="38"/>
      <c r="E263" s="103"/>
      <c r="F263" s="49"/>
      <c r="G263" s="37"/>
      <c r="H263" s="107"/>
      <c r="I263" s="34"/>
      <c r="J263" s="41" t="s">
        <v>261</v>
      </c>
      <c r="K263" s="41" t="s">
        <v>261</v>
      </c>
      <c r="L263" s="41"/>
      <c r="M263" s="108"/>
      <c r="N263" s="108"/>
      <c r="O263" s="110"/>
      <c r="P263" s="41"/>
      <c r="Q263" s="39"/>
      <c r="R263" s="39"/>
      <c r="S263" s="46">
        <v>0.67</v>
      </c>
      <c r="T263" s="109">
        <f>IFERROR(__xludf.DUMMYFUNCTION("((IFERROR(MIN(FILTER({L263, O263, R263}, ISNUMBER({L263, O263, R263}), {L263, O263, R263} &gt; 0)), """"))*S263)+IFERROR(MIN(FILTER({L263, O263, R263}, ISNUMBER({L263, O263, R263}), {L263, O263, R263} &gt; 0)), """")"),0.0)</f>
        <v>0</v>
      </c>
      <c r="U263" s="109"/>
      <c r="V263" s="77" t="str">
        <f>IFERROR(__xludf.DUMMYFUNCTION("(T263-(IFERROR(MIN(FILTER({L263, O263, R263}, ISNUMBER({L263, O263, R263}), {L263, O263, R263} &gt; 0)), """")))/T263"),"#DIV/0!")</f>
        <v>#DIV/0!</v>
      </c>
      <c r="W263" s="78"/>
      <c r="X263" s="79">
        <v>300.0</v>
      </c>
    </row>
    <row r="264" ht="22.5" customHeight="1">
      <c r="A264" s="37"/>
      <c r="B264" s="37"/>
      <c r="C264" s="37"/>
      <c r="D264" s="38"/>
      <c r="E264" s="103"/>
      <c r="F264" s="49"/>
      <c r="G264" s="37"/>
      <c r="H264" s="107"/>
      <c r="I264" s="34"/>
      <c r="J264" s="41" t="s">
        <v>261</v>
      </c>
      <c r="K264" s="41" t="s">
        <v>261</v>
      </c>
      <c r="L264" s="41"/>
      <c r="M264" s="108"/>
      <c r="N264" s="108"/>
      <c r="O264" s="110"/>
      <c r="P264" s="41"/>
      <c r="Q264" s="39"/>
      <c r="R264" s="39"/>
      <c r="S264" s="46">
        <v>0.67</v>
      </c>
      <c r="T264" s="109">
        <f>IFERROR(__xludf.DUMMYFUNCTION("((IFERROR(MIN(FILTER({L264, O264, R264}, ISNUMBER({L264, O264, R264}), {L264, O264, R264} &gt; 0)), """"))*S264)+IFERROR(MIN(FILTER({L264, O264, R264}, ISNUMBER({L264, O264, R264}), {L264, O264, R264} &gt; 0)), """")"),0.0)</f>
        <v>0</v>
      </c>
      <c r="U264" s="109"/>
      <c r="V264" s="77" t="str">
        <f>IFERROR(__xludf.DUMMYFUNCTION("(T264-(IFERROR(MIN(FILTER({L264, O264, R264}, ISNUMBER({L264, O264, R264}), {L264, O264, R264} &gt; 0)), """")))/T264"),"#DIV/0!")</f>
        <v>#DIV/0!</v>
      </c>
      <c r="W264" s="78"/>
      <c r="X264" s="79">
        <v>300.0</v>
      </c>
    </row>
    <row r="265" ht="22.5" customHeight="1">
      <c r="A265" s="37"/>
      <c r="B265" s="37"/>
      <c r="C265" s="37"/>
      <c r="D265" s="38"/>
      <c r="E265" s="103"/>
      <c r="F265" s="49"/>
      <c r="G265" s="37"/>
      <c r="H265" s="107"/>
      <c r="I265" s="34"/>
      <c r="J265" s="41" t="s">
        <v>261</v>
      </c>
      <c r="K265" s="41" t="s">
        <v>261</v>
      </c>
      <c r="L265" s="41"/>
      <c r="M265" s="108"/>
      <c r="N265" s="108"/>
      <c r="O265" s="110"/>
      <c r="P265" s="41"/>
      <c r="Q265" s="39"/>
      <c r="R265" s="39"/>
      <c r="S265" s="46">
        <v>0.67</v>
      </c>
      <c r="T265" s="109">
        <f>IFERROR(__xludf.DUMMYFUNCTION("((IFERROR(MIN(FILTER({L265, O265, R265}, ISNUMBER({L265, O265, R265}), {L265, O265, R265} &gt; 0)), """"))*S265)+IFERROR(MIN(FILTER({L265, O265, R265}, ISNUMBER({L265, O265, R265}), {L265, O265, R265} &gt; 0)), """")"),0.0)</f>
        <v>0</v>
      </c>
      <c r="U265" s="109"/>
      <c r="V265" s="77" t="str">
        <f>IFERROR(__xludf.DUMMYFUNCTION("(T265-(IFERROR(MIN(FILTER({L265, O265, R265}, ISNUMBER({L265, O265, R265}), {L265, O265, R265} &gt; 0)), """")))/T265"),"#DIV/0!")</f>
        <v>#DIV/0!</v>
      </c>
      <c r="W265" s="78"/>
      <c r="X265" s="79">
        <v>300.0</v>
      </c>
    </row>
    <row r="266" ht="22.5" customHeight="1">
      <c r="A266" s="37"/>
      <c r="B266" s="37"/>
      <c r="C266" s="37"/>
      <c r="D266" s="38"/>
      <c r="E266" s="103"/>
      <c r="F266" s="49"/>
      <c r="G266" s="37"/>
      <c r="H266" s="107"/>
      <c r="I266" s="34"/>
      <c r="J266" s="41" t="s">
        <v>261</v>
      </c>
      <c r="K266" s="41" t="s">
        <v>261</v>
      </c>
      <c r="L266" s="41"/>
      <c r="M266" s="108"/>
      <c r="N266" s="108"/>
      <c r="O266" s="110"/>
      <c r="P266" s="41"/>
      <c r="Q266" s="39"/>
      <c r="R266" s="39"/>
      <c r="S266" s="46">
        <v>0.67</v>
      </c>
      <c r="T266" s="109">
        <f>IFERROR(__xludf.DUMMYFUNCTION("((IFERROR(MIN(FILTER({L266, O266, R266}, ISNUMBER({L266, O266, R266}), {L266, O266, R266} &gt; 0)), """"))*S266)+IFERROR(MIN(FILTER({L266, O266, R266}, ISNUMBER({L266, O266, R266}), {L266, O266, R266} &gt; 0)), """")"),0.0)</f>
        <v>0</v>
      </c>
      <c r="U266" s="109"/>
      <c r="V266" s="77" t="str">
        <f>IFERROR(__xludf.DUMMYFUNCTION("(T266-(IFERROR(MIN(FILTER({L266, O266, R266}, ISNUMBER({L266, O266, R266}), {L266, O266, R266} &gt; 0)), """")))/T266"),"#DIV/0!")</f>
        <v>#DIV/0!</v>
      </c>
      <c r="W266" s="78"/>
      <c r="X266" s="79">
        <v>300.0</v>
      </c>
    </row>
    <row r="267" ht="22.5" customHeight="1">
      <c r="A267" s="37"/>
      <c r="B267" s="37"/>
      <c r="C267" s="37"/>
      <c r="D267" s="38"/>
      <c r="E267" s="103"/>
      <c r="F267" s="49"/>
      <c r="G267" s="37"/>
      <c r="H267" s="107"/>
      <c r="I267" s="34"/>
      <c r="J267" s="41" t="s">
        <v>261</v>
      </c>
      <c r="K267" s="41" t="s">
        <v>261</v>
      </c>
      <c r="L267" s="41"/>
      <c r="M267" s="108"/>
      <c r="N267" s="108"/>
      <c r="O267" s="110"/>
      <c r="P267" s="41"/>
      <c r="Q267" s="39"/>
      <c r="R267" s="39"/>
      <c r="S267" s="46">
        <v>0.67</v>
      </c>
      <c r="T267" s="109">
        <f>IFERROR(__xludf.DUMMYFUNCTION("((IFERROR(MIN(FILTER({L267, O267, R267}, ISNUMBER({L267, O267, R267}), {L267, O267, R267} &gt; 0)), """"))*S267)+IFERROR(MIN(FILTER({L267, O267, R267}, ISNUMBER({L267, O267, R267}), {L267, O267, R267} &gt; 0)), """")"),0.0)</f>
        <v>0</v>
      </c>
      <c r="U267" s="109"/>
      <c r="V267" s="77" t="str">
        <f>IFERROR(__xludf.DUMMYFUNCTION("(T267-(IFERROR(MIN(FILTER({L267, O267, R267}, ISNUMBER({L267, O267, R267}), {L267, O267, R267} &gt; 0)), """")))/T267"),"#DIV/0!")</f>
        <v>#DIV/0!</v>
      </c>
      <c r="W267" s="78"/>
      <c r="X267" s="79">
        <v>300.0</v>
      </c>
    </row>
    <row r="268" ht="22.5" customHeight="1">
      <c r="A268" s="37"/>
      <c r="B268" s="37"/>
      <c r="C268" s="37"/>
      <c r="D268" s="38"/>
      <c r="E268" s="103"/>
      <c r="F268" s="49"/>
      <c r="G268" s="37"/>
      <c r="H268" s="107"/>
      <c r="I268" s="34"/>
      <c r="J268" s="41" t="s">
        <v>261</v>
      </c>
      <c r="K268" s="41" t="s">
        <v>261</v>
      </c>
      <c r="L268" s="41"/>
      <c r="M268" s="108"/>
      <c r="N268" s="108"/>
      <c r="O268" s="110"/>
      <c r="P268" s="41"/>
      <c r="Q268" s="39"/>
      <c r="R268" s="39"/>
      <c r="S268" s="46">
        <v>0.67</v>
      </c>
      <c r="T268" s="109">
        <f>IFERROR(__xludf.DUMMYFUNCTION("((IFERROR(MIN(FILTER({L268, O268, R268}, ISNUMBER({L268, O268, R268}), {L268, O268, R268} &gt; 0)), """"))*S268)+IFERROR(MIN(FILTER({L268, O268, R268}, ISNUMBER({L268, O268, R268}), {L268, O268, R268} &gt; 0)), """")"),0.0)</f>
        <v>0</v>
      </c>
      <c r="U268" s="109"/>
      <c r="V268" s="77" t="str">
        <f>IFERROR(__xludf.DUMMYFUNCTION("(T268-(IFERROR(MIN(FILTER({L268, O268, R268}, ISNUMBER({L268, O268, R268}), {L268, O268, R268} &gt; 0)), """")))/T268"),"#DIV/0!")</f>
        <v>#DIV/0!</v>
      </c>
      <c r="W268" s="78"/>
      <c r="X268" s="79">
        <v>300.0</v>
      </c>
    </row>
    <row r="269" ht="22.5" customHeight="1">
      <c r="A269" s="37"/>
      <c r="B269" s="37"/>
      <c r="C269" s="37"/>
      <c r="D269" s="38"/>
      <c r="E269" s="103"/>
      <c r="F269" s="49"/>
      <c r="G269" s="37"/>
      <c r="H269" s="107"/>
      <c r="I269" s="34"/>
      <c r="J269" s="41" t="s">
        <v>261</v>
      </c>
      <c r="K269" s="41" t="s">
        <v>261</v>
      </c>
      <c r="L269" s="41"/>
      <c r="M269" s="108"/>
      <c r="N269" s="108"/>
      <c r="O269" s="110"/>
      <c r="P269" s="41"/>
      <c r="Q269" s="39"/>
      <c r="R269" s="39"/>
      <c r="S269" s="46">
        <v>0.67</v>
      </c>
      <c r="T269" s="109">
        <f>IFERROR(__xludf.DUMMYFUNCTION("((IFERROR(MIN(FILTER({L269, O269, R269}, ISNUMBER({L269, O269, R269}), {L269, O269, R269} &gt; 0)), """"))*S269)+IFERROR(MIN(FILTER({L269, O269, R269}, ISNUMBER({L269, O269, R269}), {L269, O269, R269} &gt; 0)), """")"),0.0)</f>
        <v>0</v>
      </c>
      <c r="U269" s="109"/>
      <c r="V269" s="77" t="str">
        <f>IFERROR(__xludf.DUMMYFUNCTION("(T269-(IFERROR(MIN(FILTER({L269, O269, R269}, ISNUMBER({L269, O269, R269}), {L269, O269, R269} &gt; 0)), """")))/T269"),"#DIV/0!")</f>
        <v>#DIV/0!</v>
      </c>
      <c r="W269" s="78"/>
      <c r="X269" s="79">
        <v>300.0</v>
      </c>
    </row>
    <row r="270" ht="22.5" customHeight="1">
      <c r="A270" s="37"/>
      <c r="B270" s="37"/>
      <c r="C270" s="37"/>
      <c r="D270" s="38"/>
      <c r="E270" s="103"/>
      <c r="F270" s="49"/>
      <c r="G270" s="37"/>
      <c r="H270" s="107"/>
      <c r="I270" s="34"/>
      <c r="J270" s="41" t="s">
        <v>261</v>
      </c>
      <c r="K270" s="41" t="s">
        <v>261</v>
      </c>
      <c r="L270" s="41"/>
      <c r="M270" s="108"/>
      <c r="N270" s="108"/>
      <c r="O270" s="110"/>
      <c r="P270" s="41"/>
      <c r="Q270" s="39"/>
      <c r="R270" s="39"/>
      <c r="S270" s="46">
        <v>0.67</v>
      </c>
      <c r="T270" s="109">
        <f>IFERROR(__xludf.DUMMYFUNCTION("((IFERROR(MIN(FILTER({L270, O270, R270}, ISNUMBER({L270, O270, R270}), {L270, O270, R270} &gt; 0)), """"))*S270)+IFERROR(MIN(FILTER({L270, O270, R270}, ISNUMBER({L270, O270, R270}), {L270, O270, R270} &gt; 0)), """")"),0.0)</f>
        <v>0</v>
      </c>
      <c r="U270" s="109"/>
      <c r="V270" s="77" t="str">
        <f>IFERROR(__xludf.DUMMYFUNCTION("(T270-(IFERROR(MIN(FILTER({L270, O270, R270}, ISNUMBER({L270, O270, R270}), {L270, O270, R270} &gt; 0)), """")))/T270"),"#DIV/0!")</f>
        <v>#DIV/0!</v>
      </c>
      <c r="W270" s="78"/>
      <c r="X270" s="79">
        <v>300.0</v>
      </c>
    </row>
    <row r="271" ht="22.5" customHeight="1">
      <c r="A271" s="37"/>
      <c r="B271" s="37"/>
      <c r="C271" s="37"/>
      <c r="D271" s="38"/>
      <c r="E271" s="103"/>
      <c r="F271" s="49"/>
      <c r="G271" s="37"/>
      <c r="H271" s="107"/>
      <c r="I271" s="34"/>
      <c r="J271" s="41" t="s">
        <v>261</v>
      </c>
      <c r="K271" s="41" t="s">
        <v>261</v>
      </c>
      <c r="L271" s="41"/>
      <c r="M271" s="108"/>
      <c r="N271" s="108"/>
      <c r="O271" s="110"/>
      <c r="P271" s="41"/>
      <c r="Q271" s="39"/>
      <c r="R271" s="39"/>
      <c r="S271" s="46">
        <v>0.67</v>
      </c>
      <c r="T271" s="109">
        <f>IFERROR(__xludf.DUMMYFUNCTION("((IFERROR(MIN(FILTER({L271, O271, R271}, ISNUMBER({L271, O271, R271}), {L271, O271, R271} &gt; 0)), """"))*S271)+IFERROR(MIN(FILTER({L271, O271, R271}, ISNUMBER({L271, O271, R271}), {L271, O271, R271} &gt; 0)), """")"),0.0)</f>
        <v>0</v>
      </c>
      <c r="U271" s="109"/>
      <c r="V271" s="77" t="str">
        <f>IFERROR(__xludf.DUMMYFUNCTION("(T271-(IFERROR(MIN(FILTER({L271, O271, R271}, ISNUMBER({L271, O271, R271}), {L271, O271, R271} &gt; 0)), """")))/T271"),"#DIV/0!")</f>
        <v>#DIV/0!</v>
      </c>
      <c r="W271" s="78"/>
      <c r="X271" s="79">
        <v>300.0</v>
      </c>
    </row>
    <row r="272" ht="22.5" customHeight="1">
      <c r="A272" s="37"/>
      <c r="B272" s="37"/>
      <c r="C272" s="37"/>
      <c r="D272" s="38"/>
      <c r="E272" s="103"/>
      <c r="F272" s="49"/>
      <c r="G272" s="37"/>
      <c r="H272" s="107"/>
      <c r="I272" s="34"/>
      <c r="J272" s="41" t="s">
        <v>261</v>
      </c>
      <c r="K272" s="41" t="s">
        <v>261</v>
      </c>
      <c r="L272" s="41"/>
      <c r="M272" s="108"/>
      <c r="N272" s="108"/>
      <c r="O272" s="110"/>
      <c r="P272" s="41"/>
      <c r="Q272" s="39"/>
      <c r="R272" s="39"/>
      <c r="S272" s="46">
        <v>0.67</v>
      </c>
      <c r="T272" s="109">
        <f>IFERROR(__xludf.DUMMYFUNCTION("((IFERROR(MIN(FILTER({L272, O272, R272}, ISNUMBER({L272, O272, R272}), {L272, O272, R272} &gt; 0)), """"))*S272)+IFERROR(MIN(FILTER({L272, O272, R272}, ISNUMBER({L272, O272, R272}), {L272, O272, R272} &gt; 0)), """")"),0.0)</f>
        <v>0</v>
      </c>
      <c r="U272" s="109"/>
      <c r="V272" s="77" t="str">
        <f>IFERROR(__xludf.DUMMYFUNCTION("(T272-(IFERROR(MIN(FILTER({L272, O272, R272}, ISNUMBER({L272, O272, R272}), {L272, O272, R272} &gt; 0)), """")))/T272"),"#DIV/0!")</f>
        <v>#DIV/0!</v>
      </c>
      <c r="W272" s="78"/>
      <c r="X272" s="79">
        <v>300.0</v>
      </c>
    </row>
    <row r="273" ht="22.5" customHeight="1">
      <c r="A273" s="37"/>
      <c r="B273" s="37"/>
      <c r="C273" s="37"/>
      <c r="D273" s="38"/>
      <c r="E273" s="103"/>
      <c r="F273" s="49"/>
      <c r="G273" s="37"/>
      <c r="H273" s="107"/>
      <c r="I273" s="34"/>
      <c r="J273" s="41" t="s">
        <v>261</v>
      </c>
      <c r="K273" s="41" t="s">
        <v>261</v>
      </c>
      <c r="L273" s="41"/>
      <c r="M273" s="108"/>
      <c r="N273" s="108"/>
      <c r="O273" s="110"/>
      <c r="P273" s="41"/>
      <c r="Q273" s="39"/>
      <c r="R273" s="39"/>
      <c r="S273" s="46">
        <v>0.67</v>
      </c>
      <c r="T273" s="109">
        <f>IFERROR(__xludf.DUMMYFUNCTION("((IFERROR(MIN(FILTER({L273, O273, R273}, ISNUMBER({L273, O273, R273}), {L273, O273, R273} &gt; 0)), """"))*S273)+IFERROR(MIN(FILTER({L273, O273, R273}, ISNUMBER({L273, O273, R273}), {L273, O273, R273} &gt; 0)), """")"),0.0)</f>
        <v>0</v>
      </c>
      <c r="U273" s="109"/>
      <c r="V273" s="77" t="str">
        <f>IFERROR(__xludf.DUMMYFUNCTION("(T273-(IFERROR(MIN(FILTER({L273, O273, R273}, ISNUMBER({L273, O273, R273}), {L273, O273, R273} &gt; 0)), """")))/T273"),"#DIV/0!")</f>
        <v>#DIV/0!</v>
      </c>
      <c r="W273" s="78"/>
      <c r="X273" s="79">
        <v>300.0</v>
      </c>
    </row>
    <row r="274" ht="22.5" customHeight="1">
      <c r="A274" s="37"/>
      <c r="B274" s="37"/>
      <c r="C274" s="37"/>
      <c r="D274" s="38"/>
      <c r="E274" s="103"/>
      <c r="F274" s="49"/>
      <c r="G274" s="37"/>
      <c r="H274" s="107"/>
      <c r="I274" s="34"/>
      <c r="J274" s="41" t="s">
        <v>261</v>
      </c>
      <c r="K274" s="41" t="s">
        <v>261</v>
      </c>
      <c r="L274" s="41"/>
      <c r="M274" s="108"/>
      <c r="N274" s="108"/>
      <c r="O274" s="110"/>
      <c r="P274" s="41"/>
      <c r="Q274" s="39"/>
      <c r="R274" s="39"/>
      <c r="S274" s="46">
        <v>0.67</v>
      </c>
      <c r="T274" s="109">
        <f>IFERROR(__xludf.DUMMYFUNCTION("((IFERROR(MIN(FILTER({L274, O274, R274}, ISNUMBER({L274, O274, R274}), {L274, O274, R274} &gt; 0)), """"))*S274)+IFERROR(MIN(FILTER({L274, O274, R274}, ISNUMBER({L274, O274, R274}), {L274, O274, R274} &gt; 0)), """")"),0.0)</f>
        <v>0</v>
      </c>
      <c r="U274" s="109"/>
      <c r="V274" s="77" t="str">
        <f>IFERROR(__xludf.DUMMYFUNCTION("(T274-(IFERROR(MIN(FILTER({L274, O274, R274}, ISNUMBER({L274, O274, R274}), {L274, O274, R274} &gt; 0)), """")))/T274"),"#DIV/0!")</f>
        <v>#DIV/0!</v>
      </c>
      <c r="W274" s="78"/>
      <c r="X274" s="79">
        <v>300.0</v>
      </c>
    </row>
    <row r="275" ht="22.5" customHeight="1">
      <c r="A275" s="37"/>
      <c r="B275" s="37"/>
      <c r="C275" s="37"/>
      <c r="D275" s="38"/>
      <c r="E275" s="103"/>
      <c r="F275" s="49"/>
      <c r="G275" s="37"/>
      <c r="H275" s="107"/>
      <c r="I275" s="34"/>
      <c r="J275" s="41" t="s">
        <v>261</v>
      </c>
      <c r="K275" s="41" t="s">
        <v>261</v>
      </c>
      <c r="L275" s="41"/>
      <c r="M275" s="108"/>
      <c r="N275" s="108"/>
      <c r="O275" s="110"/>
      <c r="P275" s="41"/>
      <c r="Q275" s="39"/>
      <c r="R275" s="39"/>
      <c r="S275" s="46">
        <v>0.67</v>
      </c>
      <c r="T275" s="109">
        <f>IFERROR(__xludf.DUMMYFUNCTION("((IFERROR(MIN(FILTER({L275, O275, R275}, ISNUMBER({L275, O275, R275}), {L275, O275, R275} &gt; 0)), """"))*S275)+IFERROR(MIN(FILTER({L275, O275, R275}, ISNUMBER({L275, O275, R275}), {L275, O275, R275} &gt; 0)), """")"),0.0)</f>
        <v>0</v>
      </c>
      <c r="U275" s="109"/>
      <c r="V275" s="77" t="str">
        <f>IFERROR(__xludf.DUMMYFUNCTION("(T275-(IFERROR(MIN(FILTER({L275, O275, R275}, ISNUMBER({L275, O275, R275}), {L275, O275, R275} &gt; 0)), """")))/T275"),"#DIV/0!")</f>
        <v>#DIV/0!</v>
      </c>
      <c r="W275" s="78"/>
      <c r="X275" s="79">
        <v>300.0</v>
      </c>
    </row>
    <row r="276" ht="22.5" customHeight="1">
      <c r="A276" s="37"/>
      <c r="B276" s="37"/>
      <c r="C276" s="37"/>
      <c r="D276" s="38"/>
      <c r="E276" s="103"/>
      <c r="F276" s="49"/>
      <c r="G276" s="37"/>
      <c r="H276" s="107"/>
      <c r="I276" s="34"/>
      <c r="J276" s="41" t="s">
        <v>261</v>
      </c>
      <c r="K276" s="41" t="s">
        <v>261</v>
      </c>
      <c r="L276" s="41"/>
      <c r="M276" s="108"/>
      <c r="N276" s="108"/>
      <c r="O276" s="110"/>
      <c r="P276" s="41"/>
      <c r="Q276" s="39"/>
      <c r="R276" s="39"/>
      <c r="S276" s="46">
        <v>0.67</v>
      </c>
      <c r="T276" s="109">
        <f>IFERROR(__xludf.DUMMYFUNCTION("((IFERROR(MIN(FILTER({L276, O276, R276}, ISNUMBER({L276, O276, R276}), {L276, O276, R276} &gt; 0)), """"))*S276)+IFERROR(MIN(FILTER({L276, O276, R276}, ISNUMBER({L276, O276, R276}), {L276, O276, R276} &gt; 0)), """")"),0.0)</f>
        <v>0</v>
      </c>
      <c r="U276" s="109"/>
      <c r="V276" s="77" t="str">
        <f>IFERROR(__xludf.DUMMYFUNCTION("(T276-(IFERROR(MIN(FILTER({L276, O276, R276}, ISNUMBER({L276, O276, R276}), {L276, O276, R276} &gt; 0)), """")))/T276"),"#DIV/0!")</f>
        <v>#DIV/0!</v>
      </c>
      <c r="W276" s="78"/>
      <c r="X276" s="79">
        <v>300.0</v>
      </c>
    </row>
    <row r="277" ht="22.5" customHeight="1">
      <c r="A277" s="37"/>
      <c r="B277" s="37"/>
      <c r="C277" s="37"/>
      <c r="D277" s="38"/>
      <c r="E277" s="103"/>
      <c r="F277" s="49"/>
      <c r="G277" s="37"/>
      <c r="H277" s="107"/>
      <c r="I277" s="34"/>
      <c r="J277" s="41" t="s">
        <v>261</v>
      </c>
      <c r="K277" s="41" t="s">
        <v>261</v>
      </c>
      <c r="L277" s="41"/>
      <c r="M277" s="108"/>
      <c r="N277" s="108"/>
      <c r="O277" s="110"/>
      <c r="P277" s="41"/>
      <c r="Q277" s="39"/>
      <c r="R277" s="39"/>
      <c r="S277" s="46">
        <v>0.67</v>
      </c>
      <c r="T277" s="109">
        <f>IFERROR(__xludf.DUMMYFUNCTION("((IFERROR(MIN(FILTER({L277, O277, R277}, ISNUMBER({L277, O277, R277}), {L277, O277, R277} &gt; 0)), """"))*S277)+IFERROR(MIN(FILTER({L277, O277, R277}, ISNUMBER({L277, O277, R277}), {L277, O277, R277} &gt; 0)), """")"),0.0)</f>
        <v>0</v>
      </c>
      <c r="U277" s="109"/>
      <c r="V277" s="77" t="str">
        <f>IFERROR(__xludf.DUMMYFUNCTION("(T277-(IFERROR(MIN(FILTER({L277, O277, R277}, ISNUMBER({L277, O277, R277}), {L277, O277, R277} &gt; 0)), """")))/T277"),"#DIV/0!")</f>
        <v>#DIV/0!</v>
      </c>
      <c r="W277" s="78"/>
      <c r="X277" s="79">
        <v>300.0</v>
      </c>
    </row>
    <row r="278" ht="22.5" customHeight="1">
      <c r="A278" s="37"/>
      <c r="B278" s="37"/>
      <c r="C278" s="37"/>
      <c r="D278" s="38"/>
      <c r="E278" s="103"/>
      <c r="F278" s="49"/>
      <c r="G278" s="37"/>
      <c r="H278" s="107"/>
      <c r="I278" s="34"/>
      <c r="J278" s="41" t="s">
        <v>261</v>
      </c>
      <c r="K278" s="41" t="s">
        <v>261</v>
      </c>
      <c r="L278" s="41"/>
      <c r="M278" s="108"/>
      <c r="N278" s="108"/>
      <c r="O278" s="110"/>
      <c r="P278" s="41"/>
      <c r="Q278" s="39"/>
      <c r="R278" s="39"/>
      <c r="S278" s="46">
        <v>0.67</v>
      </c>
      <c r="T278" s="109">
        <f>IFERROR(__xludf.DUMMYFUNCTION("((IFERROR(MIN(FILTER({L278, O278, R278}, ISNUMBER({L278, O278, R278}), {L278, O278, R278} &gt; 0)), """"))*S278)+IFERROR(MIN(FILTER({L278, O278, R278}, ISNUMBER({L278, O278, R278}), {L278, O278, R278} &gt; 0)), """")"),0.0)</f>
        <v>0</v>
      </c>
      <c r="U278" s="109"/>
      <c r="V278" s="77" t="str">
        <f>IFERROR(__xludf.DUMMYFUNCTION("(T278-(IFERROR(MIN(FILTER({L278, O278, R278}, ISNUMBER({L278, O278, R278}), {L278, O278, R278} &gt; 0)), """")))/T278"),"#DIV/0!")</f>
        <v>#DIV/0!</v>
      </c>
      <c r="W278" s="78"/>
      <c r="X278" s="79">
        <v>300.0</v>
      </c>
    </row>
    <row r="279" ht="22.5" customHeight="1">
      <c r="A279" s="37"/>
      <c r="B279" s="37"/>
      <c r="C279" s="37"/>
      <c r="D279" s="38"/>
      <c r="E279" s="103"/>
      <c r="F279" s="49"/>
      <c r="G279" s="37"/>
      <c r="H279" s="107"/>
      <c r="I279" s="34"/>
      <c r="J279" s="41" t="s">
        <v>261</v>
      </c>
      <c r="K279" s="41" t="s">
        <v>261</v>
      </c>
      <c r="L279" s="41"/>
      <c r="M279" s="108"/>
      <c r="N279" s="108"/>
      <c r="O279" s="110"/>
      <c r="P279" s="41"/>
      <c r="Q279" s="39"/>
      <c r="R279" s="39"/>
      <c r="S279" s="46">
        <v>0.67</v>
      </c>
      <c r="T279" s="109">
        <f>IFERROR(__xludf.DUMMYFUNCTION("((IFERROR(MIN(FILTER({L279, O279, R279}, ISNUMBER({L279, O279, R279}), {L279, O279, R279} &gt; 0)), """"))*S279)+IFERROR(MIN(FILTER({L279, O279, R279}, ISNUMBER({L279, O279, R279}), {L279, O279, R279} &gt; 0)), """")"),0.0)</f>
        <v>0</v>
      </c>
      <c r="U279" s="109"/>
      <c r="V279" s="77" t="str">
        <f>IFERROR(__xludf.DUMMYFUNCTION("(T279-(IFERROR(MIN(FILTER({L279, O279, R279}, ISNUMBER({L279, O279, R279}), {L279, O279, R279} &gt; 0)), """")))/T279"),"#DIV/0!")</f>
        <v>#DIV/0!</v>
      </c>
      <c r="W279" s="78"/>
      <c r="X279" s="79">
        <v>300.0</v>
      </c>
    </row>
    <row r="280" ht="22.5" customHeight="1">
      <c r="A280" s="37"/>
      <c r="B280" s="37"/>
      <c r="C280" s="37"/>
      <c r="D280" s="38"/>
      <c r="E280" s="103"/>
      <c r="F280" s="49"/>
      <c r="G280" s="37"/>
      <c r="H280" s="107"/>
      <c r="I280" s="34"/>
      <c r="J280" s="41" t="s">
        <v>261</v>
      </c>
      <c r="K280" s="41" t="s">
        <v>261</v>
      </c>
      <c r="L280" s="41"/>
      <c r="M280" s="108"/>
      <c r="N280" s="108"/>
      <c r="O280" s="110"/>
      <c r="P280" s="41"/>
      <c r="Q280" s="39"/>
      <c r="R280" s="39"/>
      <c r="S280" s="46">
        <v>0.67</v>
      </c>
      <c r="T280" s="109">
        <f>IFERROR(__xludf.DUMMYFUNCTION("((IFERROR(MIN(FILTER({L280, O280, R280}, ISNUMBER({L280, O280, R280}), {L280, O280, R280} &gt; 0)), """"))*S280)+IFERROR(MIN(FILTER({L280, O280, R280}, ISNUMBER({L280, O280, R280}), {L280, O280, R280} &gt; 0)), """")"),0.0)</f>
        <v>0</v>
      </c>
      <c r="U280" s="109"/>
      <c r="V280" s="77" t="str">
        <f>IFERROR(__xludf.DUMMYFUNCTION("(T280-(IFERROR(MIN(FILTER({L280, O280, R280}, ISNUMBER({L280, O280, R280}), {L280, O280, R280} &gt; 0)), """")))/T280"),"#DIV/0!")</f>
        <v>#DIV/0!</v>
      </c>
      <c r="W280" s="78"/>
      <c r="X280" s="79">
        <v>300.0</v>
      </c>
    </row>
    <row r="281" ht="22.5" customHeight="1">
      <c r="A281" s="37"/>
      <c r="B281" s="37"/>
      <c r="C281" s="37"/>
      <c r="D281" s="38"/>
      <c r="E281" s="103"/>
      <c r="F281" s="49"/>
      <c r="G281" s="37"/>
      <c r="H281" s="107"/>
      <c r="I281" s="34"/>
      <c r="J281" s="41" t="s">
        <v>261</v>
      </c>
      <c r="K281" s="41" t="s">
        <v>261</v>
      </c>
      <c r="L281" s="41"/>
      <c r="M281" s="108"/>
      <c r="N281" s="108"/>
      <c r="O281" s="110"/>
      <c r="P281" s="41"/>
      <c r="Q281" s="39"/>
      <c r="R281" s="41"/>
      <c r="S281" s="46">
        <v>0.67</v>
      </c>
      <c r="T281" s="109">
        <f>IFERROR(__xludf.DUMMYFUNCTION("((IFERROR(MIN(FILTER({L281, O281, R281}, ISNUMBER({L281, O281, R281}), {L281, O281, R281} &gt; 0)), """"))*S281)+IFERROR(MIN(FILTER({L281, O281, R281}, ISNUMBER({L281, O281, R281}), {L281, O281, R281} &gt; 0)), """")"),0.0)</f>
        <v>0</v>
      </c>
      <c r="U281" s="109"/>
      <c r="V281" s="77" t="str">
        <f>IFERROR(__xludf.DUMMYFUNCTION("(T281-(IFERROR(MIN(FILTER({L281, O281, R281}, ISNUMBER({L281, O281, R281}), {L281, O281, R281} &gt; 0)), """")))/T281"),"#DIV/0!")</f>
        <v>#DIV/0!</v>
      </c>
      <c r="W281" s="78"/>
      <c r="X281" s="79">
        <v>300.0</v>
      </c>
    </row>
    <row r="282" ht="22.5" customHeight="1">
      <c r="A282" s="37"/>
      <c r="B282" s="37"/>
      <c r="C282" s="37"/>
      <c r="D282" s="38"/>
      <c r="E282" s="103"/>
      <c r="F282" s="49"/>
      <c r="G282" s="37"/>
      <c r="H282" s="107"/>
      <c r="I282" s="34"/>
      <c r="J282" s="41" t="s">
        <v>261</v>
      </c>
      <c r="K282" s="41" t="s">
        <v>261</v>
      </c>
      <c r="L282" s="41"/>
      <c r="M282" s="108"/>
      <c r="N282" s="108"/>
      <c r="O282" s="110"/>
      <c r="P282" s="41"/>
      <c r="Q282" s="39"/>
      <c r="R282" s="41"/>
      <c r="S282" s="46">
        <v>0.67</v>
      </c>
      <c r="T282" s="109">
        <f>IFERROR(__xludf.DUMMYFUNCTION("((IFERROR(MIN(FILTER({L282, O282, R282}, ISNUMBER({L282, O282, R282}), {L282, O282, R282} &gt; 0)), """"))*S282)+IFERROR(MIN(FILTER({L282, O282, R282}, ISNUMBER({L282, O282, R282}), {L282, O282, R282} &gt; 0)), """")"),0.0)</f>
        <v>0</v>
      </c>
      <c r="U282" s="109"/>
      <c r="V282" s="77" t="str">
        <f>IFERROR(__xludf.DUMMYFUNCTION("(T282-(IFERROR(MIN(FILTER({L282, O282, R282}, ISNUMBER({L282, O282, R282}), {L282, O282, R282} &gt; 0)), """")))/T282"),"#DIV/0!")</f>
        <v>#DIV/0!</v>
      </c>
      <c r="W282" s="78"/>
      <c r="X282" s="79">
        <v>300.0</v>
      </c>
    </row>
    <row r="283" ht="22.5" customHeight="1">
      <c r="A283" s="37"/>
      <c r="B283" s="37"/>
      <c r="C283" s="37"/>
      <c r="D283" s="38"/>
      <c r="E283" s="103"/>
      <c r="F283" s="49"/>
      <c r="G283" s="37"/>
      <c r="H283" s="107"/>
      <c r="I283" s="34"/>
      <c r="J283" s="41" t="s">
        <v>261</v>
      </c>
      <c r="K283" s="41" t="s">
        <v>261</v>
      </c>
      <c r="L283" s="41"/>
      <c r="M283" s="108"/>
      <c r="N283" s="108"/>
      <c r="O283" s="110"/>
      <c r="P283" s="41"/>
      <c r="Q283" s="39"/>
      <c r="R283" s="41"/>
      <c r="S283" s="46">
        <v>0.67</v>
      </c>
      <c r="T283" s="109">
        <f>IFERROR(__xludf.DUMMYFUNCTION("((IFERROR(MIN(FILTER({L283, O283, R283}, ISNUMBER({L283, O283, R283}), {L283, O283, R283} &gt; 0)), """"))*S283)+IFERROR(MIN(FILTER({L283, O283, R283}, ISNUMBER({L283, O283, R283}), {L283, O283, R283} &gt; 0)), """")"),0.0)</f>
        <v>0</v>
      </c>
      <c r="U283" s="109"/>
      <c r="V283" s="77" t="str">
        <f>IFERROR(__xludf.DUMMYFUNCTION("(T283-(IFERROR(MIN(FILTER({L283, O283, R283}, ISNUMBER({L283, O283, R283}), {L283, O283, R283} &gt; 0)), """")))/T283"),"#DIV/0!")</f>
        <v>#DIV/0!</v>
      </c>
      <c r="W283" s="78"/>
      <c r="X283" s="79">
        <v>300.0</v>
      </c>
    </row>
    <row r="284" ht="22.5" customHeight="1">
      <c r="A284" s="37"/>
      <c r="B284" s="37"/>
      <c r="C284" s="37"/>
      <c r="D284" s="38"/>
      <c r="E284" s="103"/>
      <c r="F284" s="49"/>
      <c r="G284" s="37"/>
      <c r="H284" s="107"/>
      <c r="I284" s="34"/>
      <c r="J284" s="41" t="s">
        <v>261</v>
      </c>
      <c r="K284" s="41" t="s">
        <v>261</v>
      </c>
      <c r="L284" s="41"/>
      <c r="M284" s="108"/>
      <c r="N284" s="108"/>
      <c r="O284" s="110"/>
      <c r="P284" s="41"/>
      <c r="Q284" s="39"/>
      <c r="R284" s="39"/>
      <c r="S284" s="46">
        <v>0.67</v>
      </c>
      <c r="T284" s="109">
        <f>IFERROR(__xludf.DUMMYFUNCTION("((IFERROR(MIN(FILTER({L284, O284, R284}, ISNUMBER({L284, O284, R284}), {L284, O284, R284} &gt; 0)), """"))*S284)+IFERROR(MIN(FILTER({L284, O284, R284}, ISNUMBER({L284, O284, R284}), {L284, O284, R284} &gt; 0)), """")"),0.0)</f>
        <v>0</v>
      </c>
      <c r="U284" s="109"/>
      <c r="V284" s="77" t="str">
        <f>IFERROR(__xludf.DUMMYFUNCTION("(T284-(IFERROR(MIN(FILTER({L284, O284, R284}, ISNUMBER({L284, O284, R284}), {L284, O284, R284} &gt; 0)), """")))/T284"),"#DIV/0!")</f>
        <v>#DIV/0!</v>
      </c>
      <c r="W284" s="78"/>
      <c r="X284" s="79">
        <v>300.0</v>
      </c>
    </row>
    <row r="285" ht="22.5" customHeight="1">
      <c r="A285" s="37"/>
      <c r="B285" s="37"/>
      <c r="C285" s="37"/>
      <c r="D285" s="38"/>
      <c r="E285" s="103"/>
      <c r="F285" s="49"/>
      <c r="G285" s="37"/>
      <c r="H285" s="107"/>
      <c r="I285" s="34"/>
      <c r="J285" s="41" t="s">
        <v>261</v>
      </c>
      <c r="K285" s="41" t="s">
        <v>261</v>
      </c>
      <c r="L285" s="41"/>
      <c r="M285" s="108"/>
      <c r="N285" s="108"/>
      <c r="O285" s="110"/>
      <c r="P285" s="41"/>
      <c r="Q285" s="39"/>
      <c r="R285" s="39"/>
      <c r="S285" s="46">
        <v>0.67</v>
      </c>
      <c r="T285" s="109">
        <f>IFERROR(__xludf.DUMMYFUNCTION("((IFERROR(MIN(FILTER({L285, O285, R285}, ISNUMBER({L285, O285, R285}), {L285, O285, R285} &gt; 0)), """"))*S285)+IFERROR(MIN(FILTER({L285, O285, R285}, ISNUMBER({L285, O285, R285}), {L285, O285, R285} &gt; 0)), """")"),0.0)</f>
        <v>0</v>
      </c>
      <c r="U285" s="109"/>
      <c r="V285" s="77" t="str">
        <f>IFERROR(__xludf.DUMMYFUNCTION("(T285-(IFERROR(MIN(FILTER({L285, O285, R285}, ISNUMBER({L285, O285, R285}), {L285, O285, R285} &gt; 0)), """")))/T285"),"#DIV/0!")</f>
        <v>#DIV/0!</v>
      </c>
      <c r="W285" s="78"/>
      <c r="X285" s="79">
        <v>300.0</v>
      </c>
    </row>
    <row r="286" ht="22.5" customHeight="1">
      <c r="A286" s="37"/>
      <c r="B286" s="37"/>
      <c r="C286" s="37"/>
      <c r="D286" s="38"/>
      <c r="E286" s="103"/>
      <c r="F286" s="49"/>
      <c r="G286" s="37"/>
      <c r="H286" s="107"/>
      <c r="I286" s="34"/>
      <c r="J286" s="41" t="s">
        <v>261</v>
      </c>
      <c r="K286" s="41" t="s">
        <v>261</v>
      </c>
      <c r="L286" s="41"/>
      <c r="M286" s="108"/>
      <c r="N286" s="108"/>
      <c r="O286" s="110"/>
      <c r="P286" s="41"/>
      <c r="Q286" s="39"/>
      <c r="R286" s="39"/>
      <c r="S286" s="46">
        <v>0.67</v>
      </c>
      <c r="T286" s="109">
        <f>IFERROR(__xludf.DUMMYFUNCTION("((IFERROR(MIN(FILTER({L286, O286, R286}, ISNUMBER({L286, O286, R286}), {L286, O286, R286} &gt; 0)), """"))*S286)+IFERROR(MIN(FILTER({L286, O286, R286}, ISNUMBER({L286, O286, R286}), {L286, O286, R286} &gt; 0)), """")"),0.0)</f>
        <v>0</v>
      </c>
      <c r="U286" s="109"/>
      <c r="V286" s="77" t="str">
        <f>IFERROR(__xludf.DUMMYFUNCTION("(T286-(IFERROR(MIN(FILTER({L286, O286, R286}, ISNUMBER({L286, O286, R286}), {L286, O286, R286} &gt; 0)), """")))/T286"),"#DIV/0!")</f>
        <v>#DIV/0!</v>
      </c>
      <c r="W286" s="78"/>
      <c r="X286" s="79">
        <v>300.0</v>
      </c>
    </row>
    <row r="287" ht="22.5" customHeight="1">
      <c r="A287" s="37"/>
      <c r="B287" s="37"/>
      <c r="C287" s="37"/>
      <c r="D287" s="38"/>
      <c r="E287" s="103"/>
      <c r="F287" s="49"/>
      <c r="G287" s="37"/>
      <c r="H287" s="107"/>
      <c r="I287" s="34"/>
      <c r="J287" s="41" t="s">
        <v>261</v>
      </c>
      <c r="K287" s="41" t="s">
        <v>261</v>
      </c>
      <c r="L287" s="41"/>
      <c r="M287" s="108"/>
      <c r="N287" s="108"/>
      <c r="O287" s="110"/>
      <c r="P287" s="41"/>
      <c r="Q287" s="39"/>
      <c r="R287" s="39"/>
      <c r="S287" s="46">
        <v>0.67</v>
      </c>
      <c r="T287" s="109">
        <f>IFERROR(__xludf.DUMMYFUNCTION("((IFERROR(MIN(FILTER({L287, O287, R287}, ISNUMBER({L287, O287, R287}), {L287, O287, R287} &gt; 0)), """"))*S287)+IFERROR(MIN(FILTER({L287, O287, R287}, ISNUMBER({L287, O287, R287}), {L287, O287, R287} &gt; 0)), """")"),0.0)</f>
        <v>0</v>
      </c>
      <c r="U287" s="109"/>
      <c r="V287" s="77" t="str">
        <f>IFERROR(__xludf.DUMMYFUNCTION("(T287-(IFERROR(MIN(FILTER({L287, O287, R287}, ISNUMBER({L287, O287, R287}), {L287, O287, R287} &gt; 0)), """")))/T287"),"#DIV/0!")</f>
        <v>#DIV/0!</v>
      </c>
      <c r="W287" s="78"/>
      <c r="X287" s="79">
        <v>300.0</v>
      </c>
    </row>
    <row r="288" ht="22.5" customHeight="1">
      <c r="A288" s="37"/>
      <c r="B288" s="37"/>
      <c r="C288" s="37"/>
      <c r="D288" s="38"/>
      <c r="E288" s="103"/>
      <c r="F288" s="49"/>
      <c r="G288" s="37"/>
      <c r="H288" s="107"/>
      <c r="I288" s="34"/>
      <c r="J288" s="41" t="s">
        <v>261</v>
      </c>
      <c r="K288" s="41" t="s">
        <v>261</v>
      </c>
      <c r="L288" s="41"/>
      <c r="M288" s="108"/>
      <c r="N288" s="108"/>
      <c r="O288" s="110"/>
      <c r="P288" s="41"/>
      <c r="Q288" s="39"/>
      <c r="R288" s="41"/>
      <c r="S288" s="46">
        <v>0.67</v>
      </c>
      <c r="T288" s="109">
        <f>IFERROR(__xludf.DUMMYFUNCTION("((IFERROR(MIN(FILTER({L288, O288, R288}, ISNUMBER({L288, O288, R288}), {L288, O288, R288} &gt; 0)), """"))*S288)+IFERROR(MIN(FILTER({L288, O288, R288}, ISNUMBER({L288, O288, R288}), {L288, O288, R288} &gt; 0)), """")"),0.0)</f>
        <v>0</v>
      </c>
      <c r="U288" s="109"/>
      <c r="V288" s="77" t="str">
        <f>IFERROR(__xludf.DUMMYFUNCTION("(T288-(IFERROR(MIN(FILTER({L288, O288, R288}, ISNUMBER({L288, O288, R288}), {L288, O288, R288} &gt; 0)), """")))/T288"),"#DIV/0!")</f>
        <v>#DIV/0!</v>
      </c>
      <c r="W288" s="78"/>
      <c r="X288" s="79">
        <v>300.0</v>
      </c>
    </row>
    <row r="289" ht="22.5" customHeight="1">
      <c r="A289" s="37"/>
      <c r="B289" s="37"/>
      <c r="C289" s="37"/>
      <c r="D289" s="38"/>
      <c r="E289" s="103"/>
      <c r="F289" s="49"/>
      <c r="G289" s="37"/>
      <c r="H289" s="107"/>
      <c r="I289" s="34"/>
      <c r="J289" s="41" t="s">
        <v>261</v>
      </c>
      <c r="K289" s="41" t="s">
        <v>261</v>
      </c>
      <c r="L289" s="41"/>
      <c r="M289" s="108"/>
      <c r="N289" s="108"/>
      <c r="O289" s="110"/>
      <c r="P289" s="41"/>
      <c r="Q289" s="39"/>
      <c r="R289" s="41"/>
      <c r="S289" s="46">
        <v>0.67</v>
      </c>
      <c r="T289" s="109">
        <f>IFERROR(__xludf.DUMMYFUNCTION("((IFERROR(MIN(FILTER({L289, O289, R289}, ISNUMBER({L289, O289, R289}), {L289, O289, R289} &gt; 0)), """"))*S289)+IFERROR(MIN(FILTER({L289, O289, R289}, ISNUMBER({L289, O289, R289}), {L289, O289, R289} &gt; 0)), """")"),0.0)</f>
        <v>0</v>
      </c>
      <c r="U289" s="109"/>
      <c r="V289" s="77" t="str">
        <f>IFERROR(__xludf.DUMMYFUNCTION("(T289-(IFERROR(MIN(FILTER({L289, O289, R289}, ISNUMBER({L289, O289, R289}), {L289, O289, R289} &gt; 0)), """")))/T289"),"#DIV/0!")</f>
        <v>#DIV/0!</v>
      </c>
      <c r="W289" s="78"/>
      <c r="X289" s="79">
        <v>300.0</v>
      </c>
    </row>
    <row r="290" ht="22.5" customHeight="1">
      <c r="A290" s="37"/>
      <c r="B290" s="37"/>
      <c r="C290" s="37"/>
      <c r="D290" s="38"/>
      <c r="E290" s="103"/>
      <c r="F290" s="49"/>
      <c r="G290" s="37"/>
      <c r="H290" s="107"/>
      <c r="I290" s="34"/>
      <c r="J290" s="41" t="s">
        <v>261</v>
      </c>
      <c r="K290" s="41" t="s">
        <v>261</v>
      </c>
      <c r="L290" s="41"/>
      <c r="M290" s="108"/>
      <c r="N290" s="108"/>
      <c r="O290" s="110"/>
      <c r="P290" s="41"/>
      <c r="Q290" s="39"/>
      <c r="R290" s="41"/>
      <c r="S290" s="46">
        <v>0.67</v>
      </c>
      <c r="T290" s="109">
        <f>IFERROR(__xludf.DUMMYFUNCTION("((IFERROR(MIN(FILTER({L290, O290, R290}, ISNUMBER({L290, O290, R290}), {L290, O290, R290} &gt; 0)), """"))*S290)+IFERROR(MIN(FILTER({L290, O290, R290}, ISNUMBER({L290, O290, R290}), {L290, O290, R290} &gt; 0)), """")"),0.0)</f>
        <v>0</v>
      </c>
      <c r="U290" s="109"/>
      <c r="V290" s="77" t="str">
        <f>IFERROR(__xludf.DUMMYFUNCTION("(T290-(IFERROR(MIN(FILTER({L290, O290, R290}, ISNUMBER({L290, O290, R290}), {L290, O290, R290} &gt; 0)), """")))/T290"),"#DIV/0!")</f>
        <v>#DIV/0!</v>
      </c>
      <c r="W290" s="78"/>
      <c r="X290" s="79">
        <v>300.0</v>
      </c>
    </row>
    <row r="291" ht="22.5" customHeight="1">
      <c r="A291" s="37"/>
      <c r="B291" s="37"/>
      <c r="C291" s="37"/>
      <c r="D291" s="38"/>
      <c r="E291" s="103"/>
      <c r="F291" s="49"/>
      <c r="G291" s="37"/>
      <c r="H291" s="107"/>
      <c r="I291" s="34"/>
      <c r="J291" s="41" t="s">
        <v>261</v>
      </c>
      <c r="K291" s="41" t="s">
        <v>261</v>
      </c>
      <c r="L291" s="41"/>
      <c r="M291" s="108"/>
      <c r="N291" s="108"/>
      <c r="O291" s="110"/>
      <c r="P291" s="41"/>
      <c r="Q291" s="39"/>
      <c r="R291" s="41"/>
      <c r="S291" s="46">
        <v>0.67</v>
      </c>
      <c r="T291" s="109">
        <f>IFERROR(__xludf.DUMMYFUNCTION("((IFERROR(MIN(FILTER({L291, O291, R291}, ISNUMBER({L291, O291, R291}), {L291, O291, R291} &gt; 0)), """"))*S291)+IFERROR(MIN(FILTER({L291, O291, R291}, ISNUMBER({L291, O291, R291}), {L291, O291, R291} &gt; 0)), """")"),0.0)</f>
        <v>0</v>
      </c>
      <c r="U291" s="109"/>
      <c r="V291" s="77" t="str">
        <f>IFERROR(__xludf.DUMMYFUNCTION("(T291-(IFERROR(MIN(FILTER({L291, O291, R291}, ISNUMBER({L291, O291, R291}), {L291, O291, R291} &gt; 0)), """")))/T291"),"#DIV/0!")</f>
        <v>#DIV/0!</v>
      </c>
      <c r="W291" s="78"/>
      <c r="X291" s="79">
        <v>300.0</v>
      </c>
    </row>
    <row r="292" ht="22.5" customHeight="1">
      <c r="A292" s="37"/>
      <c r="B292" s="37"/>
      <c r="C292" s="37"/>
      <c r="D292" s="38"/>
      <c r="E292" s="103"/>
      <c r="F292" s="49"/>
      <c r="G292" s="37"/>
      <c r="H292" s="107"/>
      <c r="I292" s="34"/>
      <c r="J292" s="41" t="s">
        <v>261</v>
      </c>
      <c r="K292" s="41" t="s">
        <v>261</v>
      </c>
      <c r="L292" s="41"/>
      <c r="M292" s="108"/>
      <c r="N292" s="108"/>
      <c r="O292" s="110"/>
      <c r="P292" s="41"/>
      <c r="Q292" s="39"/>
      <c r="R292" s="41"/>
      <c r="S292" s="46">
        <v>0.67</v>
      </c>
      <c r="T292" s="109">
        <f>IFERROR(__xludf.DUMMYFUNCTION("((IFERROR(MIN(FILTER({L292, O292, R292}, ISNUMBER({L292, O292, R292}), {L292, O292, R292} &gt; 0)), """"))*S292)+IFERROR(MIN(FILTER({L292, O292, R292}, ISNUMBER({L292, O292, R292}), {L292, O292, R292} &gt; 0)), """")"),0.0)</f>
        <v>0</v>
      </c>
      <c r="U292" s="109"/>
      <c r="V292" s="77" t="str">
        <f>IFERROR(__xludf.DUMMYFUNCTION("(T292-(IFERROR(MIN(FILTER({L292, O292, R292}, ISNUMBER({L292, O292, R292}), {L292, O292, R292} &gt; 0)), """")))/T292"),"#DIV/0!")</f>
        <v>#DIV/0!</v>
      </c>
      <c r="W292" s="78"/>
      <c r="X292" s="79">
        <v>300.0</v>
      </c>
    </row>
    <row r="293" ht="22.5" customHeight="1">
      <c r="A293" s="37"/>
      <c r="B293" s="37"/>
      <c r="C293" s="37"/>
      <c r="D293" s="38"/>
      <c r="E293" s="103"/>
      <c r="F293" s="49"/>
      <c r="G293" s="37"/>
      <c r="H293" s="107"/>
      <c r="I293" s="34"/>
      <c r="J293" s="41" t="s">
        <v>261</v>
      </c>
      <c r="K293" s="41" t="s">
        <v>261</v>
      </c>
      <c r="L293" s="41"/>
      <c r="M293" s="108"/>
      <c r="N293" s="108"/>
      <c r="O293" s="108"/>
      <c r="P293" s="41"/>
      <c r="Q293" s="39"/>
      <c r="R293" s="39"/>
      <c r="S293" s="46">
        <v>0.67</v>
      </c>
      <c r="T293" s="109">
        <f>IFERROR(__xludf.DUMMYFUNCTION("((IFERROR(MIN(FILTER({L293, O293, R293}, ISNUMBER({L293, O293, R293}), {L293, O293, R293} &gt; 0)), """"))*S293)+IFERROR(MIN(FILTER({L293, O293, R293}, ISNUMBER({L293, O293, R293}), {L293, O293, R293} &gt; 0)), """")"),0.0)</f>
        <v>0</v>
      </c>
      <c r="U293" s="109"/>
      <c r="V293" s="77" t="str">
        <f>IFERROR(__xludf.DUMMYFUNCTION("(T293-(IFERROR(MIN(FILTER({L293, O293, R293}, ISNUMBER({L293, O293, R293}), {L293, O293, R293} &gt; 0)), """")))/T293"),"#DIV/0!")</f>
        <v>#DIV/0!</v>
      </c>
      <c r="W293" s="78"/>
      <c r="X293" s="79">
        <v>300.0</v>
      </c>
    </row>
    <row r="294" ht="22.5" customHeight="1">
      <c r="A294" s="37"/>
      <c r="B294" s="37"/>
      <c r="C294" s="37"/>
      <c r="D294" s="38"/>
      <c r="E294" s="103"/>
      <c r="F294" s="49"/>
      <c r="G294" s="37"/>
      <c r="H294" s="107"/>
      <c r="I294" s="34"/>
      <c r="J294" s="41" t="s">
        <v>261</v>
      </c>
      <c r="K294" s="41" t="s">
        <v>261</v>
      </c>
      <c r="L294" s="41"/>
      <c r="M294" s="110"/>
      <c r="N294" s="110"/>
      <c r="O294" s="108"/>
      <c r="P294" s="41"/>
      <c r="Q294" s="39"/>
      <c r="R294" s="39"/>
      <c r="S294" s="46">
        <v>0.67</v>
      </c>
      <c r="T294" s="109">
        <f>IFERROR(__xludf.DUMMYFUNCTION("((IFERROR(MIN(FILTER({L294, O294, R294}, ISNUMBER({L294, O294, R294}), {L294, O294, R294} &gt; 0)), """"))*S294)+IFERROR(MIN(FILTER({L294, O294, R294}, ISNUMBER({L294, O294, R294}), {L294, O294, R294} &gt; 0)), """")"),0.0)</f>
        <v>0</v>
      </c>
      <c r="U294" s="109"/>
      <c r="V294" s="77" t="str">
        <f>IFERROR(__xludf.DUMMYFUNCTION("(T294-(IFERROR(MIN(FILTER({L294, O294, R294}, ISNUMBER({L294, O294, R294}), {L294, O294, R294} &gt; 0)), """")))/T294"),"#DIV/0!")</f>
        <v>#DIV/0!</v>
      </c>
      <c r="W294" s="78"/>
      <c r="X294" s="79">
        <v>300.0</v>
      </c>
    </row>
    <row r="295" ht="22.5" customHeight="1">
      <c r="A295" s="37"/>
      <c r="B295" s="37"/>
      <c r="C295" s="37"/>
      <c r="D295" s="38"/>
      <c r="E295" s="103"/>
      <c r="F295" s="49"/>
      <c r="G295" s="37"/>
      <c r="H295" s="107"/>
      <c r="I295" s="34"/>
      <c r="J295" s="41" t="s">
        <v>261</v>
      </c>
      <c r="K295" s="41" t="s">
        <v>261</v>
      </c>
      <c r="L295" s="41"/>
      <c r="M295" s="110"/>
      <c r="N295" s="110"/>
      <c r="O295" s="110"/>
      <c r="P295" s="41"/>
      <c r="Q295" s="39"/>
      <c r="R295" s="39"/>
      <c r="S295" s="46">
        <v>0.67</v>
      </c>
      <c r="T295" s="109">
        <f>IFERROR(__xludf.DUMMYFUNCTION("((IFERROR(MIN(FILTER({L295, O295, R295}, ISNUMBER({L295, O295, R295}), {L295, O295, R295} &gt; 0)), """"))*S295)+IFERROR(MIN(FILTER({L295, O295, R295}, ISNUMBER({L295, O295, R295}), {L295, O295, R295} &gt; 0)), """")"),0.0)</f>
        <v>0</v>
      </c>
      <c r="U295" s="109"/>
      <c r="V295" s="77" t="str">
        <f>IFERROR(__xludf.DUMMYFUNCTION("(T295-(IFERROR(MIN(FILTER({L295, O295, R295}, ISNUMBER({L295, O295, R295}), {L295, O295, R295} &gt; 0)), """")))/T295"),"#DIV/0!")</f>
        <v>#DIV/0!</v>
      </c>
      <c r="W295" s="78"/>
      <c r="X295" s="79">
        <v>300.0</v>
      </c>
    </row>
    <row r="296" ht="22.5" customHeight="1">
      <c r="A296" s="37"/>
      <c r="B296" s="37"/>
      <c r="C296" s="37"/>
      <c r="D296" s="38"/>
      <c r="E296" s="103"/>
      <c r="F296" s="49"/>
      <c r="G296" s="37"/>
      <c r="H296" s="107"/>
      <c r="I296" s="34"/>
      <c r="J296" s="41" t="s">
        <v>261</v>
      </c>
      <c r="K296" s="41" t="s">
        <v>261</v>
      </c>
      <c r="L296" s="41"/>
      <c r="M296" s="110"/>
      <c r="N296" s="110"/>
      <c r="O296" s="110"/>
      <c r="P296" s="41"/>
      <c r="Q296" s="39"/>
      <c r="R296" s="39"/>
      <c r="S296" s="46">
        <v>0.67</v>
      </c>
      <c r="T296" s="109">
        <f>IFERROR(__xludf.DUMMYFUNCTION("((IFERROR(MIN(FILTER({L296, O296, R296}, ISNUMBER({L296, O296, R296}), {L296, O296, R296} &gt; 0)), """"))*S296)+IFERROR(MIN(FILTER({L296, O296, R296}, ISNUMBER({L296, O296, R296}), {L296, O296, R296} &gt; 0)), """")"),0.0)</f>
        <v>0</v>
      </c>
      <c r="U296" s="109"/>
      <c r="V296" s="77" t="str">
        <f>IFERROR(__xludf.DUMMYFUNCTION("(T296-(IFERROR(MIN(FILTER({L296, O296, R296}, ISNUMBER({L296, O296, R296}), {L296, O296, R296} &gt; 0)), """")))/T296"),"#DIV/0!")</f>
        <v>#DIV/0!</v>
      </c>
      <c r="W296" s="78"/>
      <c r="X296" s="79">
        <v>300.0</v>
      </c>
    </row>
    <row r="297" ht="22.5" customHeight="1">
      <c r="A297" s="37"/>
      <c r="B297" s="37"/>
      <c r="C297" s="37"/>
      <c r="D297" s="38"/>
      <c r="E297" s="103"/>
      <c r="F297" s="49"/>
      <c r="G297" s="37"/>
      <c r="H297" s="107"/>
      <c r="I297" s="34"/>
      <c r="J297" s="41" t="s">
        <v>261</v>
      </c>
      <c r="K297" s="41" t="s">
        <v>261</v>
      </c>
      <c r="L297" s="41"/>
      <c r="M297" s="110"/>
      <c r="N297" s="110"/>
      <c r="O297" s="110"/>
      <c r="P297" s="41"/>
      <c r="Q297" s="39"/>
      <c r="R297" s="39"/>
      <c r="S297" s="46">
        <v>0.67</v>
      </c>
      <c r="T297" s="109">
        <f>IFERROR(__xludf.DUMMYFUNCTION("((IFERROR(MIN(FILTER({L297, O297, R297}, ISNUMBER({L297, O297, R297}), {L297, O297, R297} &gt; 0)), """"))*S297)+IFERROR(MIN(FILTER({L297, O297, R297}, ISNUMBER({L297, O297, R297}), {L297, O297, R297} &gt; 0)), """")"),0.0)</f>
        <v>0</v>
      </c>
      <c r="U297" s="109"/>
      <c r="V297" s="77" t="str">
        <f>IFERROR(__xludf.DUMMYFUNCTION("(T297-(IFERROR(MIN(FILTER({L297, O297, R297}, ISNUMBER({L297, O297, R297}), {L297, O297, R297} &gt; 0)), """")))/T297"),"#DIV/0!")</f>
        <v>#DIV/0!</v>
      </c>
      <c r="W297" s="78"/>
      <c r="X297" s="79">
        <v>300.0</v>
      </c>
    </row>
    <row r="298" ht="22.5" customHeight="1">
      <c r="A298" s="37"/>
      <c r="B298" s="37"/>
      <c r="C298" s="37"/>
      <c r="D298" s="38"/>
      <c r="E298" s="103"/>
      <c r="F298" s="49"/>
      <c r="G298" s="37"/>
      <c r="H298" s="107"/>
      <c r="I298" s="34"/>
      <c r="J298" s="41" t="s">
        <v>261</v>
      </c>
      <c r="K298" s="41" t="s">
        <v>261</v>
      </c>
      <c r="L298" s="41"/>
      <c r="M298" s="110"/>
      <c r="N298" s="110"/>
      <c r="O298" s="110"/>
      <c r="P298" s="41"/>
      <c r="Q298" s="39"/>
      <c r="R298" s="39"/>
      <c r="S298" s="46">
        <v>0.67</v>
      </c>
      <c r="T298" s="109">
        <f>IFERROR(__xludf.DUMMYFUNCTION("((IFERROR(MIN(FILTER({L298, O298, R298}, ISNUMBER({L298, O298, R298}), {L298, O298, R298} &gt; 0)), """"))*S298)+IFERROR(MIN(FILTER({L298, O298, R298}, ISNUMBER({L298, O298, R298}), {L298, O298, R298} &gt; 0)), """")"),0.0)</f>
        <v>0</v>
      </c>
      <c r="U298" s="109"/>
      <c r="V298" s="77" t="str">
        <f>IFERROR(__xludf.DUMMYFUNCTION("(T298-(IFERROR(MIN(FILTER({L298, O298, R298}, ISNUMBER({L298, O298, R298}), {L298, O298, R298} &gt; 0)), """")))/T298"),"#DIV/0!")</f>
        <v>#DIV/0!</v>
      </c>
      <c r="W298" s="78"/>
      <c r="X298" s="79">
        <v>300.0</v>
      </c>
    </row>
    <row r="299" ht="22.5" customHeight="1">
      <c r="A299" s="37"/>
      <c r="B299" s="37"/>
      <c r="C299" s="37"/>
      <c r="D299" s="38"/>
      <c r="E299" s="103"/>
      <c r="F299" s="49"/>
      <c r="G299" s="37"/>
      <c r="H299" s="107"/>
      <c r="I299" s="34"/>
      <c r="J299" s="41" t="s">
        <v>261</v>
      </c>
      <c r="K299" s="41" t="s">
        <v>261</v>
      </c>
      <c r="L299" s="41"/>
      <c r="M299" s="110"/>
      <c r="N299" s="110"/>
      <c r="O299" s="110"/>
      <c r="P299" s="41"/>
      <c r="Q299" s="39"/>
      <c r="R299" s="39"/>
      <c r="S299" s="46">
        <v>0.67</v>
      </c>
      <c r="T299" s="109">
        <f>IFERROR(__xludf.DUMMYFUNCTION("((IFERROR(MIN(FILTER({L299, O299, R299}, ISNUMBER({L299, O299, R299}), {L299, O299, R299} &gt; 0)), """"))*S299)+IFERROR(MIN(FILTER({L299, O299, R299}, ISNUMBER({L299, O299, R299}), {L299, O299, R299} &gt; 0)), """")"),0.0)</f>
        <v>0</v>
      </c>
      <c r="U299" s="109"/>
      <c r="V299" s="77" t="str">
        <f>IFERROR(__xludf.DUMMYFUNCTION("(T299-(IFERROR(MIN(FILTER({L299, O299, R299}, ISNUMBER({L299, O299, R299}), {L299, O299, R299} &gt; 0)), """")))/T299"),"#DIV/0!")</f>
        <v>#DIV/0!</v>
      </c>
      <c r="W299" s="78"/>
      <c r="X299" s="79">
        <v>300.0</v>
      </c>
    </row>
    <row r="300" ht="22.5" customHeight="1">
      <c r="A300" s="37"/>
      <c r="B300" s="37"/>
      <c r="C300" s="37"/>
      <c r="D300" s="38"/>
      <c r="E300" s="103"/>
      <c r="F300" s="49"/>
      <c r="G300" s="37"/>
      <c r="H300" s="107"/>
      <c r="I300" s="34"/>
      <c r="J300" s="41" t="s">
        <v>261</v>
      </c>
      <c r="K300" s="41" t="s">
        <v>261</v>
      </c>
      <c r="L300" s="41"/>
      <c r="M300" s="108"/>
      <c r="N300" s="108"/>
      <c r="O300" s="108"/>
      <c r="P300" s="41"/>
      <c r="Q300" s="39"/>
      <c r="R300" s="39"/>
      <c r="S300" s="46">
        <v>0.67</v>
      </c>
      <c r="T300" s="109">
        <f>IFERROR(__xludf.DUMMYFUNCTION("((IFERROR(MIN(FILTER({L300, O300, R300}, ISNUMBER({L300, O300, R300}), {L300, O300, R300} &gt; 0)), """"))*S300)+IFERROR(MIN(FILTER({L300, O300, R300}, ISNUMBER({L300, O300, R300}), {L300, O300, R300} &gt; 0)), """")"),0.0)</f>
        <v>0</v>
      </c>
      <c r="U300" s="109"/>
      <c r="V300" s="77" t="str">
        <f>IFERROR(__xludf.DUMMYFUNCTION("(T300-(IFERROR(MIN(FILTER({L300, O300, R300}, ISNUMBER({L300, O300, R300}), {L300, O300, R300} &gt; 0)), """")))/T300"),"#DIV/0!")</f>
        <v>#DIV/0!</v>
      </c>
      <c r="W300" s="78"/>
      <c r="X300" s="79">
        <v>300.0</v>
      </c>
    </row>
    <row r="301" ht="22.5" customHeight="1">
      <c r="A301" s="37"/>
      <c r="B301" s="37"/>
      <c r="C301" s="37"/>
      <c r="D301" s="38"/>
      <c r="E301" s="103"/>
      <c r="F301" s="49"/>
      <c r="G301" s="37"/>
      <c r="H301" s="107"/>
      <c r="I301" s="34"/>
      <c r="J301" s="41" t="s">
        <v>261</v>
      </c>
      <c r="K301" s="41" t="s">
        <v>261</v>
      </c>
      <c r="L301" s="41"/>
      <c r="M301" s="110"/>
      <c r="N301" s="110"/>
      <c r="O301" s="110"/>
      <c r="P301" s="41"/>
      <c r="Q301" s="39"/>
      <c r="R301" s="39"/>
      <c r="S301" s="46">
        <v>0.67</v>
      </c>
      <c r="T301" s="109">
        <f>IFERROR(__xludf.DUMMYFUNCTION("((IFERROR(MIN(FILTER({L301, O301, R301}, ISNUMBER({L301, O301, R301}), {L301, O301, R301} &gt; 0)), """"))*S301)+IFERROR(MIN(FILTER({L301, O301, R301}, ISNUMBER({L301, O301, R301}), {L301, O301, R301} &gt; 0)), """")"),0.0)</f>
        <v>0</v>
      </c>
      <c r="U301" s="109"/>
      <c r="V301" s="77" t="str">
        <f>IFERROR(__xludf.DUMMYFUNCTION("(T301-(IFERROR(MIN(FILTER({L301, O301, R301}, ISNUMBER({L301, O301, R301}), {L301, O301, R301} &gt; 0)), """")))/T301"),"#DIV/0!")</f>
        <v>#DIV/0!</v>
      </c>
      <c r="W301" s="78"/>
      <c r="X301" s="79">
        <v>300.0</v>
      </c>
    </row>
    <row r="302" ht="22.5" customHeight="1">
      <c r="A302" s="37"/>
      <c r="B302" s="37"/>
      <c r="C302" s="37"/>
      <c r="D302" s="38"/>
      <c r="E302" s="103"/>
      <c r="F302" s="49"/>
      <c r="G302" s="37"/>
      <c r="H302" s="107"/>
      <c r="I302" s="34"/>
      <c r="J302" s="41" t="s">
        <v>261</v>
      </c>
      <c r="K302" s="41" t="s">
        <v>261</v>
      </c>
      <c r="L302" s="41"/>
      <c r="M302" s="110"/>
      <c r="N302" s="110"/>
      <c r="O302" s="110"/>
      <c r="P302" s="41"/>
      <c r="Q302" s="39"/>
      <c r="R302" s="41"/>
      <c r="S302" s="46">
        <v>0.67</v>
      </c>
      <c r="T302" s="109">
        <f>IFERROR(__xludf.DUMMYFUNCTION("((IFERROR(MIN(FILTER({L302, O302, R302}, ISNUMBER({L302, O302, R302}), {L302, O302, R302} &gt; 0)), """"))*S302)+IFERROR(MIN(FILTER({L302, O302, R302}, ISNUMBER({L302, O302, R302}), {L302, O302, R302} &gt; 0)), """")"),0.0)</f>
        <v>0</v>
      </c>
      <c r="U302" s="109"/>
      <c r="V302" s="77" t="str">
        <f>IFERROR(__xludf.DUMMYFUNCTION("(T302-(IFERROR(MIN(FILTER({L302, O302, R302}, ISNUMBER({L302, O302, R302}), {L302, O302, R302} &gt; 0)), """")))/T302"),"#DIV/0!")</f>
        <v>#DIV/0!</v>
      </c>
      <c r="W302" s="78"/>
      <c r="X302" s="79">
        <v>300.0</v>
      </c>
    </row>
    <row r="303" ht="22.5" customHeight="1">
      <c r="A303" s="37"/>
      <c r="B303" s="37"/>
      <c r="C303" s="37"/>
      <c r="D303" s="38"/>
      <c r="E303" s="103"/>
      <c r="F303" s="49"/>
      <c r="G303" s="37"/>
      <c r="H303" s="107"/>
      <c r="I303" s="34"/>
      <c r="J303" s="41" t="s">
        <v>261</v>
      </c>
      <c r="K303" s="41" t="s">
        <v>261</v>
      </c>
      <c r="L303" s="41"/>
      <c r="M303" s="110"/>
      <c r="N303" s="110"/>
      <c r="O303" s="110"/>
      <c r="P303" s="41"/>
      <c r="Q303" s="39"/>
      <c r="R303" s="41"/>
      <c r="S303" s="46">
        <v>0.67</v>
      </c>
      <c r="T303" s="109">
        <f>IFERROR(__xludf.DUMMYFUNCTION("((IFERROR(MIN(FILTER({L303, O303, R303}, ISNUMBER({L303, O303, R303}), {L303, O303, R303} &gt; 0)), """"))*S303)+IFERROR(MIN(FILTER({L303, O303, R303}, ISNUMBER({L303, O303, R303}), {L303, O303, R303} &gt; 0)), """")"),0.0)</f>
        <v>0</v>
      </c>
      <c r="U303" s="109"/>
      <c r="V303" s="77" t="str">
        <f>IFERROR(__xludf.DUMMYFUNCTION("(T303-(IFERROR(MIN(FILTER({L303, O303, R303}, ISNUMBER({L303, O303, R303}), {L303, O303, R303} &gt; 0)), """")))/T303"),"#DIV/0!")</f>
        <v>#DIV/0!</v>
      </c>
      <c r="W303" s="78"/>
      <c r="X303" s="79">
        <v>300.0</v>
      </c>
    </row>
    <row r="304" ht="22.5" customHeight="1">
      <c r="A304" s="37"/>
      <c r="B304" s="37"/>
      <c r="C304" s="37"/>
      <c r="D304" s="38"/>
      <c r="E304" s="103"/>
      <c r="F304" s="49"/>
      <c r="G304" s="37"/>
      <c r="H304" s="107"/>
      <c r="I304" s="34"/>
      <c r="J304" s="41" t="s">
        <v>261</v>
      </c>
      <c r="K304" s="41" t="s">
        <v>261</v>
      </c>
      <c r="L304" s="41"/>
      <c r="M304" s="110"/>
      <c r="N304" s="110"/>
      <c r="O304" s="110"/>
      <c r="P304" s="41"/>
      <c r="Q304" s="39"/>
      <c r="R304" s="41"/>
      <c r="S304" s="46">
        <v>0.67</v>
      </c>
      <c r="T304" s="109">
        <f>IFERROR(__xludf.DUMMYFUNCTION("((IFERROR(MIN(FILTER({L304, O304, R304}, ISNUMBER({L304, O304, R304}), {L304, O304, R304} &gt; 0)), """"))*S304)+IFERROR(MIN(FILTER({L304, O304, R304}, ISNUMBER({L304, O304, R304}), {L304, O304, R304} &gt; 0)), """")"),0.0)</f>
        <v>0</v>
      </c>
      <c r="U304" s="109"/>
      <c r="V304" s="77" t="str">
        <f>IFERROR(__xludf.DUMMYFUNCTION("(T304-(IFERROR(MIN(FILTER({L304, O304, R304}, ISNUMBER({L304, O304, R304}), {L304, O304, R304} &gt; 0)), """")))/T304"),"#DIV/0!")</f>
        <v>#DIV/0!</v>
      </c>
      <c r="W304" s="78"/>
      <c r="X304" s="79">
        <v>300.0</v>
      </c>
    </row>
    <row r="305" ht="22.5" customHeight="1">
      <c r="A305" s="37"/>
      <c r="B305" s="37"/>
      <c r="C305" s="37"/>
      <c r="D305" s="38"/>
      <c r="E305" s="103"/>
      <c r="F305" s="49"/>
      <c r="G305" s="37"/>
      <c r="H305" s="107"/>
      <c r="I305" s="34"/>
      <c r="J305" s="41" t="s">
        <v>261</v>
      </c>
      <c r="K305" s="41" t="s">
        <v>261</v>
      </c>
      <c r="L305" s="41"/>
      <c r="M305" s="110"/>
      <c r="N305" s="110"/>
      <c r="O305" s="110"/>
      <c r="P305" s="41"/>
      <c r="Q305" s="41"/>
      <c r="R305" s="41"/>
      <c r="S305" s="46">
        <v>0.67</v>
      </c>
      <c r="T305" s="109">
        <f>IFERROR(__xludf.DUMMYFUNCTION("((IFERROR(MIN(FILTER({L305, O305, R305}, ISNUMBER({L305, O305, R305}), {L305, O305, R305} &gt; 0)), """"))*S305)+IFERROR(MIN(FILTER({L305, O305, R305}, ISNUMBER({L305, O305, R305}), {L305, O305, R305} &gt; 0)), """")"),0.0)</f>
        <v>0</v>
      </c>
      <c r="U305" s="109"/>
      <c r="V305" s="77" t="str">
        <f>IFERROR(__xludf.DUMMYFUNCTION("(T305-(IFERROR(MIN(FILTER({L305, O305, R305}, ISNUMBER({L305, O305, R305}), {L305, O305, R305} &gt; 0)), """")))/T305"),"#DIV/0!")</f>
        <v>#DIV/0!</v>
      </c>
      <c r="W305" s="78"/>
      <c r="X305" s="79">
        <v>300.0</v>
      </c>
    </row>
    <row r="306" ht="22.5" customHeight="1">
      <c r="A306" s="37"/>
      <c r="B306" s="37"/>
      <c r="C306" s="37"/>
      <c r="D306" s="38"/>
      <c r="E306" s="103"/>
      <c r="F306" s="49"/>
      <c r="G306" s="37"/>
      <c r="H306" s="107"/>
      <c r="I306" s="34"/>
      <c r="J306" s="41" t="s">
        <v>261</v>
      </c>
      <c r="K306" s="41" t="s">
        <v>261</v>
      </c>
      <c r="L306" s="41"/>
      <c r="M306" s="110"/>
      <c r="N306" s="110"/>
      <c r="O306" s="110"/>
      <c r="P306" s="41"/>
      <c r="Q306" s="41"/>
      <c r="R306" s="41"/>
      <c r="S306" s="46">
        <v>0.67</v>
      </c>
      <c r="T306" s="109">
        <f>IFERROR(__xludf.DUMMYFUNCTION("((IFERROR(MIN(FILTER({L306, O306, R306}, ISNUMBER({L306, O306, R306}), {L306, O306, R306} &gt; 0)), """"))*S306)+IFERROR(MIN(FILTER({L306, O306, R306}, ISNUMBER({L306, O306, R306}), {L306, O306, R306} &gt; 0)), """")"),0.0)</f>
        <v>0</v>
      </c>
      <c r="U306" s="109"/>
      <c r="V306" s="77" t="str">
        <f>IFERROR(__xludf.DUMMYFUNCTION("(T306-(IFERROR(MIN(FILTER({L306, O306, R306}, ISNUMBER({L306, O306, R306}), {L306, O306, R306} &gt; 0)), """")))/T306"),"#DIV/0!")</f>
        <v>#DIV/0!</v>
      </c>
      <c r="W306" s="78"/>
      <c r="X306" s="79">
        <v>300.0</v>
      </c>
    </row>
    <row r="307" ht="22.5" customHeight="1">
      <c r="A307" s="37"/>
      <c r="B307" s="37"/>
      <c r="C307" s="37"/>
      <c r="D307" s="38"/>
      <c r="E307" s="103"/>
      <c r="F307" s="49"/>
      <c r="G307" s="37"/>
      <c r="H307" s="107"/>
      <c r="I307" s="34"/>
      <c r="J307" s="41" t="s">
        <v>261</v>
      </c>
      <c r="K307" s="41" t="s">
        <v>261</v>
      </c>
      <c r="L307" s="41"/>
      <c r="M307" s="110"/>
      <c r="N307" s="110"/>
      <c r="O307" s="110"/>
      <c r="P307" s="41"/>
      <c r="Q307" s="41"/>
      <c r="R307" s="41"/>
      <c r="S307" s="46">
        <v>0.67</v>
      </c>
      <c r="T307" s="109">
        <f>IFERROR(__xludf.DUMMYFUNCTION("((IFERROR(MIN(FILTER({L307, O307, R307}, ISNUMBER({L307, O307, R307}), {L307, O307, R307} &gt; 0)), """"))*S307)+IFERROR(MIN(FILTER({L307, O307, R307}, ISNUMBER({L307, O307, R307}), {L307, O307, R307} &gt; 0)), """")"),0.0)</f>
        <v>0</v>
      </c>
      <c r="U307" s="109"/>
      <c r="V307" s="77" t="str">
        <f>IFERROR(__xludf.DUMMYFUNCTION("(T307-(IFERROR(MIN(FILTER({L307, O307, R307}, ISNUMBER({L307, O307, R307}), {L307, O307, R307} &gt; 0)), """")))/T307"),"#DIV/0!")</f>
        <v>#DIV/0!</v>
      </c>
      <c r="W307" s="78"/>
      <c r="X307" s="79">
        <v>300.0</v>
      </c>
    </row>
    <row r="308" ht="22.5" customHeight="1">
      <c r="A308" s="37"/>
      <c r="B308" s="37"/>
      <c r="C308" s="37"/>
      <c r="D308" s="38"/>
      <c r="E308" s="103"/>
      <c r="F308" s="49"/>
      <c r="G308" s="37"/>
      <c r="H308" s="107"/>
      <c r="I308" s="34"/>
      <c r="J308" s="41" t="s">
        <v>261</v>
      </c>
      <c r="K308" s="41" t="s">
        <v>261</v>
      </c>
      <c r="L308" s="41"/>
      <c r="M308" s="110"/>
      <c r="N308" s="110"/>
      <c r="O308" s="110"/>
      <c r="P308" s="41"/>
      <c r="Q308" s="41"/>
      <c r="R308" s="41"/>
      <c r="S308" s="46">
        <v>0.67</v>
      </c>
      <c r="T308" s="109">
        <f>IFERROR(__xludf.DUMMYFUNCTION("((IFERROR(MIN(FILTER({L308, O308, R308}, ISNUMBER({L308, O308, R308}), {L308, O308, R308} &gt; 0)), """"))*S308)+IFERROR(MIN(FILTER({L308, O308, R308}, ISNUMBER({L308, O308, R308}), {L308, O308, R308} &gt; 0)), """")"),0.0)</f>
        <v>0</v>
      </c>
      <c r="U308" s="109"/>
      <c r="V308" s="77" t="str">
        <f>IFERROR(__xludf.DUMMYFUNCTION("(T308-(IFERROR(MIN(FILTER({L308, O308, R308}, ISNUMBER({L308, O308, R308}), {L308, O308, R308} &gt; 0)), """")))/T308"),"#DIV/0!")</f>
        <v>#DIV/0!</v>
      </c>
      <c r="W308" s="78"/>
      <c r="X308" s="79">
        <v>300.0</v>
      </c>
    </row>
    <row r="309" ht="22.5" customHeight="1">
      <c r="A309" s="37"/>
      <c r="B309" s="37"/>
      <c r="C309" s="37"/>
      <c r="D309" s="38"/>
      <c r="E309" s="103"/>
      <c r="F309" s="49"/>
      <c r="G309" s="37"/>
      <c r="H309" s="107"/>
      <c r="I309" s="34"/>
      <c r="J309" s="41" t="s">
        <v>261</v>
      </c>
      <c r="K309" s="41" t="s">
        <v>261</v>
      </c>
      <c r="L309" s="41"/>
      <c r="M309" s="110"/>
      <c r="N309" s="110"/>
      <c r="O309" s="110"/>
      <c r="P309" s="41"/>
      <c r="Q309" s="41"/>
      <c r="R309" s="41"/>
      <c r="S309" s="46">
        <v>0.67</v>
      </c>
      <c r="T309" s="109">
        <f>IFERROR(__xludf.DUMMYFUNCTION("((IFERROR(MIN(FILTER({L309, O309, R309}, ISNUMBER({L309, O309, R309}), {L309, O309, R309} &gt; 0)), """"))*S309)+IFERROR(MIN(FILTER({L309, O309, R309}, ISNUMBER({L309, O309, R309}), {L309, O309, R309} &gt; 0)), """")"),0.0)</f>
        <v>0</v>
      </c>
      <c r="U309" s="109"/>
      <c r="V309" s="77" t="str">
        <f>IFERROR(__xludf.DUMMYFUNCTION("(T309-(IFERROR(MIN(FILTER({L309, O309, R309}, ISNUMBER({L309, O309, R309}), {L309, O309, R309} &gt; 0)), """")))/T309"),"#DIV/0!")</f>
        <v>#DIV/0!</v>
      </c>
      <c r="W309" s="78"/>
      <c r="X309" s="79">
        <v>300.0</v>
      </c>
    </row>
    <row r="310" ht="22.5" customHeight="1">
      <c r="A310" s="37"/>
      <c r="B310" s="37"/>
      <c r="C310" s="37"/>
      <c r="D310" s="38"/>
      <c r="E310" s="103"/>
      <c r="F310" s="49"/>
      <c r="G310" s="37"/>
      <c r="H310" s="107"/>
      <c r="I310" s="34"/>
      <c r="J310" s="41" t="s">
        <v>261</v>
      </c>
      <c r="K310" s="41" t="s">
        <v>261</v>
      </c>
      <c r="L310" s="41"/>
      <c r="M310" s="110"/>
      <c r="N310" s="110"/>
      <c r="O310" s="110"/>
      <c r="P310" s="41"/>
      <c r="Q310" s="41"/>
      <c r="R310" s="41"/>
      <c r="S310" s="46">
        <v>0.67</v>
      </c>
      <c r="T310" s="109">
        <f>IFERROR(__xludf.DUMMYFUNCTION("((IFERROR(MIN(FILTER({L310, O310, R310}, ISNUMBER({L310, O310, R310}), {L310, O310, R310} &gt; 0)), """"))*S310)+IFERROR(MIN(FILTER({L310, O310, R310}, ISNUMBER({L310, O310, R310}), {L310, O310, R310} &gt; 0)), """")"),0.0)</f>
        <v>0</v>
      </c>
      <c r="U310" s="109"/>
      <c r="V310" s="77" t="str">
        <f>IFERROR(__xludf.DUMMYFUNCTION("(T310-(IFERROR(MIN(FILTER({L310, O310, R310}, ISNUMBER({L310, O310, R310}), {L310, O310, R310} &gt; 0)), """")))/T310"),"#DIV/0!")</f>
        <v>#DIV/0!</v>
      </c>
      <c r="W310" s="78"/>
      <c r="X310" s="79">
        <v>300.0</v>
      </c>
    </row>
    <row r="311">
      <c r="W311" s="130"/>
    </row>
    <row r="312">
      <c r="W312" s="130"/>
    </row>
    <row r="313">
      <c r="W313" s="130"/>
    </row>
    <row r="314">
      <c r="W314" s="130"/>
    </row>
    <row r="315">
      <c r="W315" s="130"/>
    </row>
    <row r="316">
      <c r="W316" s="130"/>
    </row>
    <row r="317">
      <c r="W317" s="130"/>
    </row>
    <row r="318">
      <c r="W318" s="130"/>
    </row>
    <row r="319">
      <c r="W319" s="130"/>
    </row>
    <row r="320">
      <c r="W320" s="130"/>
    </row>
    <row r="321">
      <c r="W321" s="130"/>
    </row>
    <row r="322">
      <c r="W322" s="130"/>
    </row>
    <row r="323">
      <c r="W323" s="130"/>
    </row>
    <row r="324">
      <c r="W324" s="130"/>
    </row>
    <row r="325">
      <c r="W325" s="130"/>
    </row>
    <row r="326">
      <c r="W326" s="130"/>
    </row>
    <row r="327">
      <c r="W327" s="130"/>
    </row>
    <row r="328">
      <c r="W328" s="130"/>
    </row>
    <row r="329">
      <c r="W329" s="130"/>
    </row>
    <row r="330">
      <c r="W330" s="130"/>
    </row>
    <row r="331">
      <c r="W331" s="130"/>
    </row>
    <row r="332">
      <c r="W332" s="130"/>
    </row>
    <row r="333">
      <c r="W333" s="130"/>
    </row>
    <row r="334">
      <c r="W334" s="130"/>
    </row>
    <row r="335">
      <c r="W335" s="130"/>
    </row>
    <row r="336">
      <c r="W336" s="130"/>
    </row>
    <row r="337">
      <c r="W337" s="130"/>
    </row>
    <row r="338">
      <c r="W338" s="130"/>
    </row>
    <row r="339">
      <c r="W339" s="130"/>
    </row>
    <row r="340">
      <c r="W340" s="130"/>
    </row>
    <row r="341">
      <c r="W341" s="130"/>
    </row>
    <row r="342">
      <c r="W342" s="130"/>
    </row>
    <row r="343">
      <c r="W343" s="130"/>
    </row>
    <row r="344">
      <c r="W344" s="130"/>
    </row>
    <row r="345">
      <c r="W345" s="130"/>
    </row>
    <row r="346">
      <c r="W346" s="130"/>
    </row>
    <row r="347">
      <c r="W347" s="130"/>
    </row>
    <row r="348">
      <c r="W348" s="130"/>
    </row>
    <row r="349">
      <c r="W349" s="130"/>
    </row>
    <row r="350">
      <c r="W350" s="130"/>
    </row>
    <row r="351">
      <c r="W351" s="130"/>
    </row>
    <row r="352">
      <c r="W352" s="130"/>
    </row>
    <row r="353">
      <c r="W353" s="130"/>
    </row>
    <row r="354">
      <c r="W354" s="130"/>
    </row>
    <row r="355">
      <c r="W355" s="130"/>
    </row>
    <row r="356">
      <c r="W356" s="130"/>
    </row>
    <row r="357">
      <c r="W357" s="130"/>
    </row>
    <row r="358">
      <c r="W358" s="130"/>
    </row>
    <row r="359">
      <c r="W359" s="130"/>
    </row>
    <row r="360">
      <c r="W360" s="130"/>
    </row>
    <row r="361">
      <c r="W361" s="130"/>
    </row>
    <row r="362">
      <c r="W362" s="130"/>
    </row>
    <row r="363">
      <c r="W363" s="130"/>
    </row>
    <row r="364">
      <c r="W364" s="130"/>
    </row>
    <row r="365">
      <c r="W365" s="130"/>
    </row>
    <row r="366">
      <c r="W366" s="130"/>
    </row>
    <row r="367">
      <c r="W367" s="130"/>
    </row>
    <row r="368">
      <c r="W368" s="130"/>
    </row>
    <row r="369">
      <c r="W369" s="130"/>
    </row>
    <row r="370">
      <c r="W370" s="130"/>
    </row>
    <row r="371">
      <c r="W371" s="130"/>
    </row>
    <row r="372">
      <c r="W372" s="130"/>
    </row>
    <row r="373">
      <c r="W373" s="130"/>
    </row>
    <row r="374">
      <c r="W374" s="130"/>
    </row>
    <row r="375">
      <c r="W375" s="130"/>
    </row>
    <row r="376">
      <c r="W376" s="130"/>
    </row>
    <row r="377">
      <c r="W377" s="130"/>
    </row>
    <row r="378">
      <c r="W378" s="130"/>
    </row>
    <row r="379">
      <c r="W379" s="130"/>
    </row>
    <row r="380">
      <c r="W380" s="130"/>
    </row>
    <row r="381">
      <c r="W381" s="130"/>
    </row>
    <row r="382">
      <c r="W382" s="130"/>
    </row>
    <row r="383">
      <c r="W383" s="130"/>
    </row>
    <row r="384">
      <c r="W384" s="130"/>
    </row>
    <row r="385">
      <c r="W385" s="130"/>
    </row>
    <row r="386">
      <c r="W386" s="130"/>
    </row>
    <row r="387">
      <c r="W387" s="130"/>
    </row>
    <row r="388">
      <c r="W388" s="130"/>
    </row>
    <row r="389">
      <c r="W389" s="130"/>
    </row>
    <row r="390">
      <c r="W390" s="130"/>
    </row>
    <row r="391">
      <c r="W391" s="130"/>
    </row>
    <row r="392">
      <c r="W392" s="130"/>
    </row>
    <row r="393">
      <c r="W393" s="130"/>
    </row>
    <row r="394">
      <c r="W394" s="130"/>
    </row>
    <row r="395">
      <c r="W395" s="130"/>
    </row>
    <row r="396">
      <c r="W396" s="130"/>
    </row>
    <row r="397">
      <c r="W397" s="130"/>
    </row>
    <row r="398">
      <c r="W398" s="130"/>
    </row>
    <row r="399">
      <c r="W399" s="130"/>
    </row>
    <row r="400">
      <c r="W400" s="130"/>
    </row>
    <row r="401">
      <c r="W401" s="130"/>
    </row>
    <row r="402">
      <c r="W402" s="130"/>
    </row>
    <row r="403">
      <c r="W403" s="130"/>
    </row>
    <row r="404">
      <c r="W404" s="130"/>
    </row>
    <row r="405">
      <c r="W405" s="130"/>
    </row>
    <row r="406">
      <c r="W406" s="130"/>
    </row>
    <row r="407">
      <c r="W407" s="130"/>
    </row>
    <row r="408">
      <c r="W408" s="130"/>
    </row>
    <row r="409">
      <c r="W409" s="130"/>
    </row>
    <row r="410">
      <c r="W410" s="130"/>
    </row>
    <row r="411">
      <c r="W411" s="130"/>
    </row>
    <row r="412">
      <c r="W412" s="130"/>
    </row>
    <row r="413">
      <c r="W413" s="130"/>
    </row>
    <row r="414">
      <c r="W414" s="130"/>
    </row>
    <row r="415">
      <c r="W415" s="130"/>
    </row>
    <row r="416">
      <c r="W416" s="130"/>
    </row>
    <row r="417">
      <c r="W417" s="130"/>
    </row>
    <row r="418">
      <c r="W418" s="130"/>
    </row>
    <row r="419">
      <c r="W419" s="130"/>
    </row>
    <row r="420">
      <c r="W420" s="130"/>
    </row>
    <row r="421">
      <c r="W421" s="130"/>
    </row>
    <row r="422">
      <c r="W422" s="130"/>
    </row>
    <row r="423">
      <c r="W423" s="130"/>
    </row>
    <row r="424">
      <c r="W424" s="130"/>
    </row>
    <row r="425">
      <c r="W425" s="130"/>
    </row>
    <row r="426">
      <c r="W426" s="130"/>
    </row>
    <row r="427">
      <c r="W427" s="130"/>
    </row>
    <row r="428">
      <c r="W428" s="130"/>
    </row>
    <row r="429">
      <c r="W429" s="130"/>
    </row>
    <row r="430">
      <c r="W430" s="130"/>
    </row>
    <row r="431">
      <c r="W431" s="130"/>
    </row>
    <row r="432">
      <c r="W432" s="130"/>
    </row>
    <row r="433">
      <c r="W433" s="130"/>
    </row>
    <row r="434">
      <c r="W434" s="130"/>
    </row>
    <row r="435">
      <c r="W435" s="130"/>
    </row>
    <row r="436">
      <c r="W436" s="130"/>
    </row>
    <row r="437">
      <c r="W437" s="130"/>
    </row>
    <row r="438">
      <c r="W438" s="130"/>
    </row>
    <row r="439">
      <c r="W439" s="130"/>
    </row>
    <row r="440">
      <c r="W440" s="130"/>
    </row>
    <row r="441">
      <c r="W441" s="130"/>
    </row>
    <row r="442">
      <c r="W442" s="130"/>
    </row>
    <row r="443">
      <c r="W443" s="130"/>
    </row>
    <row r="444">
      <c r="W444" s="130"/>
    </row>
    <row r="445">
      <c r="W445" s="130"/>
    </row>
    <row r="446">
      <c r="W446" s="130"/>
    </row>
    <row r="447">
      <c r="W447" s="130"/>
    </row>
    <row r="448">
      <c r="W448" s="130"/>
    </row>
    <row r="449">
      <c r="W449" s="130"/>
    </row>
    <row r="450">
      <c r="W450" s="130"/>
    </row>
    <row r="451">
      <c r="W451" s="130"/>
    </row>
    <row r="452">
      <c r="W452" s="130"/>
    </row>
    <row r="453">
      <c r="W453" s="130"/>
    </row>
    <row r="454">
      <c r="W454" s="130"/>
    </row>
    <row r="455">
      <c r="W455" s="130"/>
    </row>
    <row r="456">
      <c r="W456" s="130"/>
    </row>
    <row r="457">
      <c r="W457" s="130"/>
    </row>
    <row r="458">
      <c r="W458" s="130"/>
    </row>
    <row r="459">
      <c r="W459" s="130"/>
    </row>
    <row r="460">
      <c r="W460" s="130"/>
    </row>
    <row r="461">
      <c r="W461" s="130"/>
    </row>
    <row r="462">
      <c r="W462" s="130"/>
    </row>
    <row r="463">
      <c r="W463" s="130"/>
    </row>
    <row r="464">
      <c r="W464" s="130"/>
    </row>
    <row r="465">
      <c r="W465" s="130"/>
    </row>
    <row r="466">
      <c r="W466" s="130"/>
    </row>
    <row r="467">
      <c r="W467" s="130"/>
    </row>
    <row r="468">
      <c r="W468" s="130"/>
    </row>
    <row r="469">
      <c r="W469" s="130"/>
    </row>
    <row r="470">
      <c r="W470" s="130"/>
    </row>
    <row r="471">
      <c r="W471" s="130"/>
    </row>
    <row r="472">
      <c r="W472" s="130"/>
    </row>
    <row r="473">
      <c r="W473" s="130"/>
    </row>
    <row r="474">
      <c r="W474" s="130"/>
    </row>
    <row r="475">
      <c r="W475" s="130"/>
    </row>
    <row r="476">
      <c r="W476" s="130"/>
    </row>
    <row r="477">
      <c r="W477" s="130"/>
    </row>
    <row r="478">
      <c r="W478" s="130"/>
    </row>
    <row r="479">
      <c r="W479" s="130"/>
    </row>
    <row r="480">
      <c r="W480" s="130"/>
    </row>
    <row r="481">
      <c r="W481" s="130"/>
    </row>
    <row r="482">
      <c r="W482" s="130"/>
    </row>
    <row r="483">
      <c r="W483" s="130"/>
    </row>
    <row r="484">
      <c r="W484" s="130"/>
    </row>
    <row r="485">
      <c r="W485" s="130"/>
    </row>
    <row r="486">
      <c r="W486" s="130"/>
    </row>
    <row r="487">
      <c r="W487" s="130"/>
    </row>
    <row r="488">
      <c r="W488" s="130"/>
    </row>
    <row r="489">
      <c r="W489" s="130"/>
    </row>
    <row r="490">
      <c r="W490" s="130"/>
    </row>
    <row r="491">
      <c r="W491" s="130"/>
    </row>
    <row r="492">
      <c r="W492" s="130"/>
    </row>
    <row r="493">
      <c r="W493" s="130"/>
    </row>
    <row r="494">
      <c r="W494" s="130"/>
    </row>
    <row r="495">
      <c r="W495" s="130"/>
    </row>
    <row r="496">
      <c r="W496" s="130"/>
    </row>
    <row r="497">
      <c r="W497" s="130"/>
    </row>
    <row r="498">
      <c r="W498" s="130"/>
    </row>
    <row r="499">
      <c r="W499" s="130"/>
    </row>
    <row r="500">
      <c r="W500" s="130"/>
    </row>
    <row r="501">
      <c r="W501" s="130"/>
    </row>
    <row r="502">
      <c r="W502" s="130"/>
    </row>
    <row r="503">
      <c r="W503" s="130"/>
    </row>
    <row r="504">
      <c r="W504" s="130"/>
    </row>
    <row r="505">
      <c r="W505" s="130"/>
    </row>
    <row r="506">
      <c r="W506" s="130"/>
    </row>
    <row r="507">
      <c r="W507" s="130"/>
    </row>
    <row r="508">
      <c r="W508" s="130"/>
    </row>
    <row r="509">
      <c r="W509" s="130"/>
    </row>
    <row r="510">
      <c r="W510" s="130"/>
    </row>
    <row r="511">
      <c r="W511" s="130"/>
    </row>
    <row r="512">
      <c r="W512" s="130"/>
    </row>
    <row r="513">
      <c r="W513" s="130"/>
    </row>
    <row r="514">
      <c r="W514" s="130"/>
    </row>
    <row r="515">
      <c r="W515" s="130"/>
    </row>
    <row r="516">
      <c r="W516" s="130"/>
    </row>
    <row r="517">
      <c r="W517" s="130"/>
    </row>
    <row r="518">
      <c r="W518" s="130"/>
    </row>
    <row r="519">
      <c r="W519" s="130"/>
    </row>
    <row r="520">
      <c r="W520" s="130"/>
    </row>
    <row r="521">
      <c r="W521" s="130"/>
    </row>
    <row r="522">
      <c r="W522" s="130"/>
    </row>
    <row r="523">
      <c r="W523" s="130"/>
    </row>
    <row r="524">
      <c r="W524" s="130"/>
    </row>
    <row r="525">
      <c r="W525" s="130"/>
    </row>
    <row r="526">
      <c r="W526" s="130"/>
    </row>
    <row r="527">
      <c r="W527" s="130"/>
    </row>
    <row r="528">
      <c r="W528" s="130"/>
    </row>
    <row r="529">
      <c r="W529" s="130"/>
    </row>
    <row r="530">
      <c r="W530" s="130"/>
    </row>
    <row r="531">
      <c r="W531" s="130"/>
    </row>
    <row r="532">
      <c r="W532" s="130"/>
    </row>
    <row r="533">
      <c r="W533" s="130"/>
    </row>
    <row r="534">
      <c r="W534" s="130"/>
    </row>
    <row r="535">
      <c r="W535" s="130"/>
    </row>
    <row r="536">
      <c r="W536" s="130"/>
    </row>
    <row r="537">
      <c r="W537" s="130"/>
    </row>
    <row r="538">
      <c r="W538" s="130"/>
    </row>
    <row r="539">
      <c r="W539" s="130"/>
    </row>
    <row r="540">
      <c r="W540" s="130"/>
    </row>
    <row r="541">
      <c r="W541" s="130"/>
    </row>
    <row r="542">
      <c r="W542" s="130"/>
    </row>
    <row r="543">
      <c r="W543" s="130"/>
    </row>
    <row r="544">
      <c r="W544" s="130"/>
    </row>
    <row r="545">
      <c r="W545" s="130"/>
    </row>
    <row r="546">
      <c r="W546" s="130"/>
    </row>
    <row r="547">
      <c r="W547" s="130"/>
    </row>
    <row r="548">
      <c r="W548" s="130"/>
    </row>
    <row r="549">
      <c r="W549" s="130"/>
    </row>
    <row r="550">
      <c r="W550" s="130"/>
    </row>
    <row r="551">
      <c r="W551" s="130"/>
    </row>
    <row r="552">
      <c r="W552" s="130"/>
    </row>
    <row r="553">
      <c r="W553" s="130"/>
    </row>
    <row r="554">
      <c r="W554" s="130"/>
    </row>
    <row r="555">
      <c r="W555" s="130"/>
    </row>
    <row r="556">
      <c r="W556" s="130"/>
    </row>
    <row r="557">
      <c r="W557" s="130"/>
    </row>
    <row r="558">
      <c r="W558" s="130"/>
    </row>
    <row r="559">
      <c r="W559" s="130"/>
    </row>
    <row r="560">
      <c r="W560" s="130"/>
    </row>
    <row r="561">
      <c r="W561" s="130"/>
    </row>
    <row r="562">
      <c r="W562" s="130"/>
    </row>
    <row r="563">
      <c r="W563" s="130"/>
    </row>
    <row r="564">
      <c r="W564" s="130"/>
    </row>
    <row r="565">
      <c r="W565" s="130"/>
    </row>
    <row r="566">
      <c r="W566" s="130"/>
    </row>
    <row r="567">
      <c r="W567" s="130"/>
    </row>
    <row r="568">
      <c r="W568" s="130"/>
    </row>
    <row r="569">
      <c r="W569" s="130"/>
    </row>
    <row r="570">
      <c r="W570" s="130"/>
    </row>
    <row r="571">
      <c r="W571" s="130"/>
    </row>
    <row r="572">
      <c r="W572" s="130"/>
    </row>
    <row r="573">
      <c r="W573" s="130"/>
    </row>
    <row r="574">
      <c r="W574" s="130"/>
    </row>
    <row r="575">
      <c r="W575" s="130"/>
    </row>
    <row r="576">
      <c r="W576" s="130"/>
    </row>
    <row r="577">
      <c r="W577" s="130"/>
    </row>
    <row r="578">
      <c r="W578" s="130"/>
    </row>
    <row r="579">
      <c r="W579" s="130"/>
    </row>
    <row r="580">
      <c r="W580" s="130"/>
    </row>
    <row r="581">
      <c r="W581" s="130"/>
    </row>
    <row r="582">
      <c r="W582" s="130"/>
    </row>
    <row r="583">
      <c r="W583" s="130"/>
    </row>
    <row r="584">
      <c r="W584" s="130"/>
    </row>
    <row r="585">
      <c r="W585" s="130"/>
    </row>
    <row r="586">
      <c r="W586" s="130"/>
    </row>
    <row r="587">
      <c r="W587" s="130"/>
    </row>
    <row r="588">
      <c r="W588" s="130"/>
    </row>
    <row r="589">
      <c r="W589" s="130"/>
    </row>
    <row r="590">
      <c r="W590" s="130"/>
    </row>
    <row r="591">
      <c r="W591" s="130"/>
    </row>
    <row r="592">
      <c r="W592" s="130"/>
    </row>
    <row r="593">
      <c r="W593" s="130"/>
    </row>
    <row r="594">
      <c r="W594" s="130"/>
    </row>
    <row r="595">
      <c r="W595" s="130"/>
    </row>
    <row r="596">
      <c r="W596" s="130"/>
    </row>
    <row r="597">
      <c r="W597" s="130"/>
    </row>
    <row r="598">
      <c r="W598" s="130"/>
    </row>
    <row r="599">
      <c r="W599" s="130"/>
    </row>
    <row r="600">
      <c r="W600" s="130"/>
    </row>
    <row r="601">
      <c r="W601" s="130"/>
    </row>
    <row r="602">
      <c r="W602" s="130"/>
    </row>
    <row r="603">
      <c r="W603" s="130"/>
    </row>
    <row r="604">
      <c r="W604" s="130"/>
    </row>
    <row r="605">
      <c r="W605" s="130"/>
    </row>
    <row r="606">
      <c r="W606" s="130"/>
    </row>
    <row r="607">
      <c r="W607" s="130"/>
    </row>
    <row r="608">
      <c r="W608" s="130"/>
    </row>
    <row r="609">
      <c r="W609" s="130"/>
    </row>
    <row r="610">
      <c r="W610" s="130"/>
    </row>
    <row r="611">
      <c r="W611" s="130"/>
    </row>
    <row r="612">
      <c r="W612" s="130"/>
    </row>
    <row r="613">
      <c r="W613" s="130"/>
    </row>
    <row r="614">
      <c r="W614" s="130"/>
    </row>
    <row r="615">
      <c r="W615" s="130"/>
    </row>
    <row r="616">
      <c r="W616" s="130"/>
    </row>
    <row r="617">
      <c r="W617" s="130"/>
    </row>
    <row r="618">
      <c r="W618" s="130"/>
    </row>
    <row r="619">
      <c r="W619" s="130"/>
    </row>
    <row r="620">
      <c r="W620" s="130"/>
    </row>
    <row r="621">
      <c r="W621" s="130"/>
    </row>
    <row r="622">
      <c r="W622" s="130"/>
    </row>
    <row r="623">
      <c r="W623" s="130"/>
    </row>
    <row r="624">
      <c r="W624" s="130"/>
    </row>
    <row r="625">
      <c r="W625" s="130"/>
    </row>
    <row r="626">
      <c r="W626" s="130"/>
    </row>
    <row r="627">
      <c r="W627" s="130"/>
    </row>
    <row r="628">
      <c r="W628" s="130"/>
    </row>
    <row r="629">
      <c r="W629" s="130"/>
    </row>
    <row r="630">
      <c r="W630" s="130"/>
    </row>
    <row r="631">
      <c r="W631" s="130"/>
    </row>
    <row r="632">
      <c r="W632" s="130"/>
    </row>
    <row r="633">
      <c r="W633" s="130"/>
    </row>
    <row r="634">
      <c r="W634" s="130"/>
    </row>
    <row r="635">
      <c r="W635" s="130"/>
    </row>
    <row r="636">
      <c r="W636" s="130"/>
    </row>
    <row r="637">
      <c r="W637" s="130"/>
    </row>
    <row r="638">
      <c r="W638" s="130"/>
    </row>
    <row r="639">
      <c r="W639" s="130"/>
    </row>
    <row r="640">
      <c r="W640" s="130"/>
    </row>
    <row r="641">
      <c r="W641" s="130"/>
    </row>
    <row r="642">
      <c r="W642" s="130"/>
    </row>
    <row r="643">
      <c r="W643" s="130"/>
    </row>
    <row r="644">
      <c r="W644" s="130"/>
    </row>
    <row r="645">
      <c r="W645" s="130"/>
    </row>
    <row r="646">
      <c r="W646" s="130"/>
    </row>
    <row r="647">
      <c r="W647" s="130"/>
    </row>
    <row r="648">
      <c r="W648" s="130"/>
    </row>
    <row r="649">
      <c r="W649" s="130"/>
    </row>
    <row r="650">
      <c r="W650" s="130"/>
    </row>
    <row r="651">
      <c r="W651" s="130"/>
    </row>
    <row r="652">
      <c r="W652" s="130"/>
    </row>
    <row r="653">
      <c r="W653" s="130"/>
    </row>
    <row r="654">
      <c r="W654" s="130"/>
    </row>
    <row r="655">
      <c r="W655" s="130"/>
    </row>
    <row r="656">
      <c r="W656" s="130"/>
    </row>
    <row r="657">
      <c r="W657" s="130"/>
    </row>
    <row r="658">
      <c r="W658" s="130"/>
    </row>
    <row r="659">
      <c r="W659" s="130"/>
    </row>
    <row r="660">
      <c r="W660" s="130"/>
    </row>
    <row r="661">
      <c r="W661" s="130"/>
    </row>
    <row r="662">
      <c r="W662" s="130"/>
    </row>
    <row r="663">
      <c r="W663" s="130"/>
    </row>
    <row r="664">
      <c r="W664" s="130"/>
    </row>
    <row r="665">
      <c r="W665" s="130"/>
    </row>
    <row r="666">
      <c r="W666" s="130"/>
    </row>
    <row r="667">
      <c r="W667" s="130"/>
    </row>
    <row r="668">
      <c r="W668" s="130"/>
    </row>
    <row r="669">
      <c r="W669" s="130"/>
    </row>
    <row r="670">
      <c r="W670" s="130"/>
    </row>
    <row r="671">
      <c r="W671" s="130"/>
    </row>
    <row r="672">
      <c r="W672" s="130"/>
    </row>
    <row r="673">
      <c r="W673" s="130"/>
    </row>
    <row r="674">
      <c r="W674" s="130"/>
    </row>
    <row r="675">
      <c r="W675" s="130"/>
    </row>
    <row r="676">
      <c r="W676" s="130"/>
    </row>
    <row r="677">
      <c r="W677" s="130"/>
    </row>
    <row r="678">
      <c r="W678" s="130"/>
    </row>
    <row r="679">
      <c r="W679" s="130"/>
    </row>
    <row r="680">
      <c r="W680" s="130"/>
    </row>
    <row r="681">
      <c r="W681" s="130"/>
    </row>
    <row r="682">
      <c r="W682" s="130"/>
    </row>
    <row r="683">
      <c r="W683" s="130"/>
    </row>
    <row r="684">
      <c r="W684" s="130"/>
    </row>
    <row r="685">
      <c r="W685" s="130"/>
    </row>
    <row r="686">
      <c r="W686" s="130"/>
    </row>
    <row r="687">
      <c r="W687" s="130"/>
    </row>
    <row r="688">
      <c r="W688" s="130"/>
    </row>
    <row r="689">
      <c r="W689" s="130"/>
    </row>
    <row r="690">
      <c r="W690" s="130"/>
    </row>
    <row r="691">
      <c r="W691" s="130"/>
    </row>
    <row r="692">
      <c r="W692" s="130"/>
    </row>
    <row r="693">
      <c r="W693" s="130"/>
    </row>
    <row r="694">
      <c r="W694" s="130"/>
    </row>
    <row r="695">
      <c r="W695" s="130"/>
    </row>
    <row r="696">
      <c r="W696" s="130"/>
    </row>
    <row r="697">
      <c r="W697" s="130"/>
    </row>
    <row r="698">
      <c r="W698" s="130"/>
    </row>
    <row r="699">
      <c r="W699" s="130"/>
    </row>
    <row r="700">
      <c r="W700" s="130"/>
    </row>
    <row r="701">
      <c r="W701" s="130"/>
    </row>
    <row r="702">
      <c r="W702" s="130"/>
    </row>
    <row r="703">
      <c r="W703" s="130"/>
    </row>
    <row r="704">
      <c r="W704" s="130"/>
    </row>
    <row r="705">
      <c r="W705" s="130"/>
    </row>
    <row r="706">
      <c r="W706" s="130"/>
    </row>
    <row r="707">
      <c r="W707" s="130"/>
    </row>
    <row r="708">
      <c r="W708" s="130"/>
    </row>
    <row r="709">
      <c r="W709" s="130"/>
    </row>
    <row r="710">
      <c r="W710" s="130"/>
    </row>
    <row r="711">
      <c r="W711" s="130"/>
    </row>
    <row r="712">
      <c r="W712" s="130"/>
    </row>
    <row r="713">
      <c r="W713" s="130"/>
    </row>
    <row r="714">
      <c r="W714" s="130"/>
    </row>
    <row r="715">
      <c r="W715" s="130"/>
    </row>
    <row r="716">
      <c r="W716" s="130"/>
    </row>
    <row r="717">
      <c r="W717" s="130"/>
    </row>
    <row r="718">
      <c r="W718" s="130"/>
    </row>
    <row r="719">
      <c r="W719" s="130"/>
    </row>
    <row r="720">
      <c r="W720" s="130"/>
    </row>
    <row r="721">
      <c r="W721" s="130"/>
    </row>
    <row r="722">
      <c r="W722" s="130"/>
    </row>
    <row r="723">
      <c r="W723" s="130"/>
    </row>
    <row r="724">
      <c r="W724" s="130"/>
    </row>
    <row r="725">
      <c r="W725" s="130"/>
    </row>
    <row r="726">
      <c r="W726" s="130"/>
    </row>
    <row r="727">
      <c r="W727" s="130"/>
    </row>
    <row r="728">
      <c r="W728" s="130"/>
    </row>
    <row r="729">
      <c r="W729" s="130"/>
    </row>
    <row r="730">
      <c r="W730" s="130"/>
    </row>
    <row r="731">
      <c r="W731" s="130"/>
    </row>
    <row r="732">
      <c r="W732" s="130"/>
    </row>
    <row r="733">
      <c r="W733" s="130"/>
    </row>
    <row r="734">
      <c r="W734" s="130"/>
    </row>
    <row r="735">
      <c r="W735" s="130"/>
    </row>
    <row r="736">
      <c r="W736" s="130"/>
    </row>
    <row r="737">
      <c r="W737" s="130"/>
    </row>
    <row r="738">
      <c r="W738" s="130"/>
    </row>
    <row r="739">
      <c r="W739" s="130"/>
    </row>
    <row r="740">
      <c r="W740" s="130"/>
    </row>
    <row r="741">
      <c r="W741" s="130"/>
    </row>
    <row r="742">
      <c r="W742" s="130"/>
    </row>
    <row r="743">
      <c r="W743" s="130"/>
    </row>
    <row r="744">
      <c r="W744" s="130"/>
    </row>
    <row r="745">
      <c r="W745" s="130"/>
    </row>
    <row r="746">
      <c r="W746" s="130"/>
    </row>
    <row r="747">
      <c r="W747" s="130"/>
    </row>
    <row r="748">
      <c r="W748" s="130"/>
    </row>
    <row r="749">
      <c r="W749" s="130"/>
    </row>
    <row r="750">
      <c r="W750" s="130"/>
    </row>
    <row r="751">
      <c r="W751" s="130"/>
    </row>
    <row r="752">
      <c r="W752" s="130"/>
    </row>
    <row r="753">
      <c r="W753" s="130"/>
    </row>
    <row r="754">
      <c r="W754" s="130"/>
    </row>
    <row r="755">
      <c r="W755" s="130"/>
    </row>
    <row r="756">
      <c r="W756" s="130"/>
    </row>
    <row r="757">
      <c r="W757" s="130"/>
    </row>
    <row r="758">
      <c r="W758" s="130"/>
    </row>
    <row r="759">
      <c r="W759" s="130"/>
    </row>
    <row r="760">
      <c r="W760" s="130"/>
    </row>
    <row r="761">
      <c r="W761" s="130"/>
    </row>
    <row r="762">
      <c r="W762" s="130"/>
    </row>
    <row r="763">
      <c r="W763" s="130"/>
    </row>
    <row r="764">
      <c r="W764" s="130"/>
    </row>
    <row r="765">
      <c r="W765" s="130"/>
    </row>
    <row r="766">
      <c r="W766" s="130"/>
    </row>
    <row r="767">
      <c r="W767" s="130"/>
    </row>
    <row r="768">
      <c r="W768" s="130"/>
    </row>
    <row r="769">
      <c r="W769" s="130"/>
    </row>
    <row r="770">
      <c r="W770" s="130"/>
    </row>
    <row r="771">
      <c r="W771" s="130"/>
    </row>
    <row r="772">
      <c r="W772" s="130"/>
    </row>
    <row r="773">
      <c r="W773" s="130"/>
    </row>
    <row r="774">
      <c r="W774" s="130"/>
    </row>
    <row r="775">
      <c r="W775" s="130"/>
    </row>
    <row r="776">
      <c r="W776" s="130"/>
    </row>
    <row r="777">
      <c r="W777" s="130"/>
    </row>
    <row r="778">
      <c r="W778" s="130"/>
    </row>
    <row r="779">
      <c r="W779" s="130"/>
    </row>
    <row r="780">
      <c r="W780" s="130"/>
    </row>
    <row r="781">
      <c r="W781" s="130"/>
    </row>
    <row r="782">
      <c r="W782" s="130"/>
    </row>
    <row r="783">
      <c r="W783" s="130"/>
    </row>
    <row r="784">
      <c r="W784" s="130"/>
    </row>
    <row r="785">
      <c r="W785" s="130"/>
    </row>
    <row r="786">
      <c r="W786" s="130"/>
    </row>
    <row r="787">
      <c r="W787" s="130"/>
    </row>
    <row r="788">
      <c r="W788" s="130"/>
    </row>
    <row r="789">
      <c r="W789" s="130"/>
    </row>
    <row r="790">
      <c r="W790" s="130"/>
    </row>
    <row r="791">
      <c r="W791" s="130"/>
    </row>
    <row r="792">
      <c r="W792" s="130"/>
    </row>
    <row r="793">
      <c r="W793" s="130"/>
    </row>
    <row r="794">
      <c r="W794" s="130"/>
    </row>
    <row r="795">
      <c r="W795" s="130"/>
    </row>
    <row r="796">
      <c r="W796" s="130"/>
    </row>
    <row r="797">
      <c r="W797" s="130"/>
    </row>
    <row r="798">
      <c r="W798" s="130"/>
    </row>
    <row r="799">
      <c r="W799" s="130"/>
    </row>
    <row r="800">
      <c r="W800" s="130"/>
    </row>
    <row r="801">
      <c r="W801" s="130"/>
    </row>
    <row r="802">
      <c r="W802" s="130"/>
    </row>
    <row r="803">
      <c r="W803" s="130"/>
    </row>
    <row r="804">
      <c r="W804" s="130"/>
    </row>
    <row r="805">
      <c r="W805" s="130"/>
    </row>
    <row r="806">
      <c r="W806" s="130"/>
    </row>
    <row r="807">
      <c r="W807" s="130"/>
    </row>
    <row r="808">
      <c r="W808" s="130"/>
    </row>
    <row r="809">
      <c r="W809" s="130"/>
    </row>
    <row r="810">
      <c r="W810" s="130"/>
    </row>
    <row r="811">
      <c r="W811" s="130"/>
    </row>
    <row r="812">
      <c r="W812" s="130"/>
    </row>
    <row r="813">
      <c r="W813" s="130"/>
    </row>
    <row r="814">
      <c r="W814" s="130"/>
    </row>
    <row r="815">
      <c r="W815" s="130"/>
    </row>
    <row r="816">
      <c r="W816" s="130"/>
    </row>
    <row r="817">
      <c r="W817" s="130"/>
    </row>
    <row r="818">
      <c r="W818" s="130"/>
    </row>
    <row r="819">
      <c r="W819" s="130"/>
    </row>
    <row r="820">
      <c r="W820" s="130"/>
    </row>
    <row r="821">
      <c r="W821" s="130"/>
    </row>
    <row r="822">
      <c r="W822" s="130"/>
    </row>
    <row r="823">
      <c r="W823" s="130"/>
    </row>
    <row r="824">
      <c r="W824" s="130"/>
    </row>
    <row r="825">
      <c r="W825" s="130"/>
    </row>
    <row r="826">
      <c r="W826" s="130"/>
    </row>
    <row r="827">
      <c r="W827" s="130"/>
    </row>
    <row r="828">
      <c r="W828" s="130"/>
    </row>
    <row r="829">
      <c r="W829" s="130"/>
    </row>
    <row r="830">
      <c r="W830" s="130"/>
    </row>
    <row r="831">
      <c r="W831" s="130"/>
    </row>
    <row r="832">
      <c r="W832" s="130"/>
    </row>
    <row r="833">
      <c r="W833" s="130"/>
    </row>
    <row r="834">
      <c r="W834" s="130"/>
    </row>
    <row r="835">
      <c r="W835" s="130"/>
    </row>
    <row r="836">
      <c r="W836" s="130"/>
    </row>
    <row r="837">
      <c r="W837" s="130"/>
    </row>
    <row r="838">
      <c r="W838" s="130"/>
    </row>
    <row r="839">
      <c r="W839" s="130"/>
    </row>
    <row r="840">
      <c r="W840" s="130"/>
    </row>
    <row r="841">
      <c r="W841" s="130"/>
    </row>
    <row r="842">
      <c r="W842" s="130"/>
    </row>
    <row r="843">
      <c r="W843" s="130"/>
    </row>
    <row r="844">
      <c r="W844" s="130"/>
    </row>
    <row r="845">
      <c r="W845" s="130"/>
    </row>
    <row r="846">
      <c r="W846" s="130"/>
    </row>
    <row r="847">
      <c r="W847" s="130"/>
    </row>
    <row r="848">
      <c r="W848" s="130"/>
    </row>
    <row r="849">
      <c r="W849" s="130"/>
    </row>
    <row r="850">
      <c r="W850" s="130"/>
    </row>
    <row r="851">
      <c r="W851" s="130"/>
    </row>
    <row r="852">
      <c r="W852" s="130"/>
    </row>
    <row r="853">
      <c r="W853" s="130"/>
    </row>
    <row r="854">
      <c r="W854" s="130"/>
    </row>
    <row r="855">
      <c r="W855" s="130"/>
    </row>
    <row r="856">
      <c r="W856" s="130"/>
    </row>
    <row r="857">
      <c r="W857" s="130"/>
    </row>
    <row r="858">
      <c r="W858" s="130"/>
    </row>
    <row r="859">
      <c r="W859" s="130"/>
    </row>
    <row r="860">
      <c r="W860" s="130"/>
    </row>
    <row r="861">
      <c r="W861" s="130"/>
    </row>
    <row r="862">
      <c r="W862" s="130"/>
    </row>
    <row r="863">
      <c r="W863" s="130"/>
    </row>
    <row r="864">
      <c r="W864" s="130"/>
    </row>
    <row r="865">
      <c r="W865" s="130"/>
    </row>
    <row r="866">
      <c r="W866" s="130"/>
    </row>
    <row r="867">
      <c r="W867" s="130"/>
    </row>
    <row r="868">
      <c r="W868" s="130"/>
    </row>
    <row r="869">
      <c r="W869" s="130"/>
    </row>
    <row r="870">
      <c r="W870" s="130"/>
    </row>
    <row r="871">
      <c r="W871" s="130"/>
    </row>
    <row r="872">
      <c r="W872" s="130"/>
    </row>
    <row r="873">
      <c r="W873" s="130"/>
    </row>
    <row r="874">
      <c r="W874" s="130"/>
    </row>
    <row r="875">
      <c r="W875" s="130"/>
    </row>
    <row r="876">
      <c r="W876" s="130"/>
    </row>
    <row r="877">
      <c r="W877" s="130"/>
    </row>
    <row r="878">
      <c r="W878" s="130"/>
    </row>
    <row r="879">
      <c r="W879" s="130"/>
    </row>
    <row r="880">
      <c r="W880" s="130"/>
    </row>
    <row r="881">
      <c r="W881" s="130"/>
    </row>
    <row r="882">
      <c r="W882" s="130"/>
    </row>
    <row r="883">
      <c r="W883" s="130"/>
    </row>
    <row r="884">
      <c r="W884" s="130"/>
    </row>
    <row r="885">
      <c r="W885" s="130"/>
    </row>
    <row r="886">
      <c r="W886" s="130"/>
    </row>
    <row r="887">
      <c r="W887" s="130"/>
    </row>
    <row r="888">
      <c r="W888" s="130"/>
    </row>
    <row r="889">
      <c r="W889" s="130"/>
    </row>
    <row r="890">
      <c r="W890" s="130"/>
    </row>
    <row r="891">
      <c r="W891" s="130"/>
    </row>
    <row r="892">
      <c r="W892" s="130"/>
    </row>
    <row r="893">
      <c r="W893" s="130"/>
    </row>
    <row r="894">
      <c r="W894" s="130"/>
    </row>
    <row r="895">
      <c r="W895" s="130"/>
    </row>
    <row r="896">
      <c r="W896" s="130"/>
    </row>
    <row r="897">
      <c r="W897" s="130"/>
    </row>
    <row r="898">
      <c r="W898" s="130"/>
    </row>
    <row r="899">
      <c r="W899" s="130"/>
    </row>
    <row r="900">
      <c r="W900" s="130"/>
    </row>
    <row r="901">
      <c r="W901" s="130"/>
    </row>
    <row r="902">
      <c r="W902" s="130"/>
    </row>
    <row r="903">
      <c r="W903" s="130"/>
    </row>
    <row r="904">
      <c r="W904" s="130"/>
    </row>
    <row r="905">
      <c r="W905" s="130"/>
    </row>
    <row r="906">
      <c r="W906" s="130"/>
    </row>
    <row r="907">
      <c r="W907" s="130"/>
    </row>
    <row r="908">
      <c r="W908" s="130"/>
    </row>
    <row r="909">
      <c r="W909" s="130"/>
    </row>
    <row r="910">
      <c r="W910" s="130"/>
    </row>
    <row r="911">
      <c r="W911" s="130"/>
    </row>
    <row r="912">
      <c r="W912" s="130"/>
    </row>
    <row r="913">
      <c r="W913" s="130"/>
    </row>
    <row r="914">
      <c r="W914" s="130"/>
    </row>
    <row r="915">
      <c r="W915" s="130"/>
    </row>
    <row r="916">
      <c r="W916" s="130"/>
    </row>
    <row r="917">
      <c r="W917" s="130"/>
    </row>
    <row r="918">
      <c r="W918" s="130"/>
    </row>
    <row r="919">
      <c r="W919" s="130"/>
    </row>
    <row r="920">
      <c r="W920" s="130"/>
    </row>
    <row r="921">
      <c r="W921" s="130"/>
    </row>
    <row r="922">
      <c r="W922" s="130"/>
    </row>
    <row r="923">
      <c r="W923" s="130"/>
    </row>
    <row r="924">
      <c r="W924" s="130"/>
    </row>
    <row r="925">
      <c r="W925" s="130"/>
    </row>
    <row r="926">
      <c r="W926" s="130"/>
    </row>
    <row r="927">
      <c r="W927" s="130"/>
    </row>
    <row r="928">
      <c r="W928" s="130"/>
    </row>
    <row r="929">
      <c r="W929" s="130"/>
    </row>
    <row r="930">
      <c r="W930" s="130"/>
    </row>
    <row r="931">
      <c r="W931" s="130"/>
    </row>
    <row r="932">
      <c r="W932" s="130"/>
    </row>
    <row r="933">
      <c r="W933" s="130"/>
    </row>
    <row r="934">
      <c r="W934" s="130"/>
    </row>
    <row r="935">
      <c r="W935" s="130"/>
    </row>
    <row r="936">
      <c r="W936" s="130"/>
    </row>
    <row r="937">
      <c r="W937" s="130"/>
    </row>
    <row r="938">
      <c r="W938" s="130"/>
    </row>
    <row r="939">
      <c r="W939" s="130"/>
    </row>
    <row r="940">
      <c r="W940" s="130"/>
    </row>
    <row r="941">
      <c r="W941" s="130"/>
    </row>
    <row r="942">
      <c r="W942" s="130"/>
    </row>
    <row r="943">
      <c r="W943" s="130"/>
    </row>
    <row r="944">
      <c r="W944" s="130"/>
    </row>
    <row r="945">
      <c r="W945" s="130"/>
    </row>
    <row r="946">
      <c r="W946" s="130"/>
    </row>
    <row r="947">
      <c r="W947" s="130"/>
    </row>
    <row r="948">
      <c r="W948" s="130"/>
    </row>
    <row r="949">
      <c r="W949" s="130"/>
    </row>
    <row r="950">
      <c r="W950" s="130"/>
    </row>
    <row r="951">
      <c r="W951" s="130"/>
    </row>
    <row r="952">
      <c r="W952" s="130"/>
    </row>
    <row r="953">
      <c r="W953" s="130"/>
    </row>
    <row r="954">
      <c r="W954" s="130"/>
    </row>
    <row r="955">
      <c r="W955" s="130"/>
    </row>
    <row r="956">
      <c r="W956" s="130"/>
    </row>
    <row r="957">
      <c r="W957" s="130"/>
    </row>
    <row r="958">
      <c r="W958" s="130"/>
    </row>
    <row r="959">
      <c r="W959" s="130"/>
    </row>
    <row r="960">
      <c r="W960" s="130"/>
    </row>
    <row r="961">
      <c r="W961" s="130"/>
    </row>
    <row r="962">
      <c r="W962" s="130"/>
    </row>
    <row r="963">
      <c r="W963" s="130"/>
    </row>
    <row r="964">
      <c r="W964" s="130"/>
    </row>
    <row r="965">
      <c r="W965" s="130"/>
    </row>
    <row r="966">
      <c r="W966" s="130"/>
    </row>
    <row r="967">
      <c r="W967" s="130"/>
    </row>
    <row r="968">
      <c r="W968" s="130"/>
    </row>
    <row r="969">
      <c r="W969" s="130"/>
    </row>
    <row r="970">
      <c r="W970" s="130"/>
    </row>
    <row r="971">
      <c r="W971" s="130"/>
    </row>
    <row r="972">
      <c r="W972" s="130"/>
    </row>
    <row r="973">
      <c r="W973" s="130"/>
    </row>
    <row r="974">
      <c r="W974" s="130"/>
    </row>
    <row r="975">
      <c r="W975" s="130"/>
    </row>
    <row r="976">
      <c r="W976" s="130"/>
    </row>
    <row r="977">
      <c r="W977" s="130"/>
    </row>
    <row r="978">
      <c r="W978" s="130"/>
    </row>
    <row r="979">
      <c r="W979" s="130"/>
    </row>
    <row r="980">
      <c r="W980" s="130"/>
    </row>
    <row r="981">
      <c r="W981" s="130"/>
    </row>
    <row r="982">
      <c r="W982" s="130"/>
    </row>
    <row r="983">
      <c r="W983" s="130"/>
    </row>
    <row r="984">
      <c r="W984" s="130"/>
    </row>
    <row r="985">
      <c r="W985" s="130"/>
    </row>
    <row r="986">
      <c r="W986" s="130"/>
    </row>
    <row r="987">
      <c r="W987" s="130"/>
    </row>
    <row r="988">
      <c r="W988" s="130"/>
    </row>
    <row r="989">
      <c r="W989" s="130"/>
    </row>
    <row r="990">
      <c r="W990" s="130"/>
    </row>
    <row r="991">
      <c r="W991" s="130"/>
    </row>
    <row r="992">
      <c r="W992" s="130"/>
    </row>
    <row r="993">
      <c r="W993" s="130"/>
    </row>
    <row r="994">
      <c r="W994" s="130"/>
    </row>
    <row r="995">
      <c r="W995" s="130"/>
    </row>
    <row r="996">
      <c r="W996" s="130"/>
    </row>
    <row r="997">
      <c r="W997" s="130"/>
    </row>
  </sheetData>
  <mergeCells count="9">
    <mergeCell ref="S3:V4"/>
    <mergeCell ref="X3:X4"/>
    <mergeCell ref="A1:B4"/>
    <mergeCell ref="C1:I4"/>
    <mergeCell ref="J1:R2"/>
    <mergeCell ref="T1:V2"/>
    <mergeCell ref="J3:L4"/>
    <mergeCell ref="M3:O4"/>
    <mergeCell ref="P3:R4"/>
  </mergeCells>
  <dataValidations>
    <dataValidation type="list" allowBlank="1" showErrorMessage="1" sqref="H122:H310">
      <formula1>"RTU,Sablon,Custom"</formula1>
    </dataValidation>
    <dataValidation type="list" allowBlank="1" sqref="F6:F310">
      <formula1>"0/0,1/0,2/0,3/0,4/0"</formula1>
    </dataValidation>
    <dataValidation type="list" allowBlank="1" showErrorMessage="1" sqref="H6:H121">
      <formula1>"RTU,Sablon,Custom"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hidden="1" min="2" max="2" width="11.38"/>
    <col customWidth="1" hidden="1" min="3" max="3" width="14.63"/>
    <col customWidth="1" min="4" max="4" width="33.63"/>
    <col customWidth="1" hidden="1" min="6" max="6" width="20.0"/>
    <col hidden="1" min="7" max="7" width="12.63"/>
    <col customWidth="1" min="8" max="8" width="23.38"/>
    <col customWidth="1" min="23" max="23" width="13.88"/>
  </cols>
  <sheetData>
    <row r="1">
      <c r="A1" s="1"/>
      <c r="C1" s="2" t="s">
        <v>367</v>
      </c>
      <c r="I1" s="3" t="s">
        <v>2</v>
      </c>
      <c r="R1" s="4"/>
      <c r="S1" s="4" t="s">
        <v>4</v>
      </c>
      <c r="T1" s="4"/>
      <c r="U1" s="4"/>
      <c r="V1" s="4"/>
      <c r="W1" s="4"/>
    </row>
    <row r="2">
      <c r="R2" s="4"/>
      <c r="S2" s="4"/>
      <c r="T2" s="4"/>
      <c r="U2" s="4"/>
      <c r="V2" s="4"/>
      <c r="W2" s="4"/>
    </row>
    <row r="3">
      <c r="I3" s="80" t="s">
        <v>368</v>
      </c>
      <c r="J3" s="7"/>
      <c r="K3" s="8"/>
      <c r="L3" s="9" t="s">
        <v>371</v>
      </c>
      <c r="M3" s="7"/>
      <c r="N3" s="8"/>
      <c r="O3" s="6" t="s">
        <v>372</v>
      </c>
      <c r="P3" s="7"/>
      <c r="Q3" s="8"/>
      <c r="R3" s="10"/>
      <c r="S3" s="10" t="s">
        <v>10</v>
      </c>
      <c r="T3" s="10"/>
      <c r="U3" s="81"/>
      <c r="V3" s="10"/>
      <c r="W3" s="82"/>
    </row>
    <row r="4">
      <c r="I4" s="11"/>
      <c r="J4" s="11"/>
      <c r="K4" s="12"/>
      <c r="L4" s="11"/>
      <c r="M4" s="11"/>
      <c r="N4" s="12"/>
      <c r="O4" s="11"/>
      <c r="P4" s="11"/>
      <c r="Q4" s="12"/>
      <c r="R4" s="83"/>
      <c r="S4" s="83"/>
      <c r="T4" s="83"/>
      <c r="U4" s="84"/>
      <c r="V4" s="83"/>
      <c r="W4" s="82"/>
    </row>
    <row r="5" ht="22.5" customHeight="1">
      <c r="A5" s="14" t="s">
        <v>11</v>
      </c>
      <c r="B5" s="16" t="s">
        <v>13</v>
      </c>
      <c r="C5" s="17" t="s">
        <v>14</v>
      </c>
      <c r="D5" s="17" t="s">
        <v>15</v>
      </c>
      <c r="E5" s="17" t="s">
        <v>16</v>
      </c>
      <c r="F5" s="16" t="s">
        <v>18</v>
      </c>
      <c r="G5" s="17" t="s">
        <v>19</v>
      </c>
      <c r="H5" s="17" t="s">
        <v>20</v>
      </c>
      <c r="I5" s="22" t="s">
        <v>21</v>
      </c>
      <c r="J5" s="22" t="s">
        <v>22</v>
      </c>
      <c r="K5" s="22" t="s">
        <v>23</v>
      </c>
      <c r="L5" s="23" t="s">
        <v>24</v>
      </c>
      <c r="M5" s="23" t="s">
        <v>25</v>
      </c>
      <c r="N5" s="23" t="s">
        <v>26</v>
      </c>
      <c r="O5" s="22" t="s">
        <v>27</v>
      </c>
      <c r="P5" s="22" t="s">
        <v>28</v>
      </c>
      <c r="Q5" s="22" t="s">
        <v>29</v>
      </c>
      <c r="R5" s="25" t="s">
        <v>375</v>
      </c>
      <c r="S5" s="25" t="s">
        <v>30</v>
      </c>
      <c r="T5" s="26" t="s">
        <v>10</v>
      </c>
      <c r="U5" s="25" t="s">
        <v>31</v>
      </c>
      <c r="V5" s="74" t="s">
        <v>320</v>
      </c>
      <c r="W5" s="74" t="s">
        <v>376</v>
      </c>
    </row>
    <row r="6" ht="22.5" customHeight="1">
      <c r="A6" s="28" t="s">
        <v>377</v>
      </c>
      <c r="B6" s="28" t="s">
        <v>378</v>
      </c>
      <c r="C6" s="30" t="s">
        <v>379</v>
      </c>
      <c r="D6" s="85" t="s">
        <v>381</v>
      </c>
      <c r="E6" s="86" t="s">
        <v>36</v>
      </c>
      <c r="F6" s="87" t="s">
        <v>382</v>
      </c>
      <c r="G6" s="36" t="s">
        <v>41</v>
      </c>
      <c r="H6" s="28" t="s">
        <v>384</v>
      </c>
      <c r="I6" s="39">
        <v>2000.0</v>
      </c>
      <c r="J6" s="39">
        <v>2000.0</v>
      </c>
      <c r="K6" s="41"/>
      <c r="L6" s="42">
        <v>2000.0</v>
      </c>
      <c r="M6" s="42">
        <v>2000.0</v>
      </c>
      <c r="N6" s="60"/>
      <c r="O6" s="39">
        <v>2000.0</v>
      </c>
      <c r="P6" s="39">
        <v>2000.0</v>
      </c>
      <c r="Q6" s="39">
        <v>2400.0</v>
      </c>
      <c r="R6" s="46">
        <f>IF(MAX(K6,N6,Q6)&gt;0, MAX(K6,N6,Q6))</f>
        <v>2400</v>
      </c>
      <c r="S6" s="46">
        <v>0.67</v>
      </c>
      <c r="T6" s="50">
        <f>IFERROR(__xludf.DUMMYFUNCTION("((IFERROR(MAX(FILTER({K6, N6, Q6}, ISNUMBER({K6, N6, Q6}), {K6, N6, Q6} &gt; 0)), """"))*S6)+IFERROR(MAX(FILTER({K6, N6, Q6}, ISNUMBER({K6, N6, Q6}), {K6, N6, Q6} &gt; 0)), """")"),4008.0)</f>
        <v>4008</v>
      </c>
      <c r="U6" s="53">
        <f>IFERROR(__xludf.DUMMYFUNCTION("(T6-(IFERROR(MIN(FILTER({K6, N6, Q6}, ISNUMBER({K6, N6, Q6}), {K6, N6, Q6} &gt; 0)), """")))/T6"),0.40119760479041916)</f>
        <v>0.4011976048</v>
      </c>
      <c r="V6" s="88">
        <f>IF(MAX(K6,N6,Q6)&gt;0, MAX(K6,N6,Q6)/0.75, 0)</f>
        <v>3200</v>
      </c>
      <c r="W6" s="89">
        <f>(V6-(IF(MAX(K6,N6,Q6)&gt;0, MAX(K6,N6,Q6))))/V6</f>
        <v>0.25</v>
      </c>
    </row>
    <row r="7" ht="22.5" customHeight="1">
      <c r="A7" s="28" t="s">
        <v>377</v>
      </c>
      <c r="B7" s="28" t="s">
        <v>378</v>
      </c>
      <c r="C7" s="30" t="s">
        <v>379</v>
      </c>
      <c r="D7" s="85" t="s">
        <v>396</v>
      </c>
      <c r="E7" s="86" t="s">
        <v>36</v>
      </c>
      <c r="F7" s="87" t="s">
        <v>382</v>
      </c>
      <c r="G7" s="36" t="s">
        <v>41</v>
      </c>
      <c r="H7" s="28" t="s">
        <v>384</v>
      </c>
      <c r="I7" s="39">
        <v>2000.0</v>
      </c>
      <c r="J7" s="39">
        <v>2000.0</v>
      </c>
      <c r="K7" s="41"/>
      <c r="L7" s="42">
        <v>2000.0</v>
      </c>
      <c r="M7" s="42">
        <v>2000.0</v>
      </c>
      <c r="N7" s="42">
        <v>3675.0</v>
      </c>
      <c r="O7" s="39">
        <v>2000.0</v>
      </c>
      <c r="P7" s="39">
        <v>2000.0</v>
      </c>
      <c r="Q7" s="39">
        <v>6200.0</v>
      </c>
      <c r="R7" s="46"/>
      <c r="S7" s="46">
        <v>0.67</v>
      </c>
      <c r="T7" s="50">
        <f>IFERROR(__xludf.DUMMYFUNCTION("((IFERROR(MIN(FILTER({K7, N7, Q7}, ISNUMBER({K7, N7, Q7}), {K7, N7, Q7} &gt; 0)), """"))*S7)+IFERROR(MIN(FILTER({K7, N7, Q7}, ISNUMBER({K7, N7, Q7}), {K7, N7, Q7} &gt; 0)), """")"),6137.25)</f>
        <v>6137.25</v>
      </c>
      <c r="U7" s="53">
        <f>IFERROR(__xludf.DUMMYFUNCTION("(T7-(IFERROR(MIN(FILTER({K7, N7, Q7}, ISNUMBER({K7, N7, Q7}), {K7, N7, Q7} &gt; 0)), """")))/T7"),0.40119760479041916)</f>
        <v>0.4011976048</v>
      </c>
      <c r="V7" s="88">
        <f t="shared" ref="V7:V18" si="1">IF(MAX(K7,N7,Q7)&gt;0, MAX(K7,N7,Q7)*1.25, 0)</f>
        <v>7750</v>
      </c>
      <c r="W7" s="89"/>
    </row>
    <row r="8" ht="22.5" customHeight="1">
      <c r="A8" s="28" t="s">
        <v>377</v>
      </c>
      <c r="B8" s="28" t="s">
        <v>378</v>
      </c>
      <c r="C8" s="30" t="s">
        <v>379</v>
      </c>
      <c r="D8" s="85" t="s">
        <v>396</v>
      </c>
      <c r="E8" s="86" t="s">
        <v>36</v>
      </c>
      <c r="F8" s="87" t="s">
        <v>404</v>
      </c>
      <c r="G8" s="36" t="s">
        <v>41</v>
      </c>
      <c r="H8" s="28" t="s">
        <v>384</v>
      </c>
      <c r="I8" s="39">
        <v>1000.0</v>
      </c>
      <c r="J8" s="39">
        <v>1000.0</v>
      </c>
      <c r="K8" s="41"/>
      <c r="L8" s="42">
        <v>1000.0</v>
      </c>
      <c r="M8" s="42">
        <v>1000.0</v>
      </c>
      <c r="N8" s="42">
        <v>8346.0</v>
      </c>
      <c r="O8" s="39">
        <v>1000.0</v>
      </c>
      <c r="P8" s="39">
        <v>1000.0</v>
      </c>
      <c r="Q8" s="41"/>
      <c r="R8" s="46"/>
      <c r="S8" s="46">
        <v>0.67</v>
      </c>
      <c r="T8" s="50">
        <f>IFERROR(__xludf.DUMMYFUNCTION("((IFERROR(MIN(FILTER({K8, N8, Q8}, ISNUMBER({K8, N8, Q8}), {K8, N8, Q8} &gt; 0)), """"))*S8)+IFERROR(MIN(FILTER({K8, N8, Q8}, ISNUMBER({K8, N8, Q8}), {K8, N8, Q8} &gt; 0)), """")"),13937.82)</f>
        <v>13937.82</v>
      </c>
      <c r="U8" s="53">
        <f>IFERROR(__xludf.DUMMYFUNCTION("(T8-(IFERROR(MIN(FILTER({K8, N8, Q8}, ISNUMBER({K8, N8, Q8}), {K8, N8, Q8} &gt; 0)), """")))/T8"),0.40119760479041916)</f>
        <v>0.4011976048</v>
      </c>
      <c r="V8" s="88">
        <f t="shared" si="1"/>
        <v>10432.5</v>
      </c>
      <c r="W8" s="89"/>
    </row>
    <row r="9" ht="22.5" customHeight="1">
      <c r="A9" s="28" t="s">
        <v>377</v>
      </c>
      <c r="B9" s="28" t="s">
        <v>378</v>
      </c>
      <c r="C9" s="30" t="s">
        <v>379</v>
      </c>
      <c r="D9" s="85" t="s">
        <v>396</v>
      </c>
      <c r="E9" s="86" t="s">
        <v>36</v>
      </c>
      <c r="F9" s="87" t="s">
        <v>404</v>
      </c>
      <c r="G9" s="36" t="s">
        <v>41</v>
      </c>
      <c r="H9" s="28" t="s">
        <v>384</v>
      </c>
      <c r="I9" s="39">
        <v>2000.0</v>
      </c>
      <c r="J9" s="39">
        <v>2000.0</v>
      </c>
      <c r="K9" s="41"/>
      <c r="L9" s="42">
        <v>2000.0</v>
      </c>
      <c r="M9" s="42">
        <v>2000.0</v>
      </c>
      <c r="N9" s="60"/>
      <c r="O9" s="39">
        <v>2000.0</v>
      </c>
      <c r="P9" s="39">
        <v>2000.0</v>
      </c>
      <c r="Q9" s="39">
        <v>2450.0</v>
      </c>
      <c r="R9" s="46"/>
      <c r="S9" s="46">
        <v>0.67</v>
      </c>
      <c r="T9" s="50">
        <f>IFERROR(__xludf.DUMMYFUNCTION("((IFERROR(MIN(FILTER({K9, N9, Q9}, ISNUMBER({K9, N9, Q9}), {K9, N9, Q9} &gt; 0)), """"))*S9)+IFERROR(MIN(FILTER({K9, N9, Q9}, ISNUMBER({K9, N9, Q9}), {K9, N9, Q9} &gt; 0)), """")"),4091.5)</f>
        <v>4091.5</v>
      </c>
      <c r="U9" s="53">
        <f>IFERROR(__xludf.DUMMYFUNCTION("(T9-(IFERROR(MIN(FILTER({K9, N9, Q9}, ISNUMBER({K9, N9, Q9}), {K9, N9, Q9} &gt; 0)), """")))/T9"),0.40119760479041916)</f>
        <v>0.4011976048</v>
      </c>
      <c r="V9" s="88">
        <f t="shared" si="1"/>
        <v>3062.5</v>
      </c>
      <c r="W9" s="89"/>
    </row>
    <row r="10" ht="22.5" customHeight="1">
      <c r="A10" s="28" t="s">
        <v>416</v>
      </c>
      <c r="B10" s="28" t="s">
        <v>417</v>
      </c>
      <c r="C10" s="30" t="s">
        <v>418</v>
      </c>
      <c r="D10" s="85" t="s">
        <v>419</v>
      </c>
      <c r="E10" s="86" t="s">
        <v>63</v>
      </c>
      <c r="F10" s="90"/>
      <c r="G10" s="36" t="s">
        <v>41</v>
      </c>
      <c r="H10" s="28" t="s">
        <v>420</v>
      </c>
      <c r="I10" s="39">
        <v>2000.0</v>
      </c>
      <c r="J10" s="39">
        <v>2000.0</v>
      </c>
      <c r="K10" s="41"/>
      <c r="L10" s="42">
        <v>2000.0</v>
      </c>
      <c r="M10" s="42">
        <v>2000.0</v>
      </c>
      <c r="N10" s="60"/>
      <c r="O10" s="39">
        <v>2000.0</v>
      </c>
      <c r="P10" s="39">
        <v>2000.0</v>
      </c>
      <c r="Q10" s="39">
        <v>2620.0</v>
      </c>
      <c r="R10" s="46"/>
      <c r="S10" s="46">
        <v>0.67</v>
      </c>
      <c r="T10" s="50">
        <f>IFERROR(__xludf.DUMMYFUNCTION("((IFERROR(MIN(FILTER({K10, N10, Q10}, ISNUMBER({K10, N10, Q10}), {K10, N10, Q10} &gt; 0)), """"))*S10)+IFERROR(MIN(FILTER({K10, N10, Q10}, ISNUMBER({K10, N10, Q10}), {K10, N10, Q10} &gt; 0)), """")"),4375.4)</f>
        <v>4375.4</v>
      </c>
      <c r="U10" s="53">
        <f>IFERROR(__xludf.DUMMYFUNCTION("(T10-(IFERROR(MIN(FILTER({K10, N10, Q10}, ISNUMBER({K10, N10, Q10}), {K10, N10, Q10} &gt; 0)), """")))/T10"),0.4011976047904191)</f>
        <v>0.4011976048</v>
      </c>
      <c r="V10" s="88">
        <f t="shared" si="1"/>
        <v>3275</v>
      </c>
      <c r="W10" s="89"/>
    </row>
    <row r="11" ht="22.5" customHeight="1">
      <c r="A11" s="28" t="s">
        <v>424</v>
      </c>
      <c r="B11" s="28" t="s">
        <v>425</v>
      </c>
      <c r="C11" s="30" t="s">
        <v>128</v>
      </c>
      <c r="D11" s="85" t="s">
        <v>426</v>
      </c>
      <c r="E11" s="91">
        <v>46023.0</v>
      </c>
      <c r="F11" s="87" t="s">
        <v>108</v>
      </c>
      <c r="G11" s="36" t="s">
        <v>41</v>
      </c>
      <c r="H11" s="28" t="s">
        <v>428</v>
      </c>
      <c r="I11" s="39">
        <v>2000.0</v>
      </c>
      <c r="J11" s="39">
        <v>2000.0</v>
      </c>
      <c r="K11" s="41"/>
      <c r="L11" s="42">
        <v>2000.0</v>
      </c>
      <c r="M11" s="42">
        <v>2000.0</v>
      </c>
      <c r="N11" s="60"/>
      <c r="O11" s="39">
        <v>2000.0</v>
      </c>
      <c r="P11" s="39">
        <v>2000.0</v>
      </c>
      <c r="Q11" s="39">
        <v>2620.0</v>
      </c>
      <c r="R11" s="46"/>
      <c r="S11" s="46">
        <v>0.67</v>
      </c>
      <c r="T11" s="50">
        <f>IFERROR(__xludf.DUMMYFUNCTION("((IFERROR(MIN(FILTER({K11, N11, Q11}, ISNUMBER({K11, N11, Q11}), {K11, N11, Q11} &gt; 0)), """"))*S11)+IFERROR(MIN(FILTER({K11, N11, Q11}, ISNUMBER({K11, N11, Q11}), {K11, N11, Q11} &gt; 0)), """")"),4375.4)</f>
        <v>4375.4</v>
      </c>
      <c r="U11" s="53">
        <f>IFERROR(__xludf.DUMMYFUNCTION("(T11-(IFERROR(MIN(FILTER({K11, N11, Q11}, ISNUMBER({K11, N11, Q11}), {K11, N11, Q11} &gt; 0)), """")))/T11"),0.4011976047904191)</f>
        <v>0.4011976048</v>
      </c>
      <c r="V11" s="88">
        <f t="shared" si="1"/>
        <v>3275</v>
      </c>
      <c r="W11" s="89"/>
    </row>
    <row r="12" ht="22.5" customHeight="1">
      <c r="A12" s="28" t="s">
        <v>424</v>
      </c>
      <c r="B12" s="28" t="s">
        <v>433</v>
      </c>
      <c r="C12" s="30" t="s">
        <v>128</v>
      </c>
      <c r="D12" s="85" t="s">
        <v>434</v>
      </c>
      <c r="E12" s="91">
        <v>46023.0</v>
      </c>
      <c r="F12" s="87" t="s">
        <v>108</v>
      </c>
      <c r="G12" s="36" t="s">
        <v>41</v>
      </c>
      <c r="H12" s="28" t="s">
        <v>428</v>
      </c>
      <c r="I12" s="39">
        <v>10000.0</v>
      </c>
      <c r="J12" s="39">
        <v>10000.0</v>
      </c>
      <c r="K12" s="41"/>
      <c r="L12" s="42">
        <v>10000.0</v>
      </c>
      <c r="M12" s="42">
        <v>10000.0</v>
      </c>
      <c r="N12" s="60"/>
      <c r="O12" s="39">
        <v>10000.0</v>
      </c>
      <c r="P12" s="39">
        <v>10000.0</v>
      </c>
      <c r="Q12" s="39">
        <v>2150.0</v>
      </c>
      <c r="R12" s="46"/>
      <c r="S12" s="46">
        <v>0.67</v>
      </c>
      <c r="T12" s="50">
        <f>IFERROR(__xludf.DUMMYFUNCTION("((IFERROR(MIN(FILTER({K12, N12, Q12}, ISNUMBER({K12, N12, Q12}), {K12, N12, Q12} &gt; 0)), """"))*S12)+IFERROR(MIN(FILTER({K12, N12, Q12}, ISNUMBER({K12, N12, Q12}), {K12, N12, Q12} &gt; 0)), """")"),3590.5)</f>
        <v>3590.5</v>
      </c>
      <c r="U12" s="53">
        <f>IFERROR(__xludf.DUMMYFUNCTION("(T12-(IFERROR(MIN(FILTER({K12, N12, Q12}, ISNUMBER({K12, N12, Q12}), {K12, N12, Q12} &gt; 0)), """")))/T12"),0.40119760479041916)</f>
        <v>0.4011976048</v>
      </c>
      <c r="V12" s="88">
        <f t="shared" si="1"/>
        <v>2687.5</v>
      </c>
      <c r="W12" s="89"/>
    </row>
    <row r="13" ht="22.5" customHeight="1">
      <c r="A13" s="28" t="s">
        <v>424</v>
      </c>
      <c r="B13" s="28" t="s">
        <v>433</v>
      </c>
      <c r="C13" s="30" t="s">
        <v>128</v>
      </c>
      <c r="D13" s="85" t="s">
        <v>439</v>
      </c>
      <c r="E13" s="86" t="s">
        <v>36</v>
      </c>
      <c r="F13" s="87" t="s">
        <v>440</v>
      </c>
      <c r="G13" s="36" t="s">
        <v>41</v>
      </c>
      <c r="H13" s="28" t="s">
        <v>441</v>
      </c>
      <c r="I13" s="39">
        <v>15000.0</v>
      </c>
      <c r="J13" s="39">
        <v>15000.0</v>
      </c>
      <c r="K13" s="41"/>
      <c r="L13" s="42">
        <v>15000.0</v>
      </c>
      <c r="M13" s="42">
        <v>15000.0</v>
      </c>
      <c r="N13" s="60"/>
      <c r="O13" s="39">
        <v>15000.0</v>
      </c>
      <c r="P13" s="39">
        <v>15000.0</v>
      </c>
      <c r="Q13" s="39">
        <v>2050.0</v>
      </c>
      <c r="R13" s="46"/>
      <c r="S13" s="46">
        <v>0.67</v>
      </c>
      <c r="T13" s="50">
        <f>IFERROR(__xludf.DUMMYFUNCTION("((IFERROR(MIN(FILTER({K13, N13, Q13}, ISNUMBER({K13, N13, Q13}), {K13, N13, Q13} &gt; 0)), """"))*S13)+IFERROR(MIN(FILTER({K13, N13, Q13}, ISNUMBER({K13, N13, Q13}), {K13, N13, Q13} &gt; 0)), """")"),3423.5)</f>
        <v>3423.5</v>
      </c>
      <c r="U13" s="53">
        <f>IFERROR(__xludf.DUMMYFUNCTION("(T13-(IFERROR(MIN(FILTER({K13, N13, Q13}, ISNUMBER({K13, N13, Q13}), {K13, N13, Q13} &gt; 0)), """")))/T13"),0.40119760479041916)</f>
        <v>0.4011976048</v>
      </c>
      <c r="V13" s="88">
        <f t="shared" si="1"/>
        <v>2562.5</v>
      </c>
      <c r="W13" s="89"/>
    </row>
    <row r="14" ht="22.5" customHeight="1">
      <c r="A14" s="28" t="s">
        <v>445</v>
      </c>
      <c r="B14" s="28" t="s">
        <v>447</v>
      </c>
      <c r="C14" s="30" t="s">
        <v>448</v>
      </c>
      <c r="D14" s="85" t="s">
        <v>450</v>
      </c>
      <c r="E14" s="86" t="s">
        <v>63</v>
      </c>
      <c r="F14" s="87" t="s">
        <v>67</v>
      </c>
      <c r="G14" s="36" t="s">
        <v>41</v>
      </c>
      <c r="H14" s="28" t="s">
        <v>453</v>
      </c>
      <c r="I14" s="39">
        <v>2000.0</v>
      </c>
      <c r="J14" s="39">
        <v>2000.0</v>
      </c>
      <c r="K14" s="41"/>
      <c r="L14" s="42">
        <v>2000.0</v>
      </c>
      <c r="M14" s="42">
        <v>2000.0</v>
      </c>
      <c r="N14" s="60"/>
      <c r="O14" s="39">
        <v>2000.0</v>
      </c>
      <c r="P14" s="39">
        <v>2000.0</v>
      </c>
      <c r="Q14" s="39">
        <v>4500.0</v>
      </c>
      <c r="R14" s="46"/>
      <c r="S14" s="46">
        <v>0.67</v>
      </c>
      <c r="T14" s="50">
        <f>IFERROR(__xludf.DUMMYFUNCTION("((IFERROR(MIN(FILTER({K14, N14, Q14}, ISNUMBER({K14, N14, Q14}), {K14, N14, Q14} &gt; 0)), """"))*S14)+IFERROR(MIN(FILTER({K14, N14, Q14}, ISNUMBER({K14, N14, Q14}), {K14, N14, Q14} &gt; 0)), """")"),7515.0)</f>
        <v>7515</v>
      </c>
      <c r="U14" s="53">
        <f>IFERROR(__xludf.DUMMYFUNCTION("(T14-(IFERROR(MIN(FILTER({K14, N14, Q14}, ISNUMBER({K14, N14, Q14}), {K14, N14, Q14} &gt; 0)), """")))/T14"),0.40119760479041916)</f>
        <v>0.4011976048</v>
      </c>
      <c r="V14" s="88">
        <f t="shared" si="1"/>
        <v>5625</v>
      </c>
      <c r="W14" s="89"/>
    </row>
    <row r="15" ht="22.5" customHeight="1">
      <c r="A15" s="28" t="s">
        <v>445</v>
      </c>
      <c r="B15" s="28" t="s">
        <v>447</v>
      </c>
      <c r="C15" s="30" t="s">
        <v>128</v>
      </c>
      <c r="D15" s="85" t="s">
        <v>450</v>
      </c>
      <c r="E15" s="86" t="s">
        <v>63</v>
      </c>
      <c r="F15" s="87" t="s">
        <v>67</v>
      </c>
      <c r="G15" s="36" t="s">
        <v>41</v>
      </c>
      <c r="H15" s="28" t="s">
        <v>453</v>
      </c>
      <c r="I15" s="39">
        <v>2000.0</v>
      </c>
      <c r="J15" s="39">
        <v>2000.0</v>
      </c>
      <c r="K15" s="41"/>
      <c r="L15" s="42">
        <v>2000.0</v>
      </c>
      <c r="M15" s="42">
        <v>2000.0</v>
      </c>
      <c r="N15" s="60"/>
      <c r="O15" s="39">
        <v>2000.0</v>
      </c>
      <c r="P15" s="39">
        <v>2000.0</v>
      </c>
      <c r="Q15" s="39">
        <v>4700.0</v>
      </c>
      <c r="R15" s="46"/>
      <c r="S15" s="46">
        <v>0.67</v>
      </c>
      <c r="T15" s="50">
        <f>IFERROR(__xludf.DUMMYFUNCTION("((IFERROR(MIN(FILTER({K15, N15, Q15}, ISNUMBER({K15, N15, Q15}), {K15, N15, Q15} &gt; 0)), """"))*S15)+IFERROR(MIN(FILTER({K15, N15, Q15}, ISNUMBER({K15, N15, Q15}), {K15, N15, Q15} &gt; 0)), """")"),7849.0)</f>
        <v>7849</v>
      </c>
      <c r="U15" s="53">
        <f>IFERROR(__xludf.DUMMYFUNCTION("(T15-(IFERROR(MIN(FILTER({K15, N15, Q15}, ISNUMBER({K15, N15, Q15}), {K15, N15, Q15} &gt; 0)), """")))/T15"),0.40119760479041916)</f>
        <v>0.4011976048</v>
      </c>
      <c r="V15" s="88">
        <f t="shared" si="1"/>
        <v>5875</v>
      </c>
      <c r="W15" s="89"/>
    </row>
    <row r="16" ht="22.5" customHeight="1">
      <c r="A16" s="28" t="s">
        <v>445</v>
      </c>
      <c r="B16" s="28" t="s">
        <v>447</v>
      </c>
      <c r="C16" s="30" t="s">
        <v>448</v>
      </c>
      <c r="D16" s="85" t="s">
        <v>450</v>
      </c>
      <c r="E16" s="86" t="s">
        <v>63</v>
      </c>
      <c r="F16" s="87" t="s">
        <v>67</v>
      </c>
      <c r="G16" s="36" t="s">
        <v>41</v>
      </c>
      <c r="H16" s="28" t="s">
        <v>453</v>
      </c>
      <c r="I16" s="39">
        <v>1000.0</v>
      </c>
      <c r="J16" s="39">
        <v>1000.0</v>
      </c>
      <c r="K16" s="41"/>
      <c r="L16" s="42">
        <v>1000.0</v>
      </c>
      <c r="M16" s="42">
        <v>1000.0</v>
      </c>
      <c r="N16" s="60"/>
      <c r="O16" s="39">
        <v>1000.0</v>
      </c>
      <c r="P16" s="39">
        <v>1000.0</v>
      </c>
      <c r="Q16" s="39">
        <v>7200.0</v>
      </c>
      <c r="R16" s="46"/>
      <c r="S16" s="46">
        <v>0.67</v>
      </c>
      <c r="T16" s="50">
        <f>IFERROR(__xludf.DUMMYFUNCTION("((IFERROR(MIN(FILTER({K16, N16, Q16}, ISNUMBER({K16, N16, Q16}), {K16, N16, Q16} &gt; 0)), """"))*S16)+IFERROR(MIN(FILTER({K16, N16, Q16}, ISNUMBER({K16, N16, Q16}), {K16, N16, Q16} &gt; 0)), """")"),12024.0)</f>
        <v>12024</v>
      </c>
      <c r="U16" s="53">
        <f>IFERROR(__xludf.DUMMYFUNCTION("(T16-(IFERROR(MIN(FILTER({K16, N16, Q16}, ISNUMBER({K16, N16, Q16}), {K16, N16, Q16} &gt; 0)), """")))/T16"),0.40119760479041916)</f>
        <v>0.4011976048</v>
      </c>
      <c r="V16" s="88">
        <f t="shared" si="1"/>
        <v>9000</v>
      </c>
      <c r="W16" s="89"/>
    </row>
    <row r="17" ht="22.5" customHeight="1">
      <c r="A17" s="28" t="s">
        <v>462</v>
      </c>
      <c r="B17" s="28" t="s">
        <v>425</v>
      </c>
      <c r="C17" s="30" t="s">
        <v>463</v>
      </c>
      <c r="D17" s="85" t="s">
        <v>465</v>
      </c>
      <c r="E17" s="86" t="s">
        <v>63</v>
      </c>
      <c r="F17" s="87" t="s">
        <v>67</v>
      </c>
      <c r="G17" s="36" t="s">
        <v>41</v>
      </c>
      <c r="H17" s="28" t="s">
        <v>466</v>
      </c>
      <c r="I17" s="39">
        <v>2000.0</v>
      </c>
      <c r="J17" s="39">
        <v>2000.0</v>
      </c>
      <c r="K17" s="41"/>
      <c r="L17" s="42">
        <v>2000.0</v>
      </c>
      <c r="M17" s="42">
        <v>2000.0</v>
      </c>
      <c r="N17" s="60"/>
      <c r="O17" s="39">
        <v>2000.0</v>
      </c>
      <c r="P17" s="39">
        <v>2000.0</v>
      </c>
      <c r="Q17" s="39">
        <v>6600.0</v>
      </c>
      <c r="R17" s="46"/>
      <c r="S17" s="46">
        <v>0.67</v>
      </c>
      <c r="T17" s="50">
        <f>IFERROR(__xludf.DUMMYFUNCTION("((IFERROR(MIN(FILTER({K17, N17, Q17}, ISNUMBER({K17, N17, Q17}), {K17, N17, Q17} &gt; 0)), """"))*S17)+IFERROR(MIN(FILTER({K17, N17, Q17}, ISNUMBER({K17, N17, Q17}), {K17, N17, Q17} &gt; 0)), """")"),11022.0)</f>
        <v>11022</v>
      </c>
      <c r="U17" s="53">
        <f>IFERROR(__xludf.DUMMYFUNCTION("(T17-(IFERROR(MIN(FILTER({K17, N17, Q17}, ISNUMBER({K17, N17, Q17}), {K17, N17, Q17} &gt; 0)), """")))/T17"),0.40119760479041916)</f>
        <v>0.4011976048</v>
      </c>
      <c r="V17" s="88">
        <f t="shared" si="1"/>
        <v>8250</v>
      </c>
      <c r="W17" s="89"/>
    </row>
    <row r="18" ht="22.5" customHeight="1">
      <c r="A18" s="28" t="s">
        <v>462</v>
      </c>
      <c r="B18" s="28" t="s">
        <v>425</v>
      </c>
      <c r="C18" s="30" t="s">
        <v>463</v>
      </c>
      <c r="D18" s="85" t="s">
        <v>465</v>
      </c>
      <c r="E18" s="86" t="s">
        <v>63</v>
      </c>
      <c r="F18" s="87" t="s">
        <v>67</v>
      </c>
      <c r="G18" s="36" t="s">
        <v>41</v>
      </c>
      <c r="H18" s="28" t="s">
        <v>466</v>
      </c>
      <c r="I18" s="39">
        <v>2000.0</v>
      </c>
      <c r="J18" s="39">
        <v>2000.0</v>
      </c>
      <c r="K18" s="41"/>
      <c r="L18" s="42">
        <v>2000.0</v>
      </c>
      <c r="M18" s="42">
        <v>2000.0</v>
      </c>
      <c r="N18" s="60"/>
      <c r="O18" s="39">
        <v>2000.0</v>
      </c>
      <c r="P18" s="39">
        <v>2000.0</v>
      </c>
      <c r="Q18" s="39">
        <v>2950.0</v>
      </c>
      <c r="R18" s="46"/>
      <c r="S18" s="46">
        <v>0.67</v>
      </c>
      <c r="T18" s="50">
        <f>IFERROR(__xludf.DUMMYFUNCTION("((IFERROR(MIN(FILTER({K18, N18, Q18}, ISNUMBER({K18, N18, Q18}), {K18, N18, Q18} &gt; 0)), """"))*S18)+IFERROR(MIN(FILTER({K18, N18, Q18}, ISNUMBER({K18, N18, Q18}), {K18, N18, Q18} &gt; 0)), """")"),4926.5)</f>
        <v>4926.5</v>
      </c>
      <c r="U18" s="53">
        <f>IFERROR(__xludf.DUMMYFUNCTION("(T18-(IFERROR(MIN(FILTER({K18, N18, Q18}, ISNUMBER({K18, N18, Q18}), {K18, N18, Q18} &gt; 0)), """")))/T18"),0.40119760479041916)</f>
        <v>0.4011976048</v>
      </c>
      <c r="V18" s="88">
        <f t="shared" si="1"/>
        <v>3687.5</v>
      </c>
      <c r="W18" s="89"/>
    </row>
    <row r="19" ht="22.5" customHeight="1">
      <c r="A19" s="28" t="s">
        <v>469</v>
      </c>
      <c r="B19" s="28" t="s">
        <v>470</v>
      </c>
      <c r="C19" s="30" t="s">
        <v>471</v>
      </c>
      <c r="D19" s="31" t="s">
        <v>472</v>
      </c>
      <c r="E19" s="69" t="s">
        <v>55</v>
      </c>
      <c r="F19" s="87" t="s">
        <v>473</v>
      </c>
      <c r="G19" s="36" t="s">
        <v>41</v>
      </c>
      <c r="H19" s="28" t="s">
        <v>474</v>
      </c>
      <c r="I19" s="39">
        <v>60000.0</v>
      </c>
      <c r="J19" s="39">
        <v>60000.0</v>
      </c>
      <c r="K19" s="39">
        <v>6133.0</v>
      </c>
      <c r="L19" s="42">
        <v>60000.0</v>
      </c>
      <c r="M19" s="42">
        <v>60000.0</v>
      </c>
      <c r="N19" s="42">
        <v>7677.0</v>
      </c>
      <c r="O19" s="39">
        <v>60000.0</v>
      </c>
      <c r="P19" s="39">
        <v>60000.0</v>
      </c>
      <c r="Q19" s="62">
        <v>7677.0</v>
      </c>
      <c r="R19" s="92">
        <f t="shared" ref="R19:R24" si="2">IF(MAX(K19,N19,Q19)&gt;0, MAX(K19,N19,Q19))</f>
        <v>7677</v>
      </c>
      <c r="S19" s="46">
        <v>0.67</v>
      </c>
      <c r="T19" s="93">
        <f>IFERROR(__xludf.DUMMYFUNCTION("((IFERROR(MAX(FILTER({K19, N19, Q19}, ISNUMBER({K19, N19, Q19}), {K19, N19, Q19} &gt; 0)), """"))*S19)+IFERROR(MAX(FILTER({K19, N19, Q19}, ISNUMBER({K19, N19, Q19}), {K19, N19, Q19} &gt; 0)), """")"),12820.59)</f>
        <v>12820.59</v>
      </c>
      <c r="U19" s="53">
        <f>IFERROR(__xludf.DUMMYFUNCTION("(T19-(IFERROR(MIN(FILTER({K19, N19, Q19}, ISNUMBER({K19, N19, Q19}), {K19, N19, Q19} &gt; 0)), """")))/T19"),0.5216288797941436)</f>
        <v>0.5216288798</v>
      </c>
      <c r="V19" s="93">
        <f t="shared" ref="V19:V24" si="3">IF(MAX(K19,N19,Q19)&gt;0, MAX(K19,N19,Q19)/0.75, 0)</f>
        <v>10236</v>
      </c>
      <c r="W19" s="94">
        <f t="shared" ref="W19:W24" si="4">(V19-R19)/V19</f>
        <v>0.25</v>
      </c>
    </row>
    <row r="20" ht="22.5" customHeight="1">
      <c r="A20" s="28" t="s">
        <v>477</v>
      </c>
      <c r="B20" s="28" t="s">
        <v>478</v>
      </c>
      <c r="C20" s="30" t="s">
        <v>479</v>
      </c>
      <c r="D20" s="85" t="s">
        <v>480</v>
      </c>
      <c r="E20" s="36" t="s">
        <v>36</v>
      </c>
      <c r="F20" s="87" t="s">
        <v>481</v>
      </c>
      <c r="G20" s="36" t="s">
        <v>41</v>
      </c>
      <c r="H20" s="28" t="s">
        <v>482</v>
      </c>
      <c r="I20" s="39">
        <v>1000.0</v>
      </c>
      <c r="J20" s="39">
        <v>1000.0</v>
      </c>
      <c r="K20" s="41"/>
      <c r="L20" s="42">
        <v>1000.0</v>
      </c>
      <c r="M20" s="42">
        <v>1000.0</v>
      </c>
      <c r="N20" s="42">
        <v>8629.0</v>
      </c>
      <c r="O20" s="39">
        <v>1000.0</v>
      </c>
      <c r="P20" s="39">
        <v>1000.0</v>
      </c>
      <c r="Q20" s="63"/>
      <c r="R20" s="92">
        <f t="shared" si="2"/>
        <v>8629</v>
      </c>
      <c r="S20" s="46">
        <v>0.67</v>
      </c>
      <c r="T20" s="93">
        <f>IFERROR(__xludf.DUMMYFUNCTION("((IFERROR(MAX(FILTER({K20, N20, Q20}, ISNUMBER({K20, N20, Q20}), {K20, N20, Q20} &gt; 0)), """"))*S20)+IFERROR(MAX(FILTER({K20, N20, Q20}, ISNUMBER({K20, N20, Q20}), {K20, N20, Q20} &gt; 0)), """")"),14410.43)</f>
        <v>14410.43</v>
      </c>
      <c r="U20" s="53">
        <f>IFERROR(__xludf.DUMMYFUNCTION("(T20-(IFERROR(MIN(FILTER({K20, N20, Q20}, ISNUMBER({K20, N20, Q20}), {K20, N20, Q20} &gt; 0)), """")))/T20"),0.40119760479041916)</f>
        <v>0.4011976048</v>
      </c>
      <c r="V20" s="93">
        <f t="shared" si="3"/>
        <v>11505.33333</v>
      </c>
      <c r="W20" s="94">
        <f t="shared" si="4"/>
        <v>0.25</v>
      </c>
    </row>
    <row r="21" ht="22.5" customHeight="1">
      <c r="A21" s="28" t="s">
        <v>477</v>
      </c>
      <c r="B21" s="28" t="s">
        <v>478</v>
      </c>
      <c r="C21" s="30" t="s">
        <v>479</v>
      </c>
      <c r="D21" s="85" t="s">
        <v>480</v>
      </c>
      <c r="E21" s="36" t="s">
        <v>36</v>
      </c>
      <c r="F21" s="87" t="s">
        <v>481</v>
      </c>
      <c r="G21" s="36" t="s">
        <v>41</v>
      </c>
      <c r="H21" s="28" t="s">
        <v>482</v>
      </c>
      <c r="I21" s="39">
        <v>2000.0</v>
      </c>
      <c r="J21" s="39">
        <v>2000.0</v>
      </c>
      <c r="K21" s="41"/>
      <c r="L21" s="42">
        <v>2000.0</v>
      </c>
      <c r="M21" s="42">
        <v>2000.0</v>
      </c>
      <c r="N21" s="42">
        <v>6193.0</v>
      </c>
      <c r="O21" s="39">
        <v>2000.0</v>
      </c>
      <c r="P21" s="39">
        <v>2000.0</v>
      </c>
      <c r="Q21" s="63"/>
      <c r="R21" s="92">
        <f t="shared" si="2"/>
        <v>6193</v>
      </c>
      <c r="S21" s="46">
        <v>0.67</v>
      </c>
      <c r="T21" s="93">
        <f>IFERROR(__xludf.DUMMYFUNCTION("((IFERROR(MAX(FILTER({K21, N21, Q21}, ISNUMBER({K21, N21, Q21}), {K21, N21, Q21} &gt; 0)), """"))*S21)+IFERROR(MAX(FILTER({K21, N21, Q21}, ISNUMBER({K21, N21, Q21}), {K21, N21, Q21} &gt; 0)), """")"),10342.310000000001)</f>
        <v>10342.31</v>
      </c>
      <c r="U21" s="53">
        <f>IFERROR(__xludf.DUMMYFUNCTION("(T21-(IFERROR(MIN(FILTER({K21, N21, Q21}, ISNUMBER({K21, N21, Q21}), {K21, N21, Q21} &gt; 0)), """")))/T21"),0.4011976047904192)</f>
        <v>0.4011976048</v>
      </c>
      <c r="V21" s="93">
        <f t="shared" si="3"/>
        <v>8257.333333</v>
      </c>
      <c r="W21" s="94">
        <f t="shared" si="4"/>
        <v>0.25</v>
      </c>
    </row>
    <row r="22" ht="22.5" customHeight="1">
      <c r="A22" s="28" t="s">
        <v>225</v>
      </c>
      <c r="B22" s="28" t="s">
        <v>470</v>
      </c>
      <c r="C22" s="30" t="s">
        <v>106</v>
      </c>
      <c r="D22" s="85" t="s">
        <v>484</v>
      </c>
      <c r="E22" s="86" t="s">
        <v>55</v>
      </c>
      <c r="F22" s="87" t="s">
        <v>216</v>
      </c>
      <c r="G22" s="36" t="s">
        <v>41</v>
      </c>
      <c r="H22" s="28" t="s">
        <v>453</v>
      </c>
      <c r="I22" s="39">
        <v>5000.0</v>
      </c>
      <c r="J22" s="39">
        <v>5000.0</v>
      </c>
      <c r="K22" s="41"/>
      <c r="L22" s="42">
        <v>5000.0</v>
      </c>
      <c r="M22" s="42">
        <v>5000.0</v>
      </c>
      <c r="N22" s="60"/>
      <c r="O22" s="39">
        <v>5000.0</v>
      </c>
      <c r="P22" s="39">
        <v>5000.0</v>
      </c>
      <c r="Q22" s="62">
        <v>7900.0</v>
      </c>
      <c r="R22" s="92">
        <f t="shared" si="2"/>
        <v>7900</v>
      </c>
      <c r="S22" s="46">
        <v>0.67</v>
      </c>
      <c r="T22" s="93">
        <f>IFERROR(__xludf.DUMMYFUNCTION("((IFERROR(MAX(FILTER({K22, N22, Q22}, ISNUMBER({K22, N22, Q22}), {K22, N22, Q22} &gt; 0)), """"))*S22)+IFERROR(MAX(FILTER({K22, N22, Q22}, ISNUMBER({K22, N22, Q22}), {K22, N22, Q22} &gt; 0)), """")"),13193.0)</f>
        <v>13193</v>
      </c>
      <c r="U22" s="53">
        <f>IFERROR(__xludf.DUMMYFUNCTION("(T22-(IFERROR(MIN(FILTER({K22, N22, Q22}, ISNUMBER({K22, N22, Q22}), {K22, N22, Q22} &gt; 0)), """")))/T22"),0.40119760479041916)</f>
        <v>0.4011976048</v>
      </c>
      <c r="V22" s="93">
        <f t="shared" si="3"/>
        <v>10533.33333</v>
      </c>
      <c r="W22" s="94">
        <f t="shared" si="4"/>
        <v>0.25</v>
      </c>
    </row>
    <row r="23" ht="22.5" customHeight="1">
      <c r="A23" s="28" t="s">
        <v>487</v>
      </c>
      <c r="B23" s="28" t="s">
        <v>470</v>
      </c>
      <c r="C23" s="30" t="s">
        <v>379</v>
      </c>
      <c r="D23" s="85" t="s">
        <v>488</v>
      </c>
      <c r="E23" s="36" t="s">
        <v>36</v>
      </c>
      <c r="F23" s="87" t="s">
        <v>490</v>
      </c>
      <c r="G23" s="36" t="s">
        <v>41</v>
      </c>
      <c r="H23" s="28" t="s">
        <v>491</v>
      </c>
      <c r="I23" s="39">
        <v>7000.0</v>
      </c>
      <c r="J23" s="39">
        <v>7000.0</v>
      </c>
      <c r="K23" s="41"/>
      <c r="L23" s="42">
        <v>7000.0</v>
      </c>
      <c r="M23" s="42">
        <v>7000.0</v>
      </c>
      <c r="N23" s="42">
        <v>7508.0</v>
      </c>
      <c r="O23" s="39">
        <v>7000.0</v>
      </c>
      <c r="P23" s="39">
        <v>7000.0</v>
      </c>
      <c r="Q23" s="63"/>
      <c r="R23" s="92">
        <f t="shared" si="2"/>
        <v>7508</v>
      </c>
      <c r="S23" s="46">
        <v>0.67</v>
      </c>
      <c r="T23" s="93">
        <f>IFERROR(__xludf.DUMMYFUNCTION("((IFERROR(MAX(FILTER({K23, N23, Q23}, ISNUMBER({K23, N23, Q23}), {K23, N23, Q23} &gt; 0)), """"))*S23)+IFERROR(MAX(FILTER({K23, N23, Q23}, ISNUMBER({K23, N23, Q23}), {K23, N23, Q23} &gt; 0)), """")"),12538.36)</f>
        <v>12538.36</v>
      </c>
      <c r="U23" s="53">
        <f>IFERROR(__xludf.DUMMYFUNCTION("(T23-(IFERROR(MIN(FILTER({K23, N23, Q23}, ISNUMBER({K23, N23, Q23}), {K23, N23, Q23} &gt; 0)), """")))/T23"),0.4011976047904192)</f>
        <v>0.4011976048</v>
      </c>
      <c r="V23" s="93">
        <f t="shared" si="3"/>
        <v>10010.66667</v>
      </c>
      <c r="W23" s="94">
        <f t="shared" si="4"/>
        <v>0.25</v>
      </c>
    </row>
    <row r="24" ht="22.5" customHeight="1">
      <c r="A24" s="28" t="s">
        <v>493</v>
      </c>
      <c r="B24" s="28" t="s">
        <v>470</v>
      </c>
      <c r="C24" s="30" t="s">
        <v>106</v>
      </c>
      <c r="D24" s="85" t="s">
        <v>495</v>
      </c>
      <c r="E24" s="36" t="s">
        <v>55</v>
      </c>
      <c r="F24" s="87" t="s">
        <v>496</v>
      </c>
      <c r="G24" s="36" t="s">
        <v>41</v>
      </c>
      <c r="H24" s="28" t="s">
        <v>497</v>
      </c>
      <c r="I24" s="39">
        <v>4000.0</v>
      </c>
      <c r="J24" s="39">
        <v>4000.0</v>
      </c>
      <c r="K24" s="41"/>
      <c r="L24" s="42">
        <v>4000.0</v>
      </c>
      <c r="M24" s="42">
        <v>4000.0</v>
      </c>
      <c r="N24" s="42">
        <v>6081.0</v>
      </c>
      <c r="O24" s="39">
        <v>4000.0</v>
      </c>
      <c r="P24" s="39">
        <v>4000.0</v>
      </c>
      <c r="Q24" s="63"/>
      <c r="R24" s="92">
        <f t="shared" si="2"/>
        <v>6081</v>
      </c>
      <c r="S24" s="46">
        <v>0.67</v>
      </c>
      <c r="T24" s="93">
        <f>IFERROR(__xludf.DUMMYFUNCTION("((IFERROR(MAX(FILTER({K24, N24, Q24}, ISNUMBER({K24, N24, Q24}), {K24, N24, Q24} &gt; 0)), """"))*S24)+IFERROR(MAX(FILTER({K24, N24, Q24}, ISNUMBER({K24, N24, Q24}), {K24, N24, Q24} &gt; 0)), """")"),10155.27)</f>
        <v>10155.27</v>
      </c>
      <c r="U24" s="53">
        <f>IFERROR(__xludf.DUMMYFUNCTION("(T24-(IFERROR(MIN(FILTER({K24, N24, Q24}, ISNUMBER({K24, N24, Q24}), {K24, N24, Q24} &gt; 0)), """")))/T24"),0.40119760479041916)</f>
        <v>0.4011976048</v>
      </c>
      <c r="V24" s="93">
        <f t="shared" si="3"/>
        <v>8108</v>
      </c>
      <c r="W24" s="94">
        <f t="shared" si="4"/>
        <v>0.25</v>
      </c>
    </row>
    <row r="25" ht="22.5" customHeight="1">
      <c r="A25" s="28" t="s">
        <v>500</v>
      </c>
      <c r="B25" s="28" t="s">
        <v>501</v>
      </c>
      <c r="C25" s="30" t="s">
        <v>379</v>
      </c>
      <c r="D25" s="85" t="s">
        <v>502</v>
      </c>
      <c r="E25" s="86" t="s">
        <v>63</v>
      </c>
      <c r="F25" s="87" t="s">
        <v>67</v>
      </c>
      <c r="G25" s="36" t="s">
        <v>41</v>
      </c>
      <c r="H25" s="28" t="s">
        <v>420</v>
      </c>
      <c r="I25" s="39">
        <v>1000.0</v>
      </c>
      <c r="J25" s="39">
        <v>1000.0</v>
      </c>
      <c r="K25" s="41"/>
      <c r="L25" s="42">
        <v>1000.0</v>
      </c>
      <c r="M25" s="42">
        <v>1000.0</v>
      </c>
      <c r="N25" s="60"/>
      <c r="O25" s="39">
        <v>1000.0</v>
      </c>
      <c r="P25" s="39">
        <v>1000.0</v>
      </c>
      <c r="Q25" s="39">
        <v>3600.0</v>
      </c>
      <c r="R25" s="46"/>
      <c r="S25" s="46">
        <v>0.67</v>
      </c>
      <c r="T25" s="50">
        <f>IFERROR(__xludf.DUMMYFUNCTION("((IFERROR(MIN(FILTER({K25, N25, Q25}, ISNUMBER({K25, N25, Q25}), {K25, N25, Q25} &gt; 0)), """"))*S25)+IFERROR(MIN(FILTER({K25, N25, Q25}, ISNUMBER({K25, N25, Q25}), {K25, N25, Q25} &gt; 0)), """")"),6012.0)</f>
        <v>6012</v>
      </c>
      <c r="U25" s="53">
        <f>IFERROR(__xludf.DUMMYFUNCTION("(T25-(IFERROR(MIN(FILTER({K25, N25, Q25}, ISNUMBER({K25, N25, Q25}), {K25, N25, Q25} &gt; 0)), """")))/T25"),0.40119760479041916)</f>
        <v>0.4011976048</v>
      </c>
      <c r="V25" s="88">
        <f t="shared" ref="V25:V35" si="5">IF(MAX(K25,N25,Q25)&gt;0, MAX(K25,N25,Q25)*1.25, 0)</f>
        <v>4500</v>
      </c>
      <c r="W25" s="89"/>
    </row>
    <row r="26" ht="22.5" customHeight="1">
      <c r="A26" s="28" t="s">
        <v>500</v>
      </c>
      <c r="B26" s="28" t="s">
        <v>501</v>
      </c>
      <c r="C26" s="30" t="s">
        <v>379</v>
      </c>
      <c r="D26" s="85" t="s">
        <v>502</v>
      </c>
      <c r="E26" s="86" t="s">
        <v>63</v>
      </c>
      <c r="F26" s="87" t="s">
        <v>67</v>
      </c>
      <c r="G26" s="36" t="s">
        <v>41</v>
      </c>
      <c r="H26" s="28" t="s">
        <v>420</v>
      </c>
      <c r="I26" s="39">
        <v>2000.0</v>
      </c>
      <c r="J26" s="39">
        <v>2000.0</v>
      </c>
      <c r="K26" s="41"/>
      <c r="L26" s="42">
        <v>2000.0</v>
      </c>
      <c r="M26" s="42">
        <v>2000.0</v>
      </c>
      <c r="N26" s="60"/>
      <c r="O26" s="39">
        <v>2000.0</v>
      </c>
      <c r="P26" s="39">
        <v>2000.0</v>
      </c>
      <c r="Q26" s="39">
        <v>2900.0</v>
      </c>
      <c r="R26" s="46"/>
      <c r="S26" s="46">
        <v>0.67</v>
      </c>
      <c r="T26" s="50">
        <f>IFERROR(__xludf.DUMMYFUNCTION("((IFERROR(MIN(FILTER({K26, N26, Q26}, ISNUMBER({K26, N26, Q26}), {K26, N26, Q26} &gt; 0)), """"))*S26)+IFERROR(MIN(FILTER({K26, N26, Q26}, ISNUMBER({K26, N26, Q26}), {K26, N26, Q26} &gt; 0)), """")"),4843.0)</f>
        <v>4843</v>
      </c>
      <c r="U26" s="53">
        <f>IFERROR(__xludf.DUMMYFUNCTION("(T26-(IFERROR(MIN(FILTER({K26, N26, Q26}, ISNUMBER({K26, N26, Q26}), {K26, N26, Q26} &gt; 0)), """")))/T26"),0.40119760479041916)</f>
        <v>0.4011976048</v>
      </c>
      <c r="V26" s="88">
        <f t="shared" si="5"/>
        <v>3625</v>
      </c>
      <c r="W26" s="89"/>
    </row>
    <row r="27" ht="22.5" customHeight="1">
      <c r="A27" s="28" t="s">
        <v>511</v>
      </c>
      <c r="B27" s="28" t="s">
        <v>378</v>
      </c>
      <c r="C27" s="30" t="s">
        <v>512</v>
      </c>
      <c r="D27" s="85" t="s">
        <v>513</v>
      </c>
      <c r="E27" s="91">
        <v>46023.0</v>
      </c>
      <c r="F27" s="87" t="s">
        <v>339</v>
      </c>
      <c r="G27" s="36" t="s">
        <v>41</v>
      </c>
      <c r="H27" s="28" t="s">
        <v>44</v>
      </c>
      <c r="I27" s="39">
        <v>2000.0</v>
      </c>
      <c r="J27" s="39">
        <v>2000.0</v>
      </c>
      <c r="K27" s="41"/>
      <c r="L27" s="42">
        <v>2000.0</v>
      </c>
      <c r="M27" s="42">
        <v>2000.0</v>
      </c>
      <c r="N27" s="60"/>
      <c r="O27" s="39">
        <v>2000.0</v>
      </c>
      <c r="P27" s="39">
        <v>2000.0</v>
      </c>
      <c r="Q27" s="39">
        <v>2900.0</v>
      </c>
      <c r="R27" s="46"/>
      <c r="S27" s="46">
        <v>0.67</v>
      </c>
      <c r="T27" s="50">
        <f>IFERROR(__xludf.DUMMYFUNCTION("((IFERROR(MIN(FILTER({K27, N27, Q27}, ISNUMBER({K27, N27, Q27}), {K27, N27, Q27} &gt; 0)), """"))*S27)+IFERROR(MIN(FILTER({K27, N27, Q27}, ISNUMBER({K27, N27, Q27}), {K27, N27, Q27} &gt; 0)), """")"),4843.0)</f>
        <v>4843</v>
      </c>
      <c r="U27" s="53">
        <f>IFERROR(__xludf.DUMMYFUNCTION("(T27-(IFERROR(MIN(FILTER({K27, N27, Q27}, ISNUMBER({K27, N27, Q27}), {K27, N27, Q27} &gt; 0)), """")))/T27"),0.40119760479041916)</f>
        <v>0.4011976048</v>
      </c>
      <c r="V27" s="88">
        <f t="shared" si="5"/>
        <v>3625</v>
      </c>
      <c r="W27" s="89"/>
    </row>
    <row r="28" ht="22.5" customHeight="1">
      <c r="A28" s="28" t="s">
        <v>511</v>
      </c>
      <c r="B28" s="28" t="s">
        <v>378</v>
      </c>
      <c r="C28" s="30" t="s">
        <v>512</v>
      </c>
      <c r="D28" s="85" t="s">
        <v>513</v>
      </c>
      <c r="E28" s="91">
        <v>46023.0</v>
      </c>
      <c r="F28" s="87" t="s">
        <v>339</v>
      </c>
      <c r="G28" s="36" t="s">
        <v>41</v>
      </c>
      <c r="H28" s="28" t="s">
        <v>44</v>
      </c>
      <c r="I28" s="39">
        <v>2000.0</v>
      </c>
      <c r="J28" s="39">
        <v>2000.0</v>
      </c>
      <c r="K28" s="41"/>
      <c r="L28" s="42">
        <v>2000.0</v>
      </c>
      <c r="M28" s="42">
        <v>2000.0</v>
      </c>
      <c r="N28" s="60"/>
      <c r="O28" s="39">
        <v>2000.0</v>
      </c>
      <c r="P28" s="39">
        <v>2000.0</v>
      </c>
      <c r="Q28" s="39">
        <v>2720.0</v>
      </c>
      <c r="R28" s="46"/>
      <c r="S28" s="46">
        <v>0.67</v>
      </c>
      <c r="T28" s="50">
        <f>IFERROR(__xludf.DUMMYFUNCTION("((IFERROR(MIN(FILTER({K28, N28, Q28}, ISNUMBER({K28, N28, Q28}), {K28, N28, Q28} &gt; 0)), """"))*S28)+IFERROR(MIN(FILTER({K28, N28, Q28}, ISNUMBER({K28, N28, Q28}), {K28, N28, Q28} &gt; 0)), """")"),4542.4)</f>
        <v>4542.4</v>
      </c>
      <c r="U28" s="53">
        <f>IFERROR(__xludf.DUMMYFUNCTION("(T28-(IFERROR(MIN(FILTER({K28, N28, Q28}, ISNUMBER({K28, N28, Q28}), {K28, N28, Q28} &gt; 0)), """")))/T28"),0.4011976047904191)</f>
        <v>0.4011976048</v>
      </c>
      <c r="V28" s="88">
        <f t="shared" si="5"/>
        <v>3400</v>
      </c>
      <c r="W28" s="89"/>
    </row>
    <row r="29" ht="22.5" customHeight="1">
      <c r="A29" s="28" t="s">
        <v>511</v>
      </c>
      <c r="B29" s="28" t="s">
        <v>378</v>
      </c>
      <c r="C29" s="30" t="s">
        <v>512</v>
      </c>
      <c r="D29" s="85" t="s">
        <v>513</v>
      </c>
      <c r="E29" s="91">
        <v>46023.0</v>
      </c>
      <c r="F29" s="87" t="s">
        <v>339</v>
      </c>
      <c r="G29" s="36" t="s">
        <v>41</v>
      </c>
      <c r="H29" s="28" t="s">
        <v>44</v>
      </c>
      <c r="I29" s="39">
        <v>2000.0</v>
      </c>
      <c r="J29" s="39">
        <v>2000.0</v>
      </c>
      <c r="K29" s="41"/>
      <c r="L29" s="42">
        <v>2000.0</v>
      </c>
      <c r="M29" s="42">
        <v>2000.0</v>
      </c>
      <c r="N29" s="60"/>
      <c r="O29" s="39">
        <v>2000.0</v>
      </c>
      <c r="P29" s="39">
        <v>2000.0</v>
      </c>
      <c r="Q29" s="39">
        <v>3150.0</v>
      </c>
      <c r="R29" s="46"/>
      <c r="S29" s="46">
        <v>0.67</v>
      </c>
      <c r="T29" s="50">
        <f>IFERROR(__xludf.DUMMYFUNCTION("((IFERROR(MIN(FILTER({K29, N29, Q29}, ISNUMBER({K29, N29, Q29}), {K29, N29, Q29} &gt; 0)), """"))*S29)+IFERROR(MIN(FILTER({K29, N29, Q29}, ISNUMBER({K29, N29, Q29}), {K29, N29, Q29} &gt; 0)), """")"),5260.5)</f>
        <v>5260.5</v>
      </c>
      <c r="U29" s="53">
        <f>IFERROR(__xludf.DUMMYFUNCTION("(T29-(IFERROR(MIN(FILTER({K29, N29, Q29}, ISNUMBER({K29, N29, Q29}), {K29, N29, Q29} &gt; 0)), """")))/T29"),0.40119760479041916)</f>
        <v>0.4011976048</v>
      </c>
      <c r="V29" s="88">
        <f t="shared" si="5"/>
        <v>3937.5</v>
      </c>
      <c r="W29" s="89"/>
    </row>
    <row r="30" ht="22.5" customHeight="1">
      <c r="A30" s="28" t="s">
        <v>511</v>
      </c>
      <c r="B30" s="28" t="s">
        <v>378</v>
      </c>
      <c r="C30" s="30" t="s">
        <v>512</v>
      </c>
      <c r="D30" s="85" t="s">
        <v>528</v>
      </c>
      <c r="E30" s="91">
        <v>46023.0</v>
      </c>
      <c r="F30" s="87" t="s">
        <v>339</v>
      </c>
      <c r="G30" s="36" t="s">
        <v>41</v>
      </c>
      <c r="H30" s="28" t="s">
        <v>44</v>
      </c>
      <c r="I30" s="39">
        <v>2000.0</v>
      </c>
      <c r="J30" s="39">
        <v>2000.0</v>
      </c>
      <c r="K30" s="41"/>
      <c r="L30" s="42">
        <v>2000.0</v>
      </c>
      <c r="M30" s="42">
        <v>2000.0</v>
      </c>
      <c r="N30" s="60"/>
      <c r="O30" s="39">
        <v>2000.0</v>
      </c>
      <c r="P30" s="39">
        <v>2000.0</v>
      </c>
      <c r="Q30" s="39">
        <v>2850.0</v>
      </c>
      <c r="R30" s="46"/>
      <c r="S30" s="46">
        <v>0.67</v>
      </c>
      <c r="T30" s="50">
        <f>IFERROR(__xludf.DUMMYFUNCTION("((IFERROR(MIN(FILTER({K30, N30, Q30}, ISNUMBER({K30, N30, Q30}), {K30, N30, Q30} &gt; 0)), """"))*S30)+IFERROR(MIN(FILTER({K30, N30, Q30}, ISNUMBER({K30, N30, Q30}), {K30, N30, Q30} &gt; 0)), """")"),4759.5)</f>
        <v>4759.5</v>
      </c>
      <c r="U30" s="53">
        <f>IFERROR(__xludf.DUMMYFUNCTION("(T30-(IFERROR(MIN(FILTER({K30, N30, Q30}, ISNUMBER({K30, N30, Q30}), {K30, N30, Q30} &gt; 0)), """")))/T30"),0.40119760479041916)</f>
        <v>0.4011976048</v>
      </c>
      <c r="V30" s="88">
        <f t="shared" si="5"/>
        <v>3562.5</v>
      </c>
      <c r="W30" s="89"/>
    </row>
    <row r="31" ht="22.5" customHeight="1">
      <c r="A31" s="28" t="s">
        <v>511</v>
      </c>
      <c r="B31" s="28" t="s">
        <v>378</v>
      </c>
      <c r="C31" s="30" t="s">
        <v>512</v>
      </c>
      <c r="D31" s="85" t="s">
        <v>528</v>
      </c>
      <c r="E31" s="91">
        <v>46023.0</v>
      </c>
      <c r="F31" s="87" t="s">
        <v>339</v>
      </c>
      <c r="G31" s="36" t="s">
        <v>41</v>
      </c>
      <c r="H31" s="28" t="s">
        <v>44</v>
      </c>
      <c r="I31" s="39">
        <v>5000.0</v>
      </c>
      <c r="J31" s="39">
        <v>5000.0</v>
      </c>
      <c r="K31" s="41"/>
      <c r="L31" s="42">
        <v>5000.0</v>
      </c>
      <c r="M31" s="42">
        <v>5000.0</v>
      </c>
      <c r="N31" s="60"/>
      <c r="O31" s="39">
        <v>5000.0</v>
      </c>
      <c r="P31" s="39">
        <v>5000.0</v>
      </c>
      <c r="Q31" s="39">
        <v>2350.0</v>
      </c>
      <c r="R31" s="46"/>
      <c r="S31" s="46">
        <v>0.67</v>
      </c>
      <c r="T31" s="50">
        <f>IFERROR(__xludf.DUMMYFUNCTION("((IFERROR(MIN(FILTER({K31, N31, Q31}, ISNUMBER({K31, N31, Q31}), {K31, N31, Q31} &gt; 0)), """"))*S31)+IFERROR(MIN(FILTER({K31, N31, Q31}, ISNUMBER({K31, N31, Q31}), {K31, N31, Q31} &gt; 0)), """")"),3924.5)</f>
        <v>3924.5</v>
      </c>
      <c r="U31" s="53">
        <f>IFERROR(__xludf.DUMMYFUNCTION("(T31-(IFERROR(MIN(FILTER({K31, N31, Q31}, ISNUMBER({K31, N31, Q31}), {K31, N31, Q31} &gt; 0)), """")))/T31"),0.40119760479041916)</f>
        <v>0.4011976048</v>
      </c>
      <c r="V31" s="88">
        <f t="shared" si="5"/>
        <v>2937.5</v>
      </c>
      <c r="W31" s="89"/>
    </row>
    <row r="32" ht="22.5" customHeight="1">
      <c r="A32" s="28" t="s">
        <v>511</v>
      </c>
      <c r="B32" s="28" t="s">
        <v>378</v>
      </c>
      <c r="C32" s="30" t="s">
        <v>512</v>
      </c>
      <c r="D32" s="85" t="s">
        <v>528</v>
      </c>
      <c r="E32" s="91">
        <v>46023.0</v>
      </c>
      <c r="F32" s="87" t="s">
        <v>339</v>
      </c>
      <c r="G32" s="36" t="s">
        <v>41</v>
      </c>
      <c r="H32" s="28" t="s">
        <v>44</v>
      </c>
      <c r="I32" s="39">
        <v>10000.0</v>
      </c>
      <c r="J32" s="39">
        <v>10000.0</v>
      </c>
      <c r="K32" s="41"/>
      <c r="L32" s="42">
        <v>10000.0</v>
      </c>
      <c r="M32" s="42">
        <v>10000.0</v>
      </c>
      <c r="N32" s="60"/>
      <c r="O32" s="39">
        <v>10000.0</v>
      </c>
      <c r="P32" s="39">
        <v>10000.0</v>
      </c>
      <c r="Q32" s="39">
        <v>2150.0</v>
      </c>
      <c r="R32" s="46"/>
      <c r="S32" s="46">
        <v>0.67</v>
      </c>
      <c r="T32" s="50">
        <f>IFERROR(__xludf.DUMMYFUNCTION("((IFERROR(MIN(FILTER({K32, N32, Q32}, ISNUMBER({K32, N32, Q32}), {K32, N32, Q32} &gt; 0)), """"))*S32)+IFERROR(MIN(FILTER({K32, N32, Q32}, ISNUMBER({K32, N32, Q32}), {K32, N32, Q32} &gt; 0)), """")"),3590.5)</f>
        <v>3590.5</v>
      </c>
      <c r="U32" s="53">
        <f>IFERROR(__xludf.DUMMYFUNCTION("(T32-(IFERROR(MIN(FILTER({K32, N32, Q32}, ISNUMBER({K32, N32, Q32}), {K32, N32, Q32} &gt; 0)), """")))/T32"),0.40119760479041916)</f>
        <v>0.4011976048</v>
      </c>
      <c r="V32" s="88">
        <f t="shared" si="5"/>
        <v>2687.5</v>
      </c>
      <c r="W32" s="89"/>
    </row>
    <row r="33" ht="22.5" customHeight="1">
      <c r="A33" s="28" t="s">
        <v>538</v>
      </c>
      <c r="B33" s="28" t="s">
        <v>539</v>
      </c>
      <c r="C33" s="30" t="s">
        <v>540</v>
      </c>
      <c r="D33" s="85" t="s">
        <v>541</v>
      </c>
      <c r="E33" s="86" t="s">
        <v>63</v>
      </c>
      <c r="F33" s="90"/>
      <c r="G33" s="36" t="s">
        <v>41</v>
      </c>
      <c r="H33" s="28" t="s">
        <v>44</v>
      </c>
      <c r="I33" s="39">
        <v>1000.0</v>
      </c>
      <c r="J33" s="39">
        <v>1000.0</v>
      </c>
      <c r="K33" s="41"/>
      <c r="L33" s="42">
        <v>1000.0</v>
      </c>
      <c r="M33" s="42">
        <v>1000.0</v>
      </c>
      <c r="N33" s="60"/>
      <c r="O33" s="39">
        <v>1000.0</v>
      </c>
      <c r="P33" s="39">
        <v>1000.0</v>
      </c>
      <c r="Q33" s="39">
        <v>7500.0</v>
      </c>
      <c r="R33" s="46"/>
      <c r="S33" s="46">
        <v>0.67</v>
      </c>
      <c r="T33" s="50">
        <f>IFERROR(__xludf.DUMMYFUNCTION("((IFERROR(MIN(FILTER({K33, N33, Q33}, ISNUMBER({K33, N33, Q33}), {K33, N33, Q33} &gt; 0)), """"))*S33)+IFERROR(MIN(FILTER({K33, N33, Q33}, ISNUMBER({K33, N33, Q33}), {K33, N33, Q33} &gt; 0)), """")"),12525.0)</f>
        <v>12525</v>
      </c>
      <c r="U33" s="53">
        <f>IFERROR(__xludf.DUMMYFUNCTION("(T33-(IFERROR(MIN(FILTER({K33, N33, Q33}, ISNUMBER({K33, N33, Q33}), {K33, N33, Q33} &gt; 0)), """")))/T33"),0.40119760479041916)</f>
        <v>0.4011976048</v>
      </c>
      <c r="V33" s="88">
        <f t="shared" si="5"/>
        <v>9375</v>
      </c>
      <c r="W33" s="89"/>
    </row>
    <row r="34" ht="22.5" customHeight="1">
      <c r="A34" s="28" t="s">
        <v>542</v>
      </c>
      <c r="B34" s="28" t="s">
        <v>544</v>
      </c>
      <c r="C34" s="30" t="s">
        <v>463</v>
      </c>
      <c r="D34" s="85" t="s">
        <v>545</v>
      </c>
      <c r="E34" s="86" t="s">
        <v>63</v>
      </c>
      <c r="F34" s="87" t="s">
        <v>67</v>
      </c>
      <c r="G34" s="36" t="s">
        <v>41</v>
      </c>
      <c r="H34" s="28" t="s">
        <v>549</v>
      </c>
      <c r="I34" s="39">
        <v>2000.0</v>
      </c>
      <c r="J34" s="39">
        <v>2000.0</v>
      </c>
      <c r="K34" s="41"/>
      <c r="L34" s="42">
        <v>2000.0</v>
      </c>
      <c r="M34" s="42">
        <v>2000.0</v>
      </c>
      <c r="N34" s="60"/>
      <c r="O34" s="39">
        <v>2000.0</v>
      </c>
      <c r="P34" s="39">
        <v>2000.0</v>
      </c>
      <c r="Q34" s="39">
        <v>6900.0</v>
      </c>
      <c r="R34" s="46"/>
      <c r="S34" s="46">
        <v>0.67</v>
      </c>
      <c r="T34" s="50">
        <f>IFERROR(__xludf.DUMMYFUNCTION("((IFERROR(MIN(FILTER({K34, N34, Q34}, ISNUMBER({K34, N34, Q34}), {K34, N34, Q34} &gt; 0)), """"))*S34)+IFERROR(MIN(FILTER({K34, N34, Q34}, ISNUMBER({K34, N34, Q34}), {K34, N34, Q34} &gt; 0)), """")"),11523.0)</f>
        <v>11523</v>
      </c>
      <c r="U34" s="53">
        <f>IFERROR(__xludf.DUMMYFUNCTION("(T34-(IFERROR(MIN(FILTER({K34, N34, Q34}, ISNUMBER({K34, N34, Q34}), {K34, N34, Q34} &gt; 0)), """")))/T34"),0.40119760479041916)</f>
        <v>0.4011976048</v>
      </c>
      <c r="V34" s="88">
        <f t="shared" si="5"/>
        <v>8625</v>
      </c>
      <c r="W34" s="89"/>
    </row>
    <row r="35" ht="22.5" customHeight="1">
      <c r="A35" s="28" t="s">
        <v>542</v>
      </c>
      <c r="B35" s="28" t="s">
        <v>544</v>
      </c>
      <c r="C35" s="30" t="s">
        <v>463</v>
      </c>
      <c r="D35" s="85" t="s">
        <v>545</v>
      </c>
      <c r="E35" s="86" t="s">
        <v>63</v>
      </c>
      <c r="F35" s="87" t="s">
        <v>67</v>
      </c>
      <c r="G35" s="36" t="s">
        <v>41</v>
      </c>
      <c r="H35" s="28" t="s">
        <v>549</v>
      </c>
      <c r="I35" s="39">
        <v>2000.0</v>
      </c>
      <c r="J35" s="39">
        <v>2000.0</v>
      </c>
      <c r="K35" s="41"/>
      <c r="L35" s="42">
        <v>2000.0</v>
      </c>
      <c r="M35" s="42">
        <v>2000.0</v>
      </c>
      <c r="N35" s="60"/>
      <c r="O35" s="39">
        <v>2000.0</v>
      </c>
      <c r="P35" s="39">
        <v>2000.0</v>
      </c>
      <c r="Q35" s="39">
        <v>8900.0</v>
      </c>
      <c r="R35" s="46"/>
      <c r="S35" s="46">
        <v>0.67</v>
      </c>
      <c r="T35" s="50">
        <f>IFERROR(__xludf.DUMMYFUNCTION("((IFERROR(MIN(FILTER({K35, N35, Q35}, ISNUMBER({K35, N35, Q35}), {K35, N35, Q35} &gt; 0)), """"))*S35)+IFERROR(MIN(FILTER({K35, N35, Q35}, ISNUMBER({K35, N35, Q35}), {K35, N35, Q35} &gt; 0)), """")"),14863.0)</f>
        <v>14863</v>
      </c>
      <c r="U35" s="53">
        <f>IFERROR(__xludf.DUMMYFUNCTION("(T35-(IFERROR(MIN(FILTER({K35, N35, Q35}, ISNUMBER({K35, N35, Q35}), {K35, N35, Q35} &gt; 0)), """")))/T35"),0.40119760479041916)</f>
        <v>0.4011976048</v>
      </c>
      <c r="V35" s="88">
        <f t="shared" si="5"/>
        <v>11125</v>
      </c>
      <c r="W35" s="89"/>
    </row>
    <row r="36" ht="22.5" customHeight="1">
      <c r="A36" s="28" t="s">
        <v>552</v>
      </c>
      <c r="B36" s="28" t="s">
        <v>553</v>
      </c>
      <c r="C36" s="30" t="s">
        <v>479</v>
      </c>
      <c r="D36" s="85" t="s">
        <v>554</v>
      </c>
      <c r="E36" s="36" t="s">
        <v>36</v>
      </c>
      <c r="F36" s="87" t="s">
        <v>555</v>
      </c>
      <c r="G36" s="36" t="s">
        <v>41</v>
      </c>
      <c r="H36" s="28" t="s">
        <v>556</v>
      </c>
      <c r="I36" s="39">
        <v>2000.0</v>
      </c>
      <c r="J36" s="39">
        <v>2000.0</v>
      </c>
      <c r="K36" s="41"/>
      <c r="L36" s="42">
        <v>2000.0</v>
      </c>
      <c r="M36" s="42">
        <v>2000.0</v>
      </c>
      <c r="N36" s="42">
        <v>6602.0</v>
      </c>
      <c r="O36" s="39">
        <v>2000.0</v>
      </c>
      <c r="P36" s="39">
        <v>2000.0</v>
      </c>
      <c r="Q36" s="63"/>
      <c r="R36" s="92">
        <f>IF(MAX(K36,N36,Q36)&gt;0, MAX(K36,N36,Q36))</f>
        <v>6602</v>
      </c>
      <c r="S36" s="46">
        <v>0.67</v>
      </c>
      <c r="T36" s="93">
        <f>IFERROR(__xludf.DUMMYFUNCTION("((IFERROR(MAX(FILTER({K36, N36, Q36}, ISNUMBER({K36, N36, Q36}), {K36, N36, Q36} &gt; 0)), """"))*S36)+IFERROR(MAX(FILTER({K36, N36, Q36}, ISNUMBER({K36, N36, Q36}), {K36, N36, Q36} &gt; 0)), """")"),11025.34)</f>
        <v>11025.34</v>
      </c>
      <c r="U36" s="53">
        <f>IFERROR(__xludf.DUMMYFUNCTION("(T36-(IFERROR(MIN(FILTER({K36, N36, Q36}, ISNUMBER({K36, N36, Q36}), {K36, N36, Q36} &gt; 0)), """")))/T36"),0.40119760479041916)</f>
        <v>0.4011976048</v>
      </c>
      <c r="V36" s="93">
        <f>IF(MAX(K36,N36,Q36)&gt;0, MAX(K36,N36,Q36)/0.75, 0)</f>
        <v>8802.666667</v>
      </c>
      <c r="W36" s="94">
        <f>(V36-R36)/V36</f>
        <v>0.25</v>
      </c>
    </row>
    <row r="37" ht="22.5" customHeight="1">
      <c r="A37" s="28" t="s">
        <v>568</v>
      </c>
      <c r="B37" s="28" t="s">
        <v>569</v>
      </c>
      <c r="C37" s="30" t="s">
        <v>379</v>
      </c>
      <c r="D37" s="85" t="s">
        <v>570</v>
      </c>
      <c r="E37" s="86" t="s">
        <v>63</v>
      </c>
      <c r="F37" s="87" t="s">
        <v>67</v>
      </c>
      <c r="G37" s="36" t="s">
        <v>41</v>
      </c>
      <c r="H37" s="28" t="s">
        <v>571</v>
      </c>
      <c r="I37" s="39">
        <v>2000.0</v>
      </c>
      <c r="J37" s="39">
        <v>2000.0</v>
      </c>
      <c r="K37" s="41"/>
      <c r="L37" s="42">
        <v>2000.0</v>
      </c>
      <c r="M37" s="42">
        <v>2000.0</v>
      </c>
      <c r="N37" s="60"/>
      <c r="O37" s="39">
        <v>2000.0</v>
      </c>
      <c r="P37" s="39">
        <v>2000.0</v>
      </c>
      <c r="Q37" s="39">
        <v>2350.0</v>
      </c>
      <c r="R37" s="46"/>
      <c r="S37" s="46">
        <v>0.67</v>
      </c>
      <c r="T37" s="50">
        <f>IFERROR(__xludf.DUMMYFUNCTION("((IFERROR(MIN(FILTER({K37, N37, Q37}, ISNUMBER({K37, N37, Q37}), {K37, N37, Q37} &gt; 0)), """"))*S37)+IFERROR(MIN(FILTER({K37, N37, Q37}, ISNUMBER({K37, N37, Q37}), {K37, N37, Q37} &gt; 0)), """")"),3924.5)</f>
        <v>3924.5</v>
      </c>
      <c r="U37" s="53">
        <f>IFERROR(__xludf.DUMMYFUNCTION("(T37-(IFERROR(MIN(FILTER({K37, N37, Q37}, ISNUMBER({K37, N37, Q37}), {K37, N37, Q37} &gt; 0)), """")))/T37"),0.40119760479041916)</f>
        <v>0.4011976048</v>
      </c>
      <c r="V37" s="88">
        <f t="shared" ref="V37:V106" si="6">IF(MAX(K37,N37,Q37)&gt;0, MAX(K37,N37,Q37)*1.25, 0)</f>
        <v>2937.5</v>
      </c>
      <c r="W37" s="89"/>
    </row>
    <row r="38" ht="22.5" customHeight="1">
      <c r="A38" s="28" t="s">
        <v>573</v>
      </c>
      <c r="B38" s="28" t="s">
        <v>574</v>
      </c>
      <c r="C38" s="30" t="s">
        <v>106</v>
      </c>
      <c r="D38" s="85" t="s">
        <v>575</v>
      </c>
      <c r="E38" s="86" t="s">
        <v>36</v>
      </c>
      <c r="F38" s="87" t="s">
        <v>576</v>
      </c>
      <c r="G38" s="36" t="s">
        <v>41</v>
      </c>
      <c r="H38" s="28" t="s">
        <v>577</v>
      </c>
      <c r="I38" s="39">
        <v>1000.0</v>
      </c>
      <c r="J38" s="39">
        <v>1000.0</v>
      </c>
      <c r="K38" s="41"/>
      <c r="L38" s="42">
        <v>1000.0</v>
      </c>
      <c r="M38" s="42">
        <v>1000.0</v>
      </c>
      <c r="N38" s="60"/>
      <c r="O38" s="39">
        <v>1000.0</v>
      </c>
      <c r="P38" s="39">
        <v>1000.0</v>
      </c>
      <c r="Q38" s="39">
        <v>4100.0</v>
      </c>
      <c r="R38" s="46"/>
      <c r="S38" s="46">
        <v>0.67</v>
      </c>
      <c r="T38" s="50">
        <f>IFERROR(__xludf.DUMMYFUNCTION("((IFERROR(MIN(FILTER({K38, N38, Q38}, ISNUMBER({K38, N38, Q38}), {K38, N38, Q38} &gt; 0)), """"))*S38)+IFERROR(MIN(FILTER({K38, N38, Q38}, ISNUMBER({K38, N38, Q38}), {K38, N38, Q38} &gt; 0)), """")"),6847.0)</f>
        <v>6847</v>
      </c>
      <c r="U38" s="53">
        <f>IFERROR(__xludf.DUMMYFUNCTION("(T38-(IFERROR(MIN(FILTER({K38, N38, Q38}, ISNUMBER({K38, N38, Q38}), {K38, N38, Q38} &gt; 0)), """")))/T38"),0.40119760479041916)</f>
        <v>0.4011976048</v>
      </c>
      <c r="V38" s="88">
        <f t="shared" si="6"/>
        <v>5125</v>
      </c>
      <c r="W38" s="89"/>
    </row>
    <row r="39" ht="22.5" customHeight="1">
      <c r="A39" s="28" t="s">
        <v>573</v>
      </c>
      <c r="B39" s="28" t="s">
        <v>574</v>
      </c>
      <c r="C39" s="30" t="s">
        <v>106</v>
      </c>
      <c r="D39" s="85" t="s">
        <v>575</v>
      </c>
      <c r="E39" s="86" t="s">
        <v>36</v>
      </c>
      <c r="F39" s="87" t="s">
        <v>581</v>
      </c>
      <c r="G39" s="36" t="s">
        <v>41</v>
      </c>
      <c r="H39" s="28" t="s">
        <v>577</v>
      </c>
      <c r="I39" s="39">
        <v>2000.0</v>
      </c>
      <c r="J39" s="39">
        <v>2000.0</v>
      </c>
      <c r="K39" s="41"/>
      <c r="L39" s="42">
        <v>2000.0</v>
      </c>
      <c r="M39" s="42">
        <v>2000.0</v>
      </c>
      <c r="N39" s="60"/>
      <c r="O39" s="39">
        <v>2000.0</v>
      </c>
      <c r="P39" s="39">
        <v>2000.0</v>
      </c>
      <c r="Q39" s="39">
        <v>3300.0</v>
      </c>
      <c r="R39" s="46"/>
      <c r="S39" s="46">
        <v>0.67</v>
      </c>
      <c r="T39" s="50">
        <f>IFERROR(__xludf.DUMMYFUNCTION("((IFERROR(MIN(FILTER({K39, N39, Q39}, ISNUMBER({K39, N39, Q39}), {K39, N39, Q39} &gt; 0)), """"))*S39)+IFERROR(MIN(FILTER({K39, N39, Q39}, ISNUMBER({K39, N39, Q39}), {K39, N39, Q39} &gt; 0)), """")"),5511.0)</f>
        <v>5511</v>
      </c>
      <c r="U39" s="53">
        <f>IFERROR(__xludf.DUMMYFUNCTION("(T39-(IFERROR(MIN(FILTER({K39, N39, Q39}, ISNUMBER({K39, N39, Q39}), {K39, N39, Q39} &gt; 0)), """")))/T39"),0.40119760479041916)</f>
        <v>0.4011976048</v>
      </c>
      <c r="V39" s="88">
        <f t="shared" si="6"/>
        <v>4125</v>
      </c>
      <c r="W39" s="89"/>
    </row>
    <row r="40" ht="22.5" customHeight="1">
      <c r="A40" s="28" t="s">
        <v>104</v>
      </c>
      <c r="B40" s="28" t="s">
        <v>586</v>
      </c>
      <c r="C40" s="30" t="s">
        <v>458</v>
      </c>
      <c r="D40" s="85" t="s">
        <v>587</v>
      </c>
      <c r="E40" s="86" t="s">
        <v>55</v>
      </c>
      <c r="F40" s="87" t="s">
        <v>108</v>
      </c>
      <c r="G40" s="36" t="s">
        <v>41</v>
      </c>
      <c r="H40" s="28" t="s">
        <v>589</v>
      </c>
      <c r="I40" s="39">
        <v>2000.0</v>
      </c>
      <c r="J40" s="39">
        <v>2000.0</v>
      </c>
      <c r="K40" s="41"/>
      <c r="L40" s="42">
        <v>2000.0</v>
      </c>
      <c r="M40" s="42">
        <v>2000.0</v>
      </c>
      <c r="N40" s="60"/>
      <c r="O40" s="39">
        <v>2000.0</v>
      </c>
      <c r="P40" s="39">
        <v>2000.0</v>
      </c>
      <c r="Q40" s="39">
        <v>3200.0</v>
      </c>
      <c r="R40" s="46"/>
      <c r="S40" s="46">
        <v>0.67</v>
      </c>
      <c r="T40" s="50">
        <f>IFERROR(__xludf.DUMMYFUNCTION("((IFERROR(MIN(FILTER({K40, N40, Q40}, ISNUMBER({K40, N40, Q40}), {K40, N40, Q40} &gt; 0)), """"))*S40)+IFERROR(MIN(FILTER({K40, N40, Q40}, ISNUMBER({K40, N40, Q40}), {K40, N40, Q40} &gt; 0)), """")"),5344.0)</f>
        <v>5344</v>
      </c>
      <c r="U40" s="53">
        <f>IFERROR(__xludf.DUMMYFUNCTION("(T40-(IFERROR(MIN(FILTER({K40, N40, Q40}, ISNUMBER({K40, N40, Q40}), {K40, N40, Q40} &gt; 0)), """")))/T40"),0.40119760479041916)</f>
        <v>0.4011976048</v>
      </c>
      <c r="V40" s="88">
        <f t="shared" si="6"/>
        <v>4000</v>
      </c>
      <c r="W40" s="89"/>
    </row>
    <row r="41" ht="22.5" customHeight="1">
      <c r="A41" s="28" t="s">
        <v>104</v>
      </c>
      <c r="B41" s="28" t="s">
        <v>592</v>
      </c>
      <c r="C41" s="30" t="s">
        <v>458</v>
      </c>
      <c r="D41" s="85" t="s">
        <v>593</v>
      </c>
      <c r="E41" s="86" t="s">
        <v>55</v>
      </c>
      <c r="F41" s="87" t="s">
        <v>108</v>
      </c>
      <c r="G41" s="36" t="s">
        <v>41</v>
      </c>
      <c r="H41" s="28" t="s">
        <v>589</v>
      </c>
      <c r="I41" s="39">
        <v>1000.0</v>
      </c>
      <c r="J41" s="39">
        <v>1000.0</v>
      </c>
      <c r="K41" s="41"/>
      <c r="L41" s="42">
        <v>1000.0</v>
      </c>
      <c r="M41" s="42">
        <v>1000.0</v>
      </c>
      <c r="N41" s="60"/>
      <c r="O41" s="39">
        <v>1000.0</v>
      </c>
      <c r="P41" s="39">
        <v>1000.0</v>
      </c>
      <c r="Q41" s="39">
        <v>3300.0</v>
      </c>
      <c r="R41" s="46"/>
      <c r="S41" s="46">
        <v>0.67</v>
      </c>
      <c r="T41" s="50">
        <f>IFERROR(__xludf.DUMMYFUNCTION("((IFERROR(MIN(FILTER({K41, N41, Q41}, ISNUMBER({K41, N41, Q41}), {K41, N41, Q41} &gt; 0)), """"))*S41)+IFERROR(MIN(FILTER({K41, N41, Q41}, ISNUMBER({K41, N41, Q41}), {K41, N41, Q41} &gt; 0)), """")"),5511.0)</f>
        <v>5511</v>
      </c>
      <c r="U41" s="53">
        <f>IFERROR(__xludf.DUMMYFUNCTION("(T41-(IFERROR(MIN(FILTER({K41, N41, Q41}, ISNUMBER({K41, N41, Q41}), {K41, N41, Q41} &gt; 0)), """")))/T41"),0.40119760479041916)</f>
        <v>0.4011976048</v>
      </c>
      <c r="V41" s="88">
        <f t="shared" si="6"/>
        <v>4125</v>
      </c>
      <c r="W41" s="89"/>
    </row>
    <row r="42" ht="22.5" customHeight="1">
      <c r="A42" s="28" t="s">
        <v>188</v>
      </c>
      <c r="B42" s="28" t="s">
        <v>594</v>
      </c>
      <c r="C42" s="30" t="s">
        <v>379</v>
      </c>
      <c r="D42" s="85" t="s">
        <v>595</v>
      </c>
      <c r="E42" s="86" t="s">
        <v>63</v>
      </c>
      <c r="F42" s="87" t="s">
        <v>596</v>
      </c>
      <c r="G42" s="36" t="s">
        <v>41</v>
      </c>
      <c r="H42" s="28" t="s">
        <v>597</v>
      </c>
      <c r="I42" s="39">
        <v>2000.0</v>
      </c>
      <c r="J42" s="39">
        <v>2000.0</v>
      </c>
      <c r="K42" s="41"/>
      <c r="L42" s="42">
        <v>2000.0</v>
      </c>
      <c r="M42" s="42">
        <v>2000.0</v>
      </c>
      <c r="N42" s="60"/>
      <c r="O42" s="39">
        <v>2000.0</v>
      </c>
      <c r="P42" s="39">
        <v>2000.0</v>
      </c>
      <c r="Q42" s="39">
        <v>2700.0</v>
      </c>
      <c r="R42" s="46"/>
      <c r="S42" s="46">
        <v>0.67</v>
      </c>
      <c r="T42" s="50">
        <f>IFERROR(__xludf.DUMMYFUNCTION("((IFERROR(MIN(FILTER({K42, N42, Q42}, ISNUMBER({K42, N42, Q42}), {K42, N42, Q42} &gt; 0)), """"))*S42)+IFERROR(MIN(FILTER({K42, N42, Q42}, ISNUMBER({K42, N42, Q42}), {K42, N42, Q42} &gt; 0)), """")"),4509.0)</f>
        <v>4509</v>
      </c>
      <c r="U42" s="53">
        <f>IFERROR(__xludf.DUMMYFUNCTION("(T42-(IFERROR(MIN(FILTER({K42, N42, Q42}, ISNUMBER({K42, N42, Q42}), {K42, N42, Q42} &gt; 0)), """")))/T42"),0.40119760479041916)</f>
        <v>0.4011976048</v>
      </c>
      <c r="V42" s="88">
        <f t="shared" si="6"/>
        <v>3375</v>
      </c>
      <c r="W42" s="89"/>
    </row>
    <row r="43" ht="22.5" customHeight="1">
      <c r="A43" s="28" t="s">
        <v>188</v>
      </c>
      <c r="B43" s="28" t="s">
        <v>594</v>
      </c>
      <c r="C43" s="30" t="s">
        <v>379</v>
      </c>
      <c r="D43" s="85" t="s">
        <v>595</v>
      </c>
      <c r="E43" s="86" t="s">
        <v>63</v>
      </c>
      <c r="F43" s="87" t="s">
        <v>596</v>
      </c>
      <c r="G43" s="36" t="s">
        <v>41</v>
      </c>
      <c r="H43" s="28" t="s">
        <v>597</v>
      </c>
      <c r="I43" s="39">
        <v>1000.0</v>
      </c>
      <c r="J43" s="39">
        <v>1000.0</v>
      </c>
      <c r="K43" s="41"/>
      <c r="L43" s="42">
        <v>1000.0</v>
      </c>
      <c r="M43" s="42">
        <v>1000.0</v>
      </c>
      <c r="N43" s="60"/>
      <c r="O43" s="39">
        <v>1000.0</v>
      </c>
      <c r="P43" s="39">
        <v>1000.0</v>
      </c>
      <c r="Q43" s="39">
        <v>3700.0</v>
      </c>
      <c r="R43" s="46"/>
      <c r="S43" s="46">
        <v>0.67</v>
      </c>
      <c r="T43" s="50">
        <f>IFERROR(__xludf.DUMMYFUNCTION("((IFERROR(MIN(FILTER({K43, N43, Q43}, ISNUMBER({K43, N43, Q43}), {K43, N43, Q43} &gt; 0)), """"))*S43)+IFERROR(MIN(FILTER({K43, N43, Q43}, ISNUMBER({K43, N43, Q43}), {K43, N43, Q43} &gt; 0)), """")"),6179.0)</f>
        <v>6179</v>
      </c>
      <c r="U43" s="53">
        <f>IFERROR(__xludf.DUMMYFUNCTION("(T43-(IFERROR(MIN(FILTER({K43, N43, Q43}, ISNUMBER({K43, N43, Q43}), {K43, N43, Q43} &gt; 0)), """")))/T43"),0.40119760479041916)</f>
        <v>0.4011976048</v>
      </c>
      <c r="V43" s="88">
        <f t="shared" si="6"/>
        <v>4625</v>
      </c>
      <c r="W43" s="89"/>
    </row>
    <row r="44" ht="22.5" customHeight="1">
      <c r="A44" s="28" t="s">
        <v>188</v>
      </c>
      <c r="B44" s="28" t="s">
        <v>594</v>
      </c>
      <c r="C44" s="30" t="s">
        <v>379</v>
      </c>
      <c r="D44" s="85" t="s">
        <v>595</v>
      </c>
      <c r="E44" s="86" t="s">
        <v>63</v>
      </c>
      <c r="F44" s="87" t="s">
        <v>596</v>
      </c>
      <c r="G44" s="36" t="s">
        <v>41</v>
      </c>
      <c r="H44" s="28" t="s">
        <v>597</v>
      </c>
      <c r="I44" s="39">
        <v>2000.0</v>
      </c>
      <c r="J44" s="39">
        <v>2000.0</v>
      </c>
      <c r="K44" s="41"/>
      <c r="L44" s="42">
        <v>2000.0</v>
      </c>
      <c r="M44" s="42">
        <v>2000.0</v>
      </c>
      <c r="N44" s="60"/>
      <c r="O44" s="39">
        <v>2000.0</v>
      </c>
      <c r="P44" s="39">
        <v>2000.0</v>
      </c>
      <c r="Q44" s="39">
        <v>2900.0</v>
      </c>
      <c r="R44" s="46"/>
      <c r="S44" s="46">
        <v>0.67</v>
      </c>
      <c r="T44" s="50">
        <f>IFERROR(__xludf.DUMMYFUNCTION("((IFERROR(MIN(FILTER({K44, N44, Q44}, ISNUMBER({K44, N44, Q44}), {K44, N44, Q44} &gt; 0)), """"))*S44)+IFERROR(MIN(FILTER({K44, N44, Q44}, ISNUMBER({K44, N44, Q44}), {K44, N44, Q44} &gt; 0)), """")"),4843.0)</f>
        <v>4843</v>
      </c>
      <c r="U44" s="53">
        <f>IFERROR(__xludf.DUMMYFUNCTION("(T44-(IFERROR(MIN(FILTER({K44, N44, Q44}, ISNUMBER({K44, N44, Q44}), {K44, N44, Q44} &gt; 0)), """")))/T44"),0.40119760479041916)</f>
        <v>0.4011976048</v>
      </c>
      <c r="V44" s="88">
        <f t="shared" si="6"/>
        <v>3625</v>
      </c>
      <c r="W44" s="89"/>
    </row>
    <row r="45" ht="22.5" customHeight="1">
      <c r="A45" s="28" t="s">
        <v>188</v>
      </c>
      <c r="B45" s="28" t="s">
        <v>594</v>
      </c>
      <c r="C45" s="30" t="s">
        <v>379</v>
      </c>
      <c r="D45" s="85" t="s">
        <v>595</v>
      </c>
      <c r="E45" s="86" t="s">
        <v>63</v>
      </c>
      <c r="F45" s="87" t="s">
        <v>596</v>
      </c>
      <c r="G45" s="36" t="s">
        <v>41</v>
      </c>
      <c r="H45" s="28" t="s">
        <v>597</v>
      </c>
      <c r="I45" s="39">
        <v>1000.0</v>
      </c>
      <c r="J45" s="39">
        <v>1000.0</v>
      </c>
      <c r="K45" s="41"/>
      <c r="L45" s="42">
        <v>1000.0</v>
      </c>
      <c r="M45" s="42">
        <v>1000.0</v>
      </c>
      <c r="N45" s="60"/>
      <c r="O45" s="39">
        <v>1000.0</v>
      </c>
      <c r="P45" s="39">
        <v>1000.0</v>
      </c>
      <c r="Q45" s="39">
        <v>3800.0</v>
      </c>
      <c r="R45" s="46"/>
      <c r="S45" s="46">
        <v>0.67</v>
      </c>
      <c r="T45" s="50">
        <f>IFERROR(__xludf.DUMMYFUNCTION("((IFERROR(MIN(FILTER({K45, N45, Q45}, ISNUMBER({K45, N45, Q45}), {K45, N45, Q45} &gt; 0)), """"))*S45)+IFERROR(MIN(FILTER({K45, N45, Q45}, ISNUMBER({K45, N45, Q45}), {K45, N45, Q45} &gt; 0)), """")"),6346.0)</f>
        <v>6346</v>
      </c>
      <c r="U45" s="53">
        <f>IFERROR(__xludf.DUMMYFUNCTION("(T45-(IFERROR(MIN(FILTER({K45, N45, Q45}, ISNUMBER({K45, N45, Q45}), {K45, N45, Q45} &gt; 0)), """")))/T45"),0.40119760479041916)</f>
        <v>0.4011976048</v>
      </c>
      <c r="V45" s="88">
        <f t="shared" si="6"/>
        <v>4750</v>
      </c>
      <c r="W45" s="89"/>
    </row>
    <row r="46" ht="22.5" customHeight="1">
      <c r="A46" s="28" t="s">
        <v>188</v>
      </c>
      <c r="B46" s="28" t="s">
        <v>608</v>
      </c>
      <c r="C46" s="30" t="s">
        <v>379</v>
      </c>
      <c r="D46" s="85" t="s">
        <v>609</v>
      </c>
      <c r="E46" s="86" t="s">
        <v>63</v>
      </c>
      <c r="F46" s="87" t="s">
        <v>610</v>
      </c>
      <c r="G46" s="36" t="s">
        <v>41</v>
      </c>
      <c r="H46" s="28" t="s">
        <v>597</v>
      </c>
      <c r="I46" s="39">
        <v>2000.0</v>
      </c>
      <c r="J46" s="39">
        <v>2000.0</v>
      </c>
      <c r="K46" s="41"/>
      <c r="L46" s="42">
        <v>2000.0</v>
      </c>
      <c r="M46" s="42">
        <v>2000.0</v>
      </c>
      <c r="N46" s="60"/>
      <c r="O46" s="39">
        <v>2000.0</v>
      </c>
      <c r="P46" s="39">
        <v>2000.0</v>
      </c>
      <c r="Q46" s="39">
        <v>3000.0</v>
      </c>
      <c r="R46" s="46"/>
      <c r="S46" s="46">
        <v>0.67</v>
      </c>
      <c r="T46" s="50">
        <f>IFERROR(__xludf.DUMMYFUNCTION("((IFERROR(MIN(FILTER({K46, N46, Q46}, ISNUMBER({K46, N46, Q46}), {K46, N46, Q46} &gt; 0)), """"))*S46)+IFERROR(MIN(FILTER({K46, N46, Q46}, ISNUMBER({K46, N46, Q46}), {K46, N46, Q46} &gt; 0)), """")"),5010.0)</f>
        <v>5010</v>
      </c>
      <c r="U46" s="53">
        <f>IFERROR(__xludf.DUMMYFUNCTION("(T46-(IFERROR(MIN(FILTER({K46, N46, Q46}, ISNUMBER({K46, N46, Q46}), {K46, N46, Q46} &gt; 0)), """")))/T46"),0.40119760479041916)</f>
        <v>0.4011976048</v>
      </c>
      <c r="V46" s="88">
        <f t="shared" si="6"/>
        <v>3750</v>
      </c>
      <c r="W46" s="89"/>
    </row>
    <row r="47" ht="22.5" customHeight="1">
      <c r="A47" s="28" t="s">
        <v>188</v>
      </c>
      <c r="B47" s="28" t="s">
        <v>608</v>
      </c>
      <c r="C47" s="30" t="s">
        <v>379</v>
      </c>
      <c r="D47" s="85" t="s">
        <v>609</v>
      </c>
      <c r="E47" s="86" t="s">
        <v>63</v>
      </c>
      <c r="F47" s="87" t="s">
        <v>617</v>
      </c>
      <c r="G47" s="36" t="s">
        <v>41</v>
      </c>
      <c r="H47" s="28" t="s">
        <v>597</v>
      </c>
      <c r="I47" s="39">
        <v>1000.0</v>
      </c>
      <c r="J47" s="39">
        <v>1000.0</v>
      </c>
      <c r="K47" s="41"/>
      <c r="L47" s="42">
        <v>1000.0</v>
      </c>
      <c r="M47" s="42">
        <v>1000.0</v>
      </c>
      <c r="N47" s="60"/>
      <c r="O47" s="39">
        <v>1000.0</v>
      </c>
      <c r="P47" s="39">
        <v>1000.0</v>
      </c>
      <c r="Q47" s="39">
        <v>4200.0</v>
      </c>
      <c r="R47" s="46"/>
      <c r="S47" s="46">
        <v>0.67</v>
      </c>
      <c r="T47" s="50">
        <f>IFERROR(__xludf.DUMMYFUNCTION("((IFERROR(MIN(FILTER({K47, N47, Q47}, ISNUMBER({K47, N47, Q47}), {K47, N47, Q47} &gt; 0)), """"))*S47)+IFERROR(MIN(FILTER({K47, N47, Q47}, ISNUMBER({K47, N47, Q47}), {K47, N47, Q47} &gt; 0)), """")"),7014.0)</f>
        <v>7014</v>
      </c>
      <c r="U47" s="53">
        <f>IFERROR(__xludf.DUMMYFUNCTION("(T47-(IFERROR(MIN(FILTER({K47, N47, Q47}, ISNUMBER({K47, N47, Q47}), {K47, N47, Q47} &gt; 0)), """")))/T47"),0.40119760479041916)</f>
        <v>0.4011976048</v>
      </c>
      <c r="V47" s="88">
        <f t="shared" si="6"/>
        <v>5250</v>
      </c>
      <c r="W47" s="89"/>
    </row>
    <row r="48" ht="22.5" customHeight="1">
      <c r="A48" s="28" t="s">
        <v>188</v>
      </c>
      <c r="B48" s="28" t="s">
        <v>608</v>
      </c>
      <c r="C48" s="30" t="s">
        <v>379</v>
      </c>
      <c r="D48" s="85" t="s">
        <v>609</v>
      </c>
      <c r="E48" s="86" t="s">
        <v>63</v>
      </c>
      <c r="F48" s="87" t="s">
        <v>617</v>
      </c>
      <c r="G48" s="36" t="s">
        <v>41</v>
      </c>
      <c r="H48" s="28" t="s">
        <v>597</v>
      </c>
      <c r="I48" s="39">
        <v>300000.0</v>
      </c>
      <c r="J48" s="39">
        <v>300000.0</v>
      </c>
      <c r="K48" s="39">
        <v>1200.0</v>
      </c>
      <c r="L48" s="42">
        <v>300000.0</v>
      </c>
      <c r="M48" s="42">
        <v>300000.0</v>
      </c>
      <c r="N48" s="42"/>
      <c r="O48" s="39">
        <v>300000.0</v>
      </c>
      <c r="P48" s="39">
        <v>300000.0</v>
      </c>
      <c r="Q48" s="39"/>
      <c r="R48" s="46"/>
      <c r="S48" s="46">
        <v>0.67</v>
      </c>
      <c r="T48" s="50">
        <f>IFERROR(__xludf.DUMMYFUNCTION("((IFERROR(MIN(FILTER({K48, N48, Q48}, ISNUMBER({K48, N48, Q48}), {K48, N48, Q48} &gt; 0)), """"))*S48)+IFERROR(MIN(FILTER({K48, N48, Q48}, ISNUMBER({K48, N48, Q48}), {K48, N48, Q48} &gt; 0)), """")"),2004.0)</f>
        <v>2004</v>
      </c>
      <c r="U48" s="53">
        <f>IFERROR(__xludf.DUMMYFUNCTION("(T48-(IFERROR(MIN(FILTER({K48, N48, Q48}, ISNUMBER({K48, N48, Q48}), {K48, N48, Q48} &gt; 0)), """")))/T48"),0.40119760479041916)</f>
        <v>0.4011976048</v>
      </c>
      <c r="V48" s="88">
        <f t="shared" si="6"/>
        <v>1500</v>
      </c>
      <c r="W48" s="89"/>
    </row>
    <row r="49" ht="22.5" customHeight="1">
      <c r="A49" s="28" t="s">
        <v>188</v>
      </c>
      <c r="B49" s="28" t="s">
        <v>608</v>
      </c>
      <c r="C49" s="30" t="s">
        <v>379</v>
      </c>
      <c r="D49" s="85" t="s">
        <v>609</v>
      </c>
      <c r="E49" s="86" t="s">
        <v>63</v>
      </c>
      <c r="F49" s="87" t="s">
        <v>617</v>
      </c>
      <c r="G49" s="36" t="s">
        <v>41</v>
      </c>
      <c r="H49" s="28" t="s">
        <v>597</v>
      </c>
      <c r="I49" s="39">
        <v>500000.0</v>
      </c>
      <c r="J49" s="39">
        <v>500000.0</v>
      </c>
      <c r="K49" s="39">
        <v>205.0</v>
      </c>
      <c r="L49" s="42">
        <v>500000.0</v>
      </c>
      <c r="M49" s="42">
        <v>500000.0</v>
      </c>
      <c r="N49" s="42"/>
      <c r="O49" s="39">
        <v>500000.0</v>
      </c>
      <c r="P49" s="39">
        <v>500000.0</v>
      </c>
      <c r="Q49" s="39"/>
      <c r="R49" s="46"/>
      <c r="S49" s="46">
        <v>0.67</v>
      </c>
      <c r="T49" s="50">
        <f>IFERROR(__xludf.DUMMYFUNCTION("((IFERROR(MIN(FILTER({K49, N49, Q49}, ISNUMBER({K49, N49, Q49}), {K49, N49, Q49} &gt; 0)), """"))*S49)+IFERROR(MIN(FILTER({K49, N49, Q49}, ISNUMBER({K49, N49, Q49}), {K49, N49, Q49} &gt; 0)), """")"),342.35)</f>
        <v>342.35</v>
      </c>
      <c r="U49" s="53">
        <f>IFERROR(__xludf.DUMMYFUNCTION("(T49-(IFERROR(MIN(FILTER({K49, N49, Q49}, ISNUMBER({K49, N49, Q49}), {K49, N49, Q49} &gt; 0)), """")))/T49"),0.4011976047904192)</f>
        <v>0.4011976048</v>
      </c>
      <c r="V49" s="88">
        <f t="shared" si="6"/>
        <v>256.25</v>
      </c>
      <c r="W49" s="89"/>
    </row>
    <row r="50" ht="22.5" customHeight="1">
      <c r="A50" s="28" t="s">
        <v>188</v>
      </c>
      <c r="B50" s="28" t="s">
        <v>621</v>
      </c>
      <c r="C50" s="30" t="s">
        <v>379</v>
      </c>
      <c r="D50" s="85" t="s">
        <v>622</v>
      </c>
      <c r="E50" s="86" t="s">
        <v>63</v>
      </c>
      <c r="F50" s="87" t="s">
        <v>623</v>
      </c>
      <c r="G50" s="36" t="s">
        <v>41</v>
      </c>
      <c r="H50" s="28" t="s">
        <v>624</v>
      </c>
      <c r="I50" s="39">
        <v>2000000.0</v>
      </c>
      <c r="J50" s="39">
        <v>2000000.0</v>
      </c>
      <c r="K50" s="39">
        <v>190.0</v>
      </c>
      <c r="L50" s="42">
        <v>2000000.0</v>
      </c>
      <c r="M50" s="42">
        <v>2000000.0</v>
      </c>
      <c r="N50" s="42"/>
      <c r="O50" s="39">
        <v>2000000.0</v>
      </c>
      <c r="P50" s="39">
        <v>2000000.0</v>
      </c>
      <c r="Q50" s="39"/>
      <c r="R50" s="46"/>
      <c r="S50" s="46">
        <v>0.67</v>
      </c>
      <c r="T50" s="50">
        <f>IFERROR(__xludf.DUMMYFUNCTION("((IFERROR(MIN(FILTER({K50, N50, Q50}, ISNUMBER({K50, N50, Q50}), {K50, N50, Q50} &gt; 0)), """"))*S50)+IFERROR(MIN(FILTER({K50, N50, Q50}, ISNUMBER({K50, N50, Q50}), {K50, N50, Q50} &gt; 0)), """")"),317.3)</f>
        <v>317.3</v>
      </c>
      <c r="U50" s="53">
        <f>IFERROR(__xludf.DUMMYFUNCTION("(T50-(IFERROR(MIN(FILTER({K50, N50, Q50}, ISNUMBER({K50, N50, Q50}), {K50, N50, Q50} &gt; 0)), """")))/T50"),0.40119760479041916)</f>
        <v>0.4011976048</v>
      </c>
      <c r="V50" s="88">
        <f t="shared" si="6"/>
        <v>237.5</v>
      </c>
      <c r="W50" s="89"/>
    </row>
    <row r="51" ht="22.5" customHeight="1">
      <c r="A51" s="28" t="s">
        <v>188</v>
      </c>
      <c r="B51" s="28" t="s">
        <v>621</v>
      </c>
      <c r="C51" s="30" t="s">
        <v>379</v>
      </c>
      <c r="D51" s="85" t="s">
        <v>622</v>
      </c>
      <c r="E51" s="86" t="s">
        <v>63</v>
      </c>
      <c r="F51" s="87" t="s">
        <v>623</v>
      </c>
      <c r="G51" s="36" t="s">
        <v>41</v>
      </c>
      <c r="H51" s="28" t="s">
        <v>624</v>
      </c>
      <c r="I51" s="39">
        <v>25000.0</v>
      </c>
      <c r="J51" s="39">
        <v>25000.0</v>
      </c>
      <c r="K51" s="41"/>
      <c r="L51" s="42">
        <v>25000.0</v>
      </c>
      <c r="M51" s="42">
        <v>25000.0</v>
      </c>
      <c r="N51" s="60"/>
      <c r="O51" s="39">
        <v>25000.0</v>
      </c>
      <c r="P51" s="39">
        <v>25000.0</v>
      </c>
      <c r="Q51" s="39">
        <v>3050.0</v>
      </c>
      <c r="R51" s="46"/>
      <c r="S51" s="46">
        <v>0.67</v>
      </c>
      <c r="T51" s="50">
        <f>IFERROR(__xludf.DUMMYFUNCTION("((IFERROR(MIN(FILTER({K51, N51, Q51}, ISNUMBER({K51, N51, Q51}), {K51, N51, Q51} &gt; 0)), """"))*S51)+IFERROR(MIN(FILTER({K51, N51, Q51}, ISNUMBER({K51, N51, Q51}), {K51, N51, Q51} &gt; 0)), """")"),5093.5)</f>
        <v>5093.5</v>
      </c>
      <c r="U51" s="53">
        <f>IFERROR(__xludf.DUMMYFUNCTION("(T51-(IFERROR(MIN(FILTER({K51, N51, Q51}, ISNUMBER({K51, N51, Q51}), {K51, N51, Q51} &gt; 0)), """")))/T51"),0.40119760479041916)</f>
        <v>0.4011976048</v>
      </c>
      <c r="V51" s="88">
        <f t="shared" si="6"/>
        <v>3812.5</v>
      </c>
      <c r="W51" s="89"/>
    </row>
    <row r="52" ht="22.5" customHeight="1">
      <c r="A52" s="28" t="s">
        <v>188</v>
      </c>
      <c r="B52" s="28" t="s">
        <v>621</v>
      </c>
      <c r="C52" s="30" t="s">
        <v>379</v>
      </c>
      <c r="D52" s="85" t="s">
        <v>622</v>
      </c>
      <c r="E52" s="86" t="s">
        <v>63</v>
      </c>
      <c r="F52" s="87" t="s">
        <v>623</v>
      </c>
      <c r="G52" s="36" t="s">
        <v>41</v>
      </c>
      <c r="H52" s="28" t="s">
        <v>624</v>
      </c>
      <c r="I52" s="39">
        <v>50000.0</v>
      </c>
      <c r="J52" s="39">
        <v>50000.0</v>
      </c>
      <c r="K52" s="41"/>
      <c r="L52" s="42">
        <v>50000.0</v>
      </c>
      <c r="M52" s="42">
        <v>50000.0</v>
      </c>
      <c r="N52" s="60"/>
      <c r="O52" s="39">
        <v>50000.0</v>
      </c>
      <c r="P52" s="39">
        <v>50000.0</v>
      </c>
      <c r="Q52" s="39">
        <v>3000.0</v>
      </c>
      <c r="R52" s="46"/>
      <c r="S52" s="46">
        <v>0.67</v>
      </c>
      <c r="T52" s="50">
        <f>IFERROR(__xludf.DUMMYFUNCTION("((IFERROR(MIN(FILTER({K52, N52, Q52}, ISNUMBER({K52, N52, Q52}), {K52, N52, Q52} &gt; 0)), """"))*S52)+IFERROR(MIN(FILTER({K52, N52, Q52}, ISNUMBER({K52, N52, Q52}), {K52, N52, Q52} &gt; 0)), """")"),5010.0)</f>
        <v>5010</v>
      </c>
      <c r="U52" s="53">
        <f>IFERROR(__xludf.DUMMYFUNCTION("(T52-(IFERROR(MIN(FILTER({K52, N52, Q52}, ISNUMBER({K52, N52, Q52}), {K52, N52, Q52} &gt; 0)), """")))/T52"),0.40119760479041916)</f>
        <v>0.4011976048</v>
      </c>
      <c r="V52" s="88">
        <f t="shared" si="6"/>
        <v>3750</v>
      </c>
      <c r="W52" s="89"/>
    </row>
    <row r="53" ht="22.5" customHeight="1">
      <c r="A53" s="28" t="s">
        <v>188</v>
      </c>
      <c r="B53" s="28" t="s">
        <v>621</v>
      </c>
      <c r="C53" s="30" t="s">
        <v>379</v>
      </c>
      <c r="D53" s="85" t="s">
        <v>622</v>
      </c>
      <c r="E53" s="86" t="s">
        <v>63</v>
      </c>
      <c r="F53" s="87" t="s">
        <v>632</v>
      </c>
      <c r="G53" s="36" t="s">
        <v>41</v>
      </c>
      <c r="H53" s="28" t="s">
        <v>633</v>
      </c>
      <c r="I53" s="39">
        <v>100000.0</v>
      </c>
      <c r="J53" s="39">
        <v>100000.0</v>
      </c>
      <c r="K53" s="41"/>
      <c r="L53" s="42">
        <v>100000.0</v>
      </c>
      <c r="M53" s="42">
        <v>100000.0</v>
      </c>
      <c r="N53" s="60"/>
      <c r="O53" s="39">
        <v>100000.0</v>
      </c>
      <c r="P53" s="39">
        <v>100000.0</v>
      </c>
      <c r="Q53" s="39">
        <v>2950.0</v>
      </c>
      <c r="R53" s="46"/>
      <c r="S53" s="46">
        <v>0.67</v>
      </c>
      <c r="T53" s="50">
        <f>IFERROR(__xludf.DUMMYFUNCTION("((IFERROR(MIN(FILTER({K53, N53, Q53}, ISNUMBER({K53, N53, Q53}), {K53, N53, Q53} &gt; 0)), """"))*S53)+IFERROR(MIN(FILTER({K53, N53, Q53}, ISNUMBER({K53, N53, Q53}), {K53, N53, Q53} &gt; 0)), """")"),4926.5)</f>
        <v>4926.5</v>
      </c>
      <c r="U53" s="53">
        <f>IFERROR(__xludf.DUMMYFUNCTION("(T53-(IFERROR(MIN(FILTER({K53, N53, Q53}, ISNUMBER({K53, N53, Q53}), {K53, N53, Q53} &gt; 0)), """")))/T53"),0.40119760479041916)</f>
        <v>0.4011976048</v>
      </c>
      <c r="V53" s="88">
        <f t="shared" si="6"/>
        <v>3687.5</v>
      </c>
      <c r="W53" s="89"/>
    </row>
    <row r="54" ht="22.5" customHeight="1">
      <c r="A54" s="28" t="s">
        <v>188</v>
      </c>
      <c r="B54" s="28" t="s">
        <v>621</v>
      </c>
      <c r="C54" s="30" t="s">
        <v>379</v>
      </c>
      <c r="D54" s="85" t="s">
        <v>622</v>
      </c>
      <c r="E54" s="86" t="s">
        <v>63</v>
      </c>
      <c r="F54" s="87" t="s">
        <v>632</v>
      </c>
      <c r="G54" s="36" t="s">
        <v>41</v>
      </c>
      <c r="H54" s="28" t="s">
        <v>633</v>
      </c>
      <c r="I54" s="39">
        <v>10000.0</v>
      </c>
      <c r="J54" s="39">
        <v>10000.0</v>
      </c>
      <c r="K54" s="41"/>
      <c r="L54" s="42">
        <v>10000.0</v>
      </c>
      <c r="M54" s="42">
        <v>10000.0</v>
      </c>
      <c r="N54" s="60"/>
      <c r="O54" s="39">
        <v>10000.0</v>
      </c>
      <c r="P54" s="39">
        <v>10000.0</v>
      </c>
      <c r="Q54" s="39">
        <v>5450.0</v>
      </c>
      <c r="R54" s="46"/>
      <c r="S54" s="46">
        <v>0.67</v>
      </c>
      <c r="T54" s="50">
        <f>IFERROR(__xludf.DUMMYFUNCTION("((IFERROR(MIN(FILTER({K54, N54, Q54}, ISNUMBER({K54, N54, Q54}), {K54, N54, Q54} &gt; 0)), """"))*S54)+IFERROR(MIN(FILTER({K54, N54, Q54}, ISNUMBER({K54, N54, Q54}), {K54, N54, Q54} &gt; 0)), """")"),9101.5)</f>
        <v>9101.5</v>
      </c>
      <c r="U54" s="53">
        <f>IFERROR(__xludf.DUMMYFUNCTION("(T54-(IFERROR(MIN(FILTER({K54, N54, Q54}, ISNUMBER({K54, N54, Q54}), {K54, N54, Q54} &gt; 0)), """")))/T54"),0.40119760479041916)</f>
        <v>0.4011976048</v>
      </c>
      <c r="V54" s="88">
        <f t="shared" si="6"/>
        <v>6812.5</v>
      </c>
      <c r="W54" s="89"/>
    </row>
    <row r="55" ht="22.5" customHeight="1">
      <c r="A55" s="28" t="s">
        <v>188</v>
      </c>
      <c r="B55" s="28" t="s">
        <v>621</v>
      </c>
      <c r="C55" s="30" t="s">
        <v>379</v>
      </c>
      <c r="D55" s="85" t="s">
        <v>622</v>
      </c>
      <c r="E55" s="86" t="s">
        <v>63</v>
      </c>
      <c r="F55" s="87" t="s">
        <v>632</v>
      </c>
      <c r="G55" s="36" t="s">
        <v>41</v>
      </c>
      <c r="H55" s="28" t="s">
        <v>633</v>
      </c>
      <c r="I55" s="39">
        <v>20000.0</v>
      </c>
      <c r="J55" s="39">
        <v>20000.0</v>
      </c>
      <c r="K55" s="41"/>
      <c r="L55" s="42">
        <v>20000.0</v>
      </c>
      <c r="M55" s="42">
        <v>20000.0</v>
      </c>
      <c r="N55" s="60"/>
      <c r="O55" s="39">
        <v>20000.0</v>
      </c>
      <c r="P55" s="39">
        <v>20000.0</v>
      </c>
      <c r="Q55" s="39">
        <v>5250.0</v>
      </c>
      <c r="R55" s="46"/>
      <c r="S55" s="46">
        <v>0.67</v>
      </c>
      <c r="T55" s="50">
        <f>IFERROR(__xludf.DUMMYFUNCTION("((IFERROR(MIN(FILTER({K55, N55, Q55}, ISNUMBER({K55, N55, Q55}), {K55, N55, Q55} &gt; 0)), """"))*S55)+IFERROR(MIN(FILTER({K55, N55, Q55}, ISNUMBER({K55, N55, Q55}), {K55, N55, Q55} &gt; 0)), """")"),8767.5)</f>
        <v>8767.5</v>
      </c>
      <c r="U55" s="53">
        <f>IFERROR(__xludf.DUMMYFUNCTION("(T55-(IFERROR(MIN(FILTER({K55, N55, Q55}, ISNUMBER({K55, N55, Q55}), {K55, N55, Q55} &gt; 0)), """")))/T55"),0.40119760479041916)</f>
        <v>0.4011976048</v>
      </c>
      <c r="V55" s="88">
        <f t="shared" si="6"/>
        <v>6562.5</v>
      </c>
      <c r="W55" s="89"/>
    </row>
    <row r="56" ht="22.5" customHeight="1">
      <c r="A56" s="28" t="s">
        <v>188</v>
      </c>
      <c r="B56" s="28" t="s">
        <v>638</v>
      </c>
      <c r="C56" s="30" t="s">
        <v>379</v>
      </c>
      <c r="D56" s="85" t="s">
        <v>639</v>
      </c>
      <c r="E56" s="86" t="s">
        <v>97</v>
      </c>
      <c r="F56" s="102"/>
      <c r="G56" s="36" t="s">
        <v>41</v>
      </c>
      <c r="H56" s="28" t="s">
        <v>640</v>
      </c>
      <c r="I56" s="39">
        <v>40000.0</v>
      </c>
      <c r="J56" s="39">
        <v>40000.0</v>
      </c>
      <c r="K56" s="41"/>
      <c r="L56" s="42">
        <v>40000.0</v>
      </c>
      <c r="M56" s="42">
        <v>40000.0</v>
      </c>
      <c r="N56" s="60"/>
      <c r="O56" s="39">
        <v>40000.0</v>
      </c>
      <c r="P56" s="39">
        <v>40000.0</v>
      </c>
      <c r="Q56" s="39">
        <v>5150.0</v>
      </c>
      <c r="R56" s="46"/>
      <c r="S56" s="46">
        <v>0.67</v>
      </c>
      <c r="T56" s="50">
        <f>IFERROR(__xludf.DUMMYFUNCTION("((IFERROR(MIN(FILTER({K56, N56, Q56}, ISNUMBER({K56, N56, Q56}), {K56, N56, Q56} &gt; 0)), """"))*S56)+IFERROR(MIN(FILTER({K56, N56, Q56}, ISNUMBER({K56, N56, Q56}), {K56, N56, Q56} &gt; 0)), """")"),8600.5)</f>
        <v>8600.5</v>
      </c>
      <c r="U56" s="53">
        <f>IFERROR(__xludf.DUMMYFUNCTION("(T56-(IFERROR(MIN(FILTER({K56, N56, Q56}, ISNUMBER({K56, N56, Q56}), {K56, N56, Q56} &gt; 0)), """")))/T56"),0.40119760479041916)</f>
        <v>0.4011976048</v>
      </c>
      <c r="V56" s="88">
        <f t="shared" si="6"/>
        <v>6437.5</v>
      </c>
      <c r="W56" s="89"/>
    </row>
    <row r="57" ht="22.5" customHeight="1">
      <c r="A57" s="28" t="s">
        <v>188</v>
      </c>
      <c r="B57" s="28" t="s">
        <v>638</v>
      </c>
      <c r="C57" s="30" t="s">
        <v>379</v>
      </c>
      <c r="D57" s="85" t="s">
        <v>639</v>
      </c>
      <c r="E57" s="86" t="s">
        <v>97</v>
      </c>
      <c r="F57" s="90"/>
      <c r="G57" s="36" t="s">
        <v>41</v>
      </c>
      <c r="H57" s="28" t="s">
        <v>640</v>
      </c>
      <c r="I57" s="39">
        <v>4000.0</v>
      </c>
      <c r="J57" s="39">
        <v>4000.0</v>
      </c>
      <c r="K57" s="41"/>
      <c r="L57" s="42">
        <v>4000.0</v>
      </c>
      <c r="M57" s="42">
        <v>4000.0</v>
      </c>
      <c r="N57" s="60"/>
      <c r="O57" s="39">
        <v>4000.0</v>
      </c>
      <c r="P57" s="39">
        <v>4000.0</v>
      </c>
      <c r="Q57" s="39">
        <v>2250.0</v>
      </c>
      <c r="R57" s="46"/>
      <c r="S57" s="46">
        <v>0.67</v>
      </c>
      <c r="T57" s="50">
        <f>IFERROR(__xludf.DUMMYFUNCTION("((IFERROR(MIN(FILTER({K57, N57, Q57}, ISNUMBER({K57, N57, Q57}), {K57, N57, Q57} &gt; 0)), """"))*S57)+IFERROR(MIN(FILTER({K57, N57, Q57}, ISNUMBER({K57, N57, Q57}), {K57, N57, Q57} &gt; 0)), """")"),3757.5)</f>
        <v>3757.5</v>
      </c>
      <c r="U57" s="53">
        <f>IFERROR(__xludf.DUMMYFUNCTION("(T57-(IFERROR(MIN(FILTER({K57, N57, Q57}, ISNUMBER({K57, N57, Q57}), {K57, N57, Q57} &gt; 0)), """")))/T57"),0.40119760479041916)</f>
        <v>0.4011976048</v>
      </c>
      <c r="V57" s="88">
        <f t="shared" si="6"/>
        <v>2812.5</v>
      </c>
      <c r="W57" s="89"/>
    </row>
    <row r="58" ht="22.5" customHeight="1">
      <c r="A58" s="28" t="s">
        <v>188</v>
      </c>
      <c r="B58" s="28" t="s">
        <v>638</v>
      </c>
      <c r="C58" s="30" t="s">
        <v>379</v>
      </c>
      <c r="D58" s="85" t="s">
        <v>639</v>
      </c>
      <c r="E58" s="86" t="s">
        <v>97</v>
      </c>
      <c r="F58" s="90"/>
      <c r="G58" s="36" t="s">
        <v>41</v>
      </c>
      <c r="H58" s="28" t="s">
        <v>640</v>
      </c>
      <c r="I58" s="39">
        <v>2000.0</v>
      </c>
      <c r="J58" s="39">
        <v>2000.0</v>
      </c>
      <c r="K58" s="41"/>
      <c r="L58" s="42">
        <v>2000.0</v>
      </c>
      <c r="M58" s="42">
        <v>2000.0</v>
      </c>
      <c r="N58" s="60"/>
      <c r="O58" s="39">
        <v>2000.0</v>
      </c>
      <c r="P58" s="39">
        <v>2000.0</v>
      </c>
      <c r="Q58" s="39">
        <v>4600.0</v>
      </c>
      <c r="R58" s="46"/>
      <c r="S58" s="46">
        <v>0.67</v>
      </c>
      <c r="T58" s="50">
        <f>IFERROR(__xludf.DUMMYFUNCTION("((IFERROR(MIN(FILTER({K58, N58, Q58}, ISNUMBER({K58, N58, Q58}), {K58, N58, Q58} &gt; 0)), """"))*S58)+IFERROR(MIN(FILTER({K58, N58, Q58}, ISNUMBER({K58, N58, Q58}), {K58, N58, Q58} &gt; 0)), """")"),7682.0)</f>
        <v>7682</v>
      </c>
      <c r="U58" s="53">
        <f>IFERROR(__xludf.DUMMYFUNCTION("(T58-(IFERROR(MIN(FILTER({K58, N58, Q58}, ISNUMBER({K58, N58, Q58}), {K58, N58, Q58} &gt; 0)), """")))/T58"),0.40119760479041916)</f>
        <v>0.4011976048</v>
      </c>
      <c r="V58" s="88">
        <f t="shared" si="6"/>
        <v>5750</v>
      </c>
      <c r="W58" s="89"/>
    </row>
    <row r="59" ht="22.5" customHeight="1">
      <c r="A59" s="28" t="s">
        <v>188</v>
      </c>
      <c r="B59" s="28" t="s">
        <v>638</v>
      </c>
      <c r="C59" s="30" t="s">
        <v>458</v>
      </c>
      <c r="D59" s="85" t="s">
        <v>639</v>
      </c>
      <c r="E59" s="86" t="s">
        <v>97</v>
      </c>
      <c r="F59" s="90"/>
      <c r="G59" s="36" t="s">
        <v>41</v>
      </c>
      <c r="H59" s="28" t="s">
        <v>640</v>
      </c>
      <c r="I59" s="39">
        <v>2000.0</v>
      </c>
      <c r="J59" s="39">
        <v>2000.0</v>
      </c>
      <c r="K59" s="41"/>
      <c r="L59" s="42">
        <v>2000.0</v>
      </c>
      <c r="M59" s="42">
        <v>2000.0</v>
      </c>
      <c r="N59" s="60"/>
      <c r="O59" s="39">
        <v>2000.0</v>
      </c>
      <c r="P59" s="39">
        <v>2000.0</v>
      </c>
      <c r="Q59" s="39">
        <v>4850.0</v>
      </c>
      <c r="R59" s="46"/>
      <c r="S59" s="46">
        <v>0.67</v>
      </c>
      <c r="T59" s="50">
        <f>IFERROR(__xludf.DUMMYFUNCTION("((IFERROR(MIN(FILTER({K59, N59, Q59}, ISNUMBER({K59, N59, Q59}), {K59, N59, Q59} &gt; 0)), """"))*S59)+IFERROR(MIN(FILTER({K59, N59, Q59}, ISNUMBER({K59, N59, Q59}), {K59, N59, Q59} &gt; 0)), """")"),8099.5)</f>
        <v>8099.5</v>
      </c>
      <c r="U59" s="53">
        <f>IFERROR(__xludf.DUMMYFUNCTION("(T59-(IFERROR(MIN(FILTER({K59, N59, Q59}, ISNUMBER({K59, N59, Q59}), {K59, N59, Q59} &gt; 0)), """")))/T59"),0.40119760479041916)</f>
        <v>0.4011976048</v>
      </c>
      <c r="V59" s="88">
        <f t="shared" si="6"/>
        <v>6062.5</v>
      </c>
      <c r="W59" s="89"/>
    </row>
    <row r="60" ht="22.5" customHeight="1">
      <c r="A60" s="28" t="s">
        <v>188</v>
      </c>
      <c r="B60" s="28" t="s">
        <v>638</v>
      </c>
      <c r="C60" s="30" t="s">
        <v>458</v>
      </c>
      <c r="D60" s="85" t="s">
        <v>639</v>
      </c>
      <c r="E60" s="86" t="s">
        <v>97</v>
      </c>
      <c r="F60" s="90"/>
      <c r="G60" s="36" t="s">
        <v>41</v>
      </c>
      <c r="H60" s="28" t="s">
        <v>640</v>
      </c>
      <c r="I60" s="39">
        <v>2000.0</v>
      </c>
      <c r="J60" s="39">
        <v>2000.0</v>
      </c>
      <c r="K60" s="41"/>
      <c r="L60" s="42">
        <v>2000.0</v>
      </c>
      <c r="M60" s="42">
        <v>2000.0</v>
      </c>
      <c r="N60" s="60"/>
      <c r="O60" s="39">
        <v>2000.0</v>
      </c>
      <c r="P60" s="39">
        <v>2000.0</v>
      </c>
      <c r="Q60" s="39">
        <v>4850.0</v>
      </c>
      <c r="R60" s="46"/>
      <c r="S60" s="46">
        <v>0.67</v>
      </c>
      <c r="T60" s="50">
        <f>IFERROR(__xludf.DUMMYFUNCTION("((IFERROR(MIN(FILTER({K60, N60, Q60}, ISNUMBER({K60, N60, Q60}), {K60, N60, Q60} &gt; 0)), """"))*S60)+IFERROR(MIN(FILTER({K60, N60, Q60}, ISNUMBER({K60, N60, Q60}), {K60, N60, Q60} &gt; 0)), """")"),8099.5)</f>
        <v>8099.5</v>
      </c>
      <c r="U60" s="53">
        <f>IFERROR(__xludf.DUMMYFUNCTION("(T60-(IFERROR(MIN(FILTER({K60, N60, Q60}, ISNUMBER({K60, N60, Q60}), {K60, N60, Q60} &gt; 0)), """")))/T60"),0.40119760479041916)</f>
        <v>0.4011976048</v>
      </c>
      <c r="V60" s="88">
        <f t="shared" si="6"/>
        <v>6062.5</v>
      </c>
      <c r="W60" s="89"/>
    </row>
    <row r="61" ht="22.5" customHeight="1">
      <c r="A61" s="28" t="s">
        <v>188</v>
      </c>
      <c r="B61" s="28" t="s">
        <v>647</v>
      </c>
      <c r="C61" s="30" t="s">
        <v>458</v>
      </c>
      <c r="D61" s="85" t="s">
        <v>648</v>
      </c>
      <c r="E61" s="86" t="s">
        <v>55</v>
      </c>
      <c r="F61" s="87" t="s">
        <v>460</v>
      </c>
      <c r="G61" s="36" t="s">
        <v>41</v>
      </c>
      <c r="H61" s="28" t="s">
        <v>620</v>
      </c>
      <c r="I61" s="39">
        <v>5000.0</v>
      </c>
      <c r="J61" s="39">
        <v>5000.0</v>
      </c>
      <c r="K61" s="41"/>
      <c r="L61" s="42">
        <v>5000.0</v>
      </c>
      <c r="M61" s="42">
        <v>5000.0</v>
      </c>
      <c r="N61" s="60"/>
      <c r="O61" s="39">
        <v>5000.0</v>
      </c>
      <c r="P61" s="39">
        <v>5000.0</v>
      </c>
      <c r="Q61" s="39">
        <v>4350.0</v>
      </c>
      <c r="R61" s="46"/>
      <c r="S61" s="46">
        <v>0.67</v>
      </c>
      <c r="T61" s="50">
        <f>IFERROR(__xludf.DUMMYFUNCTION("((IFERROR(MIN(FILTER({K61, N61, Q61}, ISNUMBER({K61, N61, Q61}), {K61, N61, Q61} &gt; 0)), """"))*S61)+IFERROR(MIN(FILTER({K61, N61, Q61}, ISNUMBER({K61, N61, Q61}), {K61, N61, Q61} &gt; 0)), """")"),7264.5)</f>
        <v>7264.5</v>
      </c>
      <c r="U61" s="53">
        <f>IFERROR(__xludf.DUMMYFUNCTION("(T61-(IFERROR(MIN(FILTER({K61, N61, Q61}, ISNUMBER({K61, N61, Q61}), {K61, N61, Q61} &gt; 0)), """")))/T61"),0.40119760479041916)</f>
        <v>0.4011976048</v>
      </c>
      <c r="V61" s="88">
        <f t="shared" si="6"/>
        <v>5437.5</v>
      </c>
      <c r="W61" s="89"/>
    </row>
    <row r="62" ht="22.5" customHeight="1">
      <c r="A62" s="28" t="s">
        <v>188</v>
      </c>
      <c r="B62" s="28" t="s">
        <v>647</v>
      </c>
      <c r="C62" s="30" t="s">
        <v>458</v>
      </c>
      <c r="D62" s="85" t="s">
        <v>648</v>
      </c>
      <c r="E62" s="86" t="s">
        <v>55</v>
      </c>
      <c r="F62" s="87" t="s">
        <v>460</v>
      </c>
      <c r="G62" s="36" t="s">
        <v>41</v>
      </c>
      <c r="H62" s="28" t="s">
        <v>620</v>
      </c>
      <c r="I62" s="39">
        <v>5000.0</v>
      </c>
      <c r="J62" s="39">
        <v>5000.0</v>
      </c>
      <c r="K62" s="41"/>
      <c r="L62" s="42">
        <v>5000.0</v>
      </c>
      <c r="M62" s="42">
        <v>5000.0</v>
      </c>
      <c r="N62" s="42">
        <v>5647.0</v>
      </c>
      <c r="O62" s="39">
        <v>5000.0</v>
      </c>
      <c r="P62" s="39">
        <v>5000.0</v>
      </c>
      <c r="Q62" s="41"/>
      <c r="R62" s="46"/>
      <c r="S62" s="46">
        <v>0.67</v>
      </c>
      <c r="T62" s="50">
        <f>IFERROR(__xludf.DUMMYFUNCTION("((IFERROR(MIN(FILTER({K62, N62, Q62}, ISNUMBER({K62, N62, Q62}), {K62, N62, Q62} &gt; 0)), """"))*S62)+IFERROR(MIN(FILTER({K62, N62, Q62}, ISNUMBER({K62, N62, Q62}), {K62, N62, Q62} &gt; 0)), """")"),9430.49)</f>
        <v>9430.49</v>
      </c>
      <c r="U62" s="53">
        <f>IFERROR(__xludf.DUMMYFUNCTION("(T62-(IFERROR(MIN(FILTER({K62, N62, Q62}, ISNUMBER({K62, N62, Q62}), {K62, N62, Q62} &gt; 0)), """")))/T62"),0.40119760479041916)</f>
        <v>0.4011976048</v>
      </c>
      <c r="V62" s="88">
        <f t="shared" si="6"/>
        <v>7058.75</v>
      </c>
      <c r="W62" s="89"/>
    </row>
    <row r="63" ht="22.5" customHeight="1">
      <c r="A63" s="28" t="s">
        <v>188</v>
      </c>
      <c r="B63" s="28" t="s">
        <v>647</v>
      </c>
      <c r="C63" s="30" t="s">
        <v>379</v>
      </c>
      <c r="D63" s="85" t="s">
        <v>653</v>
      </c>
      <c r="E63" s="86" t="s">
        <v>55</v>
      </c>
      <c r="F63" s="87" t="s">
        <v>654</v>
      </c>
      <c r="G63" s="36" t="s">
        <v>41</v>
      </c>
      <c r="H63" s="28" t="s">
        <v>620</v>
      </c>
      <c r="I63" s="39">
        <v>10000.0</v>
      </c>
      <c r="J63" s="39">
        <v>10000.0</v>
      </c>
      <c r="K63" s="41"/>
      <c r="L63" s="42">
        <v>10000.0</v>
      </c>
      <c r="M63" s="42">
        <v>10000.0</v>
      </c>
      <c r="N63" s="42">
        <v>5247.0</v>
      </c>
      <c r="O63" s="39">
        <v>10000.0</v>
      </c>
      <c r="P63" s="39">
        <v>10000.0</v>
      </c>
      <c r="Q63" s="41"/>
      <c r="R63" s="46"/>
      <c r="S63" s="46">
        <v>0.67</v>
      </c>
      <c r="T63" s="50">
        <f>IFERROR(__xludf.DUMMYFUNCTION("((IFERROR(MIN(FILTER({K63, N63, Q63}, ISNUMBER({K63, N63, Q63}), {K63, N63, Q63} &gt; 0)), """"))*S63)+IFERROR(MIN(FILTER({K63, N63, Q63}, ISNUMBER({K63, N63, Q63}), {K63, N63, Q63} &gt; 0)), """")"),8762.49)</f>
        <v>8762.49</v>
      </c>
      <c r="U63" s="53">
        <f>IFERROR(__xludf.DUMMYFUNCTION("(T63-(IFERROR(MIN(FILTER({K63, N63, Q63}, ISNUMBER({K63, N63, Q63}), {K63, N63, Q63} &gt; 0)), """")))/T63"),0.40119760479041916)</f>
        <v>0.4011976048</v>
      </c>
      <c r="V63" s="88">
        <f t="shared" si="6"/>
        <v>6558.75</v>
      </c>
      <c r="W63" s="89"/>
    </row>
    <row r="64" ht="22.5" customHeight="1">
      <c r="A64" s="28" t="s">
        <v>188</v>
      </c>
      <c r="B64" s="28" t="s">
        <v>647</v>
      </c>
      <c r="C64" s="30" t="s">
        <v>379</v>
      </c>
      <c r="D64" s="85" t="s">
        <v>653</v>
      </c>
      <c r="E64" s="86" t="s">
        <v>55</v>
      </c>
      <c r="F64" s="87" t="s">
        <v>656</v>
      </c>
      <c r="G64" s="36" t="s">
        <v>41</v>
      </c>
      <c r="H64" s="28" t="s">
        <v>620</v>
      </c>
      <c r="I64" s="39">
        <v>2000.0</v>
      </c>
      <c r="J64" s="39">
        <v>2000.0</v>
      </c>
      <c r="K64" s="41"/>
      <c r="L64" s="42">
        <v>2000.0</v>
      </c>
      <c r="M64" s="42">
        <v>2000.0</v>
      </c>
      <c r="N64" s="60"/>
      <c r="O64" s="39">
        <v>2000.0</v>
      </c>
      <c r="P64" s="39">
        <v>2000.0</v>
      </c>
      <c r="Q64" s="39">
        <v>3630.0</v>
      </c>
      <c r="R64" s="46"/>
      <c r="S64" s="46">
        <v>0.67</v>
      </c>
      <c r="T64" s="50">
        <f>IFERROR(__xludf.DUMMYFUNCTION("((IFERROR(MIN(FILTER({K64, N64, Q64}, ISNUMBER({K64, N64, Q64}), {K64, N64, Q64} &gt; 0)), """"))*S64)+IFERROR(MIN(FILTER({K64, N64, Q64}, ISNUMBER({K64, N64, Q64}), {K64, N64, Q64} &gt; 0)), """")"),6062.1)</f>
        <v>6062.1</v>
      </c>
      <c r="U64" s="53">
        <f>IFERROR(__xludf.DUMMYFUNCTION("(T64-(IFERROR(MIN(FILTER({K64, N64, Q64}, ISNUMBER({K64, N64, Q64}), {K64, N64, Q64} &gt; 0)), """")))/T64"),0.4011976047904192)</f>
        <v>0.4011976048</v>
      </c>
      <c r="V64" s="88">
        <f t="shared" si="6"/>
        <v>4537.5</v>
      </c>
      <c r="W64" s="89"/>
    </row>
    <row r="65" ht="22.5" customHeight="1">
      <c r="A65" s="28" t="s">
        <v>188</v>
      </c>
      <c r="B65" s="28" t="s">
        <v>647</v>
      </c>
      <c r="C65" s="30" t="s">
        <v>379</v>
      </c>
      <c r="D65" s="85" t="s">
        <v>653</v>
      </c>
      <c r="E65" s="86" t="s">
        <v>55</v>
      </c>
      <c r="F65" s="87" t="s">
        <v>658</v>
      </c>
      <c r="G65" s="36" t="s">
        <v>41</v>
      </c>
      <c r="H65" s="28" t="s">
        <v>620</v>
      </c>
      <c r="I65" s="39">
        <v>5000.0</v>
      </c>
      <c r="J65" s="39">
        <v>5000.0</v>
      </c>
      <c r="K65" s="41"/>
      <c r="L65" s="42">
        <v>5000.0</v>
      </c>
      <c r="M65" s="42">
        <v>5000.0</v>
      </c>
      <c r="N65" s="60"/>
      <c r="O65" s="39">
        <v>5000.0</v>
      </c>
      <c r="P65" s="39">
        <v>5000.0</v>
      </c>
      <c r="Q65" s="39">
        <v>3430.0</v>
      </c>
      <c r="R65" s="46"/>
      <c r="S65" s="46">
        <v>0.67</v>
      </c>
      <c r="T65" s="50">
        <f>IFERROR(__xludf.DUMMYFUNCTION("((IFERROR(MIN(FILTER({K65, N65, Q65}, ISNUMBER({K65, N65, Q65}), {K65, N65, Q65} &gt; 0)), """"))*S65)+IFERROR(MIN(FILTER({K65, N65, Q65}, ISNUMBER({K65, N65, Q65}), {K65, N65, Q65} &gt; 0)), """")"),5728.1)</f>
        <v>5728.1</v>
      </c>
      <c r="U65" s="53">
        <f>IFERROR(__xludf.DUMMYFUNCTION("(T65-(IFERROR(MIN(FILTER({K65, N65, Q65}, ISNUMBER({K65, N65, Q65}), {K65, N65, Q65} &gt; 0)), """")))/T65"),0.4011976047904192)</f>
        <v>0.4011976048</v>
      </c>
      <c r="V65" s="88">
        <f t="shared" si="6"/>
        <v>4287.5</v>
      </c>
      <c r="W65" s="89"/>
    </row>
    <row r="66" ht="22.5" customHeight="1">
      <c r="A66" s="28" t="s">
        <v>188</v>
      </c>
      <c r="B66" s="28" t="s">
        <v>659</v>
      </c>
      <c r="C66" s="30" t="s">
        <v>458</v>
      </c>
      <c r="D66" s="85" t="s">
        <v>660</v>
      </c>
      <c r="E66" s="86" t="s">
        <v>97</v>
      </c>
      <c r="F66" s="90"/>
      <c r="G66" s="36" t="s">
        <v>41</v>
      </c>
      <c r="H66" s="28" t="s">
        <v>468</v>
      </c>
      <c r="I66" s="39">
        <v>1000.0</v>
      </c>
      <c r="J66" s="39">
        <v>1000.0</v>
      </c>
      <c r="K66" s="41"/>
      <c r="L66" s="42">
        <v>1000.0</v>
      </c>
      <c r="M66" s="42">
        <v>1000.0</v>
      </c>
      <c r="N66" s="60"/>
      <c r="O66" s="39">
        <v>1000.0</v>
      </c>
      <c r="P66" s="39">
        <v>1000.0</v>
      </c>
      <c r="Q66" s="39">
        <v>4300.0</v>
      </c>
      <c r="R66" s="46"/>
      <c r="S66" s="46">
        <v>0.67</v>
      </c>
      <c r="T66" s="50">
        <f>IFERROR(__xludf.DUMMYFUNCTION("((IFERROR(MIN(FILTER({K66, N66, Q66}, ISNUMBER({K66, N66, Q66}), {K66, N66, Q66} &gt; 0)), """"))*S66)+IFERROR(MIN(FILTER({K66, N66, Q66}, ISNUMBER({K66, N66, Q66}), {K66, N66, Q66} &gt; 0)), """")"),7181.0)</f>
        <v>7181</v>
      </c>
      <c r="U66" s="53">
        <f>IFERROR(__xludf.DUMMYFUNCTION("(T66-(IFERROR(MIN(FILTER({K66, N66, Q66}, ISNUMBER({K66, N66, Q66}), {K66, N66, Q66} &gt; 0)), """")))/T66"),0.40119760479041916)</f>
        <v>0.4011976048</v>
      </c>
      <c r="V66" s="88">
        <f t="shared" si="6"/>
        <v>5375</v>
      </c>
      <c r="W66" s="89"/>
    </row>
    <row r="67" ht="22.5" customHeight="1">
      <c r="A67" s="28" t="s">
        <v>188</v>
      </c>
      <c r="B67" s="28" t="s">
        <v>659</v>
      </c>
      <c r="C67" s="30" t="s">
        <v>458</v>
      </c>
      <c r="D67" s="85" t="s">
        <v>660</v>
      </c>
      <c r="E67" s="86" t="s">
        <v>97</v>
      </c>
      <c r="F67" s="90"/>
      <c r="G67" s="36" t="s">
        <v>41</v>
      </c>
      <c r="H67" s="28" t="s">
        <v>468</v>
      </c>
      <c r="I67" s="39">
        <v>2000.0</v>
      </c>
      <c r="J67" s="39">
        <v>2000.0</v>
      </c>
      <c r="K67" s="41"/>
      <c r="L67" s="42">
        <v>2000.0</v>
      </c>
      <c r="M67" s="42">
        <v>2000.0</v>
      </c>
      <c r="N67" s="60"/>
      <c r="O67" s="39">
        <v>2000.0</v>
      </c>
      <c r="P67" s="39">
        <v>2000.0</v>
      </c>
      <c r="Q67" s="39">
        <v>4000.0</v>
      </c>
      <c r="R67" s="46"/>
      <c r="S67" s="46">
        <v>0.67</v>
      </c>
      <c r="T67" s="50">
        <f>IFERROR(__xludf.DUMMYFUNCTION("((IFERROR(MIN(FILTER({K67, N67, Q67}, ISNUMBER({K67, N67, Q67}), {K67, N67, Q67} &gt; 0)), """"))*S67)+IFERROR(MIN(FILTER({K67, N67, Q67}, ISNUMBER({K67, N67, Q67}), {K67, N67, Q67} &gt; 0)), """")"),6680.0)</f>
        <v>6680</v>
      </c>
      <c r="U67" s="53">
        <f>IFERROR(__xludf.DUMMYFUNCTION("(T67-(IFERROR(MIN(FILTER({K67, N67, Q67}, ISNUMBER({K67, N67, Q67}), {K67, N67, Q67} &gt; 0)), """")))/T67"),0.40119760479041916)</f>
        <v>0.4011976048</v>
      </c>
      <c r="V67" s="88">
        <f t="shared" si="6"/>
        <v>5000</v>
      </c>
      <c r="W67" s="89"/>
    </row>
    <row r="68" ht="22.5" customHeight="1">
      <c r="A68" s="28" t="s">
        <v>188</v>
      </c>
      <c r="B68" s="28" t="s">
        <v>659</v>
      </c>
      <c r="C68" s="30" t="s">
        <v>458</v>
      </c>
      <c r="D68" s="85" t="s">
        <v>660</v>
      </c>
      <c r="E68" s="86" t="s">
        <v>97</v>
      </c>
      <c r="F68" s="90"/>
      <c r="G68" s="36" t="s">
        <v>41</v>
      </c>
      <c r="H68" s="28" t="s">
        <v>468</v>
      </c>
      <c r="I68" s="39">
        <v>1000.0</v>
      </c>
      <c r="J68" s="39">
        <v>1000.0</v>
      </c>
      <c r="K68" s="41"/>
      <c r="L68" s="42">
        <v>1000.0</v>
      </c>
      <c r="M68" s="42">
        <v>1000.0</v>
      </c>
      <c r="N68" s="60"/>
      <c r="O68" s="39">
        <v>1000.0</v>
      </c>
      <c r="P68" s="39">
        <v>1000.0</v>
      </c>
      <c r="Q68" s="39">
        <v>5000.0</v>
      </c>
      <c r="R68" s="46"/>
      <c r="S68" s="46">
        <v>0.67</v>
      </c>
      <c r="T68" s="50">
        <f>IFERROR(__xludf.DUMMYFUNCTION("((IFERROR(MIN(FILTER({K68, N68, Q68}, ISNUMBER({K68, N68, Q68}), {K68, N68, Q68} &gt; 0)), """"))*S68)+IFERROR(MIN(FILTER({K68, N68, Q68}, ISNUMBER({K68, N68, Q68}), {K68, N68, Q68} &gt; 0)), """")"),8350.0)</f>
        <v>8350</v>
      </c>
      <c r="U68" s="53">
        <f>IFERROR(__xludf.DUMMYFUNCTION("(T68-(IFERROR(MIN(FILTER({K68, N68, Q68}, ISNUMBER({K68, N68, Q68}), {K68, N68, Q68} &gt; 0)), """")))/T68"),0.40119760479041916)</f>
        <v>0.4011976048</v>
      </c>
      <c r="V68" s="88">
        <f t="shared" si="6"/>
        <v>6250</v>
      </c>
      <c r="W68" s="89"/>
    </row>
    <row r="69" ht="22.5" customHeight="1">
      <c r="A69" s="28" t="s">
        <v>188</v>
      </c>
      <c r="B69" s="28" t="s">
        <v>659</v>
      </c>
      <c r="C69" s="30" t="s">
        <v>379</v>
      </c>
      <c r="D69" s="85" t="s">
        <v>663</v>
      </c>
      <c r="E69" s="86" t="s">
        <v>97</v>
      </c>
      <c r="F69" s="90"/>
      <c r="G69" s="36" t="s">
        <v>41</v>
      </c>
      <c r="H69" s="28" t="s">
        <v>468</v>
      </c>
      <c r="I69" s="39">
        <v>2000.0</v>
      </c>
      <c r="J69" s="39">
        <v>2000.0</v>
      </c>
      <c r="K69" s="41"/>
      <c r="L69" s="42">
        <v>2000.0</v>
      </c>
      <c r="M69" s="42">
        <v>2000.0</v>
      </c>
      <c r="N69" s="60"/>
      <c r="O69" s="39">
        <v>2000.0</v>
      </c>
      <c r="P69" s="39">
        <v>2000.0</v>
      </c>
      <c r="Q69" s="39">
        <v>47000.0</v>
      </c>
      <c r="R69" s="46"/>
      <c r="S69" s="46">
        <v>0.67</v>
      </c>
      <c r="T69" s="50">
        <f>IFERROR(__xludf.DUMMYFUNCTION("((IFERROR(MIN(FILTER({K69, N69, Q69}, ISNUMBER({K69, N69, Q69}), {K69, N69, Q69} &gt; 0)), """"))*S69)+IFERROR(MIN(FILTER({K69, N69, Q69}, ISNUMBER({K69, N69, Q69}), {K69, N69, Q69} &gt; 0)), """")"),78490.0)</f>
        <v>78490</v>
      </c>
      <c r="U69" s="53">
        <f>IFERROR(__xludf.DUMMYFUNCTION("(T69-(IFERROR(MIN(FILTER({K69, N69, Q69}, ISNUMBER({K69, N69, Q69}), {K69, N69, Q69} &gt; 0)), """")))/T69"),0.40119760479041916)</f>
        <v>0.4011976048</v>
      </c>
      <c r="V69" s="88">
        <f t="shared" si="6"/>
        <v>58750</v>
      </c>
      <c r="W69" s="89"/>
    </row>
    <row r="70" ht="22.5" customHeight="1">
      <c r="A70" s="28" t="s">
        <v>188</v>
      </c>
      <c r="B70" s="28" t="s">
        <v>659</v>
      </c>
      <c r="C70" s="30" t="s">
        <v>379</v>
      </c>
      <c r="D70" s="85" t="s">
        <v>663</v>
      </c>
      <c r="E70" s="86" t="s">
        <v>97</v>
      </c>
      <c r="F70" s="90"/>
      <c r="G70" s="36" t="s">
        <v>41</v>
      </c>
      <c r="H70" s="28" t="s">
        <v>468</v>
      </c>
      <c r="I70" s="39">
        <v>2000.0</v>
      </c>
      <c r="J70" s="39">
        <v>2000.0</v>
      </c>
      <c r="K70" s="41"/>
      <c r="L70" s="42">
        <v>2000.0</v>
      </c>
      <c r="M70" s="42">
        <v>2000.0</v>
      </c>
      <c r="N70" s="60"/>
      <c r="O70" s="39">
        <v>2000.0</v>
      </c>
      <c r="P70" s="39">
        <v>2000.0</v>
      </c>
      <c r="Q70" s="39">
        <v>2600.0</v>
      </c>
      <c r="R70" s="46"/>
      <c r="S70" s="46">
        <v>0.67</v>
      </c>
      <c r="T70" s="50">
        <f>IFERROR(__xludf.DUMMYFUNCTION("((IFERROR(MIN(FILTER({K70, N70, Q70}, ISNUMBER({K70, N70, Q70}), {K70, N70, Q70} &gt; 0)), """"))*S70)+IFERROR(MIN(FILTER({K70, N70, Q70}, ISNUMBER({K70, N70, Q70}), {K70, N70, Q70} &gt; 0)), """")"),4342.0)</f>
        <v>4342</v>
      </c>
      <c r="U70" s="53">
        <f>IFERROR(__xludf.DUMMYFUNCTION("(T70-(IFERROR(MIN(FILTER({K70, N70, Q70}, ISNUMBER({K70, N70, Q70}), {K70, N70, Q70} &gt; 0)), """")))/T70"),0.40119760479041916)</f>
        <v>0.4011976048</v>
      </c>
      <c r="V70" s="88">
        <f t="shared" si="6"/>
        <v>3250</v>
      </c>
      <c r="W70" s="89"/>
    </row>
    <row r="71" ht="22.5" customHeight="1">
      <c r="A71" s="28" t="s">
        <v>188</v>
      </c>
      <c r="B71" s="28" t="s">
        <v>659</v>
      </c>
      <c r="C71" s="30" t="s">
        <v>379</v>
      </c>
      <c r="D71" s="85" t="s">
        <v>663</v>
      </c>
      <c r="E71" s="86" t="s">
        <v>97</v>
      </c>
      <c r="F71" s="90"/>
      <c r="G71" s="36" t="s">
        <v>41</v>
      </c>
      <c r="H71" s="28" t="s">
        <v>468</v>
      </c>
      <c r="I71" s="39">
        <v>2000.0</v>
      </c>
      <c r="J71" s="39">
        <v>2000.0</v>
      </c>
      <c r="K71" s="41"/>
      <c r="L71" s="42">
        <v>2000.0</v>
      </c>
      <c r="M71" s="42">
        <v>2000.0</v>
      </c>
      <c r="N71" s="60"/>
      <c r="O71" s="39">
        <v>2000.0</v>
      </c>
      <c r="P71" s="39">
        <v>2000.0</v>
      </c>
      <c r="Q71" s="39">
        <v>2400.0</v>
      </c>
      <c r="R71" s="46"/>
      <c r="S71" s="46">
        <v>0.67</v>
      </c>
      <c r="T71" s="50">
        <f>IFERROR(__xludf.DUMMYFUNCTION("((IFERROR(MIN(FILTER({K71, N71, Q71}, ISNUMBER({K71, N71, Q71}), {K71, N71, Q71} &gt; 0)), """"))*S71)+IFERROR(MIN(FILTER({K71, N71, Q71}, ISNUMBER({K71, N71, Q71}), {K71, N71, Q71} &gt; 0)), """")"),4008.0)</f>
        <v>4008</v>
      </c>
      <c r="U71" s="53">
        <f>IFERROR(__xludf.DUMMYFUNCTION("(T71-(IFERROR(MIN(FILTER({K71, N71, Q71}, ISNUMBER({K71, N71, Q71}), {K71, N71, Q71} &gt; 0)), """")))/T71"),0.40119760479041916)</f>
        <v>0.4011976048</v>
      </c>
      <c r="V71" s="88">
        <f t="shared" si="6"/>
        <v>3000</v>
      </c>
      <c r="W71" s="89"/>
    </row>
    <row r="72" ht="22.5" customHeight="1">
      <c r="A72" s="28" t="s">
        <v>188</v>
      </c>
      <c r="B72" s="28" t="s">
        <v>669</v>
      </c>
      <c r="C72" s="30" t="s">
        <v>379</v>
      </c>
      <c r="D72" s="85" t="s">
        <v>670</v>
      </c>
      <c r="E72" s="86" t="s">
        <v>63</v>
      </c>
      <c r="F72" s="87" t="s">
        <v>671</v>
      </c>
      <c r="G72" s="36" t="s">
        <v>41</v>
      </c>
      <c r="H72" s="28" t="s">
        <v>672</v>
      </c>
      <c r="I72" s="39">
        <v>1000.0</v>
      </c>
      <c r="J72" s="39">
        <v>1000.0</v>
      </c>
      <c r="K72" s="41"/>
      <c r="L72" s="42">
        <v>1000.0</v>
      </c>
      <c r="M72" s="42">
        <v>1000.0</v>
      </c>
      <c r="N72" s="60"/>
      <c r="O72" s="39">
        <v>1000.0</v>
      </c>
      <c r="P72" s="39">
        <v>1000.0</v>
      </c>
      <c r="Q72" s="39">
        <v>3600.0</v>
      </c>
      <c r="R72" s="46"/>
      <c r="S72" s="46">
        <v>0.67</v>
      </c>
      <c r="T72" s="50">
        <f>IFERROR(__xludf.DUMMYFUNCTION("((IFERROR(MIN(FILTER({K72, N72, Q72}, ISNUMBER({K72, N72, Q72}), {K72, N72, Q72} &gt; 0)), """"))*S72)+IFERROR(MIN(FILTER({K72, N72, Q72}, ISNUMBER({K72, N72, Q72}), {K72, N72, Q72} &gt; 0)), """")"),6012.0)</f>
        <v>6012</v>
      </c>
      <c r="U72" s="53">
        <f>IFERROR(__xludf.DUMMYFUNCTION("(T72-(IFERROR(MIN(FILTER({K72, N72, Q72}, ISNUMBER({K72, N72, Q72}), {K72, N72, Q72} &gt; 0)), """")))/T72"),0.40119760479041916)</f>
        <v>0.4011976048</v>
      </c>
      <c r="V72" s="88">
        <f t="shared" si="6"/>
        <v>4500</v>
      </c>
      <c r="W72" s="89"/>
    </row>
    <row r="73" ht="22.5" customHeight="1">
      <c r="A73" s="28" t="s">
        <v>188</v>
      </c>
      <c r="B73" s="28" t="s">
        <v>669</v>
      </c>
      <c r="C73" s="30" t="s">
        <v>379</v>
      </c>
      <c r="D73" s="85" t="s">
        <v>670</v>
      </c>
      <c r="E73" s="86" t="s">
        <v>63</v>
      </c>
      <c r="F73" s="87" t="s">
        <v>671</v>
      </c>
      <c r="G73" s="36" t="s">
        <v>41</v>
      </c>
      <c r="H73" s="28" t="s">
        <v>672</v>
      </c>
      <c r="I73" s="39">
        <v>2000.0</v>
      </c>
      <c r="J73" s="39">
        <v>2000.0</v>
      </c>
      <c r="K73" s="41"/>
      <c r="L73" s="42">
        <v>2000.0</v>
      </c>
      <c r="M73" s="42">
        <v>2000.0</v>
      </c>
      <c r="N73" s="60"/>
      <c r="O73" s="39">
        <v>2000.0</v>
      </c>
      <c r="P73" s="39">
        <v>2000.0</v>
      </c>
      <c r="Q73" s="39">
        <v>2800.0</v>
      </c>
      <c r="R73" s="46"/>
      <c r="S73" s="46">
        <v>0.67</v>
      </c>
      <c r="T73" s="50">
        <f>IFERROR(__xludf.DUMMYFUNCTION("((IFERROR(MIN(FILTER({K73, N73, Q73}, ISNUMBER({K73, N73, Q73}), {K73, N73, Q73} &gt; 0)), """"))*S73)+IFERROR(MIN(FILTER({K73, N73, Q73}, ISNUMBER({K73, N73, Q73}), {K73, N73, Q73} &gt; 0)), """")"),4676.0)</f>
        <v>4676</v>
      </c>
      <c r="U73" s="53">
        <f>IFERROR(__xludf.DUMMYFUNCTION("(T73-(IFERROR(MIN(FILTER({K73, N73, Q73}, ISNUMBER({K73, N73, Q73}), {K73, N73, Q73} &gt; 0)), """")))/T73"),0.40119760479041916)</f>
        <v>0.4011976048</v>
      </c>
      <c r="V73" s="88">
        <f t="shared" si="6"/>
        <v>3500</v>
      </c>
      <c r="W73" s="89"/>
    </row>
    <row r="74" ht="22.5" customHeight="1">
      <c r="A74" s="28" t="s">
        <v>188</v>
      </c>
      <c r="B74" s="28" t="s">
        <v>669</v>
      </c>
      <c r="C74" s="30" t="s">
        <v>379</v>
      </c>
      <c r="D74" s="85" t="s">
        <v>670</v>
      </c>
      <c r="E74" s="86" t="s">
        <v>63</v>
      </c>
      <c r="F74" s="87" t="s">
        <v>671</v>
      </c>
      <c r="G74" s="36" t="s">
        <v>41</v>
      </c>
      <c r="H74" s="28" t="s">
        <v>672</v>
      </c>
      <c r="I74" s="39">
        <v>1000.0</v>
      </c>
      <c r="J74" s="39">
        <v>1000.0</v>
      </c>
      <c r="K74" s="41"/>
      <c r="L74" s="42">
        <v>1000.0</v>
      </c>
      <c r="M74" s="42">
        <v>1000.0</v>
      </c>
      <c r="N74" s="60"/>
      <c r="O74" s="39">
        <v>1000.0</v>
      </c>
      <c r="P74" s="39">
        <v>1000.0</v>
      </c>
      <c r="Q74" s="39">
        <v>3000.0</v>
      </c>
      <c r="R74" s="46"/>
      <c r="S74" s="46">
        <v>0.67</v>
      </c>
      <c r="T74" s="50">
        <f>IFERROR(__xludf.DUMMYFUNCTION("((IFERROR(MIN(FILTER({K74, N74, Q74}, ISNUMBER({K74, N74, Q74}), {K74, N74, Q74} &gt; 0)), """"))*S74)+IFERROR(MIN(FILTER({K74, N74, Q74}, ISNUMBER({K74, N74, Q74}), {K74, N74, Q74} &gt; 0)), """")"),5010.0)</f>
        <v>5010</v>
      </c>
      <c r="U74" s="53">
        <f>IFERROR(__xludf.DUMMYFUNCTION("(T74-(IFERROR(MIN(FILTER({K74, N74, Q74}, ISNUMBER({K74, N74, Q74}), {K74, N74, Q74} &gt; 0)), """")))/T74"),0.40119760479041916)</f>
        <v>0.4011976048</v>
      </c>
      <c r="V74" s="88">
        <f t="shared" si="6"/>
        <v>3750</v>
      </c>
      <c r="W74" s="89"/>
    </row>
    <row r="75" ht="22.5" customHeight="1">
      <c r="A75" s="28" t="s">
        <v>676</v>
      </c>
      <c r="B75" s="28" t="s">
        <v>433</v>
      </c>
      <c r="C75" s="30" t="s">
        <v>128</v>
      </c>
      <c r="D75" s="85" t="s">
        <v>677</v>
      </c>
      <c r="E75" s="86" t="s">
        <v>36</v>
      </c>
      <c r="F75" s="87" t="s">
        <v>678</v>
      </c>
      <c r="G75" s="36" t="s">
        <v>41</v>
      </c>
      <c r="H75" s="28" t="s">
        <v>679</v>
      </c>
      <c r="I75" s="39">
        <v>1000.0</v>
      </c>
      <c r="J75" s="39">
        <v>1000.0</v>
      </c>
      <c r="K75" s="41"/>
      <c r="L75" s="42">
        <v>1000.0</v>
      </c>
      <c r="M75" s="42">
        <v>1000.0</v>
      </c>
      <c r="N75" s="60"/>
      <c r="O75" s="39">
        <v>1000.0</v>
      </c>
      <c r="P75" s="39">
        <v>1000.0</v>
      </c>
      <c r="Q75" s="39">
        <v>2850.0</v>
      </c>
      <c r="R75" s="46"/>
      <c r="S75" s="46">
        <v>0.67</v>
      </c>
      <c r="T75" s="50">
        <f>IFERROR(__xludf.DUMMYFUNCTION("((IFERROR(MIN(FILTER({K75, N75, Q75}, ISNUMBER({K75, N75, Q75}), {K75, N75, Q75} &gt; 0)), """"))*S75)+IFERROR(MIN(FILTER({K75, N75, Q75}, ISNUMBER({K75, N75, Q75}), {K75, N75, Q75} &gt; 0)), """")"),4759.5)</f>
        <v>4759.5</v>
      </c>
      <c r="U75" s="53">
        <f>IFERROR(__xludf.DUMMYFUNCTION("(T75-(IFERROR(MIN(FILTER({K75, N75, Q75}, ISNUMBER({K75, N75, Q75}), {K75, N75, Q75} &gt; 0)), """")))/T75"),0.40119760479041916)</f>
        <v>0.4011976048</v>
      </c>
      <c r="V75" s="88">
        <f t="shared" si="6"/>
        <v>3562.5</v>
      </c>
      <c r="W75" s="89"/>
    </row>
    <row r="76" ht="22.5" customHeight="1">
      <c r="A76" s="28" t="s">
        <v>451</v>
      </c>
      <c r="B76" s="28" t="s">
        <v>682</v>
      </c>
      <c r="C76" s="30" t="s">
        <v>106</v>
      </c>
      <c r="D76" s="85" t="s">
        <v>684</v>
      </c>
      <c r="E76" s="86" t="s">
        <v>55</v>
      </c>
      <c r="F76" s="87" t="s">
        <v>216</v>
      </c>
      <c r="G76" s="36" t="s">
        <v>41</v>
      </c>
      <c r="H76" s="28" t="s">
        <v>685</v>
      </c>
      <c r="I76" s="39">
        <v>1000.0</v>
      </c>
      <c r="J76" s="39">
        <v>1000.0</v>
      </c>
      <c r="K76" s="41"/>
      <c r="L76" s="42">
        <v>1000.0</v>
      </c>
      <c r="M76" s="42">
        <v>1000.0</v>
      </c>
      <c r="N76" s="60"/>
      <c r="O76" s="39">
        <v>1000.0</v>
      </c>
      <c r="P76" s="39">
        <v>1000.0</v>
      </c>
      <c r="Q76" s="39">
        <v>3900.0</v>
      </c>
      <c r="R76" s="46"/>
      <c r="S76" s="46">
        <v>0.67</v>
      </c>
      <c r="T76" s="50">
        <f>IFERROR(__xludf.DUMMYFUNCTION("((IFERROR(MIN(FILTER({K76, N76, Q76}, ISNUMBER({K76, N76, Q76}), {K76, N76, Q76} &gt; 0)), """"))*S76)+IFERROR(MIN(FILTER({K76, N76, Q76}, ISNUMBER({K76, N76, Q76}), {K76, N76, Q76} &gt; 0)), """")"),6513.0)</f>
        <v>6513</v>
      </c>
      <c r="U76" s="53">
        <f>IFERROR(__xludf.DUMMYFUNCTION("(T76-(IFERROR(MIN(FILTER({K76, N76, Q76}, ISNUMBER({K76, N76, Q76}), {K76, N76, Q76} &gt; 0)), """")))/T76"),0.40119760479041916)</f>
        <v>0.4011976048</v>
      </c>
      <c r="V76" s="88">
        <f t="shared" si="6"/>
        <v>4875</v>
      </c>
      <c r="W76" s="89"/>
    </row>
    <row r="77" ht="22.5" customHeight="1">
      <c r="A77" s="28" t="s">
        <v>451</v>
      </c>
      <c r="B77" s="28" t="s">
        <v>682</v>
      </c>
      <c r="C77" s="30" t="s">
        <v>106</v>
      </c>
      <c r="D77" s="85" t="s">
        <v>684</v>
      </c>
      <c r="E77" s="86" t="s">
        <v>55</v>
      </c>
      <c r="F77" s="87" t="s">
        <v>216</v>
      </c>
      <c r="G77" s="36" t="s">
        <v>41</v>
      </c>
      <c r="H77" s="28" t="s">
        <v>685</v>
      </c>
      <c r="I77" s="39">
        <v>1000.0</v>
      </c>
      <c r="J77" s="39">
        <v>1000.0</v>
      </c>
      <c r="K77" s="41"/>
      <c r="L77" s="42">
        <v>1000.0</v>
      </c>
      <c r="M77" s="42">
        <v>1000.0</v>
      </c>
      <c r="N77" s="42">
        <v>7619.0</v>
      </c>
      <c r="O77" s="39">
        <v>1000.0</v>
      </c>
      <c r="P77" s="39">
        <v>1000.0</v>
      </c>
      <c r="Q77" s="41"/>
      <c r="R77" s="46"/>
      <c r="S77" s="46">
        <v>0.67</v>
      </c>
      <c r="T77" s="50">
        <f>IFERROR(__xludf.DUMMYFUNCTION("((IFERROR(MIN(FILTER({K77, N77, Q77}, ISNUMBER({K77, N77, Q77}), {K77, N77, Q77} &gt; 0)), """"))*S77)+IFERROR(MIN(FILTER({K77, N77, Q77}, ISNUMBER({K77, N77, Q77}), {K77, N77, Q77} &gt; 0)), """")"),12723.73)</f>
        <v>12723.73</v>
      </c>
      <c r="U77" s="53">
        <f>IFERROR(__xludf.DUMMYFUNCTION("(T77-(IFERROR(MIN(FILTER({K77, N77, Q77}, ISNUMBER({K77, N77, Q77}), {K77, N77, Q77} &gt; 0)), """")))/T77"),0.40119760479041916)</f>
        <v>0.4011976048</v>
      </c>
      <c r="V77" s="88">
        <f t="shared" si="6"/>
        <v>9523.75</v>
      </c>
      <c r="W77" s="89"/>
    </row>
    <row r="78" ht="22.5" customHeight="1">
      <c r="A78" s="28" t="s">
        <v>686</v>
      </c>
      <c r="B78" s="28" t="s">
        <v>687</v>
      </c>
      <c r="C78" s="30" t="s">
        <v>379</v>
      </c>
      <c r="D78" s="85" t="s">
        <v>688</v>
      </c>
      <c r="E78" s="86" t="s">
        <v>55</v>
      </c>
      <c r="F78" s="87" t="s">
        <v>689</v>
      </c>
      <c r="G78" s="36" t="s">
        <v>41</v>
      </c>
      <c r="H78" s="28" t="s">
        <v>690</v>
      </c>
      <c r="I78" s="39">
        <v>1700.0</v>
      </c>
      <c r="J78" s="39">
        <v>1700.0</v>
      </c>
      <c r="K78" s="41"/>
      <c r="L78" s="42">
        <v>1700.0</v>
      </c>
      <c r="M78" s="42">
        <v>1700.0</v>
      </c>
      <c r="N78" s="42">
        <v>5825.0</v>
      </c>
      <c r="O78" s="39">
        <v>1700.0</v>
      </c>
      <c r="P78" s="39">
        <v>1700.0</v>
      </c>
      <c r="Q78" s="41"/>
      <c r="R78" s="46"/>
      <c r="S78" s="46">
        <v>0.67</v>
      </c>
      <c r="T78" s="50">
        <f>IFERROR(__xludf.DUMMYFUNCTION("((IFERROR(MIN(FILTER({K78, N78, Q78}, ISNUMBER({K78, N78, Q78}), {K78, N78, Q78} &gt; 0)), """"))*S78)+IFERROR(MIN(FILTER({K78, N78, Q78}, ISNUMBER({K78, N78, Q78}), {K78, N78, Q78} &gt; 0)), """")"),9727.75)</f>
        <v>9727.75</v>
      </c>
      <c r="U78" s="53">
        <f>IFERROR(__xludf.DUMMYFUNCTION("(T78-(IFERROR(MIN(FILTER({K78, N78, Q78}, ISNUMBER({K78, N78, Q78}), {K78, N78, Q78} &gt; 0)), """")))/T78"),0.40119760479041916)</f>
        <v>0.4011976048</v>
      </c>
      <c r="V78" s="88">
        <f t="shared" si="6"/>
        <v>7281.25</v>
      </c>
      <c r="W78" s="89"/>
    </row>
    <row r="79" ht="22.5" customHeight="1">
      <c r="A79" s="28" t="s">
        <v>573</v>
      </c>
      <c r="B79" s="28" t="s">
        <v>574</v>
      </c>
      <c r="C79" s="30" t="s">
        <v>106</v>
      </c>
      <c r="D79" s="85" t="s">
        <v>691</v>
      </c>
      <c r="E79" s="91">
        <v>46055.0</v>
      </c>
      <c r="F79" s="87" t="s">
        <v>576</v>
      </c>
      <c r="G79" s="36" t="s">
        <v>41</v>
      </c>
      <c r="H79" s="28" t="s">
        <v>692</v>
      </c>
      <c r="I79" s="39">
        <v>25000.0</v>
      </c>
      <c r="J79" s="39">
        <v>25000.0</v>
      </c>
      <c r="K79" s="41"/>
      <c r="L79" s="42">
        <v>25000.0</v>
      </c>
      <c r="M79" s="42">
        <v>25000.0</v>
      </c>
      <c r="N79" s="60"/>
      <c r="O79" s="39">
        <v>25000.0</v>
      </c>
      <c r="P79" s="39">
        <v>25000.0</v>
      </c>
      <c r="Q79" s="39">
        <v>3200.0</v>
      </c>
      <c r="R79" s="46"/>
      <c r="S79" s="46">
        <v>0.67</v>
      </c>
      <c r="T79" s="50">
        <f>IFERROR(__xludf.DUMMYFUNCTION("((IFERROR(MIN(FILTER({K79, N79, Q79}, ISNUMBER({K79, N79, Q79}), {K79, N79, Q79} &gt; 0)), """"))*S79)+IFERROR(MIN(FILTER({K79, N79, Q79}, ISNUMBER({K79, N79, Q79}), {K79, N79, Q79} &gt; 0)), """")"),5344.0)</f>
        <v>5344</v>
      </c>
      <c r="U79" s="53">
        <f>IFERROR(__xludf.DUMMYFUNCTION("(T79-(IFERROR(MIN(FILTER({K79, N79, Q79}, ISNUMBER({K79, N79, Q79}), {K79, N79, Q79} &gt; 0)), """")))/T79"),0.40119760479041916)</f>
        <v>0.4011976048</v>
      </c>
      <c r="V79" s="88">
        <f t="shared" si="6"/>
        <v>4000</v>
      </c>
      <c r="W79" s="89"/>
    </row>
    <row r="80" ht="22.5" customHeight="1">
      <c r="A80" s="28" t="s">
        <v>693</v>
      </c>
      <c r="B80" s="28" t="s">
        <v>378</v>
      </c>
      <c r="C80" s="30" t="s">
        <v>695</v>
      </c>
      <c r="D80" s="85" t="s">
        <v>697</v>
      </c>
      <c r="E80" s="91">
        <v>46054.0</v>
      </c>
      <c r="F80" s="87" t="s">
        <v>698</v>
      </c>
      <c r="G80" s="36" t="s">
        <v>41</v>
      </c>
      <c r="H80" s="28" t="s">
        <v>700</v>
      </c>
      <c r="I80" s="39">
        <v>10000.0</v>
      </c>
      <c r="J80" s="39">
        <v>10000.0</v>
      </c>
      <c r="K80" s="41"/>
      <c r="L80" s="42">
        <v>10000.0</v>
      </c>
      <c r="M80" s="42">
        <v>10000.0</v>
      </c>
      <c r="N80" s="60"/>
      <c r="O80" s="39">
        <v>10000.0</v>
      </c>
      <c r="P80" s="39">
        <v>10000.0</v>
      </c>
      <c r="Q80" s="39">
        <v>1750.0</v>
      </c>
      <c r="R80" s="46"/>
      <c r="S80" s="46">
        <v>0.67</v>
      </c>
      <c r="T80" s="50">
        <f>IFERROR(__xludf.DUMMYFUNCTION("((IFERROR(MIN(FILTER({K80, N80, Q80}, ISNUMBER({K80, N80, Q80}), {K80, N80, Q80} &gt; 0)), """"))*S80)+IFERROR(MIN(FILTER({K80, N80, Q80}, ISNUMBER({K80, N80, Q80}), {K80, N80, Q80} &gt; 0)), """")"),2922.5)</f>
        <v>2922.5</v>
      </c>
      <c r="U80" s="53">
        <f>IFERROR(__xludf.DUMMYFUNCTION("(T80-(IFERROR(MIN(FILTER({K80, N80, Q80}, ISNUMBER({K80, N80, Q80}), {K80, N80, Q80} &gt; 0)), """")))/T80"),0.40119760479041916)</f>
        <v>0.4011976048</v>
      </c>
      <c r="V80" s="88">
        <f t="shared" si="6"/>
        <v>2187.5</v>
      </c>
      <c r="W80" s="89"/>
    </row>
    <row r="81" ht="22.5" customHeight="1">
      <c r="A81" s="28" t="s">
        <v>693</v>
      </c>
      <c r="B81" s="28" t="s">
        <v>378</v>
      </c>
      <c r="C81" s="30" t="s">
        <v>695</v>
      </c>
      <c r="D81" s="85" t="s">
        <v>697</v>
      </c>
      <c r="E81" s="104">
        <v>46054.0</v>
      </c>
      <c r="F81" s="69" t="s">
        <v>702</v>
      </c>
      <c r="G81" s="36" t="s">
        <v>41</v>
      </c>
      <c r="H81" s="28" t="s">
        <v>703</v>
      </c>
      <c r="I81" s="39">
        <v>10000.0</v>
      </c>
      <c r="J81" s="39">
        <v>10000.0</v>
      </c>
      <c r="K81" s="41"/>
      <c r="L81" s="42">
        <v>10000.0</v>
      </c>
      <c r="M81" s="42">
        <v>10000.0</v>
      </c>
      <c r="N81" s="60"/>
      <c r="O81" s="39">
        <v>10000.0</v>
      </c>
      <c r="P81" s="39">
        <v>10000.0</v>
      </c>
      <c r="Q81" s="39">
        <v>2100.0</v>
      </c>
      <c r="R81" s="46"/>
      <c r="S81" s="46">
        <v>0.67</v>
      </c>
      <c r="T81" s="50">
        <f>IFERROR(__xludf.DUMMYFUNCTION("((IFERROR(MIN(FILTER({K81, N81, Q81}, ISNUMBER({K81, N81, Q81}), {K81, N81, Q81} &gt; 0)), """"))*S81)+IFERROR(MIN(FILTER({K81, N81, Q81}, ISNUMBER({K81, N81, Q81}), {K81, N81, Q81} &gt; 0)), """")"),3507.0)</f>
        <v>3507</v>
      </c>
      <c r="U81" s="53">
        <f>IFERROR(__xludf.DUMMYFUNCTION("(T81-(IFERROR(MIN(FILTER({K81, N81, Q81}, ISNUMBER({K81, N81, Q81}), {K81, N81, Q81} &gt; 0)), """")))/T81"),0.40119760479041916)</f>
        <v>0.4011976048</v>
      </c>
      <c r="V81" s="88">
        <f t="shared" si="6"/>
        <v>2625</v>
      </c>
      <c r="W81" s="89"/>
    </row>
    <row r="82" ht="22.5" customHeight="1">
      <c r="A82" s="28" t="s">
        <v>704</v>
      </c>
      <c r="B82" s="28" t="s">
        <v>705</v>
      </c>
      <c r="C82" s="30" t="s">
        <v>349</v>
      </c>
      <c r="D82" s="85" t="s">
        <v>706</v>
      </c>
      <c r="E82" s="104">
        <v>46023.0</v>
      </c>
      <c r="F82" s="69" t="s">
        <v>100</v>
      </c>
      <c r="G82" s="36" t="s">
        <v>41</v>
      </c>
      <c r="H82" s="28" t="s">
        <v>44</v>
      </c>
      <c r="I82" s="39">
        <v>2000.0</v>
      </c>
      <c r="J82" s="39">
        <v>2000.0</v>
      </c>
      <c r="K82" s="41"/>
      <c r="L82" s="42">
        <v>2000.0</v>
      </c>
      <c r="M82" s="42">
        <v>2000.0</v>
      </c>
      <c r="N82" s="60"/>
      <c r="O82" s="39">
        <v>2000.0</v>
      </c>
      <c r="P82" s="39">
        <v>2000.0</v>
      </c>
      <c r="Q82" s="39">
        <v>3100.0</v>
      </c>
      <c r="R82" s="46"/>
      <c r="S82" s="46">
        <v>0.67</v>
      </c>
      <c r="T82" s="50">
        <f>IFERROR(__xludf.DUMMYFUNCTION("((IFERROR(MIN(FILTER({K82, N82, Q82}, ISNUMBER({K82, N82, Q82}), {K82, N82, Q82} &gt; 0)), """"))*S82)+IFERROR(MIN(FILTER({K82, N82, Q82}, ISNUMBER({K82, N82, Q82}), {K82, N82, Q82} &gt; 0)), """")"),5177.0)</f>
        <v>5177</v>
      </c>
      <c r="U82" s="53">
        <f>IFERROR(__xludf.DUMMYFUNCTION("(T82-(IFERROR(MIN(FILTER({K82, N82, Q82}, ISNUMBER({K82, N82, Q82}), {K82, N82, Q82} &gt; 0)), """")))/T82"),0.40119760479041916)</f>
        <v>0.4011976048</v>
      </c>
      <c r="V82" s="88">
        <f t="shared" si="6"/>
        <v>3875</v>
      </c>
      <c r="W82" s="89"/>
    </row>
    <row r="83" ht="22.5" customHeight="1">
      <c r="A83" s="28" t="s">
        <v>704</v>
      </c>
      <c r="B83" s="28" t="s">
        <v>705</v>
      </c>
      <c r="C83" s="30" t="s">
        <v>349</v>
      </c>
      <c r="D83" s="85" t="s">
        <v>706</v>
      </c>
      <c r="E83" s="104">
        <v>46023.0</v>
      </c>
      <c r="F83" s="69" t="s">
        <v>100</v>
      </c>
      <c r="G83" s="36" t="s">
        <v>41</v>
      </c>
      <c r="H83" s="28" t="s">
        <v>44</v>
      </c>
      <c r="I83" s="39">
        <v>1000.0</v>
      </c>
      <c r="J83" s="39">
        <v>1000.0</v>
      </c>
      <c r="K83" s="41"/>
      <c r="L83" s="42">
        <v>1000.0</v>
      </c>
      <c r="M83" s="42">
        <v>1000.0</v>
      </c>
      <c r="N83" s="42">
        <v>8444.0</v>
      </c>
      <c r="O83" s="39">
        <v>1000.0</v>
      </c>
      <c r="P83" s="39">
        <v>1000.0</v>
      </c>
      <c r="Q83" s="39">
        <v>6100.0</v>
      </c>
      <c r="R83" s="46"/>
      <c r="S83" s="46">
        <v>0.67</v>
      </c>
      <c r="T83" s="50">
        <f>IFERROR(__xludf.DUMMYFUNCTION("((IFERROR(MIN(FILTER({K83, N83, Q83}, ISNUMBER({K83, N83, Q83}), {K83, N83, Q83} &gt; 0)), """"))*S83)+IFERROR(MIN(FILTER({K83, N83, Q83}, ISNUMBER({K83, N83, Q83}), {K83, N83, Q83} &gt; 0)), """")"),10187.0)</f>
        <v>10187</v>
      </c>
      <c r="U83" s="53">
        <f>IFERROR(__xludf.DUMMYFUNCTION("(T83-(IFERROR(MIN(FILTER({K83, N83, Q83}, ISNUMBER({K83, N83, Q83}), {K83, N83, Q83} &gt; 0)), """")))/T83"),0.40119760479041916)</f>
        <v>0.4011976048</v>
      </c>
      <c r="V83" s="88">
        <f t="shared" si="6"/>
        <v>10555</v>
      </c>
      <c r="W83" s="89"/>
    </row>
    <row r="84" ht="22.5" customHeight="1">
      <c r="A84" s="28" t="s">
        <v>704</v>
      </c>
      <c r="B84" s="28" t="s">
        <v>705</v>
      </c>
      <c r="C84" s="30" t="s">
        <v>710</v>
      </c>
      <c r="D84" s="85" t="s">
        <v>706</v>
      </c>
      <c r="E84" s="104">
        <v>46023.0</v>
      </c>
      <c r="F84" s="69" t="s">
        <v>100</v>
      </c>
      <c r="G84" s="36" t="s">
        <v>41</v>
      </c>
      <c r="H84" s="28" t="s">
        <v>44</v>
      </c>
      <c r="I84" s="39">
        <v>1000.0</v>
      </c>
      <c r="J84" s="39">
        <v>1000.0</v>
      </c>
      <c r="K84" s="41"/>
      <c r="L84" s="42">
        <v>1000.0</v>
      </c>
      <c r="M84" s="42">
        <v>1000.0</v>
      </c>
      <c r="N84" s="60"/>
      <c r="O84" s="39">
        <v>1000.0</v>
      </c>
      <c r="P84" s="39">
        <v>1000.0</v>
      </c>
      <c r="Q84" s="39">
        <v>3700.0</v>
      </c>
      <c r="R84" s="46"/>
      <c r="S84" s="46">
        <v>0.67</v>
      </c>
      <c r="T84" s="50">
        <f>IFERROR(__xludf.DUMMYFUNCTION("((IFERROR(MIN(FILTER({K84, N84, Q84}, ISNUMBER({K84, N84, Q84}), {K84, N84, Q84} &gt; 0)), """"))*S84)+IFERROR(MIN(FILTER({K84, N84, Q84}, ISNUMBER({K84, N84, Q84}), {K84, N84, Q84} &gt; 0)), """")"),6179.0)</f>
        <v>6179</v>
      </c>
      <c r="U84" s="53">
        <f>IFERROR(__xludf.DUMMYFUNCTION("(T84-(IFERROR(MIN(FILTER({K84, N84, Q84}, ISNUMBER({K84, N84, Q84}), {K84, N84, Q84} &gt; 0)), """")))/T84"),0.40119760479041916)</f>
        <v>0.4011976048</v>
      </c>
      <c r="V84" s="88">
        <f t="shared" si="6"/>
        <v>4625</v>
      </c>
      <c r="W84" s="89"/>
    </row>
    <row r="85" ht="22.5" customHeight="1">
      <c r="A85" s="28" t="s">
        <v>704</v>
      </c>
      <c r="B85" s="28" t="s">
        <v>705</v>
      </c>
      <c r="C85" s="30" t="s">
        <v>710</v>
      </c>
      <c r="D85" s="85" t="s">
        <v>706</v>
      </c>
      <c r="E85" s="104">
        <v>46023.0</v>
      </c>
      <c r="F85" s="69" t="s">
        <v>100</v>
      </c>
      <c r="G85" s="36" t="s">
        <v>41</v>
      </c>
      <c r="H85" s="28" t="s">
        <v>44</v>
      </c>
      <c r="I85" s="39">
        <v>1000.0</v>
      </c>
      <c r="J85" s="39">
        <v>1000.0</v>
      </c>
      <c r="K85" s="41"/>
      <c r="L85" s="42">
        <v>1000.0</v>
      </c>
      <c r="M85" s="42">
        <v>1000.0</v>
      </c>
      <c r="N85" s="60"/>
      <c r="O85" s="39">
        <v>1000.0</v>
      </c>
      <c r="P85" s="39">
        <v>1000.0</v>
      </c>
      <c r="Q85" s="39">
        <v>5200.0</v>
      </c>
      <c r="R85" s="46"/>
      <c r="S85" s="46">
        <v>0.67</v>
      </c>
      <c r="T85" s="50">
        <f>IFERROR(__xludf.DUMMYFUNCTION("((IFERROR(MIN(FILTER({K85, N85, Q85}, ISNUMBER({K85, N85, Q85}), {K85, N85, Q85} &gt; 0)), """"))*S85)+IFERROR(MIN(FILTER({K85, N85, Q85}, ISNUMBER({K85, N85, Q85}), {K85, N85, Q85} &gt; 0)), """")"),8684.0)</f>
        <v>8684</v>
      </c>
      <c r="U85" s="53">
        <f>IFERROR(__xludf.DUMMYFUNCTION("(T85-(IFERROR(MIN(FILTER({K85, N85, Q85}, ISNUMBER({K85, N85, Q85}), {K85, N85, Q85} &gt; 0)), """")))/T85"),0.40119760479041916)</f>
        <v>0.4011976048</v>
      </c>
      <c r="V85" s="88">
        <f t="shared" si="6"/>
        <v>6500</v>
      </c>
      <c r="W85" s="89"/>
    </row>
    <row r="86" ht="22.5" customHeight="1">
      <c r="A86" s="28" t="s">
        <v>704</v>
      </c>
      <c r="B86" s="28" t="s">
        <v>705</v>
      </c>
      <c r="C86" s="30" t="s">
        <v>349</v>
      </c>
      <c r="D86" s="85" t="s">
        <v>718</v>
      </c>
      <c r="E86" s="104">
        <v>46023.0</v>
      </c>
      <c r="F86" s="69" t="s">
        <v>100</v>
      </c>
      <c r="G86" s="36" t="s">
        <v>41</v>
      </c>
      <c r="H86" s="28" t="s">
        <v>719</v>
      </c>
      <c r="I86" s="39">
        <v>1000.0</v>
      </c>
      <c r="J86" s="39">
        <v>1000.0</v>
      </c>
      <c r="K86" s="41"/>
      <c r="L86" s="42">
        <v>1000.0</v>
      </c>
      <c r="M86" s="42">
        <v>1000.0</v>
      </c>
      <c r="N86" s="60"/>
      <c r="O86" s="39">
        <v>1000.0</v>
      </c>
      <c r="P86" s="39">
        <v>1000.0</v>
      </c>
      <c r="Q86" s="39">
        <v>6900.0</v>
      </c>
      <c r="R86" s="46"/>
      <c r="S86" s="46">
        <v>0.67</v>
      </c>
      <c r="T86" s="50">
        <f>IFERROR(__xludf.DUMMYFUNCTION("((IFERROR(MIN(FILTER({K86, N86, Q86}, ISNUMBER({K86, N86, Q86}), {K86, N86, Q86} &gt; 0)), """"))*S86)+IFERROR(MIN(FILTER({K86, N86, Q86}, ISNUMBER({K86, N86, Q86}), {K86, N86, Q86} &gt; 0)), """")"),11523.0)</f>
        <v>11523</v>
      </c>
      <c r="U86" s="53">
        <f>IFERROR(__xludf.DUMMYFUNCTION("(T86-(IFERROR(MIN(FILTER({K86, N86, Q86}, ISNUMBER({K86, N86, Q86}), {K86, N86, Q86} &gt; 0)), """")))/T86"),0.40119760479041916)</f>
        <v>0.4011976048</v>
      </c>
      <c r="V86" s="88">
        <f t="shared" si="6"/>
        <v>8625</v>
      </c>
      <c r="W86" s="89"/>
    </row>
    <row r="87" ht="22.5" customHeight="1">
      <c r="A87" s="28" t="s">
        <v>704</v>
      </c>
      <c r="B87" s="28" t="s">
        <v>705</v>
      </c>
      <c r="C87" s="30" t="s">
        <v>349</v>
      </c>
      <c r="D87" s="85" t="s">
        <v>718</v>
      </c>
      <c r="E87" s="104">
        <v>46023.0</v>
      </c>
      <c r="F87" s="69" t="s">
        <v>100</v>
      </c>
      <c r="G87" s="36" t="s">
        <v>41</v>
      </c>
      <c r="H87" s="28" t="s">
        <v>722</v>
      </c>
      <c r="I87" s="39">
        <v>3000.0</v>
      </c>
      <c r="J87" s="39">
        <v>3000.0</v>
      </c>
      <c r="K87" s="41"/>
      <c r="L87" s="42">
        <v>3000.0</v>
      </c>
      <c r="M87" s="42">
        <v>3000.0</v>
      </c>
      <c r="N87" s="60"/>
      <c r="O87" s="39">
        <v>3000.0</v>
      </c>
      <c r="P87" s="39">
        <v>3000.0</v>
      </c>
      <c r="Q87" s="39">
        <v>2400.0</v>
      </c>
      <c r="R87" s="46"/>
      <c r="S87" s="46">
        <v>0.67</v>
      </c>
      <c r="T87" s="50">
        <f>IFERROR(__xludf.DUMMYFUNCTION("((IFERROR(MIN(FILTER({K87, N87, Q87}, ISNUMBER({K87, N87, Q87}), {K87, N87, Q87} &gt; 0)), """"))*S87)+IFERROR(MIN(FILTER({K87, N87, Q87}, ISNUMBER({K87, N87, Q87}), {K87, N87, Q87} &gt; 0)), """")"),4008.0)</f>
        <v>4008</v>
      </c>
      <c r="U87" s="53">
        <f>IFERROR(__xludf.DUMMYFUNCTION("(T87-(IFERROR(MIN(FILTER({K87, N87, Q87}, ISNUMBER({K87, N87, Q87}), {K87, N87, Q87} &gt; 0)), """")))/T87"),0.40119760479041916)</f>
        <v>0.4011976048</v>
      </c>
      <c r="V87" s="88">
        <f t="shared" si="6"/>
        <v>3000</v>
      </c>
      <c r="W87" s="89"/>
    </row>
    <row r="88" ht="22.5" customHeight="1">
      <c r="A88" s="28" t="s">
        <v>704</v>
      </c>
      <c r="B88" s="28" t="s">
        <v>705</v>
      </c>
      <c r="C88" s="30" t="s">
        <v>349</v>
      </c>
      <c r="D88" s="85" t="s">
        <v>725</v>
      </c>
      <c r="E88" s="104">
        <v>46023.0</v>
      </c>
      <c r="F88" s="69" t="s">
        <v>100</v>
      </c>
      <c r="G88" s="36" t="s">
        <v>41</v>
      </c>
      <c r="H88" s="28" t="s">
        <v>722</v>
      </c>
      <c r="I88" s="39">
        <v>1000.0</v>
      </c>
      <c r="J88" s="39">
        <v>1000.0</v>
      </c>
      <c r="K88" s="41"/>
      <c r="L88" s="42">
        <v>1000.0</v>
      </c>
      <c r="M88" s="42">
        <v>1000.0</v>
      </c>
      <c r="N88" s="60"/>
      <c r="O88" s="39">
        <v>1000.0</v>
      </c>
      <c r="P88" s="39">
        <v>1000.0</v>
      </c>
      <c r="Q88" s="39">
        <v>4000.0</v>
      </c>
      <c r="R88" s="46"/>
      <c r="S88" s="46">
        <v>0.67</v>
      </c>
      <c r="T88" s="50">
        <f>IFERROR(__xludf.DUMMYFUNCTION("((IFERROR(MIN(FILTER({K88, N88, Q88}, ISNUMBER({K88, N88, Q88}), {K88, N88, Q88} &gt; 0)), """"))*S88)+IFERROR(MIN(FILTER({K88, N88, Q88}, ISNUMBER({K88, N88, Q88}), {K88, N88, Q88} &gt; 0)), """")"),6680.0)</f>
        <v>6680</v>
      </c>
      <c r="U88" s="53">
        <f>IFERROR(__xludf.DUMMYFUNCTION("(T88-(IFERROR(MIN(FILTER({K88, N88, Q88}, ISNUMBER({K88, N88, Q88}), {K88, N88, Q88} &gt; 0)), """")))/T88"),0.40119760479041916)</f>
        <v>0.4011976048</v>
      </c>
      <c r="V88" s="88">
        <f t="shared" si="6"/>
        <v>5000</v>
      </c>
      <c r="W88" s="89"/>
    </row>
    <row r="89" ht="22.5" customHeight="1">
      <c r="A89" s="28" t="s">
        <v>726</v>
      </c>
      <c r="B89" s="28" t="s">
        <v>727</v>
      </c>
      <c r="C89" s="30" t="s">
        <v>728</v>
      </c>
      <c r="D89" s="85" t="s">
        <v>729</v>
      </c>
      <c r="E89" s="36" t="s">
        <v>55</v>
      </c>
      <c r="F89" s="69" t="s">
        <v>67</v>
      </c>
      <c r="G89" s="36" t="s">
        <v>41</v>
      </c>
      <c r="H89" s="28" t="s">
        <v>731</v>
      </c>
      <c r="I89" s="39">
        <v>2000.0</v>
      </c>
      <c r="J89" s="39">
        <v>2000.0</v>
      </c>
      <c r="K89" s="41"/>
      <c r="L89" s="42">
        <v>2000.0</v>
      </c>
      <c r="M89" s="42">
        <v>2000.0</v>
      </c>
      <c r="N89" s="60"/>
      <c r="O89" s="39">
        <v>2000.0</v>
      </c>
      <c r="P89" s="39">
        <v>2000.0</v>
      </c>
      <c r="Q89" s="39">
        <v>3300.0</v>
      </c>
      <c r="R89" s="46"/>
      <c r="S89" s="46">
        <v>0.67</v>
      </c>
      <c r="T89" s="50">
        <f>IFERROR(__xludf.DUMMYFUNCTION("((IFERROR(MIN(FILTER({K89, N89, Q89}, ISNUMBER({K89, N89, Q89}), {K89, N89, Q89} &gt; 0)), """"))*S89)+IFERROR(MIN(FILTER({K89, N89, Q89}, ISNUMBER({K89, N89, Q89}), {K89, N89, Q89} &gt; 0)), """")"),5511.0)</f>
        <v>5511</v>
      </c>
      <c r="U89" s="53">
        <f>IFERROR(__xludf.DUMMYFUNCTION("(T89-(IFERROR(MIN(FILTER({K89, N89, Q89}, ISNUMBER({K89, N89, Q89}), {K89, N89, Q89} &gt; 0)), """")))/T89"),0.40119760479041916)</f>
        <v>0.4011976048</v>
      </c>
      <c r="V89" s="88">
        <f t="shared" si="6"/>
        <v>4125</v>
      </c>
      <c r="W89" s="89"/>
    </row>
    <row r="90" ht="22.5" customHeight="1">
      <c r="A90" s="28" t="s">
        <v>732</v>
      </c>
      <c r="B90" s="28" t="s">
        <v>378</v>
      </c>
      <c r="C90" s="30" t="s">
        <v>733</v>
      </c>
      <c r="D90" s="85" t="s">
        <v>734</v>
      </c>
      <c r="E90" s="36" t="s">
        <v>36</v>
      </c>
      <c r="F90" s="69" t="s">
        <v>297</v>
      </c>
      <c r="G90" s="36" t="s">
        <v>41</v>
      </c>
      <c r="H90" s="28" t="s">
        <v>735</v>
      </c>
      <c r="I90" s="39">
        <v>2000.0</v>
      </c>
      <c r="J90" s="39">
        <v>2000.0</v>
      </c>
      <c r="K90" s="41"/>
      <c r="L90" s="42">
        <v>2000.0</v>
      </c>
      <c r="M90" s="42">
        <v>2000.0</v>
      </c>
      <c r="N90" s="60"/>
      <c r="O90" s="39">
        <v>2000.0</v>
      </c>
      <c r="P90" s="39">
        <v>2000.0</v>
      </c>
      <c r="Q90" s="39">
        <v>3200.0</v>
      </c>
      <c r="R90" s="46"/>
      <c r="S90" s="46">
        <v>0.67</v>
      </c>
      <c r="T90" s="50">
        <f>IFERROR(__xludf.DUMMYFUNCTION("((IFERROR(MIN(FILTER({K90, N90, Q90}, ISNUMBER({K90, N90, Q90}), {K90, N90, Q90} &gt; 0)), """"))*S90)+IFERROR(MIN(FILTER({K90, N90, Q90}, ISNUMBER({K90, N90, Q90}), {K90, N90, Q90} &gt; 0)), """")"),5344.0)</f>
        <v>5344</v>
      </c>
      <c r="U90" s="53">
        <f>IFERROR(__xludf.DUMMYFUNCTION("(T90-(IFERROR(MIN(FILTER({K90, N90, Q90}, ISNUMBER({K90, N90, Q90}), {K90, N90, Q90} &gt; 0)), """")))/T90"),0.40119760479041916)</f>
        <v>0.4011976048</v>
      </c>
      <c r="V90" s="88">
        <f t="shared" si="6"/>
        <v>4000</v>
      </c>
      <c r="W90" s="89"/>
    </row>
    <row r="91" ht="22.5" customHeight="1">
      <c r="A91" s="28" t="s">
        <v>272</v>
      </c>
      <c r="B91" s="28" t="s">
        <v>378</v>
      </c>
      <c r="C91" s="30" t="s">
        <v>333</v>
      </c>
      <c r="D91" s="85" t="s">
        <v>741</v>
      </c>
      <c r="E91" s="36" t="s">
        <v>55</v>
      </c>
      <c r="F91" s="105"/>
      <c r="G91" s="36" t="s">
        <v>41</v>
      </c>
      <c r="H91" s="28" t="s">
        <v>742</v>
      </c>
      <c r="I91" s="39">
        <v>1000.0</v>
      </c>
      <c r="J91" s="39">
        <v>1000.0</v>
      </c>
      <c r="K91" s="41"/>
      <c r="L91" s="42">
        <v>1000.0</v>
      </c>
      <c r="M91" s="42">
        <v>1000.0</v>
      </c>
      <c r="N91" s="60"/>
      <c r="O91" s="39">
        <v>1000.0</v>
      </c>
      <c r="P91" s="39">
        <v>1000.0</v>
      </c>
      <c r="Q91" s="39">
        <v>4300.0</v>
      </c>
      <c r="R91" s="46"/>
      <c r="S91" s="46">
        <v>0.67</v>
      </c>
      <c r="T91" s="50">
        <f>IFERROR(__xludf.DUMMYFUNCTION("((IFERROR(MIN(FILTER({K91, N91, Q91}, ISNUMBER({K91, N91, Q91}), {K91, N91, Q91} &gt; 0)), """"))*S91)+IFERROR(MIN(FILTER({K91, N91, Q91}, ISNUMBER({K91, N91, Q91}), {K91, N91, Q91} &gt; 0)), """")"),7181.0)</f>
        <v>7181</v>
      </c>
      <c r="U91" s="53">
        <f>IFERROR(__xludf.DUMMYFUNCTION("(T91-(IFERROR(MIN(FILTER({K91, N91, Q91}, ISNUMBER({K91, N91, Q91}), {K91, N91, Q91} &gt; 0)), """")))/T91"),0.40119760479041916)</f>
        <v>0.4011976048</v>
      </c>
      <c r="V91" s="88">
        <f t="shared" si="6"/>
        <v>5375</v>
      </c>
      <c r="W91" s="89"/>
    </row>
    <row r="92" ht="22.5" customHeight="1">
      <c r="A92" s="28" t="s">
        <v>272</v>
      </c>
      <c r="B92" s="28" t="s">
        <v>378</v>
      </c>
      <c r="C92" s="30" t="s">
        <v>333</v>
      </c>
      <c r="D92" s="85" t="s">
        <v>741</v>
      </c>
      <c r="E92" s="36" t="s">
        <v>55</v>
      </c>
      <c r="F92" s="105"/>
      <c r="G92" s="36" t="s">
        <v>41</v>
      </c>
      <c r="H92" s="28" t="s">
        <v>742</v>
      </c>
      <c r="I92" s="39">
        <v>2000.0</v>
      </c>
      <c r="J92" s="39">
        <v>2000.0</v>
      </c>
      <c r="K92" s="41"/>
      <c r="L92" s="42">
        <v>2000.0</v>
      </c>
      <c r="M92" s="42">
        <v>2000.0</v>
      </c>
      <c r="N92" s="60"/>
      <c r="O92" s="39">
        <v>2000.0</v>
      </c>
      <c r="P92" s="39">
        <v>2000.0</v>
      </c>
      <c r="Q92" s="39">
        <v>3400.0</v>
      </c>
      <c r="R92" s="46"/>
      <c r="S92" s="46">
        <v>0.67</v>
      </c>
      <c r="T92" s="50">
        <f>IFERROR(__xludf.DUMMYFUNCTION("((IFERROR(MIN(FILTER({K92, N92, Q92}, ISNUMBER({K92, N92, Q92}), {K92, N92, Q92} &gt; 0)), """"))*S92)+IFERROR(MIN(FILTER({K92, N92, Q92}, ISNUMBER({K92, N92, Q92}), {K92, N92, Q92} &gt; 0)), """")"),5678.0)</f>
        <v>5678</v>
      </c>
      <c r="U92" s="53">
        <f>IFERROR(__xludf.DUMMYFUNCTION("(T92-(IFERROR(MIN(FILTER({K92, N92, Q92}, ISNUMBER({K92, N92, Q92}), {K92, N92, Q92} &gt; 0)), """")))/T92"),0.40119760479041916)</f>
        <v>0.4011976048</v>
      </c>
      <c r="V92" s="88">
        <f t="shared" si="6"/>
        <v>4250</v>
      </c>
      <c r="W92" s="89"/>
    </row>
    <row r="93" ht="22.5" customHeight="1">
      <c r="A93" s="28" t="s">
        <v>272</v>
      </c>
      <c r="B93" s="28" t="s">
        <v>378</v>
      </c>
      <c r="C93" s="30" t="s">
        <v>333</v>
      </c>
      <c r="D93" s="85" t="s">
        <v>741</v>
      </c>
      <c r="E93" s="36" t="s">
        <v>55</v>
      </c>
      <c r="F93" s="105"/>
      <c r="G93" s="36" t="s">
        <v>41</v>
      </c>
      <c r="H93" s="28" t="s">
        <v>742</v>
      </c>
      <c r="I93" s="39">
        <v>1000.0</v>
      </c>
      <c r="J93" s="39">
        <v>1000.0</v>
      </c>
      <c r="K93" s="41"/>
      <c r="L93" s="42">
        <v>1000.0</v>
      </c>
      <c r="M93" s="42">
        <v>1000.0</v>
      </c>
      <c r="N93" s="42">
        <v>9154.0</v>
      </c>
      <c r="O93" s="39">
        <v>1000.0</v>
      </c>
      <c r="P93" s="39">
        <v>1000.0</v>
      </c>
      <c r="Q93" s="39">
        <v>6500.0</v>
      </c>
      <c r="R93" s="46"/>
      <c r="S93" s="46">
        <v>0.67</v>
      </c>
      <c r="T93" s="50">
        <f>IFERROR(__xludf.DUMMYFUNCTION("((IFERROR(MIN(FILTER({K93, N93, Q93}, ISNUMBER({K93, N93, Q93}), {K93, N93, Q93} &gt; 0)), """"))*S93)+IFERROR(MIN(FILTER({K93, N93, Q93}, ISNUMBER({K93, N93, Q93}), {K93, N93, Q93} &gt; 0)), """")"),10855.0)</f>
        <v>10855</v>
      </c>
      <c r="U93" s="53">
        <f>IFERROR(__xludf.DUMMYFUNCTION("(T93-(IFERROR(MIN(FILTER({K93, N93, Q93}, ISNUMBER({K93, N93, Q93}), {K93, N93, Q93} &gt; 0)), """")))/T93"),0.40119760479041916)</f>
        <v>0.4011976048</v>
      </c>
      <c r="V93" s="88">
        <f t="shared" si="6"/>
        <v>11442.5</v>
      </c>
      <c r="W93" s="89"/>
    </row>
    <row r="94" ht="22.5" customHeight="1">
      <c r="A94" s="28" t="s">
        <v>272</v>
      </c>
      <c r="B94" s="28" t="s">
        <v>378</v>
      </c>
      <c r="C94" s="30" t="s">
        <v>349</v>
      </c>
      <c r="D94" s="85" t="s">
        <v>741</v>
      </c>
      <c r="E94" s="36" t="s">
        <v>55</v>
      </c>
      <c r="F94" s="105"/>
      <c r="G94" s="36" t="s">
        <v>41</v>
      </c>
      <c r="H94" s="28" t="s">
        <v>742</v>
      </c>
      <c r="I94" s="39">
        <v>1000.0</v>
      </c>
      <c r="J94" s="39">
        <v>1000.0</v>
      </c>
      <c r="K94" s="41"/>
      <c r="L94" s="42">
        <v>1000.0</v>
      </c>
      <c r="M94" s="42">
        <v>1000.0</v>
      </c>
      <c r="N94" s="60"/>
      <c r="O94" s="39">
        <v>1000.0</v>
      </c>
      <c r="P94" s="39">
        <v>1000.0</v>
      </c>
      <c r="Q94" s="39">
        <v>2900.0</v>
      </c>
      <c r="R94" s="46"/>
      <c r="S94" s="46">
        <v>0.67</v>
      </c>
      <c r="T94" s="50">
        <f>IFERROR(__xludf.DUMMYFUNCTION("((IFERROR(MIN(FILTER({K94, N94, Q94}, ISNUMBER({K94, N94, Q94}), {K94, N94, Q94} &gt; 0)), """"))*S94)+IFERROR(MIN(FILTER({K94, N94, Q94}, ISNUMBER({K94, N94, Q94}), {K94, N94, Q94} &gt; 0)), """")"),4843.0)</f>
        <v>4843</v>
      </c>
      <c r="U94" s="53">
        <f>IFERROR(__xludf.DUMMYFUNCTION("(T94-(IFERROR(MIN(FILTER({K94, N94, Q94}, ISNUMBER({K94, N94, Q94}), {K94, N94, Q94} &gt; 0)), """")))/T94"),0.40119760479041916)</f>
        <v>0.4011976048</v>
      </c>
      <c r="V94" s="88">
        <f t="shared" si="6"/>
        <v>3625</v>
      </c>
      <c r="W94" s="89"/>
    </row>
    <row r="95" ht="22.5" customHeight="1">
      <c r="A95" s="28" t="s">
        <v>272</v>
      </c>
      <c r="B95" s="28" t="s">
        <v>378</v>
      </c>
      <c r="C95" s="30" t="s">
        <v>349</v>
      </c>
      <c r="D95" s="85" t="s">
        <v>741</v>
      </c>
      <c r="E95" s="36" t="s">
        <v>55</v>
      </c>
      <c r="F95" s="105"/>
      <c r="G95" s="36" t="s">
        <v>41</v>
      </c>
      <c r="H95" s="28" t="s">
        <v>742</v>
      </c>
      <c r="I95" s="39">
        <v>2000.0</v>
      </c>
      <c r="J95" s="39">
        <v>2000.0</v>
      </c>
      <c r="K95" s="41"/>
      <c r="L95" s="42">
        <v>2000.0</v>
      </c>
      <c r="M95" s="42">
        <v>2000.0</v>
      </c>
      <c r="N95" s="42">
        <v>6733.0</v>
      </c>
      <c r="O95" s="39">
        <v>2000.0</v>
      </c>
      <c r="P95" s="39">
        <v>2000.0</v>
      </c>
      <c r="Q95" s="39">
        <v>7300.0</v>
      </c>
      <c r="R95" s="46"/>
      <c r="S95" s="46">
        <v>0.67</v>
      </c>
      <c r="T95" s="50">
        <f>IFERROR(__xludf.DUMMYFUNCTION("((IFERROR(MIN(FILTER({K95, N95, Q95}, ISNUMBER({K95, N95, Q95}), {K95, N95, Q95} &gt; 0)), """"))*S95)+IFERROR(MIN(FILTER({K95, N95, Q95}, ISNUMBER({K95, N95, Q95}), {K95, N95, Q95} &gt; 0)), """")"),11244.11)</f>
        <v>11244.11</v>
      </c>
      <c r="U95" s="53">
        <f>IFERROR(__xludf.DUMMYFUNCTION("(T95-(IFERROR(MIN(FILTER({K95, N95, Q95}, ISNUMBER({K95, N95, Q95}), {K95, N95, Q95} &gt; 0)), """")))/T95"),0.4011976047904192)</f>
        <v>0.4011976048</v>
      </c>
      <c r="V95" s="88">
        <f t="shared" si="6"/>
        <v>9125</v>
      </c>
      <c r="W95" s="89"/>
    </row>
    <row r="96" ht="22.5" customHeight="1">
      <c r="A96" s="28" t="s">
        <v>272</v>
      </c>
      <c r="B96" s="28" t="s">
        <v>378</v>
      </c>
      <c r="C96" s="30" t="s">
        <v>349</v>
      </c>
      <c r="D96" s="85" t="s">
        <v>741</v>
      </c>
      <c r="E96" s="36" t="s">
        <v>55</v>
      </c>
      <c r="F96" s="105"/>
      <c r="G96" s="36" t="s">
        <v>41</v>
      </c>
      <c r="H96" s="28" t="s">
        <v>742</v>
      </c>
      <c r="I96" s="39">
        <v>10000.0</v>
      </c>
      <c r="J96" s="39">
        <v>10000.0</v>
      </c>
      <c r="K96" s="41"/>
      <c r="L96" s="42">
        <v>10000.0</v>
      </c>
      <c r="M96" s="42">
        <v>10000.0</v>
      </c>
      <c r="N96" s="60"/>
      <c r="O96" s="39">
        <v>10000.0</v>
      </c>
      <c r="P96" s="39">
        <v>10000.0</v>
      </c>
      <c r="Q96" s="39">
        <v>5200.0</v>
      </c>
      <c r="R96" s="46"/>
      <c r="S96" s="46">
        <v>0.67</v>
      </c>
      <c r="T96" s="50">
        <f>IFERROR(__xludf.DUMMYFUNCTION("((IFERROR(MIN(FILTER({K96, N96, Q96}, ISNUMBER({K96, N96, Q96}), {K96, N96, Q96} &gt; 0)), """"))*S96)+IFERROR(MIN(FILTER({K96, N96, Q96}, ISNUMBER({K96, N96, Q96}), {K96, N96, Q96} &gt; 0)), """")"),8684.0)</f>
        <v>8684</v>
      </c>
      <c r="U96" s="53">
        <f>IFERROR(__xludf.DUMMYFUNCTION("(T96-(IFERROR(MIN(FILTER({K96, N96, Q96}, ISNUMBER({K96, N96, Q96}), {K96, N96, Q96} &gt; 0)), """")))/T96"),0.40119760479041916)</f>
        <v>0.4011976048</v>
      </c>
      <c r="V96" s="88">
        <f t="shared" si="6"/>
        <v>6500</v>
      </c>
      <c r="W96" s="89"/>
    </row>
    <row r="97" ht="22.5" customHeight="1">
      <c r="A97" s="28" t="s">
        <v>754</v>
      </c>
      <c r="B97" s="28" t="s">
        <v>755</v>
      </c>
      <c r="C97" s="30" t="s">
        <v>106</v>
      </c>
      <c r="D97" s="85" t="s">
        <v>757</v>
      </c>
      <c r="E97" s="36" t="s">
        <v>63</v>
      </c>
      <c r="F97" s="69" t="s">
        <v>67</v>
      </c>
      <c r="G97" s="36" t="s">
        <v>41</v>
      </c>
      <c r="H97" s="28" t="s">
        <v>758</v>
      </c>
      <c r="I97" s="39">
        <v>15000.0</v>
      </c>
      <c r="J97" s="39">
        <v>15000.0</v>
      </c>
      <c r="K97" s="41"/>
      <c r="L97" s="42">
        <v>15000.0</v>
      </c>
      <c r="M97" s="42">
        <v>15000.0</v>
      </c>
      <c r="N97" s="60"/>
      <c r="O97" s="39">
        <v>15000.0</v>
      </c>
      <c r="P97" s="39">
        <v>15000.0</v>
      </c>
      <c r="Q97" s="39">
        <v>5000.0</v>
      </c>
      <c r="R97" s="46"/>
      <c r="S97" s="46">
        <v>0.67</v>
      </c>
      <c r="T97" s="50">
        <f>IFERROR(__xludf.DUMMYFUNCTION("((IFERROR(MIN(FILTER({K97, N97, Q97}, ISNUMBER({K97, N97, Q97}), {K97, N97, Q97} &gt; 0)), """"))*S97)+IFERROR(MIN(FILTER({K97, N97, Q97}, ISNUMBER({K97, N97, Q97}), {K97, N97, Q97} &gt; 0)), """")"),8350.0)</f>
        <v>8350</v>
      </c>
      <c r="U97" s="53">
        <f>IFERROR(__xludf.DUMMYFUNCTION("(T97-(IFERROR(MIN(FILTER({K97, N97, Q97}, ISNUMBER({K97, N97, Q97}), {K97, N97, Q97} &gt; 0)), """")))/T97"),0.40119760479041916)</f>
        <v>0.4011976048</v>
      </c>
      <c r="V97" s="88">
        <f t="shared" si="6"/>
        <v>6250</v>
      </c>
      <c r="W97" s="89"/>
    </row>
    <row r="98" ht="22.5" customHeight="1">
      <c r="A98" s="28" t="s">
        <v>754</v>
      </c>
      <c r="B98" s="28" t="s">
        <v>755</v>
      </c>
      <c r="C98" s="30" t="s">
        <v>106</v>
      </c>
      <c r="D98" s="85" t="s">
        <v>757</v>
      </c>
      <c r="E98" s="104">
        <v>46113.0</v>
      </c>
      <c r="F98" s="69" t="s">
        <v>67</v>
      </c>
      <c r="G98" s="36" t="s">
        <v>41</v>
      </c>
      <c r="H98" s="28" t="s">
        <v>761</v>
      </c>
      <c r="I98" s="39">
        <v>25000.0</v>
      </c>
      <c r="J98" s="39">
        <v>25000.0</v>
      </c>
      <c r="K98" s="41"/>
      <c r="L98" s="42">
        <v>25000.0</v>
      </c>
      <c r="M98" s="42">
        <v>25000.0</v>
      </c>
      <c r="N98" s="60"/>
      <c r="O98" s="39">
        <v>25000.0</v>
      </c>
      <c r="P98" s="39">
        <v>25000.0</v>
      </c>
      <c r="Q98" s="39">
        <v>4800.0</v>
      </c>
      <c r="R98" s="46"/>
      <c r="S98" s="46">
        <v>0.67</v>
      </c>
      <c r="T98" s="50">
        <f>IFERROR(__xludf.DUMMYFUNCTION("((IFERROR(MIN(FILTER({K98, N98, Q98}, ISNUMBER({K98, N98, Q98}), {K98, N98, Q98} &gt; 0)), """"))*S98)+IFERROR(MIN(FILTER({K98, N98, Q98}, ISNUMBER({K98, N98, Q98}), {K98, N98, Q98} &gt; 0)), """")"),8016.0)</f>
        <v>8016</v>
      </c>
      <c r="U98" s="53">
        <f>IFERROR(__xludf.DUMMYFUNCTION("(T98-(IFERROR(MIN(FILTER({K98, N98, Q98}, ISNUMBER({K98, N98, Q98}), {K98, N98, Q98} &gt; 0)), """")))/T98"),0.40119760479041916)</f>
        <v>0.4011976048</v>
      </c>
      <c r="V98" s="88">
        <f t="shared" si="6"/>
        <v>6000</v>
      </c>
      <c r="W98" s="89"/>
    </row>
    <row r="99" ht="22.5" customHeight="1">
      <c r="A99" s="28" t="s">
        <v>188</v>
      </c>
      <c r="B99" s="28" t="s">
        <v>621</v>
      </c>
      <c r="C99" s="30" t="s">
        <v>379</v>
      </c>
      <c r="D99" s="85" t="s">
        <v>762</v>
      </c>
      <c r="E99" s="36" t="s">
        <v>63</v>
      </c>
      <c r="F99" s="69" t="s">
        <v>763</v>
      </c>
      <c r="G99" s="36" t="s">
        <v>41</v>
      </c>
      <c r="H99" s="28" t="s">
        <v>765</v>
      </c>
      <c r="I99" s="39">
        <v>10000.0</v>
      </c>
      <c r="J99" s="39">
        <v>10000.0</v>
      </c>
      <c r="K99" s="41"/>
      <c r="L99" s="42">
        <v>10000.0</v>
      </c>
      <c r="M99" s="42">
        <v>10000.0</v>
      </c>
      <c r="N99" s="60"/>
      <c r="O99" s="39">
        <v>10000.0</v>
      </c>
      <c r="P99" s="39">
        <v>10000.0</v>
      </c>
      <c r="Q99" s="39">
        <v>4500.0</v>
      </c>
      <c r="R99" s="46"/>
      <c r="S99" s="46">
        <v>0.67</v>
      </c>
      <c r="T99" s="50">
        <f>IFERROR(__xludf.DUMMYFUNCTION("((IFERROR(MIN(FILTER({K99, N99, Q99}, ISNUMBER({K99, N99, Q99}), {K99, N99, Q99} &gt; 0)), """"))*S99)+IFERROR(MIN(FILTER({K99, N99, Q99}, ISNUMBER({K99, N99, Q99}), {K99, N99, Q99} &gt; 0)), """")"),7515.0)</f>
        <v>7515</v>
      </c>
      <c r="U99" s="53">
        <f>IFERROR(__xludf.DUMMYFUNCTION("(T99-(IFERROR(MIN(FILTER({K99, N99, Q99}, ISNUMBER({K99, N99, Q99}), {K99, N99, Q99} &gt; 0)), """")))/T99"),0.40119760479041916)</f>
        <v>0.4011976048</v>
      </c>
      <c r="V99" s="88">
        <f t="shared" si="6"/>
        <v>5625</v>
      </c>
      <c r="W99" s="89"/>
    </row>
    <row r="100" ht="22.5" customHeight="1">
      <c r="A100" s="28" t="s">
        <v>188</v>
      </c>
      <c r="B100" s="28" t="s">
        <v>621</v>
      </c>
      <c r="C100" s="30" t="s">
        <v>379</v>
      </c>
      <c r="D100" s="85" t="s">
        <v>762</v>
      </c>
      <c r="E100" s="36" t="s">
        <v>63</v>
      </c>
      <c r="F100" s="69" t="s">
        <v>768</v>
      </c>
      <c r="G100" s="36" t="s">
        <v>41</v>
      </c>
      <c r="H100" s="28" t="s">
        <v>769</v>
      </c>
      <c r="I100" s="39">
        <v>15000.0</v>
      </c>
      <c r="J100" s="39">
        <v>15000.0</v>
      </c>
      <c r="K100" s="41"/>
      <c r="L100" s="42">
        <v>15000.0</v>
      </c>
      <c r="M100" s="42">
        <v>15000.0</v>
      </c>
      <c r="N100" s="60"/>
      <c r="O100" s="39">
        <v>15000.0</v>
      </c>
      <c r="P100" s="39">
        <v>15000.0</v>
      </c>
      <c r="Q100" s="39">
        <v>4300.0</v>
      </c>
      <c r="R100" s="46"/>
      <c r="S100" s="46">
        <v>0.67</v>
      </c>
      <c r="T100" s="50">
        <f>IFERROR(__xludf.DUMMYFUNCTION("((IFERROR(MIN(FILTER({K100, N100, Q100}, ISNUMBER({K100, N100, Q100}), {K100, N100, Q100} &gt; 0)), """"))*S100)+IFERROR(MIN(FILTER({K100, N100, Q100}, ISNUMBER({K100, N100, Q100}), {K100, N100, Q100} &gt; 0)), """")"),7181.0)</f>
        <v>7181</v>
      </c>
      <c r="U100" s="53">
        <f>IFERROR(__xludf.DUMMYFUNCTION("(T100-(IFERROR(MIN(FILTER({K100, N100, Q100}, ISNUMBER({K100, N100, Q100}), {K100, N100, Q100} &gt; 0)), """")))/T100"),0.40119760479041916)</f>
        <v>0.4011976048</v>
      </c>
      <c r="V100" s="88">
        <f t="shared" si="6"/>
        <v>5375</v>
      </c>
      <c r="W100" s="89"/>
    </row>
    <row r="101" ht="22.5" customHeight="1">
      <c r="A101" s="28" t="s">
        <v>188</v>
      </c>
      <c r="B101" s="28" t="s">
        <v>621</v>
      </c>
      <c r="C101" s="30" t="s">
        <v>379</v>
      </c>
      <c r="D101" s="85" t="s">
        <v>762</v>
      </c>
      <c r="E101" s="36" t="s">
        <v>63</v>
      </c>
      <c r="F101" s="69" t="s">
        <v>768</v>
      </c>
      <c r="G101" s="36" t="s">
        <v>41</v>
      </c>
      <c r="H101" s="28" t="s">
        <v>772</v>
      </c>
      <c r="I101" s="39">
        <v>25000.0</v>
      </c>
      <c r="J101" s="39">
        <v>25000.0</v>
      </c>
      <c r="K101" s="41"/>
      <c r="L101" s="42">
        <v>25000.0</v>
      </c>
      <c r="M101" s="42">
        <v>25000.0</v>
      </c>
      <c r="N101" s="60"/>
      <c r="O101" s="39">
        <v>25000.0</v>
      </c>
      <c r="P101" s="39">
        <v>25000.0</v>
      </c>
      <c r="Q101" s="39">
        <v>4100.0</v>
      </c>
      <c r="R101" s="46"/>
      <c r="S101" s="46">
        <v>0.67</v>
      </c>
      <c r="T101" s="50">
        <f>IFERROR(__xludf.DUMMYFUNCTION("((IFERROR(MIN(FILTER({K101, N101, Q101}, ISNUMBER({K101, N101, Q101}), {K101, N101, Q101} &gt; 0)), """"))*S101)+IFERROR(MIN(FILTER({K101, N101, Q101}, ISNUMBER({K101, N101, Q101}), {K101, N101, Q101} &gt; 0)), """")"),6847.0)</f>
        <v>6847</v>
      </c>
      <c r="U101" s="53">
        <f>IFERROR(__xludf.DUMMYFUNCTION("(T101-(IFERROR(MIN(FILTER({K101, N101, Q101}, ISNUMBER({K101, N101, Q101}), {K101, N101, Q101} &gt; 0)), """")))/T101"),0.40119760479041916)</f>
        <v>0.4011976048</v>
      </c>
      <c r="V101" s="88">
        <f t="shared" si="6"/>
        <v>5125</v>
      </c>
      <c r="W101" s="89"/>
    </row>
    <row r="102" ht="22.5" customHeight="1">
      <c r="A102" s="28" t="s">
        <v>188</v>
      </c>
      <c r="B102" s="28" t="s">
        <v>621</v>
      </c>
      <c r="C102" s="30" t="s">
        <v>379</v>
      </c>
      <c r="D102" s="85" t="s">
        <v>762</v>
      </c>
      <c r="E102" s="36" t="s">
        <v>63</v>
      </c>
      <c r="F102" s="69" t="s">
        <v>67</v>
      </c>
      <c r="G102" s="36" t="s">
        <v>41</v>
      </c>
      <c r="H102" s="28" t="s">
        <v>775</v>
      </c>
      <c r="I102" s="39">
        <v>1000.0</v>
      </c>
      <c r="J102" s="39">
        <v>1000.0</v>
      </c>
      <c r="K102" s="41"/>
      <c r="L102" s="42">
        <v>1000.0</v>
      </c>
      <c r="M102" s="42">
        <v>1000.0</v>
      </c>
      <c r="N102" s="60"/>
      <c r="O102" s="39">
        <v>1000.0</v>
      </c>
      <c r="P102" s="39">
        <v>1000.0</v>
      </c>
      <c r="Q102" s="39">
        <v>4200.0</v>
      </c>
      <c r="R102" s="46"/>
      <c r="S102" s="46">
        <v>0.67</v>
      </c>
      <c r="T102" s="50">
        <f>IFERROR(__xludf.DUMMYFUNCTION("((IFERROR(MIN(FILTER({K102, N102, Q102}, ISNUMBER({K102, N102, Q102}), {K102, N102, Q102} &gt; 0)), """"))*S102)+IFERROR(MIN(FILTER({K102, N102, Q102}, ISNUMBER({K102, N102, Q102}), {K102, N102, Q102} &gt; 0)), """")"),7014.0)</f>
        <v>7014</v>
      </c>
      <c r="U102" s="53">
        <f>IFERROR(__xludf.DUMMYFUNCTION("(T102-(IFERROR(MIN(FILTER({K102, N102, Q102}, ISNUMBER({K102, N102, Q102}), {K102, N102, Q102} &gt; 0)), """")))/T102"),0.40119760479041916)</f>
        <v>0.4011976048</v>
      </c>
      <c r="V102" s="88">
        <f t="shared" si="6"/>
        <v>5250</v>
      </c>
      <c r="W102" s="89"/>
    </row>
    <row r="103" ht="22.5" customHeight="1">
      <c r="A103" s="28" t="s">
        <v>778</v>
      </c>
      <c r="B103" s="28" t="s">
        <v>378</v>
      </c>
      <c r="C103" s="30" t="s">
        <v>106</v>
      </c>
      <c r="D103" s="85" t="s">
        <v>779</v>
      </c>
      <c r="E103" s="36" t="s">
        <v>36</v>
      </c>
      <c r="F103" s="69" t="s">
        <v>746</v>
      </c>
      <c r="G103" s="36" t="s">
        <v>41</v>
      </c>
      <c r="H103" s="28" t="s">
        <v>780</v>
      </c>
      <c r="I103" s="39">
        <v>1000.0</v>
      </c>
      <c r="J103" s="39">
        <v>1000.0</v>
      </c>
      <c r="K103" s="41"/>
      <c r="L103" s="42">
        <v>1000.0</v>
      </c>
      <c r="M103" s="42">
        <v>1000.0</v>
      </c>
      <c r="N103" s="60"/>
      <c r="O103" s="39">
        <v>1000.0</v>
      </c>
      <c r="P103" s="39">
        <v>1000.0</v>
      </c>
      <c r="Q103" s="39">
        <v>5300.0</v>
      </c>
      <c r="R103" s="46"/>
      <c r="S103" s="46">
        <v>0.67</v>
      </c>
      <c r="T103" s="50">
        <f>IFERROR(__xludf.DUMMYFUNCTION("((IFERROR(MIN(FILTER({K103, N103, Q103}, ISNUMBER({K103, N103, Q103}), {K103, N103, Q103} &gt; 0)), """"))*S103)+IFERROR(MIN(FILTER({K103, N103, Q103}, ISNUMBER({K103, N103, Q103}), {K103, N103, Q103} &gt; 0)), """")"),8851.0)</f>
        <v>8851</v>
      </c>
      <c r="U103" s="53">
        <f>IFERROR(__xludf.DUMMYFUNCTION("(T103-(IFERROR(MIN(FILTER({K103, N103, Q103}, ISNUMBER({K103, N103, Q103}), {K103, N103, Q103} &gt; 0)), """")))/T103"),0.40119760479041916)</f>
        <v>0.4011976048</v>
      </c>
      <c r="V103" s="88">
        <f t="shared" si="6"/>
        <v>6625</v>
      </c>
      <c r="W103" s="89"/>
    </row>
    <row r="104" ht="22.5" customHeight="1">
      <c r="A104" s="28" t="s">
        <v>786</v>
      </c>
      <c r="B104" s="28" t="s">
        <v>378</v>
      </c>
      <c r="C104" s="30" t="s">
        <v>106</v>
      </c>
      <c r="D104" s="85" t="s">
        <v>787</v>
      </c>
      <c r="E104" s="36" t="s">
        <v>63</v>
      </c>
      <c r="F104" s="69" t="s">
        <v>67</v>
      </c>
      <c r="G104" s="36" t="s">
        <v>41</v>
      </c>
      <c r="H104" s="28" t="s">
        <v>788</v>
      </c>
      <c r="I104" s="39">
        <v>5000.0</v>
      </c>
      <c r="J104" s="39">
        <v>5000.0</v>
      </c>
      <c r="K104" s="41"/>
      <c r="L104" s="42">
        <v>5000.0</v>
      </c>
      <c r="M104" s="42">
        <v>5000.0</v>
      </c>
      <c r="N104" s="60"/>
      <c r="O104" s="39">
        <v>5000.0</v>
      </c>
      <c r="P104" s="39">
        <v>5000.0</v>
      </c>
      <c r="Q104" s="39">
        <v>2300.0</v>
      </c>
      <c r="R104" s="46"/>
      <c r="S104" s="46">
        <v>0.67</v>
      </c>
      <c r="T104" s="50">
        <f>IFERROR(__xludf.DUMMYFUNCTION("((IFERROR(MIN(FILTER({K104, N104, Q104}, ISNUMBER({K104, N104, Q104}), {K104, N104, Q104} &gt; 0)), """"))*S104)+IFERROR(MIN(FILTER({K104, N104, Q104}, ISNUMBER({K104, N104, Q104}), {K104, N104, Q104} &gt; 0)), """")"),3841.0)</f>
        <v>3841</v>
      </c>
      <c r="U104" s="53">
        <f>IFERROR(__xludf.DUMMYFUNCTION("(T104-(IFERROR(MIN(FILTER({K104, N104, Q104}, ISNUMBER({K104, N104, Q104}), {K104, N104, Q104} &gt; 0)), """")))/T104"),0.40119760479041916)</f>
        <v>0.4011976048</v>
      </c>
      <c r="V104" s="88">
        <f t="shared" si="6"/>
        <v>2875</v>
      </c>
      <c r="W104" s="89"/>
    </row>
    <row r="105" ht="22.5" customHeight="1">
      <c r="A105" s="28" t="s">
        <v>786</v>
      </c>
      <c r="B105" s="28" t="s">
        <v>378</v>
      </c>
      <c r="C105" s="30" t="s">
        <v>106</v>
      </c>
      <c r="D105" s="85" t="s">
        <v>792</v>
      </c>
      <c r="E105" s="36" t="s">
        <v>63</v>
      </c>
      <c r="F105" s="69" t="s">
        <v>67</v>
      </c>
      <c r="G105" s="36" t="s">
        <v>41</v>
      </c>
      <c r="H105" s="28" t="s">
        <v>788</v>
      </c>
      <c r="I105" s="39">
        <v>500.0</v>
      </c>
      <c r="J105" s="39">
        <v>500.0</v>
      </c>
      <c r="K105" s="41"/>
      <c r="L105" s="42">
        <v>500.0</v>
      </c>
      <c r="M105" s="42">
        <v>500.0</v>
      </c>
      <c r="N105" s="60"/>
      <c r="O105" s="39">
        <v>500.0</v>
      </c>
      <c r="P105" s="39">
        <v>500.0</v>
      </c>
      <c r="Q105" s="39">
        <v>7500.0</v>
      </c>
      <c r="R105" s="46"/>
      <c r="S105" s="46">
        <v>0.67</v>
      </c>
      <c r="T105" s="50">
        <f>IFERROR(__xludf.DUMMYFUNCTION("((IFERROR(MIN(FILTER({K105, N105, Q105}, ISNUMBER({K105, N105, Q105}), {K105, N105, Q105} &gt; 0)), """"))*S105)+IFERROR(MIN(FILTER({K105, N105, Q105}, ISNUMBER({K105, N105, Q105}), {K105, N105, Q105} &gt; 0)), """")"),12525.0)</f>
        <v>12525</v>
      </c>
      <c r="U105" s="53">
        <f>IFERROR(__xludf.DUMMYFUNCTION("(T105-(IFERROR(MIN(FILTER({K105, N105, Q105}, ISNUMBER({K105, N105, Q105}), {K105, N105, Q105} &gt; 0)), """")))/T105"),0.40119760479041916)</f>
        <v>0.4011976048</v>
      </c>
      <c r="V105" s="88">
        <f t="shared" si="6"/>
        <v>9375</v>
      </c>
      <c r="W105" s="89"/>
    </row>
    <row r="106" ht="22.5" customHeight="1">
      <c r="A106" s="28" t="s">
        <v>786</v>
      </c>
      <c r="B106" s="28" t="s">
        <v>378</v>
      </c>
      <c r="C106" s="30" t="s">
        <v>106</v>
      </c>
      <c r="D106" s="85" t="s">
        <v>795</v>
      </c>
      <c r="E106" s="36" t="s">
        <v>63</v>
      </c>
      <c r="F106" s="69" t="s">
        <v>67</v>
      </c>
      <c r="G106" s="36" t="s">
        <v>41</v>
      </c>
      <c r="H106" s="28" t="s">
        <v>788</v>
      </c>
      <c r="I106" s="39">
        <v>500.0</v>
      </c>
      <c r="J106" s="39">
        <v>500.0</v>
      </c>
      <c r="K106" s="41"/>
      <c r="L106" s="42">
        <v>500.0</v>
      </c>
      <c r="M106" s="42">
        <v>500.0</v>
      </c>
      <c r="N106" s="60"/>
      <c r="O106" s="39">
        <v>500.0</v>
      </c>
      <c r="P106" s="39">
        <v>500.0</v>
      </c>
      <c r="Q106" s="39">
        <v>6500.0</v>
      </c>
      <c r="R106" s="46"/>
      <c r="S106" s="46">
        <v>0.67</v>
      </c>
      <c r="T106" s="50">
        <f>IFERROR(__xludf.DUMMYFUNCTION("((IFERROR(MIN(FILTER({K106, N106, Q106}, ISNUMBER({K106, N106, Q106}), {K106, N106, Q106} &gt; 0)), """"))*S106)+IFERROR(MIN(FILTER({K106, N106, Q106}, ISNUMBER({K106, N106, Q106}), {K106, N106, Q106} &gt; 0)), """")"),10855.0)</f>
        <v>10855</v>
      </c>
      <c r="U106" s="53">
        <f>IFERROR(__xludf.DUMMYFUNCTION("(T106-(IFERROR(MIN(FILTER({K106, N106, Q106}, ISNUMBER({K106, N106, Q106}), {K106, N106, Q106} &gt; 0)), """")))/T106"),0.40119760479041916)</f>
        <v>0.4011976048</v>
      </c>
      <c r="V106" s="88">
        <f t="shared" si="6"/>
        <v>8125</v>
      </c>
      <c r="W106" s="89"/>
    </row>
    <row r="107" ht="22.5" customHeight="1">
      <c r="A107" s="28" t="s">
        <v>798</v>
      </c>
      <c r="B107" s="28" t="s">
        <v>470</v>
      </c>
      <c r="C107" s="30" t="s">
        <v>106</v>
      </c>
      <c r="D107" s="85" t="s">
        <v>799</v>
      </c>
      <c r="E107" s="36" t="s">
        <v>36</v>
      </c>
      <c r="F107" s="69" t="s">
        <v>800</v>
      </c>
      <c r="G107" s="36" t="s">
        <v>41</v>
      </c>
      <c r="H107" s="28" t="s">
        <v>758</v>
      </c>
      <c r="I107" s="39">
        <v>20000.0</v>
      </c>
      <c r="J107" s="39">
        <v>20000.0</v>
      </c>
      <c r="K107" s="41"/>
      <c r="L107" s="42">
        <v>20000.0</v>
      </c>
      <c r="M107" s="42">
        <v>20000.0</v>
      </c>
      <c r="N107" s="42">
        <v>4077.0</v>
      </c>
      <c r="O107" s="39">
        <v>20000.0</v>
      </c>
      <c r="P107" s="39">
        <v>20000.0</v>
      </c>
      <c r="Q107" s="63"/>
      <c r="R107" s="92">
        <f t="shared" ref="R107:R108" si="7">IF(MAX(K107,N107,Q107)&gt;0, MAX(K107,N107,Q107))</f>
        <v>4077</v>
      </c>
      <c r="S107" s="46">
        <v>0.67</v>
      </c>
      <c r="T107" s="93">
        <f>IFERROR(__xludf.DUMMYFUNCTION("((IFERROR(MAX(FILTER({K107, N107, Q107}, ISNUMBER({K107, N107, Q107}), {K107, N107, Q107} &gt; 0)), """"))*S107)+IFERROR(MAX(FILTER({K107, N107, Q107}, ISNUMBER({K107, N107, Q107}), {K107, N107, Q107} &gt; 0)), """")"),6808.59)</f>
        <v>6808.59</v>
      </c>
      <c r="U107" s="53">
        <f>IFERROR(__xludf.DUMMYFUNCTION("(T107-(IFERROR(MIN(FILTER({K107, N107, Q107}, ISNUMBER({K107, N107, Q107}), {K107, N107, Q107} &gt; 0)), """")))/T107"),0.40119760479041916)</f>
        <v>0.4011976048</v>
      </c>
      <c r="V107" s="93">
        <f t="shared" ref="V107:V108" si="8">IF(MAX(K107,N107,Q107)&gt;0, MAX(K107,N107,Q107)/0.75, 0)</f>
        <v>5436</v>
      </c>
      <c r="W107" s="94">
        <f t="shared" ref="W107:W108" si="9">(V107-R107)/V107</f>
        <v>0.25</v>
      </c>
    </row>
    <row r="108" ht="22.5" customHeight="1">
      <c r="A108" s="28" t="s">
        <v>579</v>
      </c>
      <c r="B108" s="28" t="s">
        <v>470</v>
      </c>
      <c r="C108" s="30" t="s">
        <v>106</v>
      </c>
      <c r="D108" s="85" t="s">
        <v>804</v>
      </c>
      <c r="E108" s="36" t="s">
        <v>36</v>
      </c>
      <c r="F108" s="69" t="s">
        <v>805</v>
      </c>
      <c r="G108" s="36" t="s">
        <v>41</v>
      </c>
      <c r="H108" s="28" t="s">
        <v>44</v>
      </c>
      <c r="I108" s="39">
        <v>100000.0</v>
      </c>
      <c r="J108" s="39">
        <v>100000.0</v>
      </c>
      <c r="K108" s="39">
        <v>330.0</v>
      </c>
      <c r="L108" s="42">
        <v>100000.0</v>
      </c>
      <c r="M108" s="42">
        <v>100000.0</v>
      </c>
      <c r="N108" s="42"/>
      <c r="O108" s="39">
        <v>100000.0</v>
      </c>
      <c r="P108" s="39">
        <v>100000.0</v>
      </c>
      <c r="Q108" s="62"/>
      <c r="R108" s="92">
        <f t="shared" si="7"/>
        <v>330</v>
      </c>
      <c r="S108" s="46">
        <v>0.67</v>
      </c>
      <c r="T108" s="93">
        <f>IFERROR(__xludf.DUMMYFUNCTION("((IFERROR(MAX(FILTER({K108, N108, Q108}, ISNUMBER({K108, N108, Q108}), {K108, N108, Q108} &gt; 0)), """"))*S108)+IFERROR(MAX(FILTER({K108, N108, Q108}, ISNUMBER({K108, N108, Q108}), {K108, N108, Q108} &gt; 0)), """")"),551.1)</f>
        <v>551.1</v>
      </c>
      <c r="U108" s="53">
        <f>IFERROR(__xludf.DUMMYFUNCTION("(T108-(IFERROR(MIN(FILTER({K108, N108, Q108}, ISNUMBER({K108, N108, Q108}), {K108, N108, Q108} &gt; 0)), """")))/T108"),0.40119760479041916)</f>
        <v>0.4011976048</v>
      </c>
      <c r="V108" s="93">
        <f t="shared" si="8"/>
        <v>440</v>
      </c>
      <c r="W108" s="94">
        <f t="shared" si="9"/>
        <v>0.25</v>
      </c>
    </row>
    <row r="109" ht="22.5" customHeight="1">
      <c r="A109" s="28" t="s">
        <v>462</v>
      </c>
      <c r="B109" s="28" t="s">
        <v>705</v>
      </c>
      <c r="C109" s="30" t="s">
        <v>106</v>
      </c>
      <c r="D109" s="85" t="s">
        <v>807</v>
      </c>
      <c r="E109" s="36" t="s">
        <v>63</v>
      </c>
      <c r="F109" s="69" t="s">
        <v>808</v>
      </c>
      <c r="G109" s="36" t="s">
        <v>41</v>
      </c>
      <c r="H109" s="28" t="s">
        <v>809</v>
      </c>
      <c r="I109" s="39">
        <v>1000.0</v>
      </c>
      <c r="J109" s="39">
        <v>1000.0</v>
      </c>
      <c r="K109" s="41"/>
      <c r="L109" s="42">
        <v>1000.0</v>
      </c>
      <c r="M109" s="42">
        <v>1000.0</v>
      </c>
      <c r="N109" s="60"/>
      <c r="O109" s="39">
        <v>1000.0</v>
      </c>
      <c r="P109" s="39">
        <v>1000.0</v>
      </c>
      <c r="Q109" s="39">
        <v>10300.0</v>
      </c>
      <c r="R109" s="46"/>
      <c r="S109" s="46">
        <v>0.67</v>
      </c>
      <c r="T109" s="50">
        <f>IFERROR(__xludf.DUMMYFUNCTION("((IFERROR(MIN(FILTER({K109, N109, Q109}, ISNUMBER({K109, N109, Q109}), {K109, N109, Q109} &gt; 0)), """"))*S109)+IFERROR(MIN(FILTER({K109, N109, Q109}, ISNUMBER({K109, N109, Q109}), {K109, N109, Q109} &gt; 0)), """")"),17201.0)</f>
        <v>17201</v>
      </c>
      <c r="U109" s="53">
        <f>IFERROR(__xludf.DUMMYFUNCTION("(T109-(IFERROR(MIN(FILTER({K109, N109, Q109}, ISNUMBER({K109, N109, Q109}), {K109, N109, Q109} &gt; 0)), """")))/T109"),0.40119760479041916)</f>
        <v>0.4011976048</v>
      </c>
      <c r="V109" s="88">
        <f t="shared" ref="V109:V169" si="10">IF(MAX(K109,N109,Q109)&gt;0, MAX(K109,N109,Q109)*1.25, 0)</f>
        <v>12875</v>
      </c>
      <c r="W109" s="89"/>
    </row>
    <row r="110" ht="22.5" customHeight="1">
      <c r="A110" s="28" t="s">
        <v>462</v>
      </c>
      <c r="B110" s="28" t="s">
        <v>705</v>
      </c>
      <c r="C110" s="30" t="s">
        <v>106</v>
      </c>
      <c r="D110" s="85" t="s">
        <v>807</v>
      </c>
      <c r="E110" s="36" t="s">
        <v>63</v>
      </c>
      <c r="F110" s="69" t="s">
        <v>808</v>
      </c>
      <c r="G110" s="36" t="s">
        <v>41</v>
      </c>
      <c r="H110" s="28" t="s">
        <v>809</v>
      </c>
      <c r="I110" s="39">
        <v>2000.0</v>
      </c>
      <c r="J110" s="39">
        <v>2000.0</v>
      </c>
      <c r="K110" s="41"/>
      <c r="L110" s="42">
        <v>2000.0</v>
      </c>
      <c r="M110" s="42">
        <v>2000.0</v>
      </c>
      <c r="N110" s="60"/>
      <c r="O110" s="39">
        <v>2000.0</v>
      </c>
      <c r="P110" s="39">
        <v>2000.0</v>
      </c>
      <c r="Q110" s="39">
        <v>8500.0</v>
      </c>
      <c r="R110" s="46"/>
      <c r="S110" s="46">
        <v>0.67</v>
      </c>
      <c r="T110" s="50">
        <f>IFERROR(__xludf.DUMMYFUNCTION("((IFERROR(MIN(FILTER({K110, N110, Q110}, ISNUMBER({K110, N110, Q110}), {K110, N110, Q110} &gt; 0)), """"))*S110)+IFERROR(MIN(FILTER({K110, N110, Q110}, ISNUMBER({K110, N110, Q110}), {K110, N110, Q110} &gt; 0)), """")"),14195.0)</f>
        <v>14195</v>
      </c>
      <c r="U110" s="53">
        <f>IFERROR(__xludf.DUMMYFUNCTION("(T110-(IFERROR(MIN(FILTER({K110, N110, Q110}, ISNUMBER({K110, N110, Q110}), {K110, N110, Q110} &gt; 0)), """")))/T110"),0.40119760479041916)</f>
        <v>0.4011976048</v>
      </c>
      <c r="V110" s="88">
        <f t="shared" si="10"/>
        <v>10625</v>
      </c>
      <c r="W110" s="89"/>
    </row>
    <row r="111" ht="22.5" customHeight="1">
      <c r="A111" s="28" t="s">
        <v>814</v>
      </c>
      <c r="B111" s="28" t="s">
        <v>815</v>
      </c>
      <c r="C111" s="30" t="s">
        <v>106</v>
      </c>
      <c r="D111" s="85" t="s">
        <v>816</v>
      </c>
      <c r="E111" s="36" t="s">
        <v>63</v>
      </c>
      <c r="F111" s="69" t="s">
        <v>67</v>
      </c>
      <c r="G111" s="36" t="s">
        <v>41</v>
      </c>
      <c r="H111" s="28" t="s">
        <v>817</v>
      </c>
      <c r="I111" s="39">
        <v>1000.0</v>
      </c>
      <c r="J111" s="39">
        <v>1000.0</v>
      </c>
      <c r="K111" s="41"/>
      <c r="L111" s="42">
        <v>1000.0</v>
      </c>
      <c r="M111" s="42">
        <v>1000.0</v>
      </c>
      <c r="N111" s="60"/>
      <c r="O111" s="39">
        <v>1000.0</v>
      </c>
      <c r="P111" s="39">
        <v>1000.0</v>
      </c>
      <c r="Q111" s="39">
        <v>3370.0</v>
      </c>
      <c r="R111" s="46"/>
      <c r="S111" s="46">
        <v>0.67</v>
      </c>
      <c r="T111" s="50">
        <f>IFERROR(__xludf.DUMMYFUNCTION("((IFERROR(MIN(FILTER({K111, N111, Q111}, ISNUMBER({K111, N111, Q111}), {K111, N111, Q111} &gt; 0)), """"))*S111)+IFERROR(MIN(FILTER({K111, N111, Q111}, ISNUMBER({K111, N111, Q111}), {K111, N111, Q111} &gt; 0)), """")"),5627.9)</f>
        <v>5627.9</v>
      </c>
      <c r="U111" s="53">
        <f>IFERROR(__xludf.DUMMYFUNCTION("(T111-(IFERROR(MIN(FILTER({K111, N111, Q111}, ISNUMBER({K111, N111, Q111}), {K111, N111, Q111} &gt; 0)), """")))/T111"),0.4011976047904191)</f>
        <v>0.4011976048</v>
      </c>
      <c r="V111" s="88">
        <f t="shared" si="10"/>
        <v>4212.5</v>
      </c>
      <c r="W111" s="89"/>
    </row>
    <row r="112" ht="22.5" customHeight="1">
      <c r="A112" s="28" t="s">
        <v>814</v>
      </c>
      <c r="B112" s="28" t="s">
        <v>815</v>
      </c>
      <c r="C112" s="30" t="s">
        <v>106</v>
      </c>
      <c r="D112" s="85" t="s">
        <v>819</v>
      </c>
      <c r="E112" s="36" t="s">
        <v>63</v>
      </c>
      <c r="F112" s="69" t="s">
        <v>67</v>
      </c>
      <c r="G112" s="36" t="s">
        <v>41</v>
      </c>
      <c r="H112" s="28" t="s">
        <v>817</v>
      </c>
      <c r="I112" s="39">
        <v>1000.0</v>
      </c>
      <c r="J112" s="39">
        <v>1000.0</v>
      </c>
      <c r="K112" s="41"/>
      <c r="L112" s="42">
        <v>1000.0</v>
      </c>
      <c r="M112" s="42">
        <v>1000.0</v>
      </c>
      <c r="N112" s="60"/>
      <c r="O112" s="39">
        <v>1000.0</v>
      </c>
      <c r="P112" s="39">
        <v>1000.0</v>
      </c>
      <c r="Q112" s="39">
        <v>2870.0</v>
      </c>
      <c r="R112" s="46"/>
      <c r="S112" s="46">
        <v>0.67</v>
      </c>
      <c r="T112" s="50">
        <f>IFERROR(__xludf.DUMMYFUNCTION("((IFERROR(MIN(FILTER({K112, N112, Q112}, ISNUMBER({K112, N112, Q112}), {K112, N112, Q112} &gt; 0)), """"))*S112)+IFERROR(MIN(FILTER({K112, N112, Q112}, ISNUMBER({K112, N112, Q112}), {K112, N112, Q112} &gt; 0)), """")"),4792.9)</f>
        <v>4792.9</v>
      </c>
      <c r="U112" s="53">
        <f>IFERROR(__xludf.DUMMYFUNCTION("(T112-(IFERROR(MIN(FILTER({K112, N112, Q112}, ISNUMBER({K112, N112, Q112}), {K112, N112, Q112} &gt; 0)), """")))/T112"),0.4011976047904191)</f>
        <v>0.4011976048</v>
      </c>
      <c r="V112" s="88">
        <f t="shared" si="10"/>
        <v>3587.5</v>
      </c>
      <c r="W112" s="89"/>
    </row>
    <row r="113" ht="22.5" customHeight="1">
      <c r="A113" s="28" t="s">
        <v>814</v>
      </c>
      <c r="B113" s="28" t="s">
        <v>815</v>
      </c>
      <c r="C113" s="30" t="s">
        <v>106</v>
      </c>
      <c r="D113" s="85" t="s">
        <v>816</v>
      </c>
      <c r="E113" s="36" t="s">
        <v>63</v>
      </c>
      <c r="F113" s="69" t="s">
        <v>67</v>
      </c>
      <c r="G113" s="36" t="s">
        <v>41</v>
      </c>
      <c r="H113" s="28" t="s">
        <v>817</v>
      </c>
      <c r="I113" s="39">
        <v>1000.0</v>
      </c>
      <c r="J113" s="39">
        <v>1000.0</v>
      </c>
      <c r="K113" s="41"/>
      <c r="L113" s="42">
        <v>1000.0</v>
      </c>
      <c r="M113" s="42">
        <v>1000.0</v>
      </c>
      <c r="N113" s="60"/>
      <c r="O113" s="39">
        <v>1000.0</v>
      </c>
      <c r="P113" s="39">
        <v>1000.0</v>
      </c>
      <c r="Q113" s="39">
        <v>2900.0</v>
      </c>
      <c r="R113" s="46"/>
      <c r="S113" s="46">
        <v>0.67</v>
      </c>
      <c r="T113" s="50">
        <f>IFERROR(__xludf.DUMMYFUNCTION("((IFERROR(MIN(FILTER({K113, N113, Q113}, ISNUMBER({K113, N113, Q113}), {K113, N113, Q113} &gt; 0)), """"))*S113)+IFERROR(MIN(FILTER({K113, N113, Q113}, ISNUMBER({K113, N113, Q113}), {K113, N113, Q113} &gt; 0)), """")"),4843.0)</f>
        <v>4843</v>
      </c>
      <c r="U113" s="53">
        <f>IFERROR(__xludf.DUMMYFUNCTION("(T113-(IFERROR(MIN(FILTER({K113, N113, Q113}, ISNUMBER({K113, N113, Q113}), {K113, N113, Q113} &gt; 0)), """")))/T113"),0.40119760479041916)</f>
        <v>0.4011976048</v>
      </c>
      <c r="V113" s="88">
        <f t="shared" si="10"/>
        <v>3625</v>
      </c>
      <c r="W113" s="89"/>
    </row>
    <row r="114" ht="22.5" customHeight="1">
      <c r="A114" s="28" t="s">
        <v>814</v>
      </c>
      <c r="B114" s="28" t="s">
        <v>815</v>
      </c>
      <c r="C114" s="30" t="s">
        <v>106</v>
      </c>
      <c r="D114" s="85" t="s">
        <v>824</v>
      </c>
      <c r="E114" s="36" t="s">
        <v>63</v>
      </c>
      <c r="F114" s="69" t="s">
        <v>67</v>
      </c>
      <c r="G114" s="36" t="s">
        <v>41</v>
      </c>
      <c r="H114" s="28" t="s">
        <v>817</v>
      </c>
      <c r="I114" s="39">
        <v>5000.0</v>
      </c>
      <c r="J114" s="39">
        <v>5000.0</v>
      </c>
      <c r="K114" s="41"/>
      <c r="L114" s="42">
        <v>5000.0</v>
      </c>
      <c r="M114" s="42">
        <v>5000.0</v>
      </c>
      <c r="N114" s="60"/>
      <c r="O114" s="39">
        <v>5000.0</v>
      </c>
      <c r="P114" s="39">
        <v>5000.0</v>
      </c>
      <c r="Q114" s="39">
        <v>5800.0</v>
      </c>
      <c r="R114" s="46"/>
      <c r="S114" s="46">
        <v>0.67</v>
      </c>
      <c r="T114" s="50">
        <f>IFERROR(__xludf.DUMMYFUNCTION("((IFERROR(MIN(FILTER({K114, N114, Q114}, ISNUMBER({K114, N114, Q114}), {K114, N114, Q114} &gt; 0)), """"))*S114)+IFERROR(MIN(FILTER({K114, N114, Q114}, ISNUMBER({K114, N114, Q114}), {K114, N114, Q114} &gt; 0)), """")"),9686.0)</f>
        <v>9686</v>
      </c>
      <c r="U114" s="53">
        <f>IFERROR(__xludf.DUMMYFUNCTION("(T114-(IFERROR(MIN(FILTER({K114, N114, Q114}, ISNUMBER({K114, N114, Q114}), {K114, N114, Q114} &gt; 0)), """")))/T114"),0.40119760479041916)</f>
        <v>0.4011976048</v>
      </c>
      <c r="V114" s="88">
        <f t="shared" si="10"/>
        <v>7250</v>
      </c>
      <c r="W114" s="89"/>
    </row>
    <row r="115" ht="22.5" customHeight="1">
      <c r="A115" s="28" t="s">
        <v>814</v>
      </c>
      <c r="B115" s="28" t="s">
        <v>815</v>
      </c>
      <c r="C115" s="30" t="s">
        <v>106</v>
      </c>
      <c r="D115" s="85" t="s">
        <v>824</v>
      </c>
      <c r="E115" s="36" t="s">
        <v>63</v>
      </c>
      <c r="F115" s="69" t="s">
        <v>67</v>
      </c>
      <c r="G115" s="36" t="s">
        <v>41</v>
      </c>
      <c r="H115" s="28" t="s">
        <v>817</v>
      </c>
      <c r="I115" s="39">
        <v>10000.0</v>
      </c>
      <c r="J115" s="39">
        <v>10000.0</v>
      </c>
      <c r="K115" s="41"/>
      <c r="L115" s="42">
        <v>10000.0</v>
      </c>
      <c r="M115" s="42">
        <v>10000.0</v>
      </c>
      <c r="N115" s="60"/>
      <c r="O115" s="39">
        <v>10000.0</v>
      </c>
      <c r="P115" s="39">
        <v>10000.0</v>
      </c>
      <c r="Q115" s="39">
        <v>5400.0</v>
      </c>
      <c r="R115" s="46"/>
      <c r="S115" s="46">
        <v>0.67</v>
      </c>
      <c r="T115" s="50">
        <f>IFERROR(__xludf.DUMMYFUNCTION("((IFERROR(MIN(FILTER({K115, N115, Q115}, ISNUMBER({K115, N115, Q115}), {K115, N115, Q115} &gt; 0)), """"))*S115)+IFERROR(MIN(FILTER({K115, N115, Q115}, ISNUMBER({K115, N115, Q115}), {K115, N115, Q115} &gt; 0)), """")"),9018.0)</f>
        <v>9018</v>
      </c>
      <c r="U115" s="53">
        <f>IFERROR(__xludf.DUMMYFUNCTION("(T115-(IFERROR(MIN(FILTER({K115, N115, Q115}, ISNUMBER({K115, N115, Q115}), {K115, N115, Q115} &gt; 0)), """")))/T115"),0.40119760479041916)</f>
        <v>0.4011976048</v>
      </c>
      <c r="V115" s="88">
        <f t="shared" si="10"/>
        <v>6750</v>
      </c>
      <c r="W115" s="89"/>
    </row>
    <row r="116" ht="22.5" customHeight="1">
      <c r="A116" s="28" t="s">
        <v>814</v>
      </c>
      <c r="B116" s="28" t="s">
        <v>815</v>
      </c>
      <c r="C116" s="30" t="s">
        <v>106</v>
      </c>
      <c r="D116" s="85" t="s">
        <v>824</v>
      </c>
      <c r="E116" s="36" t="s">
        <v>63</v>
      </c>
      <c r="F116" s="69" t="s">
        <v>67</v>
      </c>
      <c r="G116" s="36" t="s">
        <v>41</v>
      </c>
      <c r="H116" s="28" t="s">
        <v>817</v>
      </c>
      <c r="I116" s="39">
        <v>5000.0</v>
      </c>
      <c r="J116" s="39">
        <v>5000.0</v>
      </c>
      <c r="K116" s="41"/>
      <c r="L116" s="42">
        <v>5000.0</v>
      </c>
      <c r="M116" s="42">
        <v>5000.0</v>
      </c>
      <c r="N116" s="60"/>
      <c r="O116" s="39">
        <v>5000.0</v>
      </c>
      <c r="P116" s="39">
        <v>5000.0</v>
      </c>
      <c r="Q116" s="39">
        <v>5000.0</v>
      </c>
      <c r="R116" s="46"/>
      <c r="S116" s="46">
        <v>0.67</v>
      </c>
      <c r="T116" s="50">
        <f>IFERROR(__xludf.DUMMYFUNCTION("((IFERROR(MIN(FILTER({K116, N116, Q116}, ISNUMBER({K116, N116, Q116}), {K116, N116, Q116} &gt; 0)), """"))*S116)+IFERROR(MIN(FILTER({K116, N116, Q116}, ISNUMBER({K116, N116, Q116}), {K116, N116, Q116} &gt; 0)), """")"),8350.0)</f>
        <v>8350</v>
      </c>
      <c r="U116" s="53">
        <f>IFERROR(__xludf.DUMMYFUNCTION("(T116-(IFERROR(MIN(FILTER({K116, N116, Q116}, ISNUMBER({K116, N116, Q116}), {K116, N116, Q116} &gt; 0)), """")))/T116"),0.40119760479041916)</f>
        <v>0.4011976048</v>
      </c>
      <c r="V116" s="88">
        <f t="shared" si="10"/>
        <v>6250</v>
      </c>
      <c r="W116" s="89"/>
    </row>
    <row r="117" ht="22.5" customHeight="1">
      <c r="A117" s="28" t="s">
        <v>814</v>
      </c>
      <c r="B117" s="28" t="s">
        <v>828</v>
      </c>
      <c r="C117" s="30" t="s">
        <v>106</v>
      </c>
      <c r="D117" s="85" t="s">
        <v>829</v>
      </c>
      <c r="E117" s="36" t="s">
        <v>63</v>
      </c>
      <c r="F117" s="69" t="s">
        <v>67</v>
      </c>
      <c r="G117" s="36" t="s">
        <v>41</v>
      </c>
      <c r="H117" s="28" t="s">
        <v>817</v>
      </c>
      <c r="I117" s="39">
        <v>10000.0</v>
      </c>
      <c r="J117" s="39">
        <v>10000.0</v>
      </c>
      <c r="K117" s="41"/>
      <c r="L117" s="42">
        <v>10000.0</v>
      </c>
      <c r="M117" s="42">
        <v>10000.0</v>
      </c>
      <c r="N117" s="60"/>
      <c r="O117" s="39">
        <v>10000.0</v>
      </c>
      <c r="P117" s="39">
        <v>10000.0</v>
      </c>
      <c r="Q117" s="39">
        <v>5600.0</v>
      </c>
      <c r="R117" s="46"/>
      <c r="S117" s="46">
        <v>0.67</v>
      </c>
      <c r="T117" s="50">
        <f>IFERROR(__xludf.DUMMYFUNCTION("((IFERROR(MIN(FILTER({K117, N117, Q117}, ISNUMBER({K117, N117, Q117}), {K117, N117, Q117} &gt; 0)), """"))*S117)+IFERROR(MIN(FILTER({K117, N117, Q117}, ISNUMBER({K117, N117, Q117}), {K117, N117, Q117} &gt; 0)), """")"),9352.0)</f>
        <v>9352</v>
      </c>
      <c r="U117" s="53">
        <f>IFERROR(__xludf.DUMMYFUNCTION("(T117-(IFERROR(MIN(FILTER({K117, N117, Q117}, ISNUMBER({K117, N117, Q117}), {K117, N117, Q117} &gt; 0)), """")))/T117"),0.40119760479041916)</f>
        <v>0.4011976048</v>
      </c>
      <c r="V117" s="88">
        <f t="shared" si="10"/>
        <v>7000</v>
      </c>
      <c r="W117" s="89"/>
    </row>
    <row r="118" ht="22.5" customHeight="1">
      <c r="A118" s="28" t="s">
        <v>814</v>
      </c>
      <c r="B118" s="28" t="s">
        <v>828</v>
      </c>
      <c r="C118" s="30" t="s">
        <v>106</v>
      </c>
      <c r="D118" s="85" t="s">
        <v>829</v>
      </c>
      <c r="E118" s="36" t="s">
        <v>63</v>
      </c>
      <c r="F118" s="69" t="s">
        <v>67</v>
      </c>
      <c r="G118" s="36" t="s">
        <v>41</v>
      </c>
      <c r="H118" s="28" t="s">
        <v>817</v>
      </c>
      <c r="I118" s="39">
        <v>2000.0</v>
      </c>
      <c r="J118" s="39">
        <v>2000.0</v>
      </c>
      <c r="K118" s="41"/>
      <c r="L118" s="42">
        <v>2000.0</v>
      </c>
      <c r="M118" s="42">
        <v>2000.0</v>
      </c>
      <c r="N118" s="60"/>
      <c r="O118" s="39">
        <v>2000.0</v>
      </c>
      <c r="P118" s="39">
        <v>2000.0</v>
      </c>
      <c r="Q118" s="39">
        <v>5700.0</v>
      </c>
      <c r="R118" s="46"/>
      <c r="S118" s="46">
        <v>0.67</v>
      </c>
      <c r="T118" s="50">
        <f>IFERROR(__xludf.DUMMYFUNCTION("((IFERROR(MIN(FILTER({K118, N118, Q118}, ISNUMBER({K118, N118, Q118}), {K118, N118, Q118} &gt; 0)), """"))*S118)+IFERROR(MIN(FILTER({K118, N118, Q118}, ISNUMBER({K118, N118, Q118}), {K118, N118, Q118} &gt; 0)), """")"),9519.0)</f>
        <v>9519</v>
      </c>
      <c r="U118" s="53">
        <f>IFERROR(__xludf.DUMMYFUNCTION("(T118-(IFERROR(MIN(FILTER({K118, N118, Q118}, ISNUMBER({K118, N118, Q118}), {K118, N118, Q118} &gt; 0)), """")))/T118"),0.40119760479041916)</f>
        <v>0.4011976048</v>
      </c>
      <c r="V118" s="88">
        <f t="shared" si="10"/>
        <v>7125</v>
      </c>
      <c r="W118" s="89"/>
    </row>
    <row r="119" ht="22.5" customHeight="1">
      <c r="A119" s="28" t="s">
        <v>830</v>
      </c>
      <c r="B119" s="28" t="s">
        <v>831</v>
      </c>
      <c r="C119" s="30" t="s">
        <v>379</v>
      </c>
      <c r="D119" s="85" t="s">
        <v>832</v>
      </c>
      <c r="E119" s="36" t="s">
        <v>97</v>
      </c>
      <c r="F119" s="105"/>
      <c r="G119" s="36" t="s">
        <v>41</v>
      </c>
      <c r="H119" s="28" t="s">
        <v>833</v>
      </c>
      <c r="I119" s="39">
        <v>5000.0</v>
      </c>
      <c r="J119" s="39">
        <v>5000.0</v>
      </c>
      <c r="K119" s="41"/>
      <c r="L119" s="42">
        <v>5000.0</v>
      </c>
      <c r="M119" s="42">
        <v>5000.0</v>
      </c>
      <c r="N119" s="60"/>
      <c r="O119" s="39">
        <v>5000.0</v>
      </c>
      <c r="P119" s="39">
        <v>5000.0</v>
      </c>
      <c r="Q119" s="39">
        <v>5200.0</v>
      </c>
      <c r="R119" s="46"/>
      <c r="S119" s="46">
        <v>0.67</v>
      </c>
      <c r="T119" s="50">
        <f>IFERROR(__xludf.DUMMYFUNCTION("((IFERROR(MIN(FILTER({K119, N119, Q119}, ISNUMBER({K119, N119, Q119}), {K119, N119, Q119} &gt; 0)), """"))*S119)+IFERROR(MIN(FILTER({K119, N119, Q119}, ISNUMBER({K119, N119, Q119}), {K119, N119, Q119} &gt; 0)), """")"),8684.0)</f>
        <v>8684</v>
      </c>
      <c r="U119" s="53">
        <f>IFERROR(__xludf.DUMMYFUNCTION("(T119-(IFERROR(MIN(FILTER({K119, N119, Q119}, ISNUMBER({K119, N119, Q119}), {K119, N119, Q119} &gt; 0)), """")))/T119"),0.40119760479041916)</f>
        <v>0.4011976048</v>
      </c>
      <c r="V119" s="88">
        <f t="shared" si="10"/>
        <v>6500</v>
      </c>
      <c r="W119" s="89"/>
    </row>
    <row r="120" ht="22.5" customHeight="1">
      <c r="A120" s="28" t="s">
        <v>830</v>
      </c>
      <c r="B120" s="28" t="s">
        <v>831</v>
      </c>
      <c r="C120" s="30" t="s">
        <v>379</v>
      </c>
      <c r="D120" s="85" t="s">
        <v>837</v>
      </c>
      <c r="E120" s="36" t="s">
        <v>97</v>
      </c>
      <c r="F120" s="105"/>
      <c r="G120" s="36" t="s">
        <v>41</v>
      </c>
      <c r="H120" s="28" t="s">
        <v>838</v>
      </c>
      <c r="I120" s="39">
        <v>1000.0</v>
      </c>
      <c r="J120" s="39">
        <v>1000.0</v>
      </c>
      <c r="K120" s="41"/>
      <c r="L120" s="42">
        <v>1000.0</v>
      </c>
      <c r="M120" s="42">
        <v>1000.0</v>
      </c>
      <c r="N120" s="60"/>
      <c r="O120" s="39">
        <v>1000.0</v>
      </c>
      <c r="P120" s="39">
        <v>1000.0</v>
      </c>
      <c r="Q120" s="39">
        <v>5200.0</v>
      </c>
      <c r="R120" s="46"/>
      <c r="S120" s="46">
        <v>0.67</v>
      </c>
      <c r="T120" s="50">
        <f>IFERROR(__xludf.DUMMYFUNCTION("((IFERROR(MIN(FILTER({K120, N120, Q120}, ISNUMBER({K120, N120, Q120}), {K120, N120, Q120} &gt; 0)), """"))*S120)+IFERROR(MIN(FILTER({K120, N120, Q120}, ISNUMBER({K120, N120, Q120}), {K120, N120, Q120} &gt; 0)), """")"),8684.0)</f>
        <v>8684</v>
      </c>
      <c r="U120" s="53">
        <f>IFERROR(__xludf.DUMMYFUNCTION("(T120-(IFERROR(MIN(FILTER({K120, N120, Q120}, ISNUMBER({K120, N120, Q120}), {K120, N120, Q120} &gt; 0)), """")))/T120"),0.40119760479041916)</f>
        <v>0.4011976048</v>
      </c>
      <c r="V120" s="88">
        <f t="shared" si="10"/>
        <v>6500</v>
      </c>
      <c r="W120" s="89"/>
    </row>
    <row r="121" ht="22.5" customHeight="1">
      <c r="A121" s="28" t="s">
        <v>830</v>
      </c>
      <c r="B121" s="28" t="s">
        <v>839</v>
      </c>
      <c r="C121" s="30" t="s">
        <v>840</v>
      </c>
      <c r="D121" s="85" t="s">
        <v>842</v>
      </c>
      <c r="E121" s="36" t="s">
        <v>97</v>
      </c>
      <c r="F121" s="105"/>
      <c r="G121" s="36" t="s">
        <v>41</v>
      </c>
      <c r="H121" s="28" t="s">
        <v>844</v>
      </c>
      <c r="I121" s="39">
        <v>3000.0</v>
      </c>
      <c r="J121" s="39">
        <v>3000.0</v>
      </c>
      <c r="K121" s="41"/>
      <c r="L121" s="42">
        <v>3000.0</v>
      </c>
      <c r="M121" s="42">
        <v>3000.0</v>
      </c>
      <c r="N121" s="60"/>
      <c r="O121" s="39">
        <v>3000.0</v>
      </c>
      <c r="P121" s="39">
        <v>3000.0</v>
      </c>
      <c r="Q121" s="39">
        <v>2300.0</v>
      </c>
      <c r="R121" s="46"/>
      <c r="S121" s="46">
        <v>0.67</v>
      </c>
      <c r="T121" s="50">
        <f>IFERROR(__xludf.DUMMYFUNCTION("((IFERROR(MIN(FILTER({K121, N121, Q121}, ISNUMBER({K121, N121, Q121}), {K121, N121, Q121} &gt; 0)), """"))*S121)+IFERROR(MIN(FILTER({K121, N121, Q121}, ISNUMBER({K121, N121, Q121}), {K121, N121, Q121} &gt; 0)), """")"),3841.0)</f>
        <v>3841</v>
      </c>
      <c r="U121" s="53">
        <f>IFERROR(__xludf.DUMMYFUNCTION("(T121-(IFERROR(MIN(FILTER({K121, N121, Q121}, ISNUMBER({K121, N121, Q121}), {K121, N121, Q121} &gt; 0)), """")))/T121"),0.40119760479041916)</f>
        <v>0.4011976048</v>
      </c>
      <c r="V121" s="88">
        <f t="shared" si="10"/>
        <v>2875</v>
      </c>
      <c r="W121" s="89"/>
    </row>
    <row r="122" ht="22.5" customHeight="1">
      <c r="A122" s="28" t="s">
        <v>830</v>
      </c>
      <c r="B122" s="28" t="s">
        <v>839</v>
      </c>
      <c r="C122" s="30" t="s">
        <v>840</v>
      </c>
      <c r="D122" s="85" t="s">
        <v>842</v>
      </c>
      <c r="E122" s="36" t="s">
        <v>97</v>
      </c>
      <c r="F122" s="105"/>
      <c r="G122" s="36" t="s">
        <v>41</v>
      </c>
      <c r="H122" s="28" t="s">
        <v>846</v>
      </c>
      <c r="I122" s="39">
        <v>3000.0</v>
      </c>
      <c r="J122" s="39">
        <v>3000.0</v>
      </c>
      <c r="K122" s="41"/>
      <c r="L122" s="42">
        <v>3000.0</v>
      </c>
      <c r="M122" s="42">
        <v>3000.0</v>
      </c>
      <c r="N122" s="60"/>
      <c r="O122" s="39">
        <v>3000.0</v>
      </c>
      <c r="P122" s="39">
        <v>3000.0</v>
      </c>
      <c r="Q122" s="39">
        <v>2600.0</v>
      </c>
      <c r="R122" s="46"/>
      <c r="S122" s="46">
        <v>0.67</v>
      </c>
      <c r="T122" s="50">
        <f>IFERROR(__xludf.DUMMYFUNCTION("((IFERROR(MIN(FILTER({K122, N122, Q122}, ISNUMBER({K122, N122, Q122}), {K122, N122, Q122} &gt; 0)), """"))*S122)+IFERROR(MIN(FILTER({K122, N122, Q122}, ISNUMBER({K122, N122, Q122}), {K122, N122, Q122} &gt; 0)), """")"),4342.0)</f>
        <v>4342</v>
      </c>
      <c r="U122" s="53">
        <f>IFERROR(__xludf.DUMMYFUNCTION("(T122-(IFERROR(MIN(FILTER({K122, N122, Q122}, ISNUMBER({K122, N122, Q122}), {K122, N122, Q122} &gt; 0)), """")))/T122"),0.40119760479041916)</f>
        <v>0.4011976048</v>
      </c>
      <c r="V122" s="88">
        <f t="shared" si="10"/>
        <v>3250</v>
      </c>
      <c r="W122" s="89"/>
    </row>
    <row r="123" ht="22.5" customHeight="1">
      <c r="A123" s="28" t="s">
        <v>830</v>
      </c>
      <c r="B123" s="28" t="s">
        <v>839</v>
      </c>
      <c r="C123" s="30" t="s">
        <v>840</v>
      </c>
      <c r="D123" s="85" t="s">
        <v>842</v>
      </c>
      <c r="E123" s="36" t="s">
        <v>97</v>
      </c>
      <c r="F123" s="105"/>
      <c r="G123" s="36" t="s">
        <v>41</v>
      </c>
      <c r="H123" s="28" t="s">
        <v>846</v>
      </c>
      <c r="I123" s="39">
        <v>5000.0</v>
      </c>
      <c r="J123" s="39">
        <v>5000.0</v>
      </c>
      <c r="K123" s="41"/>
      <c r="L123" s="42">
        <v>5000.0</v>
      </c>
      <c r="M123" s="42">
        <v>5000.0</v>
      </c>
      <c r="N123" s="60"/>
      <c r="O123" s="39">
        <v>5000.0</v>
      </c>
      <c r="P123" s="39">
        <v>5000.0</v>
      </c>
      <c r="Q123" s="39">
        <v>2300.0</v>
      </c>
      <c r="R123" s="46"/>
      <c r="S123" s="46">
        <v>0.67</v>
      </c>
      <c r="T123" s="50">
        <f>IFERROR(__xludf.DUMMYFUNCTION("((IFERROR(MIN(FILTER({K123, N123, Q123}, ISNUMBER({K123, N123, Q123}), {K123, N123, Q123} &gt; 0)), """"))*S123)+IFERROR(MIN(FILTER({K123, N123, Q123}, ISNUMBER({K123, N123, Q123}), {K123, N123, Q123} &gt; 0)), """")"),3841.0)</f>
        <v>3841</v>
      </c>
      <c r="U123" s="53">
        <f>IFERROR(__xludf.DUMMYFUNCTION("(T123-(IFERROR(MIN(FILTER({K123, N123, Q123}, ISNUMBER({K123, N123, Q123}), {K123, N123, Q123} &gt; 0)), """")))/T123"),0.40119760479041916)</f>
        <v>0.4011976048</v>
      </c>
      <c r="V123" s="88">
        <f t="shared" si="10"/>
        <v>2875</v>
      </c>
      <c r="W123" s="89"/>
    </row>
    <row r="124" ht="22.5" customHeight="1">
      <c r="A124" s="28" t="s">
        <v>341</v>
      </c>
      <c r="B124" s="28" t="s">
        <v>847</v>
      </c>
      <c r="C124" s="30" t="s">
        <v>840</v>
      </c>
      <c r="D124" s="85" t="s">
        <v>848</v>
      </c>
      <c r="E124" s="36" t="s">
        <v>63</v>
      </c>
      <c r="F124" s="69" t="s">
        <v>67</v>
      </c>
      <c r="G124" s="36" t="s">
        <v>41</v>
      </c>
      <c r="H124" s="28" t="s">
        <v>849</v>
      </c>
      <c r="I124" s="39">
        <v>500.0</v>
      </c>
      <c r="J124" s="39">
        <v>500.0</v>
      </c>
      <c r="K124" s="41"/>
      <c r="L124" s="42">
        <v>500.0</v>
      </c>
      <c r="M124" s="42">
        <v>500.0</v>
      </c>
      <c r="N124" s="42">
        <v>12265.0</v>
      </c>
      <c r="O124" s="39">
        <v>500.0</v>
      </c>
      <c r="P124" s="39">
        <v>500.0</v>
      </c>
      <c r="Q124" s="41"/>
      <c r="R124" s="46"/>
      <c r="S124" s="46">
        <v>0.67</v>
      </c>
      <c r="T124" s="50">
        <f>IFERROR(__xludf.DUMMYFUNCTION("((IFERROR(MIN(FILTER({K124, N124, Q124}, ISNUMBER({K124, N124, Q124}), {K124, N124, Q124} &gt; 0)), """"))*S124)+IFERROR(MIN(FILTER({K124, N124, Q124}, ISNUMBER({K124, N124, Q124}), {K124, N124, Q124} &gt; 0)), """")"),20482.550000000003)</f>
        <v>20482.55</v>
      </c>
      <c r="U124" s="53">
        <f>IFERROR(__xludf.DUMMYFUNCTION("(T124-(IFERROR(MIN(FILTER({K124, N124, Q124}, ISNUMBER({K124, N124, Q124}), {K124, N124, Q124} &gt; 0)), """")))/T124"),0.40119760479041927)</f>
        <v>0.4011976048</v>
      </c>
      <c r="V124" s="88">
        <f t="shared" si="10"/>
        <v>15331.25</v>
      </c>
      <c r="W124" s="89"/>
    </row>
    <row r="125" ht="22.5" customHeight="1">
      <c r="A125" s="28" t="s">
        <v>341</v>
      </c>
      <c r="B125" s="28" t="s">
        <v>847</v>
      </c>
      <c r="C125" s="30" t="s">
        <v>106</v>
      </c>
      <c r="D125" s="85" t="s">
        <v>848</v>
      </c>
      <c r="E125" s="36" t="s">
        <v>63</v>
      </c>
      <c r="F125" s="69" t="s">
        <v>67</v>
      </c>
      <c r="G125" s="36" t="s">
        <v>41</v>
      </c>
      <c r="H125" s="28" t="s">
        <v>852</v>
      </c>
      <c r="I125" s="39">
        <v>1000.0</v>
      </c>
      <c r="J125" s="39">
        <v>1000.0</v>
      </c>
      <c r="K125" s="41"/>
      <c r="L125" s="42">
        <v>1000.0</v>
      </c>
      <c r="M125" s="42">
        <v>1000.0</v>
      </c>
      <c r="N125" s="42">
        <v>8178.0</v>
      </c>
      <c r="O125" s="39">
        <v>1000.0</v>
      </c>
      <c r="P125" s="39">
        <v>1000.0</v>
      </c>
      <c r="Q125" s="41"/>
      <c r="R125" s="46"/>
      <c r="S125" s="46">
        <v>0.67</v>
      </c>
      <c r="T125" s="50">
        <f>IFERROR(__xludf.DUMMYFUNCTION("((IFERROR(MIN(FILTER({K125, N125, Q125}, ISNUMBER({K125, N125, Q125}), {K125, N125, Q125} &gt; 0)), """"))*S125)+IFERROR(MIN(FILTER({K125, N125, Q125}, ISNUMBER({K125, N125, Q125}), {K125, N125, Q125} &gt; 0)), """")"),13657.26)</f>
        <v>13657.26</v>
      </c>
      <c r="U125" s="53">
        <f>IFERROR(__xludf.DUMMYFUNCTION("(T125-(IFERROR(MIN(FILTER({K125, N125, Q125}, ISNUMBER({K125, N125, Q125}), {K125, N125, Q125} &gt; 0)), """")))/T125"),0.40119760479041916)</f>
        <v>0.4011976048</v>
      </c>
      <c r="V125" s="88">
        <f t="shared" si="10"/>
        <v>10222.5</v>
      </c>
      <c r="W125" s="89"/>
    </row>
    <row r="126" ht="22.5" customHeight="1">
      <c r="A126" s="28" t="s">
        <v>104</v>
      </c>
      <c r="B126" s="28" t="s">
        <v>853</v>
      </c>
      <c r="C126" s="30" t="s">
        <v>106</v>
      </c>
      <c r="D126" s="85" t="s">
        <v>854</v>
      </c>
      <c r="E126" s="36" t="s">
        <v>55</v>
      </c>
      <c r="F126" s="69" t="s">
        <v>121</v>
      </c>
      <c r="G126" s="36" t="s">
        <v>41</v>
      </c>
      <c r="H126" s="28" t="s">
        <v>855</v>
      </c>
      <c r="I126" s="39">
        <v>2000.0</v>
      </c>
      <c r="J126" s="39">
        <v>2000.0</v>
      </c>
      <c r="K126" s="41"/>
      <c r="L126" s="42">
        <v>2000.0</v>
      </c>
      <c r="M126" s="42">
        <v>2000.0</v>
      </c>
      <c r="N126" s="42">
        <v>4595.0</v>
      </c>
      <c r="O126" s="39">
        <v>2000.0</v>
      </c>
      <c r="P126" s="39">
        <v>2000.0</v>
      </c>
      <c r="Q126" s="41"/>
      <c r="R126" s="46"/>
      <c r="S126" s="46">
        <v>0.67</v>
      </c>
      <c r="T126" s="50">
        <f>IFERROR(__xludf.DUMMYFUNCTION("((IFERROR(MIN(FILTER({K126, N126, Q126}, ISNUMBER({K126, N126, Q126}), {K126, N126, Q126} &gt; 0)), """"))*S126)+IFERROR(MIN(FILTER({K126, N126, Q126}, ISNUMBER({K126, N126, Q126}), {K126, N126, Q126} &gt; 0)), """")"),7673.65)</f>
        <v>7673.65</v>
      </c>
      <c r="U126" s="53">
        <f>IFERROR(__xludf.DUMMYFUNCTION("(T126-(IFERROR(MIN(FILTER({K126, N126, Q126}, ISNUMBER({K126, N126, Q126}), {K126, N126, Q126} &gt; 0)), """")))/T126"),0.40119760479041916)</f>
        <v>0.4011976048</v>
      </c>
      <c r="V126" s="88">
        <f t="shared" si="10"/>
        <v>5743.75</v>
      </c>
      <c r="W126" s="89"/>
    </row>
    <row r="127" ht="22.5" customHeight="1">
      <c r="A127" s="28" t="s">
        <v>856</v>
      </c>
      <c r="B127" s="28" t="s">
        <v>378</v>
      </c>
      <c r="C127" s="30" t="s">
        <v>857</v>
      </c>
      <c r="D127" s="85" t="s">
        <v>858</v>
      </c>
      <c r="E127" s="36" t="s">
        <v>748</v>
      </c>
      <c r="F127" s="105"/>
      <c r="G127" s="36" t="s">
        <v>41</v>
      </c>
      <c r="H127" s="28" t="s">
        <v>859</v>
      </c>
      <c r="I127" s="39">
        <v>5000.0</v>
      </c>
      <c r="J127" s="39">
        <v>5000.0</v>
      </c>
      <c r="K127" s="41"/>
      <c r="L127" s="42">
        <v>5000.0</v>
      </c>
      <c r="M127" s="42">
        <v>5000.0</v>
      </c>
      <c r="N127" s="42">
        <v>4076.0</v>
      </c>
      <c r="O127" s="39">
        <v>5000.0</v>
      </c>
      <c r="P127" s="39">
        <v>5000.0</v>
      </c>
      <c r="Q127" s="41"/>
      <c r="R127" s="46"/>
      <c r="S127" s="46">
        <v>0.67</v>
      </c>
      <c r="T127" s="50">
        <f>IFERROR(__xludf.DUMMYFUNCTION("((IFERROR(MIN(FILTER({K127, N127, Q127}, ISNUMBER({K127, N127, Q127}), {K127, N127, Q127} &gt; 0)), """"))*S127)+IFERROR(MIN(FILTER({K127, N127, Q127}, ISNUMBER({K127, N127, Q127}), {K127, N127, Q127} &gt; 0)), """")"),6806.92)</f>
        <v>6806.92</v>
      </c>
      <c r="U127" s="53">
        <f>IFERROR(__xludf.DUMMYFUNCTION("(T127-(IFERROR(MIN(FILTER({K127, N127, Q127}, ISNUMBER({K127, N127, Q127}), {K127, N127, Q127} &gt; 0)), """")))/T127"),0.40119760479041916)</f>
        <v>0.4011976048</v>
      </c>
      <c r="V127" s="88">
        <f t="shared" si="10"/>
        <v>5095</v>
      </c>
      <c r="W127" s="89"/>
    </row>
    <row r="128" ht="22.5" customHeight="1">
      <c r="A128" s="28" t="s">
        <v>856</v>
      </c>
      <c r="B128" s="28" t="s">
        <v>378</v>
      </c>
      <c r="C128" s="30" t="s">
        <v>857</v>
      </c>
      <c r="D128" s="85" t="s">
        <v>862</v>
      </c>
      <c r="E128" s="36" t="s">
        <v>748</v>
      </c>
      <c r="F128" s="105"/>
      <c r="G128" s="36" t="s">
        <v>41</v>
      </c>
      <c r="H128" s="28" t="s">
        <v>859</v>
      </c>
      <c r="I128" s="39">
        <v>10000.0</v>
      </c>
      <c r="J128" s="39">
        <v>10000.0</v>
      </c>
      <c r="K128" s="41"/>
      <c r="L128" s="42">
        <v>10000.0</v>
      </c>
      <c r="M128" s="42">
        <v>10000.0</v>
      </c>
      <c r="N128" s="42">
        <v>3851.0</v>
      </c>
      <c r="O128" s="39">
        <v>10000.0</v>
      </c>
      <c r="P128" s="39">
        <v>10000.0</v>
      </c>
      <c r="Q128" s="41"/>
      <c r="R128" s="46"/>
      <c r="S128" s="46">
        <v>0.67</v>
      </c>
      <c r="T128" s="50">
        <f>IFERROR(__xludf.DUMMYFUNCTION("((IFERROR(MIN(FILTER({K128, N128, Q128}, ISNUMBER({K128, N128, Q128}), {K128, N128, Q128} &gt; 0)), """"))*S128)+IFERROR(MIN(FILTER({K128, N128, Q128}, ISNUMBER({K128, N128, Q128}), {K128, N128, Q128} &gt; 0)), """")"),6431.17)</f>
        <v>6431.17</v>
      </c>
      <c r="U128" s="53">
        <f>IFERROR(__xludf.DUMMYFUNCTION("(T128-(IFERROR(MIN(FILTER({K128, N128, Q128}, ISNUMBER({K128, N128, Q128}), {K128, N128, Q128} &gt; 0)), """")))/T128"),0.40119760479041916)</f>
        <v>0.4011976048</v>
      </c>
      <c r="V128" s="88">
        <f t="shared" si="10"/>
        <v>4813.75</v>
      </c>
      <c r="W128" s="89"/>
    </row>
    <row r="129" ht="22.5" customHeight="1">
      <c r="A129" s="28" t="s">
        <v>856</v>
      </c>
      <c r="B129" s="28" t="s">
        <v>378</v>
      </c>
      <c r="C129" s="30" t="s">
        <v>857</v>
      </c>
      <c r="D129" s="85" t="s">
        <v>865</v>
      </c>
      <c r="E129" s="36" t="s">
        <v>748</v>
      </c>
      <c r="F129" s="105"/>
      <c r="G129" s="36" t="s">
        <v>41</v>
      </c>
      <c r="H129" s="28" t="s">
        <v>859</v>
      </c>
      <c r="I129" s="39">
        <v>2000.0</v>
      </c>
      <c r="J129" s="39">
        <v>2000.0</v>
      </c>
      <c r="K129" s="41"/>
      <c r="L129" s="42">
        <v>2000.0</v>
      </c>
      <c r="M129" s="42">
        <v>2000.0</v>
      </c>
      <c r="N129" s="60"/>
      <c r="O129" s="39">
        <v>2000.0</v>
      </c>
      <c r="P129" s="39">
        <v>2000.0</v>
      </c>
      <c r="Q129" s="39">
        <v>4800.0</v>
      </c>
      <c r="R129" s="46"/>
      <c r="S129" s="46">
        <v>0.67</v>
      </c>
      <c r="T129" s="50">
        <f>IFERROR(__xludf.DUMMYFUNCTION("((IFERROR(MIN(FILTER({K129, N129, Q129}, ISNUMBER({K129, N129, Q129}), {K129, N129, Q129} &gt; 0)), """"))*S129)+IFERROR(MIN(FILTER({K129, N129, Q129}, ISNUMBER({K129, N129, Q129}), {K129, N129, Q129} &gt; 0)), """")"),8016.0)</f>
        <v>8016</v>
      </c>
      <c r="U129" s="53">
        <f>IFERROR(__xludf.DUMMYFUNCTION("(T129-(IFERROR(MIN(FILTER({K129, N129, Q129}, ISNUMBER({K129, N129, Q129}), {K129, N129, Q129} &gt; 0)), """")))/T129"),0.40119760479041916)</f>
        <v>0.4011976048</v>
      </c>
      <c r="V129" s="88">
        <f t="shared" si="10"/>
        <v>6000</v>
      </c>
      <c r="W129" s="89"/>
    </row>
    <row r="130" ht="22.5" customHeight="1">
      <c r="A130" s="28" t="s">
        <v>856</v>
      </c>
      <c r="B130" s="28" t="s">
        <v>378</v>
      </c>
      <c r="C130" s="30" t="s">
        <v>857</v>
      </c>
      <c r="D130" s="85" t="s">
        <v>869</v>
      </c>
      <c r="E130" s="36" t="s">
        <v>748</v>
      </c>
      <c r="F130" s="105"/>
      <c r="G130" s="36" t="s">
        <v>41</v>
      </c>
      <c r="H130" s="28" t="s">
        <v>859</v>
      </c>
      <c r="I130" s="39">
        <v>5000.0</v>
      </c>
      <c r="J130" s="39">
        <v>5000.0</v>
      </c>
      <c r="K130" s="41"/>
      <c r="L130" s="42">
        <v>5000.0</v>
      </c>
      <c r="M130" s="42">
        <v>5000.0</v>
      </c>
      <c r="N130" s="60"/>
      <c r="O130" s="39">
        <v>5000.0</v>
      </c>
      <c r="P130" s="39">
        <v>5000.0</v>
      </c>
      <c r="Q130" s="39">
        <v>4300.0</v>
      </c>
      <c r="R130" s="46"/>
      <c r="S130" s="46">
        <v>0.67</v>
      </c>
      <c r="T130" s="50">
        <f>IFERROR(__xludf.DUMMYFUNCTION("((IFERROR(MIN(FILTER({K130, N130, Q130}, ISNUMBER({K130, N130, Q130}), {K130, N130, Q130} &gt; 0)), """"))*S130)+IFERROR(MIN(FILTER({K130, N130, Q130}, ISNUMBER({K130, N130, Q130}), {K130, N130, Q130} &gt; 0)), """")"),7181.0)</f>
        <v>7181</v>
      </c>
      <c r="U130" s="53">
        <f>IFERROR(__xludf.DUMMYFUNCTION("(T130-(IFERROR(MIN(FILTER({K130, N130, Q130}, ISNUMBER({K130, N130, Q130}), {K130, N130, Q130} &gt; 0)), """")))/T130"),0.40119760479041916)</f>
        <v>0.4011976048</v>
      </c>
      <c r="V130" s="88">
        <f t="shared" si="10"/>
        <v>5375</v>
      </c>
      <c r="W130" s="89"/>
    </row>
    <row r="131" ht="22.5" customHeight="1">
      <c r="A131" s="28" t="s">
        <v>856</v>
      </c>
      <c r="B131" s="28" t="s">
        <v>378</v>
      </c>
      <c r="C131" s="30" t="s">
        <v>857</v>
      </c>
      <c r="D131" s="85" t="s">
        <v>873</v>
      </c>
      <c r="E131" s="36" t="s">
        <v>748</v>
      </c>
      <c r="F131" s="105"/>
      <c r="G131" s="36" t="s">
        <v>41</v>
      </c>
      <c r="H131" s="28" t="s">
        <v>859</v>
      </c>
      <c r="I131" s="39">
        <v>5000.0</v>
      </c>
      <c r="J131" s="39">
        <v>5000.0</v>
      </c>
      <c r="K131" s="41"/>
      <c r="L131" s="42">
        <v>5000.0</v>
      </c>
      <c r="M131" s="42">
        <v>5000.0</v>
      </c>
      <c r="N131" s="42">
        <v>5084.0</v>
      </c>
      <c r="O131" s="39">
        <v>5000.0</v>
      </c>
      <c r="P131" s="39">
        <v>5000.0</v>
      </c>
      <c r="Q131" s="41"/>
      <c r="R131" s="46"/>
      <c r="S131" s="46">
        <v>0.67</v>
      </c>
      <c r="T131" s="50">
        <f>IFERROR(__xludf.DUMMYFUNCTION("((IFERROR(MIN(FILTER({K131, N131, Q131}, ISNUMBER({K131, N131, Q131}), {K131, N131, Q131} &gt; 0)), """"))*S131)+IFERROR(MIN(FILTER({K131, N131, Q131}, ISNUMBER({K131, N131, Q131}), {K131, N131, Q131} &gt; 0)), """")"),8490.28)</f>
        <v>8490.28</v>
      </c>
      <c r="U131" s="53">
        <f>IFERROR(__xludf.DUMMYFUNCTION("(T131-(IFERROR(MIN(FILTER({K131, N131, Q131}, ISNUMBER({K131, N131, Q131}), {K131, N131, Q131} &gt; 0)), """")))/T131"),0.4011976047904192)</f>
        <v>0.4011976048</v>
      </c>
      <c r="V131" s="88">
        <f t="shared" si="10"/>
        <v>6355</v>
      </c>
      <c r="W131" s="89"/>
    </row>
    <row r="132" ht="22.5" customHeight="1">
      <c r="A132" s="28" t="s">
        <v>856</v>
      </c>
      <c r="B132" s="28" t="s">
        <v>378</v>
      </c>
      <c r="C132" s="30" t="s">
        <v>857</v>
      </c>
      <c r="D132" s="85" t="s">
        <v>876</v>
      </c>
      <c r="E132" s="36" t="s">
        <v>748</v>
      </c>
      <c r="F132" s="105"/>
      <c r="G132" s="36" t="s">
        <v>41</v>
      </c>
      <c r="H132" s="28" t="s">
        <v>859</v>
      </c>
      <c r="I132" s="39">
        <v>2000.0</v>
      </c>
      <c r="J132" s="39">
        <v>2000.0</v>
      </c>
      <c r="K132" s="41"/>
      <c r="L132" s="42">
        <v>2000.0</v>
      </c>
      <c r="M132" s="42">
        <v>2000.0</v>
      </c>
      <c r="N132" s="42">
        <v>9998.0</v>
      </c>
      <c r="O132" s="39">
        <v>2000.0</v>
      </c>
      <c r="P132" s="39">
        <v>2000.0</v>
      </c>
      <c r="Q132" s="41"/>
      <c r="R132" s="46"/>
      <c r="S132" s="46">
        <v>0.67</v>
      </c>
      <c r="T132" s="50">
        <f>IFERROR(__xludf.DUMMYFUNCTION("((IFERROR(MIN(FILTER({K132, N132, Q132}, ISNUMBER({K132, N132, Q132}), {K132, N132, Q132} &gt; 0)), """"))*S132)+IFERROR(MIN(FILTER({K132, N132, Q132}, ISNUMBER({K132, N132, Q132}), {K132, N132, Q132} &gt; 0)), """")"),16696.66)</f>
        <v>16696.66</v>
      </c>
      <c r="U132" s="53">
        <f>IFERROR(__xludf.DUMMYFUNCTION("(T132-(IFERROR(MIN(FILTER({K132, N132, Q132}, ISNUMBER({K132, N132, Q132}), {K132, N132, Q132} &gt; 0)), """")))/T132"),0.40119760479041916)</f>
        <v>0.4011976048</v>
      </c>
      <c r="V132" s="88">
        <f t="shared" si="10"/>
        <v>12497.5</v>
      </c>
      <c r="W132" s="89"/>
    </row>
    <row r="133" ht="22.5" customHeight="1">
      <c r="A133" s="28" t="s">
        <v>856</v>
      </c>
      <c r="B133" s="28" t="s">
        <v>378</v>
      </c>
      <c r="C133" s="30" t="s">
        <v>857</v>
      </c>
      <c r="D133" s="85" t="s">
        <v>879</v>
      </c>
      <c r="E133" s="36" t="s">
        <v>748</v>
      </c>
      <c r="F133" s="105"/>
      <c r="G133" s="36" t="s">
        <v>41</v>
      </c>
      <c r="H133" s="28" t="s">
        <v>859</v>
      </c>
      <c r="I133" s="39">
        <v>2000.0</v>
      </c>
      <c r="J133" s="39">
        <v>2000.0</v>
      </c>
      <c r="K133" s="41"/>
      <c r="L133" s="42">
        <v>2000.0</v>
      </c>
      <c r="M133" s="42">
        <v>2000.0</v>
      </c>
      <c r="N133" s="42">
        <v>7959.0</v>
      </c>
      <c r="O133" s="39">
        <v>2000.0</v>
      </c>
      <c r="P133" s="39">
        <v>2000.0</v>
      </c>
      <c r="Q133" s="41"/>
      <c r="R133" s="46"/>
      <c r="S133" s="46">
        <v>0.67</v>
      </c>
      <c r="T133" s="50">
        <f>IFERROR(__xludf.DUMMYFUNCTION("((IFERROR(MIN(FILTER({K133, N133, Q133}, ISNUMBER({K133, N133, Q133}), {K133, N133, Q133} &gt; 0)), """"))*S133)+IFERROR(MIN(FILTER({K133, N133, Q133}, ISNUMBER({K133, N133, Q133}), {K133, N133, Q133} &gt; 0)), """")"),13291.53)</f>
        <v>13291.53</v>
      </c>
      <c r="U133" s="53">
        <f>IFERROR(__xludf.DUMMYFUNCTION("(T133-(IFERROR(MIN(FILTER({K133, N133, Q133}, ISNUMBER({K133, N133, Q133}), {K133, N133, Q133} &gt; 0)), """")))/T133"),0.4011976047904192)</f>
        <v>0.4011976048</v>
      </c>
      <c r="V133" s="88">
        <f t="shared" si="10"/>
        <v>9948.75</v>
      </c>
      <c r="W133" s="89"/>
    </row>
    <row r="134" ht="22.5" customHeight="1">
      <c r="A134" s="28" t="s">
        <v>856</v>
      </c>
      <c r="B134" s="28" t="s">
        <v>378</v>
      </c>
      <c r="C134" s="30" t="s">
        <v>857</v>
      </c>
      <c r="D134" s="85" t="s">
        <v>883</v>
      </c>
      <c r="E134" s="36" t="s">
        <v>748</v>
      </c>
      <c r="F134" s="105"/>
      <c r="G134" s="36" t="s">
        <v>41</v>
      </c>
      <c r="H134" s="28" t="s">
        <v>859</v>
      </c>
      <c r="I134" s="39">
        <v>1000.0</v>
      </c>
      <c r="J134" s="39">
        <v>1000.0</v>
      </c>
      <c r="K134" s="41"/>
      <c r="L134" s="42">
        <v>1000.0</v>
      </c>
      <c r="M134" s="42">
        <v>1000.0</v>
      </c>
      <c r="N134" s="42">
        <v>9578.0</v>
      </c>
      <c r="O134" s="39">
        <v>1000.0</v>
      </c>
      <c r="P134" s="39">
        <v>1000.0</v>
      </c>
      <c r="Q134" s="41"/>
      <c r="R134" s="46"/>
      <c r="S134" s="46">
        <v>0.67</v>
      </c>
      <c r="T134" s="50">
        <f>IFERROR(__xludf.DUMMYFUNCTION("((IFERROR(MIN(FILTER({K134, N134, Q134}, ISNUMBER({K134, N134, Q134}), {K134, N134, Q134} &gt; 0)), """"))*S134)+IFERROR(MIN(FILTER({K134, N134, Q134}, ISNUMBER({K134, N134, Q134}), {K134, N134, Q134} &gt; 0)), """")"),15995.26)</f>
        <v>15995.26</v>
      </c>
      <c r="U134" s="53">
        <f>IFERROR(__xludf.DUMMYFUNCTION("(T134-(IFERROR(MIN(FILTER({K134, N134, Q134}, ISNUMBER({K134, N134, Q134}), {K134, N134, Q134} &gt; 0)), """")))/T134"),0.40119760479041916)</f>
        <v>0.4011976048</v>
      </c>
      <c r="V134" s="88">
        <f t="shared" si="10"/>
        <v>11972.5</v>
      </c>
      <c r="W134" s="89"/>
    </row>
    <row r="135" ht="22.5" customHeight="1">
      <c r="A135" s="28" t="s">
        <v>511</v>
      </c>
      <c r="B135" s="28" t="s">
        <v>378</v>
      </c>
      <c r="C135" s="30" t="s">
        <v>886</v>
      </c>
      <c r="D135" s="85" t="s">
        <v>888</v>
      </c>
      <c r="E135" s="104">
        <v>46023.0</v>
      </c>
      <c r="F135" s="69" t="s">
        <v>108</v>
      </c>
      <c r="G135" s="36" t="s">
        <v>41</v>
      </c>
      <c r="H135" s="28" t="s">
        <v>44</v>
      </c>
      <c r="I135" s="39">
        <v>1000.0</v>
      </c>
      <c r="J135" s="39">
        <v>1000.0</v>
      </c>
      <c r="K135" s="41"/>
      <c r="L135" s="42">
        <v>1000.0</v>
      </c>
      <c r="M135" s="42">
        <v>1000.0</v>
      </c>
      <c r="N135" s="42">
        <v>10932.0</v>
      </c>
      <c r="O135" s="39">
        <v>1000.0</v>
      </c>
      <c r="P135" s="39">
        <v>1000.0</v>
      </c>
      <c r="Q135" s="39">
        <v>6300.0</v>
      </c>
      <c r="R135" s="46"/>
      <c r="S135" s="46">
        <v>0.67</v>
      </c>
      <c r="T135" s="50">
        <f>IFERROR(__xludf.DUMMYFUNCTION("((IFERROR(MIN(FILTER({K135, N135, Q135}, ISNUMBER({K135, N135, Q135}), {K135, N135, Q135} &gt; 0)), """"))*S135)+IFERROR(MIN(FILTER({K135, N135, Q135}, ISNUMBER({K135, N135, Q135}), {K135, N135, Q135} &gt; 0)), """")"),10521.0)</f>
        <v>10521</v>
      </c>
      <c r="U135" s="53">
        <f>IFERROR(__xludf.DUMMYFUNCTION("(T135-(IFERROR(MIN(FILTER({K135, N135, Q135}, ISNUMBER({K135, N135, Q135}), {K135, N135, Q135} &gt; 0)), """")))/T135"),0.40119760479041916)</f>
        <v>0.4011976048</v>
      </c>
      <c r="V135" s="88">
        <f t="shared" si="10"/>
        <v>13665</v>
      </c>
      <c r="W135" s="89"/>
    </row>
    <row r="136" ht="22.5" customHeight="1">
      <c r="A136" s="28" t="s">
        <v>511</v>
      </c>
      <c r="B136" s="28" t="s">
        <v>378</v>
      </c>
      <c r="C136" s="30" t="s">
        <v>886</v>
      </c>
      <c r="D136" s="85" t="s">
        <v>888</v>
      </c>
      <c r="E136" s="104">
        <v>46023.0</v>
      </c>
      <c r="F136" s="69" t="s">
        <v>108</v>
      </c>
      <c r="G136" s="36" t="s">
        <v>41</v>
      </c>
      <c r="H136" s="28" t="s">
        <v>44</v>
      </c>
      <c r="I136" s="39">
        <v>1000.0</v>
      </c>
      <c r="J136" s="39">
        <v>1000.0</v>
      </c>
      <c r="K136" s="41"/>
      <c r="L136" s="42">
        <v>1000.0</v>
      </c>
      <c r="M136" s="42">
        <v>1000.0</v>
      </c>
      <c r="N136" s="42">
        <v>10559.0</v>
      </c>
      <c r="O136" s="39">
        <v>1000.0</v>
      </c>
      <c r="P136" s="39">
        <v>1000.0</v>
      </c>
      <c r="Q136" s="41"/>
      <c r="R136" s="46"/>
      <c r="S136" s="46">
        <v>0.67</v>
      </c>
      <c r="T136" s="50">
        <f>IFERROR(__xludf.DUMMYFUNCTION("((IFERROR(MIN(FILTER({K136, N136, Q136}, ISNUMBER({K136, N136, Q136}), {K136, N136, Q136} &gt; 0)), """"))*S136)+IFERROR(MIN(FILTER({K136, N136, Q136}, ISNUMBER({K136, N136, Q136}), {K136, N136, Q136} &gt; 0)), """")"),17633.53)</f>
        <v>17633.53</v>
      </c>
      <c r="U136" s="53">
        <f>IFERROR(__xludf.DUMMYFUNCTION("(T136-(IFERROR(MIN(FILTER({K136, N136, Q136}, ISNUMBER({K136, N136, Q136}), {K136, N136, Q136} &gt; 0)), """")))/T136"),0.4011976047904191)</f>
        <v>0.4011976048</v>
      </c>
      <c r="V136" s="88">
        <f t="shared" si="10"/>
        <v>13198.75</v>
      </c>
      <c r="W136" s="89"/>
    </row>
    <row r="137" ht="22.5" customHeight="1">
      <c r="A137" s="28" t="s">
        <v>511</v>
      </c>
      <c r="B137" s="28" t="s">
        <v>378</v>
      </c>
      <c r="C137" s="30" t="s">
        <v>886</v>
      </c>
      <c r="D137" s="85" t="s">
        <v>888</v>
      </c>
      <c r="E137" s="104">
        <v>46023.0</v>
      </c>
      <c r="F137" s="69" t="s">
        <v>108</v>
      </c>
      <c r="G137" s="36" t="s">
        <v>41</v>
      </c>
      <c r="H137" s="28" t="s">
        <v>44</v>
      </c>
      <c r="I137" s="39">
        <v>1000.0</v>
      </c>
      <c r="J137" s="39">
        <v>1000.0</v>
      </c>
      <c r="K137" s="41"/>
      <c r="L137" s="42">
        <v>1000.0</v>
      </c>
      <c r="M137" s="42">
        <v>1000.0</v>
      </c>
      <c r="N137" s="60"/>
      <c r="O137" s="39">
        <v>1000.0</v>
      </c>
      <c r="P137" s="39">
        <v>1000.0</v>
      </c>
      <c r="Q137" s="39">
        <v>3370.0</v>
      </c>
      <c r="R137" s="46"/>
      <c r="S137" s="46">
        <v>0.67</v>
      </c>
      <c r="T137" s="50">
        <f>IFERROR(__xludf.DUMMYFUNCTION("((IFERROR(MIN(FILTER({K137, N137, Q137}, ISNUMBER({K137, N137, Q137}), {K137, N137, Q137} &gt; 0)), """"))*S137)+IFERROR(MIN(FILTER({K137, N137, Q137}, ISNUMBER({K137, N137, Q137}), {K137, N137, Q137} &gt; 0)), """")"),5627.9)</f>
        <v>5627.9</v>
      </c>
      <c r="U137" s="53">
        <f>IFERROR(__xludf.DUMMYFUNCTION("(T137-(IFERROR(MIN(FILTER({K137, N137, Q137}, ISNUMBER({K137, N137, Q137}), {K137, N137, Q137} &gt; 0)), """")))/T137"),0.4011976047904191)</f>
        <v>0.4011976048</v>
      </c>
      <c r="V137" s="88">
        <f t="shared" si="10"/>
        <v>4212.5</v>
      </c>
      <c r="W137" s="89"/>
    </row>
    <row r="138" ht="22.5" customHeight="1">
      <c r="A138" s="28" t="s">
        <v>511</v>
      </c>
      <c r="B138" s="28" t="s">
        <v>378</v>
      </c>
      <c r="C138" s="30" t="s">
        <v>886</v>
      </c>
      <c r="D138" s="85" t="s">
        <v>888</v>
      </c>
      <c r="E138" s="104">
        <v>46023.0</v>
      </c>
      <c r="F138" s="69" t="s">
        <v>108</v>
      </c>
      <c r="G138" s="36" t="s">
        <v>41</v>
      </c>
      <c r="H138" s="28" t="s">
        <v>44</v>
      </c>
      <c r="I138" s="39">
        <v>5000.0</v>
      </c>
      <c r="J138" s="39">
        <v>5000.0</v>
      </c>
      <c r="K138" s="41"/>
      <c r="L138" s="42">
        <v>5000.0</v>
      </c>
      <c r="M138" s="42">
        <v>5000.0</v>
      </c>
      <c r="N138" s="60"/>
      <c r="O138" s="39">
        <v>5000.0</v>
      </c>
      <c r="P138" s="39">
        <v>5000.0</v>
      </c>
      <c r="Q138" s="39">
        <v>2500.0</v>
      </c>
      <c r="R138" s="46"/>
      <c r="S138" s="46">
        <v>0.67</v>
      </c>
      <c r="T138" s="50">
        <f>IFERROR(__xludf.DUMMYFUNCTION("((IFERROR(MIN(FILTER({K138, N138, Q138}, ISNUMBER({K138, N138, Q138}), {K138, N138, Q138} &gt; 0)), """"))*S138)+IFERROR(MIN(FILTER({K138, N138, Q138}, ISNUMBER({K138, N138, Q138}), {K138, N138, Q138} &gt; 0)), """")"),4175.0)</f>
        <v>4175</v>
      </c>
      <c r="U138" s="53">
        <f>IFERROR(__xludf.DUMMYFUNCTION("(T138-(IFERROR(MIN(FILTER({K138, N138, Q138}, ISNUMBER({K138, N138, Q138}), {K138, N138, Q138} &gt; 0)), """")))/T138"),0.40119760479041916)</f>
        <v>0.4011976048</v>
      </c>
      <c r="V138" s="88">
        <f t="shared" si="10"/>
        <v>3125</v>
      </c>
      <c r="W138" s="89"/>
    </row>
    <row r="139" ht="22.5" customHeight="1">
      <c r="A139" s="28" t="s">
        <v>511</v>
      </c>
      <c r="B139" s="28" t="s">
        <v>378</v>
      </c>
      <c r="C139" s="30" t="s">
        <v>886</v>
      </c>
      <c r="D139" s="85" t="s">
        <v>896</v>
      </c>
      <c r="E139" s="36" t="s">
        <v>55</v>
      </c>
      <c r="F139" s="69" t="s">
        <v>108</v>
      </c>
      <c r="G139" s="36" t="s">
        <v>41</v>
      </c>
      <c r="H139" s="28" t="s">
        <v>44</v>
      </c>
      <c r="I139" s="39">
        <v>10000.0</v>
      </c>
      <c r="J139" s="39">
        <v>10000.0</v>
      </c>
      <c r="K139" s="41"/>
      <c r="L139" s="42">
        <v>10000.0</v>
      </c>
      <c r="M139" s="42">
        <v>10000.0</v>
      </c>
      <c r="N139" s="60"/>
      <c r="O139" s="39">
        <v>10000.0</v>
      </c>
      <c r="P139" s="39">
        <v>10000.0</v>
      </c>
      <c r="Q139" s="39">
        <v>2100.0</v>
      </c>
      <c r="R139" s="46"/>
      <c r="S139" s="46">
        <v>0.67</v>
      </c>
      <c r="T139" s="50">
        <f>IFERROR(__xludf.DUMMYFUNCTION("((IFERROR(MIN(FILTER({K139, N139, Q139}, ISNUMBER({K139, N139, Q139}), {K139, N139, Q139} &gt; 0)), """"))*S139)+IFERROR(MIN(FILTER({K139, N139, Q139}, ISNUMBER({K139, N139, Q139}), {K139, N139, Q139} &gt; 0)), """")"),3507.0)</f>
        <v>3507</v>
      </c>
      <c r="U139" s="53">
        <f>IFERROR(__xludf.DUMMYFUNCTION("(T139-(IFERROR(MIN(FILTER({K139, N139, Q139}, ISNUMBER({K139, N139, Q139}), {K139, N139, Q139} &gt; 0)), """")))/T139"),0.40119760479041916)</f>
        <v>0.4011976048</v>
      </c>
      <c r="V139" s="88">
        <f t="shared" si="10"/>
        <v>2625</v>
      </c>
      <c r="W139" s="89"/>
    </row>
    <row r="140" ht="22.5" customHeight="1">
      <c r="A140" s="28" t="s">
        <v>511</v>
      </c>
      <c r="B140" s="28" t="s">
        <v>378</v>
      </c>
      <c r="C140" s="30" t="s">
        <v>886</v>
      </c>
      <c r="D140" s="85" t="s">
        <v>896</v>
      </c>
      <c r="E140" s="36" t="s">
        <v>55</v>
      </c>
      <c r="F140" s="69" t="s">
        <v>108</v>
      </c>
      <c r="G140" s="36" t="s">
        <v>41</v>
      </c>
      <c r="H140" s="28" t="s">
        <v>44</v>
      </c>
      <c r="I140" s="39">
        <v>1000.0</v>
      </c>
      <c r="J140" s="39">
        <v>1000.0</v>
      </c>
      <c r="K140" s="41"/>
      <c r="L140" s="42">
        <v>1000.0</v>
      </c>
      <c r="M140" s="42">
        <v>1000.0</v>
      </c>
      <c r="N140" s="42">
        <v>6953.0</v>
      </c>
      <c r="O140" s="39">
        <v>1000.0</v>
      </c>
      <c r="P140" s="39">
        <v>1000.0</v>
      </c>
      <c r="Q140" s="39">
        <v>3600.0</v>
      </c>
      <c r="R140" s="46"/>
      <c r="S140" s="46">
        <v>0.67</v>
      </c>
      <c r="T140" s="50">
        <f>IFERROR(__xludf.DUMMYFUNCTION("((IFERROR(MIN(FILTER({K140, N140, Q140}, ISNUMBER({K140, N140, Q140}), {K140, N140, Q140} &gt; 0)), """"))*S140)+IFERROR(MIN(FILTER({K140, N140, Q140}, ISNUMBER({K140, N140, Q140}), {K140, N140, Q140} &gt; 0)), """")"),6012.0)</f>
        <v>6012</v>
      </c>
      <c r="U140" s="53">
        <f>IFERROR(__xludf.DUMMYFUNCTION("(T140-(IFERROR(MIN(FILTER({K140, N140, Q140}, ISNUMBER({K140, N140, Q140}), {K140, N140, Q140} &gt; 0)), """")))/T140"),0.40119760479041916)</f>
        <v>0.4011976048</v>
      </c>
      <c r="V140" s="88">
        <f t="shared" si="10"/>
        <v>8691.25</v>
      </c>
      <c r="W140" s="89"/>
    </row>
    <row r="141" ht="22.5" customHeight="1">
      <c r="A141" s="28" t="s">
        <v>511</v>
      </c>
      <c r="B141" s="28" t="s">
        <v>378</v>
      </c>
      <c r="C141" s="30" t="s">
        <v>886</v>
      </c>
      <c r="D141" s="85" t="s">
        <v>896</v>
      </c>
      <c r="E141" s="36" t="s">
        <v>55</v>
      </c>
      <c r="F141" s="69" t="s">
        <v>108</v>
      </c>
      <c r="G141" s="36" t="s">
        <v>41</v>
      </c>
      <c r="H141" s="28" t="s">
        <v>44</v>
      </c>
      <c r="I141" s="39">
        <v>2000.0</v>
      </c>
      <c r="J141" s="39">
        <v>2000.0</v>
      </c>
      <c r="K141" s="41"/>
      <c r="L141" s="42">
        <v>2000.0</v>
      </c>
      <c r="M141" s="42">
        <v>2000.0</v>
      </c>
      <c r="N141" s="42">
        <v>6273.0</v>
      </c>
      <c r="O141" s="39">
        <v>2000.0</v>
      </c>
      <c r="P141" s="39">
        <v>2000.0</v>
      </c>
      <c r="Q141" s="41"/>
      <c r="R141" s="46"/>
      <c r="S141" s="46">
        <v>0.67</v>
      </c>
      <c r="T141" s="50">
        <f>IFERROR(__xludf.DUMMYFUNCTION("((IFERROR(MIN(FILTER({K141, N141, Q141}, ISNUMBER({K141, N141, Q141}), {K141, N141, Q141} &gt; 0)), """"))*S141)+IFERROR(MIN(FILTER({K141, N141, Q141}, ISNUMBER({K141, N141, Q141}), {K141, N141, Q141} &gt; 0)), """")"),10475.91)</f>
        <v>10475.91</v>
      </c>
      <c r="U141" s="53">
        <f>IFERROR(__xludf.DUMMYFUNCTION("(T141-(IFERROR(MIN(FILTER({K141, N141, Q141}, ISNUMBER({K141, N141, Q141}), {K141, N141, Q141} &gt; 0)), """")))/T141"),0.40119760479041916)</f>
        <v>0.4011976048</v>
      </c>
      <c r="V141" s="88">
        <f t="shared" si="10"/>
        <v>7841.25</v>
      </c>
      <c r="W141" s="89"/>
    </row>
    <row r="142" ht="22.5" customHeight="1">
      <c r="A142" s="28" t="s">
        <v>511</v>
      </c>
      <c r="B142" s="28" t="s">
        <v>378</v>
      </c>
      <c r="C142" s="30" t="s">
        <v>886</v>
      </c>
      <c r="D142" s="85" t="s">
        <v>896</v>
      </c>
      <c r="E142" s="36" t="s">
        <v>55</v>
      </c>
      <c r="F142" s="69" t="s">
        <v>108</v>
      </c>
      <c r="G142" s="36" t="s">
        <v>41</v>
      </c>
      <c r="H142" s="28" t="s">
        <v>44</v>
      </c>
      <c r="I142" s="39">
        <v>2000.0</v>
      </c>
      <c r="J142" s="39">
        <v>2000.0</v>
      </c>
      <c r="K142" s="41"/>
      <c r="L142" s="42">
        <v>2000.0</v>
      </c>
      <c r="M142" s="42">
        <v>2000.0</v>
      </c>
      <c r="N142" s="42">
        <v>6953.0</v>
      </c>
      <c r="O142" s="39">
        <v>2000.0</v>
      </c>
      <c r="P142" s="39">
        <v>2000.0</v>
      </c>
      <c r="Q142" s="41"/>
      <c r="R142" s="46"/>
      <c r="S142" s="46">
        <v>0.67</v>
      </c>
      <c r="T142" s="50">
        <f>IFERROR(__xludf.DUMMYFUNCTION("((IFERROR(MIN(FILTER({K142, N142, Q142}, ISNUMBER({K142, N142, Q142}), {K142, N142, Q142} &gt; 0)), """"))*S142)+IFERROR(MIN(FILTER({K142, N142, Q142}, ISNUMBER({K142, N142, Q142}), {K142, N142, Q142} &gt; 0)), """")"),11611.51)</f>
        <v>11611.51</v>
      </c>
      <c r="U142" s="53">
        <f>IFERROR(__xludf.DUMMYFUNCTION("(T142-(IFERROR(MIN(FILTER({K142, N142, Q142}, ISNUMBER({K142, N142, Q142}), {K142, N142, Q142} &gt; 0)), """")))/T142"),0.40119760479041916)</f>
        <v>0.4011976048</v>
      </c>
      <c r="V142" s="88">
        <f t="shared" si="10"/>
        <v>8691.25</v>
      </c>
      <c r="W142" s="89"/>
    </row>
    <row r="143" ht="22.5" customHeight="1">
      <c r="A143" s="28" t="s">
        <v>903</v>
      </c>
      <c r="B143" s="28" t="s">
        <v>831</v>
      </c>
      <c r="C143" s="30" t="s">
        <v>106</v>
      </c>
      <c r="D143" s="85" t="s">
        <v>904</v>
      </c>
      <c r="E143" s="36" t="s">
        <v>55</v>
      </c>
      <c r="F143" s="69" t="s">
        <v>239</v>
      </c>
      <c r="G143" s="36" t="s">
        <v>41</v>
      </c>
      <c r="H143" s="28" t="s">
        <v>905</v>
      </c>
      <c r="I143" s="39">
        <v>1000.0</v>
      </c>
      <c r="J143" s="39">
        <v>1000.0</v>
      </c>
      <c r="K143" s="41"/>
      <c r="L143" s="42">
        <v>1000.0</v>
      </c>
      <c r="M143" s="42">
        <v>1000.0</v>
      </c>
      <c r="N143" s="42">
        <v>7190.0</v>
      </c>
      <c r="O143" s="39">
        <v>1000.0</v>
      </c>
      <c r="P143" s="39">
        <v>1000.0</v>
      </c>
      <c r="Q143" s="41"/>
      <c r="R143" s="46"/>
      <c r="S143" s="46">
        <v>0.67</v>
      </c>
      <c r="T143" s="50">
        <f>IFERROR(__xludf.DUMMYFUNCTION("((IFERROR(MIN(FILTER({K143, N143, Q143}, ISNUMBER({K143, N143, Q143}), {K143, N143, Q143} &gt; 0)), """"))*S143)+IFERROR(MIN(FILTER({K143, N143, Q143}, ISNUMBER({K143, N143, Q143}), {K143, N143, Q143} &gt; 0)), """")"),12007.3)</f>
        <v>12007.3</v>
      </c>
      <c r="U143" s="53">
        <f>IFERROR(__xludf.DUMMYFUNCTION("(T143-(IFERROR(MIN(FILTER({K143, N143, Q143}, ISNUMBER({K143, N143, Q143}), {K143, N143, Q143} &gt; 0)), """")))/T143"),0.4011976047904191)</f>
        <v>0.4011976048</v>
      </c>
      <c r="V143" s="88">
        <f t="shared" si="10"/>
        <v>8987.5</v>
      </c>
      <c r="W143" s="89"/>
    </row>
    <row r="144" ht="22.5" customHeight="1">
      <c r="A144" s="28" t="s">
        <v>903</v>
      </c>
      <c r="B144" s="28" t="s">
        <v>831</v>
      </c>
      <c r="C144" s="30" t="s">
        <v>106</v>
      </c>
      <c r="D144" s="85" t="s">
        <v>906</v>
      </c>
      <c r="E144" s="36" t="s">
        <v>55</v>
      </c>
      <c r="F144" s="69" t="s">
        <v>239</v>
      </c>
      <c r="G144" s="36" t="s">
        <v>41</v>
      </c>
      <c r="H144" s="28" t="s">
        <v>907</v>
      </c>
      <c r="I144" s="39">
        <v>2000.0</v>
      </c>
      <c r="J144" s="39">
        <v>2000.0</v>
      </c>
      <c r="K144" s="41"/>
      <c r="L144" s="42">
        <v>2000.0</v>
      </c>
      <c r="M144" s="42">
        <v>2000.0</v>
      </c>
      <c r="N144" s="42">
        <v>5268.0</v>
      </c>
      <c r="O144" s="39">
        <v>2000.0</v>
      </c>
      <c r="P144" s="39">
        <v>2000.0</v>
      </c>
      <c r="Q144" s="41"/>
      <c r="R144" s="46"/>
      <c r="S144" s="46">
        <v>0.67</v>
      </c>
      <c r="T144" s="50">
        <f>IFERROR(__xludf.DUMMYFUNCTION("((IFERROR(MIN(FILTER({K144, N144, Q144}, ISNUMBER({K144, N144, Q144}), {K144, N144, Q144} &gt; 0)), """"))*S144)+IFERROR(MIN(FILTER({K144, N144, Q144}, ISNUMBER({K144, N144, Q144}), {K144, N144, Q144} &gt; 0)), """")"),8797.560000000001)</f>
        <v>8797.56</v>
      </c>
      <c r="U144" s="53">
        <f>IFERROR(__xludf.DUMMYFUNCTION("(T144-(IFERROR(MIN(FILTER({K144, N144, Q144}, ISNUMBER({K144, N144, Q144}), {K144, N144, Q144} &gt; 0)), """")))/T144"),0.40119760479041927)</f>
        <v>0.4011976048</v>
      </c>
      <c r="V144" s="88">
        <f t="shared" si="10"/>
        <v>6585</v>
      </c>
      <c r="W144" s="89"/>
    </row>
    <row r="145" ht="22.5" customHeight="1">
      <c r="A145" s="28" t="s">
        <v>908</v>
      </c>
      <c r="B145" s="28" t="s">
        <v>831</v>
      </c>
      <c r="C145" s="30" t="s">
        <v>106</v>
      </c>
      <c r="D145" s="85" t="s">
        <v>910</v>
      </c>
      <c r="E145" s="36" t="s">
        <v>55</v>
      </c>
      <c r="F145" s="69" t="s">
        <v>216</v>
      </c>
      <c r="G145" s="36" t="s">
        <v>41</v>
      </c>
      <c r="H145" s="28" t="s">
        <v>911</v>
      </c>
      <c r="I145" s="39">
        <v>1000.0</v>
      </c>
      <c r="J145" s="39">
        <v>1000.0</v>
      </c>
      <c r="K145" s="41"/>
      <c r="L145" s="42">
        <v>1000.0</v>
      </c>
      <c r="M145" s="42">
        <v>1000.0</v>
      </c>
      <c r="N145" s="42">
        <v>6066.0</v>
      </c>
      <c r="O145" s="39">
        <v>1000.0</v>
      </c>
      <c r="P145" s="39">
        <v>1000.0</v>
      </c>
      <c r="Q145" s="41"/>
      <c r="R145" s="46"/>
      <c r="S145" s="46">
        <v>0.67</v>
      </c>
      <c r="T145" s="50">
        <f>IFERROR(__xludf.DUMMYFUNCTION("((IFERROR(MIN(FILTER({K145, N145, Q145}, ISNUMBER({K145, N145, Q145}), {K145, N145, Q145} &gt; 0)), """"))*S145)+IFERROR(MIN(FILTER({K145, N145, Q145}, ISNUMBER({K145, N145, Q145}), {K145, N145, Q145} &gt; 0)), """")"),10130.220000000001)</f>
        <v>10130.22</v>
      </c>
      <c r="U145" s="53">
        <f>IFERROR(__xludf.DUMMYFUNCTION("(T145-(IFERROR(MIN(FILTER({K145, N145, Q145}, ISNUMBER({K145, N145, Q145}), {K145, N145, Q145} &gt; 0)), """")))/T145"),0.4011976047904192)</f>
        <v>0.4011976048</v>
      </c>
      <c r="V145" s="88">
        <f t="shared" si="10"/>
        <v>7582.5</v>
      </c>
      <c r="W145" s="89"/>
    </row>
    <row r="146" ht="22.5" customHeight="1">
      <c r="A146" s="28" t="s">
        <v>908</v>
      </c>
      <c r="B146" s="28" t="s">
        <v>831</v>
      </c>
      <c r="C146" s="30" t="s">
        <v>106</v>
      </c>
      <c r="D146" s="85" t="s">
        <v>910</v>
      </c>
      <c r="E146" s="36" t="s">
        <v>55</v>
      </c>
      <c r="F146" s="69" t="s">
        <v>216</v>
      </c>
      <c r="G146" s="36" t="s">
        <v>41</v>
      </c>
      <c r="H146" s="28" t="s">
        <v>912</v>
      </c>
      <c r="I146" s="39">
        <v>2000.0</v>
      </c>
      <c r="J146" s="39">
        <v>2000.0</v>
      </c>
      <c r="K146" s="41"/>
      <c r="L146" s="42">
        <v>2000.0</v>
      </c>
      <c r="M146" s="42">
        <v>2000.0</v>
      </c>
      <c r="N146" s="42">
        <v>4117.0</v>
      </c>
      <c r="O146" s="39">
        <v>2000.0</v>
      </c>
      <c r="P146" s="39">
        <v>2000.0</v>
      </c>
      <c r="Q146" s="41"/>
      <c r="R146" s="46"/>
      <c r="S146" s="46">
        <v>0.67</v>
      </c>
      <c r="T146" s="50">
        <f>IFERROR(__xludf.DUMMYFUNCTION("((IFERROR(MIN(FILTER({K146, N146, Q146}, ISNUMBER({K146, N146, Q146}), {K146, N146, Q146} &gt; 0)), """"))*S146)+IFERROR(MIN(FILTER({K146, N146, Q146}, ISNUMBER({K146, N146, Q146}), {K146, N146, Q146} &gt; 0)), """")"),6875.39)</f>
        <v>6875.39</v>
      </c>
      <c r="U146" s="53">
        <f>IFERROR(__xludf.DUMMYFUNCTION("(T146-(IFERROR(MIN(FILTER({K146, N146, Q146}, ISNUMBER({K146, N146, Q146}), {K146, N146, Q146} &gt; 0)), """")))/T146"),0.4011976047904192)</f>
        <v>0.4011976048</v>
      </c>
      <c r="V146" s="88">
        <f t="shared" si="10"/>
        <v>5146.25</v>
      </c>
      <c r="W146" s="89"/>
    </row>
    <row r="147" ht="22.5" customHeight="1">
      <c r="A147" s="28" t="s">
        <v>908</v>
      </c>
      <c r="B147" s="28" t="s">
        <v>831</v>
      </c>
      <c r="C147" s="30" t="s">
        <v>106</v>
      </c>
      <c r="D147" s="85" t="s">
        <v>910</v>
      </c>
      <c r="E147" s="36" t="s">
        <v>55</v>
      </c>
      <c r="F147" s="69" t="s">
        <v>216</v>
      </c>
      <c r="G147" s="36" t="s">
        <v>41</v>
      </c>
      <c r="H147" s="28" t="s">
        <v>915</v>
      </c>
      <c r="I147" s="39">
        <v>1000.0</v>
      </c>
      <c r="J147" s="39">
        <v>1000.0</v>
      </c>
      <c r="K147" s="41"/>
      <c r="L147" s="42">
        <v>1000.0</v>
      </c>
      <c r="M147" s="42">
        <v>1000.0</v>
      </c>
      <c r="N147" s="42">
        <v>7816.0</v>
      </c>
      <c r="O147" s="39">
        <v>1000.0</v>
      </c>
      <c r="P147" s="39">
        <v>1000.0</v>
      </c>
      <c r="Q147" s="41"/>
      <c r="R147" s="46"/>
      <c r="S147" s="46">
        <v>0.67</v>
      </c>
      <c r="T147" s="50">
        <f>IFERROR(__xludf.DUMMYFUNCTION("((IFERROR(MIN(FILTER({K147, N147, Q147}, ISNUMBER({K147, N147, Q147}), {K147, N147, Q147} &gt; 0)), """"))*S147)+IFERROR(MIN(FILTER({K147, N147, Q147}, ISNUMBER({K147, N147, Q147}), {K147, N147, Q147} &gt; 0)), """")"),13052.720000000001)</f>
        <v>13052.72</v>
      </c>
      <c r="U147" s="53">
        <f>IFERROR(__xludf.DUMMYFUNCTION("(T147-(IFERROR(MIN(FILTER({K147, N147, Q147}, ISNUMBER({K147, N147, Q147}), {K147, N147, Q147} &gt; 0)), """")))/T147"),0.4011976047904192)</f>
        <v>0.4011976048</v>
      </c>
      <c r="V147" s="88">
        <f t="shared" si="10"/>
        <v>9770</v>
      </c>
      <c r="W147" s="89"/>
    </row>
    <row r="148" ht="22.5" customHeight="1">
      <c r="A148" s="28" t="s">
        <v>908</v>
      </c>
      <c r="B148" s="28" t="s">
        <v>831</v>
      </c>
      <c r="C148" s="30" t="s">
        <v>349</v>
      </c>
      <c r="D148" s="85" t="s">
        <v>910</v>
      </c>
      <c r="E148" s="36" t="s">
        <v>55</v>
      </c>
      <c r="F148" s="69" t="s">
        <v>216</v>
      </c>
      <c r="G148" s="36" t="s">
        <v>41</v>
      </c>
      <c r="H148" s="28" t="s">
        <v>920</v>
      </c>
      <c r="I148" s="39">
        <v>2000.0</v>
      </c>
      <c r="J148" s="39">
        <v>2000.0</v>
      </c>
      <c r="K148" s="41"/>
      <c r="L148" s="42">
        <v>2000.0</v>
      </c>
      <c r="M148" s="42">
        <v>2000.0</v>
      </c>
      <c r="N148" s="42">
        <v>6122.0</v>
      </c>
      <c r="O148" s="39">
        <v>2000.0</v>
      </c>
      <c r="P148" s="39">
        <v>2000.0</v>
      </c>
      <c r="Q148" s="41"/>
      <c r="R148" s="46"/>
      <c r="S148" s="46">
        <v>0.67</v>
      </c>
      <c r="T148" s="50">
        <f>IFERROR(__xludf.DUMMYFUNCTION("((IFERROR(MIN(FILTER({K148, N148, Q148}, ISNUMBER({K148, N148, Q148}), {K148, N148, Q148} &gt; 0)), """"))*S148)+IFERROR(MIN(FILTER({K148, N148, Q148}, ISNUMBER({K148, N148, Q148}), {K148, N148, Q148} &gt; 0)), """")"),10223.740000000002)</f>
        <v>10223.74</v>
      </c>
      <c r="U148" s="53">
        <f>IFERROR(__xludf.DUMMYFUNCTION("(T148-(IFERROR(MIN(FILTER({K148, N148, Q148}, ISNUMBER({K148, N148, Q148}), {K148, N148, Q148} &gt; 0)), """")))/T148"),0.40119760479041927)</f>
        <v>0.4011976048</v>
      </c>
      <c r="V148" s="88">
        <f t="shared" si="10"/>
        <v>7652.5</v>
      </c>
      <c r="W148" s="89"/>
    </row>
    <row r="149" ht="22.5" customHeight="1">
      <c r="A149" s="28" t="s">
        <v>908</v>
      </c>
      <c r="B149" s="28" t="s">
        <v>831</v>
      </c>
      <c r="C149" s="30" t="s">
        <v>349</v>
      </c>
      <c r="D149" s="85" t="s">
        <v>910</v>
      </c>
      <c r="E149" s="36" t="s">
        <v>55</v>
      </c>
      <c r="F149" s="69" t="s">
        <v>216</v>
      </c>
      <c r="G149" s="36" t="s">
        <v>41</v>
      </c>
      <c r="H149" s="28" t="s">
        <v>924</v>
      </c>
      <c r="I149" s="39">
        <v>1000.0</v>
      </c>
      <c r="J149" s="39">
        <v>1000.0</v>
      </c>
      <c r="K149" s="41"/>
      <c r="L149" s="42">
        <v>1000.0</v>
      </c>
      <c r="M149" s="42">
        <v>1000.0</v>
      </c>
      <c r="N149" s="42">
        <v>7709.0</v>
      </c>
      <c r="O149" s="39">
        <v>1000.0</v>
      </c>
      <c r="P149" s="39">
        <v>1000.0</v>
      </c>
      <c r="Q149" s="41"/>
      <c r="R149" s="46"/>
      <c r="S149" s="46">
        <v>0.67</v>
      </c>
      <c r="T149" s="50">
        <f>IFERROR(__xludf.DUMMYFUNCTION("((IFERROR(MIN(FILTER({K149, N149, Q149}, ISNUMBER({K149, N149, Q149}), {K149, N149, Q149} &gt; 0)), """"))*S149)+IFERROR(MIN(FILTER({K149, N149, Q149}, ISNUMBER({K149, N149, Q149}), {K149, N149, Q149} &gt; 0)), """")"),12874.03)</f>
        <v>12874.03</v>
      </c>
      <c r="U149" s="53">
        <f>IFERROR(__xludf.DUMMYFUNCTION("(T149-(IFERROR(MIN(FILTER({K149, N149, Q149}, ISNUMBER({K149, N149, Q149}), {K149, N149, Q149} &gt; 0)), """")))/T149"),0.4011976047904192)</f>
        <v>0.4011976048</v>
      </c>
      <c r="V149" s="88">
        <f t="shared" si="10"/>
        <v>9636.25</v>
      </c>
      <c r="W149" s="89"/>
    </row>
    <row r="150" ht="22.5" customHeight="1">
      <c r="A150" s="28" t="s">
        <v>908</v>
      </c>
      <c r="B150" s="28" t="s">
        <v>831</v>
      </c>
      <c r="C150" s="30" t="s">
        <v>349</v>
      </c>
      <c r="D150" s="85" t="s">
        <v>910</v>
      </c>
      <c r="E150" s="36" t="s">
        <v>55</v>
      </c>
      <c r="F150" s="69" t="s">
        <v>216</v>
      </c>
      <c r="G150" s="36" t="s">
        <v>41</v>
      </c>
      <c r="H150" s="28" t="s">
        <v>926</v>
      </c>
      <c r="I150" s="39">
        <v>2000.0</v>
      </c>
      <c r="J150" s="39">
        <v>2000.0</v>
      </c>
      <c r="K150" s="41"/>
      <c r="L150" s="42">
        <v>2000.0</v>
      </c>
      <c r="M150" s="42">
        <v>2000.0</v>
      </c>
      <c r="N150" s="42">
        <v>5252.0</v>
      </c>
      <c r="O150" s="39">
        <v>2000.0</v>
      </c>
      <c r="P150" s="39">
        <v>2000.0</v>
      </c>
      <c r="Q150" s="41"/>
      <c r="R150" s="46"/>
      <c r="S150" s="46">
        <v>0.67</v>
      </c>
      <c r="T150" s="50">
        <f>IFERROR(__xludf.DUMMYFUNCTION("((IFERROR(MIN(FILTER({K150, N150, Q150}, ISNUMBER({K150, N150, Q150}), {K150, N150, Q150} &gt; 0)), """"))*S150)+IFERROR(MIN(FILTER({K150, N150, Q150}, ISNUMBER({K150, N150, Q150}), {K150, N150, Q150} &gt; 0)), """")"),8770.84)</f>
        <v>8770.84</v>
      </c>
      <c r="U150" s="53">
        <f>IFERROR(__xludf.DUMMYFUNCTION("(T150-(IFERROR(MIN(FILTER({K150, N150, Q150}, ISNUMBER({K150, N150, Q150}), {K150, N150, Q150} &gt; 0)), """")))/T150"),0.40119760479041916)</f>
        <v>0.4011976048</v>
      </c>
      <c r="V150" s="88">
        <f t="shared" si="10"/>
        <v>6565</v>
      </c>
      <c r="W150" s="89"/>
    </row>
    <row r="151" ht="22.5" customHeight="1">
      <c r="A151" s="28" t="s">
        <v>908</v>
      </c>
      <c r="B151" s="28" t="s">
        <v>831</v>
      </c>
      <c r="C151" s="30" t="s">
        <v>106</v>
      </c>
      <c r="D151" s="85" t="s">
        <v>932</v>
      </c>
      <c r="E151" s="36" t="s">
        <v>55</v>
      </c>
      <c r="F151" s="69" t="s">
        <v>216</v>
      </c>
      <c r="G151" s="36" t="s">
        <v>41</v>
      </c>
      <c r="H151" s="28" t="s">
        <v>933</v>
      </c>
      <c r="I151" s="39">
        <v>1000.0</v>
      </c>
      <c r="J151" s="39">
        <v>1000.0</v>
      </c>
      <c r="K151" s="41"/>
      <c r="L151" s="42">
        <v>1000.0</v>
      </c>
      <c r="M151" s="42">
        <v>1000.0</v>
      </c>
      <c r="N151" s="42">
        <v>8292.0</v>
      </c>
      <c r="O151" s="39">
        <v>1000.0</v>
      </c>
      <c r="P151" s="39">
        <v>1000.0</v>
      </c>
      <c r="Q151" s="41"/>
      <c r="R151" s="46"/>
      <c r="S151" s="46">
        <v>0.67</v>
      </c>
      <c r="T151" s="50">
        <f>IFERROR(__xludf.DUMMYFUNCTION("((IFERROR(MIN(FILTER({K151, N151, Q151}, ISNUMBER({K151, N151, Q151}), {K151, N151, Q151} &gt; 0)), """"))*S151)+IFERROR(MIN(FILTER({K151, N151, Q151}, ISNUMBER({K151, N151, Q151}), {K151, N151, Q151} &gt; 0)), """")"),13847.64)</f>
        <v>13847.64</v>
      </c>
      <c r="U151" s="53">
        <f>IFERROR(__xludf.DUMMYFUNCTION("(T151-(IFERROR(MIN(FILTER({K151, N151, Q151}, ISNUMBER({K151, N151, Q151}), {K151, N151, Q151} &gt; 0)), """")))/T151"),0.40119760479041916)</f>
        <v>0.4011976048</v>
      </c>
      <c r="V151" s="88">
        <f t="shared" si="10"/>
        <v>10365</v>
      </c>
      <c r="W151" s="89"/>
    </row>
    <row r="152" ht="22.5" customHeight="1">
      <c r="A152" s="28" t="s">
        <v>908</v>
      </c>
      <c r="B152" s="28" t="s">
        <v>831</v>
      </c>
      <c r="C152" s="30" t="s">
        <v>106</v>
      </c>
      <c r="D152" s="85" t="s">
        <v>932</v>
      </c>
      <c r="E152" s="36" t="s">
        <v>55</v>
      </c>
      <c r="F152" s="69" t="s">
        <v>216</v>
      </c>
      <c r="G152" s="36" t="s">
        <v>41</v>
      </c>
      <c r="H152" s="28" t="s">
        <v>938</v>
      </c>
      <c r="I152" s="39">
        <v>2000.0</v>
      </c>
      <c r="J152" s="39">
        <v>2000.0</v>
      </c>
      <c r="K152" s="41"/>
      <c r="L152" s="42">
        <v>2000.0</v>
      </c>
      <c r="M152" s="42">
        <v>2000.0</v>
      </c>
      <c r="N152" s="42">
        <v>6347.0</v>
      </c>
      <c r="O152" s="39">
        <v>2000.0</v>
      </c>
      <c r="P152" s="39">
        <v>2000.0</v>
      </c>
      <c r="Q152" s="41"/>
      <c r="R152" s="46"/>
      <c r="S152" s="46">
        <v>0.67</v>
      </c>
      <c r="T152" s="50">
        <f>IFERROR(__xludf.DUMMYFUNCTION("((IFERROR(MIN(FILTER({K152, N152, Q152}, ISNUMBER({K152, N152, Q152}), {K152, N152, Q152} &gt; 0)), """"))*S152)+IFERROR(MIN(FILTER({K152, N152, Q152}, ISNUMBER({K152, N152, Q152}), {K152, N152, Q152} &gt; 0)), """")"),10599.490000000002)</f>
        <v>10599.49</v>
      </c>
      <c r="U152" s="53">
        <f>IFERROR(__xludf.DUMMYFUNCTION("(T152-(IFERROR(MIN(FILTER({K152, N152, Q152}, ISNUMBER({K152, N152, Q152}), {K152, N152, Q152} &gt; 0)), """")))/T152"),0.40119760479041927)</f>
        <v>0.4011976048</v>
      </c>
      <c r="V152" s="88">
        <f t="shared" si="10"/>
        <v>7933.75</v>
      </c>
      <c r="W152" s="89"/>
    </row>
    <row r="153" ht="22.5" customHeight="1">
      <c r="A153" s="28" t="s">
        <v>908</v>
      </c>
      <c r="B153" s="28" t="s">
        <v>831</v>
      </c>
      <c r="C153" s="30" t="s">
        <v>106</v>
      </c>
      <c r="D153" s="85" t="s">
        <v>932</v>
      </c>
      <c r="E153" s="36" t="s">
        <v>55</v>
      </c>
      <c r="F153" s="69" t="s">
        <v>216</v>
      </c>
      <c r="G153" s="36" t="s">
        <v>41</v>
      </c>
      <c r="H153" s="28" t="s">
        <v>942</v>
      </c>
      <c r="I153" s="39">
        <v>1000.0</v>
      </c>
      <c r="J153" s="39">
        <v>1000.0</v>
      </c>
      <c r="K153" s="41"/>
      <c r="L153" s="42">
        <v>1000.0</v>
      </c>
      <c r="M153" s="42">
        <v>1000.0</v>
      </c>
      <c r="N153" s="42">
        <v>8168.0</v>
      </c>
      <c r="O153" s="39">
        <v>1000.0</v>
      </c>
      <c r="P153" s="39">
        <v>1000.0</v>
      </c>
      <c r="Q153" s="39">
        <v>6500.0</v>
      </c>
      <c r="R153" s="46"/>
      <c r="S153" s="46">
        <v>0.67</v>
      </c>
      <c r="T153" s="50">
        <f>IFERROR(__xludf.DUMMYFUNCTION("((IFERROR(MIN(FILTER({K153, N153, Q153}, ISNUMBER({K153, N153, Q153}), {K153, N153, Q153} &gt; 0)), """"))*S153)+IFERROR(MIN(FILTER({K153, N153, Q153}, ISNUMBER({K153, N153, Q153}), {K153, N153, Q153} &gt; 0)), """")"),10855.0)</f>
        <v>10855</v>
      </c>
      <c r="U153" s="53">
        <f>IFERROR(__xludf.DUMMYFUNCTION("(T153-(IFERROR(MIN(FILTER({K153, N153, Q153}, ISNUMBER({K153, N153, Q153}), {K153, N153, Q153} &gt; 0)), """")))/T153"),0.40119760479041916)</f>
        <v>0.4011976048</v>
      </c>
      <c r="V153" s="88">
        <f t="shared" si="10"/>
        <v>10210</v>
      </c>
      <c r="W153" s="89"/>
    </row>
    <row r="154" ht="22.5" customHeight="1">
      <c r="A154" s="28" t="s">
        <v>908</v>
      </c>
      <c r="B154" s="28" t="s">
        <v>831</v>
      </c>
      <c r="C154" s="30" t="s">
        <v>349</v>
      </c>
      <c r="D154" s="85" t="s">
        <v>932</v>
      </c>
      <c r="E154" s="36" t="s">
        <v>55</v>
      </c>
      <c r="F154" s="69" t="s">
        <v>216</v>
      </c>
      <c r="G154" s="36" t="s">
        <v>41</v>
      </c>
      <c r="H154" s="28" t="s">
        <v>943</v>
      </c>
      <c r="I154" s="39">
        <v>3000.0</v>
      </c>
      <c r="J154" s="39">
        <v>3000.0</v>
      </c>
      <c r="K154" s="41"/>
      <c r="L154" s="42">
        <v>3000.0</v>
      </c>
      <c r="M154" s="42">
        <v>3000.0</v>
      </c>
      <c r="N154" s="60"/>
      <c r="O154" s="39">
        <v>3000.0</v>
      </c>
      <c r="P154" s="39">
        <v>3000.0</v>
      </c>
      <c r="Q154" s="39">
        <v>2800.0</v>
      </c>
      <c r="R154" s="46"/>
      <c r="S154" s="46">
        <v>0.67</v>
      </c>
      <c r="T154" s="50">
        <f>IFERROR(__xludf.DUMMYFUNCTION("((IFERROR(MIN(FILTER({K154, N154, Q154}, ISNUMBER({K154, N154, Q154}), {K154, N154, Q154} &gt; 0)), """"))*S154)+IFERROR(MIN(FILTER({K154, N154, Q154}, ISNUMBER({K154, N154, Q154}), {K154, N154, Q154} &gt; 0)), """")"),4676.0)</f>
        <v>4676</v>
      </c>
      <c r="U154" s="53">
        <f>IFERROR(__xludf.DUMMYFUNCTION("(T154-(IFERROR(MIN(FILTER({K154, N154, Q154}, ISNUMBER({K154, N154, Q154}), {K154, N154, Q154} &gt; 0)), """")))/T154"),0.40119760479041916)</f>
        <v>0.4011976048</v>
      </c>
      <c r="V154" s="88">
        <f t="shared" si="10"/>
        <v>3500</v>
      </c>
      <c r="W154" s="89"/>
    </row>
    <row r="155" ht="22.5" customHeight="1">
      <c r="A155" s="28" t="s">
        <v>908</v>
      </c>
      <c r="B155" s="28" t="s">
        <v>831</v>
      </c>
      <c r="C155" s="30" t="s">
        <v>349</v>
      </c>
      <c r="D155" s="85" t="s">
        <v>932</v>
      </c>
      <c r="E155" s="36" t="s">
        <v>55</v>
      </c>
      <c r="F155" s="69" t="s">
        <v>216</v>
      </c>
      <c r="G155" s="36" t="s">
        <v>41</v>
      </c>
      <c r="H155" s="28" t="s">
        <v>946</v>
      </c>
      <c r="I155" s="39">
        <v>100000.0</v>
      </c>
      <c r="J155" s="39">
        <v>100000.0</v>
      </c>
      <c r="K155" s="39">
        <v>330.0</v>
      </c>
      <c r="L155" s="42">
        <v>100000.0</v>
      </c>
      <c r="M155" s="42">
        <v>100000.0</v>
      </c>
      <c r="N155" s="42"/>
      <c r="O155" s="39">
        <v>100000.0</v>
      </c>
      <c r="P155" s="39">
        <v>100000.0</v>
      </c>
      <c r="Q155" s="39"/>
      <c r="R155" s="46"/>
      <c r="S155" s="46">
        <v>0.67</v>
      </c>
      <c r="T155" s="50">
        <f>IFERROR(__xludf.DUMMYFUNCTION("((IFERROR(MIN(FILTER({K155, N155, Q155}, ISNUMBER({K155, N155, Q155}), {K155, N155, Q155} &gt; 0)), """"))*S155)+IFERROR(MIN(FILTER({K155, N155, Q155}, ISNUMBER({K155, N155, Q155}), {K155, N155, Q155} &gt; 0)), """")"),551.1)</f>
        <v>551.1</v>
      </c>
      <c r="U155" s="53">
        <f>IFERROR(__xludf.DUMMYFUNCTION("(T155-(IFERROR(MIN(FILTER({K155, N155, Q155}, ISNUMBER({K155, N155, Q155}), {K155, N155, Q155} &gt; 0)), """")))/T155"),0.40119760479041916)</f>
        <v>0.4011976048</v>
      </c>
      <c r="V155" s="88">
        <f t="shared" si="10"/>
        <v>412.5</v>
      </c>
      <c r="W155" s="89"/>
    </row>
    <row r="156" ht="22.5" customHeight="1">
      <c r="A156" s="28" t="s">
        <v>908</v>
      </c>
      <c r="B156" s="28" t="s">
        <v>831</v>
      </c>
      <c r="C156" s="30" t="s">
        <v>349</v>
      </c>
      <c r="D156" s="85" t="s">
        <v>932</v>
      </c>
      <c r="E156" s="36" t="s">
        <v>55</v>
      </c>
      <c r="F156" s="69" t="s">
        <v>216</v>
      </c>
      <c r="G156" s="36" t="s">
        <v>41</v>
      </c>
      <c r="H156" s="28" t="s">
        <v>949</v>
      </c>
      <c r="I156" s="39">
        <v>25000.0</v>
      </c>
      <c r="J156" s="39">
        <v>25000.0</v>
      </c>
      <c r="K156" s="39">
        <v>450.0</v>
      </c>
      <c r="L156" s="42">
        <v>25000.0</v>
      </c>
      <c r="M156" s="42">
        <v>25000.0</v>
      </c>
      <c r="N156" s="42"/>
      <c r="O156" s="39">
        <v>25000.0</v>
      </c>
      <c r="P156" s="39">
        <v>25000.0</v>
      </c>
      <c r="Q156" s="39"/>
      <c r="R156" s="46"/>
      <c r="S156" s="46">
        <v>0.67</v>
      </c>
      <c r="T156" s="50">
        <f>IFERROR(__xludf.DUMMYFUNCTION("((IFERROR(MIN(FILTER({K156, N156, Q156}, ISNUMBER({K156, N156, Q156}), {K156, N156, Q156} &gt; 0)), """"))*S156)+IFERROR(MIN(FILTER({K156, N156, Q156}, ISNUMBER({K156, N156, Q156}), {K156, N156, Q156} &gt; 0)), """")"),751.5)</f>
        <v>751.5</v>
      </c>
      <c r="U156" s="53">
        <f>IFERROR(__xludf.DUMMYFUNCTION("(T156-(IFERROR(MIN(FILTER({K156, N156, Q156}, ISNUMBER({K156, N156, Q156}), {K156, N156, Q156} &gt; 0)), """")))/T156"),0.40119760479041916)</f>
        <v>0.4011976048</v>
      </c>
      <c r="V156" s="88">
        <f t="shared" si="10"/>
        <v>562.5</v>
      </c>
      <c r="W156" s="89"/>
    </row>
    <row r="157" ht="22.5" customHeight="1">
      <c r="A157" s="28" t="s">
        <v>908</v>
      </c>
      <c r="B157" s="28" t="s">
        <v>831</v>
      </c>
      <c r="C157" s="30" t="s">
        <v>106</v>
      </c>
      <c r="D157" s="85" t="s">
        <v>954</v>
      </c>
      <c r="E157" s="36" t="s">
        <v>55</v>
      </c>
      <c r="F157" s="69" t="s">
        <v>216</v>
      </c>
      <c r="G157" s="36" t="s">
        <v>41</v>
      </c>
      <c r="H157" s="28" t="s">
        <v>955</v>
      </c>
      <c r="I157" s="39">
        <v>25000.0</v>
      </c>
      <c r="J157" s="39">
        <v>25000.0</v>
      </c>
      <c r="K157" s="39">
        <v>330.0</v>
      </c>
      <c r="L157" s="42">
        <v>25000.0</v>
      </c>
      <c r="M157" s="42">
        <v>25000.0</v>
      </c>
      <c r="N157" s="42"/>
      <c r="O157" s="39">
        <v>25000.0</v>
      </c>
      <c r="P157" s="39">
        <v>25000.0</v>
      </c>
      <c r="Q157" s="39"/>
      <c r="R157" s="46"/>
      <c r="S157" s="46">
        <v>0.67</v>
      </c>
      <c r="T157" s="50">
        <f>IFERROR(__xludf.DUMMYFUNCTION("((IFERROR(MIN(FILTER({K157, N157, Q157}, ISNUMBER({K157, N157, Q157}), {K157, N157, Q157} &gt; 0)), """"))*S157)+IFERROR(MIN(FILTER({K157, N157, Q157}, ISNUMBER({K157, N157, Q157}), {K157, N157, Q157} &gt; 0)), """")"),551.1)</f>
        <v>551.1</v>
      </c>
      <c r="U157" s="53">
        <f>IFERROR(__xludf.DUMMYFUNCTION("(T157-(IFERROR(MIN(FILTER({K157, N157, Q157}, ISNUMBER({K157, N157, Q157}), {K157, N157, Q157} &gt; 0)), """")))/T157"),0.40119760479041916)</f>
        <v>0.4011976048</v>
      </c>
      <c r="V157" s="88">
        <f t="shared" si="10"/>
        <v>412.5</v>
      </c>
      <c r="W157" s="89"/>
    </row>
    <row r="158" ht="22.5" customHeight="1">
      <c r="A158" s="28" t="s">
        <v>908</v>
      </c>
      <c r="B158" s="28" t="s">
        <v>831</v>
      </c>
      <c r="C158" s="30" t="s">
        <v>106</v>
      </c>
      <c r="D158" s="85" t="s">
        <v>954</v>
      </c>
      <c r="E158" s="36" t="s">
        <v>55</v>
      </c>
      <c r="F158" s="69" t="s">
        <v>216</v>
      </c>
      <c r="G158" s="36" t="s">
        <v>41</v>
      </c>
      <c r="H158" s="28" t="s">
        <v>959</v>
      </c>
      <c r="I158" s="39">
        <v>25000.0</v>
      </c>
      <c r="J158" s="39">
        <v>25000.0</v>
      </c>
      <c r="K158" s="39">
        <v>1800.0</v>
      </c>
      <c r="L158" s="42">
        <v>25000.0</v>
      </c>
      <c r="M158" s="42">
        <v>25000.0</v>
      </c>
      <c r="N158" s="42"/>
      <c r="O158" s="39">
        <v>25000.0</v>
      </c>
      <c r="P158" s="39">
        <v>25000.0</v>
      </c>
      <c r="Q158" s="39"/>
      <c r="R158" s="46"/>
      <c r="S158" s="46">
        <v>0.67</v>
      </c>
      <c r="T158" s="50">
        <f>IFERROR(__xludf.DUMMYFUNCTION("((IFERROR(MIN(FILTER({K158, N158, Q158}, ISNUMBER({K158, N158, Q158}), {K158, N158, Q158} &gt; 0)), """"))*S158)+IFERROR(MIN(FILTER({K158, N158, Q158}, ISNUMBER({K158, N158, Q158}), {K158, N158, Q158} &gt; 0)), """")"),3006.0)</f>
        <v>3006</v>
      </c>
      <c r="U158" s="53">
        <f>IFERROR(__xludf.DUMMYFUNCTION("(T158-(IFERROR(MIN(FILTER({K158, N158, Q158}, ISNUMBER({K158, N158, Q158}), {K158, N158, Q158} &gt; 0)), """")))/T158"),0.40119760479041916)</f>
        <v>0.4011976048</v>
      </c>
      <c r="V158" s="88">
        <f t="shared" si="10"/>
        <v>2250</v>
      </c>
      <c r="W158" s="89"/>
    </row>
    <row r="159" ht="22.5" customHeight="1">
      <c r="A159" s="28" t="s">
        <v>908</v>
      </c>
      <c r="B159" s="28" t="s">
        <v>831</v>
      </c>
      <c r="C159" s="30" t="s">
        <v>106</v>
      </c>
      <c r="D159" s="85" t="s">
        <v>954</v>
      </c>
      <c r="E159" s="36" t="s">
        <v>55</v>
      </c>
      <c r="F159" s="69" t="s">
        <v>216</v>
      </c>
      <c r="G159" s="36" t="s">
        <v>41</v>
      </c>
      <c r="H159" s="28" t="s">
        <v>962</v>
      </c>
      <c r="I159" s="39">
        <v>25000.0</v>
      </c>
      <c r="J159" s="39">
        <v>25000.0</v>
      </c>
      <c r="K159" s="39">
        <v>310.0</v>
      </c>
      <c r="L159" s="42">
        <v>25000.0</v>
      </c>
      <c r="M159" s="42">
        <v>25000.0</v>
      </c>
      <c r="N159" s="42"/>
      <c r="O159" s="39">
        <v>25000.0</v>
      </c>
      <c r="P159" s="39">
        <v>25000.0</v>
      </c>
      <c r="Q159" s="39"/>
      <c r="R159" s="46"/>
      <c r="S159" s="46">
        <v>0.67</v>
      </c>
      <c r="T159" s="50">
        <f>IFERROR(__xludf.DUMMYFUNCTION("((IFERROR(MIN(FILTER({K159, N159, Q159}, ISNUMBER({K159, N159, Q159}), {K159, N159, Q159} &gt; 0)), """"))*S159)+IFERROR(MIN(FILTER({K159, N159, Q159}, ISNUMBER({K159, N159, Q159}), {K159, N159, Q159} &gt; 0)), """")"),517.7)</f>
        <v>517.7</v>
      </c>
      <c r="U159" s="53">
        <f>IFERROR(__xludf.DUMMYFUNCTION("(T159-(IFERROR(MIN(FILTER({K159, N159, Q159}, ISNUMBER({K159, N159, Q159}), {K159, N159, Q159} &gt; 0)), """")))/T159"),0.4011976047904192)</f>
        <v>0.4011976048</v>
      </c>
      <c r="V159" s="88">
        <f t="shared" si="10"/>
        <v>387.5</v>
      </c>
      <c r="W159" s="89"/>
    </row>
    <row r="160" ht="22.5" customHeight="1">
      <c r="A160" s="28" t="s">
        <v>908</v>
      </c>
      <c r="B160" s="28" t="s">
        <v>831</v>
      </c>
      <c r="C160" s="30" t="s">
        <v>349</v>
      </c>
      <c r="D160" s="85" t="s">
        <v>954</v>
      </c>
      <c r="E160" s="36" t="s">
        <v>55</v>
      </c>
      <c r="F160" s="69" t="s">
        <v>216</v>
      </c>
      <c r="G160" s="36" t="s">
        <v>41</v>
      </c>
      <c r="H160" s="28" t="s">
        <v>965</v>
      </c>
      <c r="I160" s="39">
        <v>50000.0</v>
      </c>
      <c r="J160" s="39">
        <v>50000.0</v>
      </c>
      <c r="K160" s="39">
        <v>2850.0</v>
      </c>
      <c r="L160" s="42">
        <v>50000.0</v>
      </c>
      <c r="M160" s="42">
        <v>50000.0</v>
      </c>
      <c r="N160" s="42"/>
      <c r="O160" s="39">
        <v>50000.0</v>
      </c>
      <c r="P160" s="39">
        <v>50000.0</v>
      </c>
      <c r="Q160" s="39"/>
      <c r="R160" s="46"/>
      <c r="S160" s="46">
        <v>0.67</v>
      </c>
      <c r="T160" s="50">
        <f>IFERROR(__xludf.DUMMYFUNCTION("((IFERROR(MIN(FILTER({K160, N160, Q160}, ISNUMBER({K160, N160, Q160}), {K160, N160, Q160} &gt; 0)), """"))*S160)+IFERROR(MIN(FILTER({K160, N160, Q160}, ISNUMBER({K160, N160, Q160}), {K160, N160, Q160} &gt; 0)), """")"),4759.5)</f>
        <v>4759.5</v>
      </c>
      <c r="U160" s="53">
        <f>IFERROR(__xludf.DUMMYFUNCTION("(T160-(IFERROR(MIN(FILTER({K160, N160, Q160}, ISNUMBER({K160, N160, Q160}), {K160, N160, Q160} &gt; 0)), """")))/T160"),0.40119760479041916)</f>
        <v>0.4011976048</v>
      </c>
      <c r="V160" s="88">
        <f t="shared" si="10"/>
        <v>3562.5</v>
      </c>
      <c r="W160" s="89"/>
    </row>
    <row r="161" ht="22.5" customHeight="1">
      <c r="A161" s="28" t="s">
        <v>908</v>
      </c>
      <c r="B161" s="28" t="s">
        <v>831</v>
      </c>
      <c r="C161" s="30" t="s">
        <v>349</v>
      </c>
      <c r="D161" s="85" t="s">
        <v>954</v>
      </c>
      <c r="E161" s="36" t="s">
        <v>55</v>
      </c>
      <c r="F161" s="69" t="s">
        <v>216</v>
      </c>
      <c r="G161" s="36" t="s">
        <v>41</v>
      </c>
      <c r="H161" s="28" t="s">
        <v>966</v>
      </c>
      <c r="I161" s="39">
        <v>100000.0</v>
      </c>
      <c r="J161" s="39">
        <v>100000.0</v>
      </c>
      <c r="K161" s="39">
        <v>2650.0</v>
      </c>
      <c r="L161" s="42">
        <v>100000.0</v>
      </c>
      <c r="M161" s="42">
        <v>100000.0</v>
      </c>
      <c r="N161" s="42"/>
      <c r="O161" s="39">
        <v>100000.0</v>
      </c>
      <c r="P161" s="39">
        <v>100000.0</v>
      </c>
      <c r="Q161" s="39"/>
      <c r="R161" s="46"/>
      <c r="S161" s="46">
        <v>0.67</v>
      </c>
      <c r="T161" s="50">
        <f>IFERROR(__xludf.DUMMYFUNCTION("((IFERROR(MIN(FILTER({K161, N161, Q161}, ISNUMBER({K161, N161, Q161}), {K161, N161, Q161} &gt; 0)), """"))*S161)+IFERROR(MIN(FILTER({K161, N161, Q161}, ISNUMBER({K161, N161, Q161}), {K161, N161, Q161} &gt; 0)), """")"),4425.5)</f>
        <v>4425.5</v>
      </c>
      <c r="U161" s="53">
        <f>IFERROR(__xludf.DUMMYFUNCTION("(T161-(IFERROR(MIN(FILTER({K161, N161, Q161}, ISNUMBER({K161, N161, Q161}), {K161, N161, Q161} &gt; 0)), """")))/T161"),0.40119760479041916)</f>
        <v>0.4011976048</v>
      </c>
      <c r="V161" s="88">
        <f t="shared" si="10"/>
        <v>3312.5</v>
      </c>
      <c r="W161" s="89"/>
    </row>
    <row r="162" ht="22.5" customHeight="1">
      <c r="A162" s="28" t="s">
        <v>908</v>
      </c>
      <c r="B162" s="28" t="s">
        <v>831</v>
      </c>
      <c r="C162" s="30" t="s">
        <v>349</v>
      </c>
      <c r="D162" s="85" t="s">
        <v>954</v>
      </c>
      <c r="E162" s="36" t="s">
        <v>55</v>
      </c>
      <c r="F162" s="69" t="s">
        <v>216</v>
      </c>
      <c r="G162" s="36" t="s">
        <v>41</v>
      </c>
      <c r="H162" s="28" t="s">
        <v>970</v>
      </c>
      <c r="I162" s="39">
        <v>500000.0</v>
      </c>
      <c r="J162" s="39">
        <v>500000.0</v>
      </c>
      <c r="K162" s="39">
        <v>350.0</v>
      </c>
      <c r="L162" s="42">
        <v>500000.0</v>
      </c>
      <c r="M162" s="42">
        <v>500000.0</v>
      </c>
      <c r="N162" s="42"/>
      <c r="O162" s="39">
        <v>500000.0</v>
      </c>
      <c r="P162" s="39">
        <v>500000.0</v>
      </c>
      <c r="Q162" s="39"/>
      <c r="R162" s="46"/>
      <c r="S162" s="46">
        <v>0.67</v>
      </c>
      <c r="T162" s="50">
        <f>IFERROR(__xludf.DUMMYFUNCTION("((IFERROR(MIN(FILTER({K162, N162, Q162}, ISNUMBER({K162, N162, Q162}), {K162, N162, Q162} &gt; 0)), """"))*S162)+IFERROR(MIN(FILTER({K162, N162, Q162}, ISNUMBER({K162, N162, Q162}), {K162, N162, Q162} &gt; 0)), """")"),584.5)</f>
        <v>584.5</v>
      </c>
      <c r="U162" s="53">
        <f>IFERROR(__xludf.DUMMYFUNCTION("(T162-(IFERROR(MIN(FILTER({K162, N162, Q162}, ISNUMBER({K162, N162, Q162}), {K162, N162, Q162} &gt; 0)), """")))/T162"),0.40119760479041916)</f>
        <v>0.4011976048</v>
      </c>
      <c r="V162" s="88">
        <f t="shared" si="10"/>
        <v>437.5</v>
      </c>
      <c r="W162" s="89"/>
    </row>
    <row r="163" ht="22.5" customHeight="1">
      <c r="A163" s="28" t="s">
        <v>973</v>
      </c>
      <c r="B163" s="28" t="s">
        <v>378</v>
      </c>
      <c r="C163" s="30" t="s">
        <v>106</v>
      </c>
      <c r="D163" s="85" t="s">
        <v>974</v>
      </c>
      <c r="E163" s="36" t="s">
        <v>55</v>
      </c>
      <c r="F163" s="69" t="s">
        <v>108</v>
      </c>
      <c r="G163" s="36" t="s">
        <v>41</v>
      </c>
      <c r="H163" s="28" t="s">
        <v>975</v>
      </c>
      <c r="I163" s="39">
        <v>2000000.0</v>
      </c>
      <c r="J163" s="39">
        <v>2000000.0</v>
      </c>
      <c r="K163" s="39">
        <v>340.0</v>
      </c>
      <c r="L163" s="42">
        <v>2000000.0</v>
      </c>
      <c r="M163" s="42">
        <v>2000000.0</v>
      </c>
      <c r="N163" s="42"/>
      <c r="O163" s="39">
        <v>2000000.0</v>
      </c>
      <c r="P163" s="39">
        <v>2000000.0</v>
      </c>
      <c r="Q163" s="39"/>
      <c r="R163" s="46"/>
      <c r="S163" s="46">
        <v>0.67</v>
      </c>
      <c r="T163" s="50">
        <f>IFERROR(__xludf.DUMMYFUNCTION("((IFERROR(MIN(FILTER({K163, N163, Q163}, ISNUMBER({K163, N163, Q163}), {K163, N163, Q163} &gt; 0)), """"))*S163)+IFERROR(MIN(FILTER({K163, N163, Q163}, ISNUMBER({K163, N163, Q163}), {K163, N163, Q163} &gt; 0)), """")"),567.8)</f>
        <v>567.8</v>
      </c>
      <c r="U163" s="53">
        <f>IFERROR(__xludf.DUMMYFUNCTION("(T163-(IFERROR(MIN(FILTER({K163, N163, Q163}, ISNUMBER({K163, N163, Q163}), {K163, N163, Q163} &gt; 0)), """")))/T163"),0.4011976047904191)</f>
        <v>0.4011976048</v>
      </c>
      <c r="V163" s="88">
        <f t="shared" si="10"/>
        <v>425</v>
      </c>
      <c r="W163" s="89"/>
    </row>
    <row r="164" ht="22.5" customHeight="1">
      <c r="A164" s="28" t="s">
        <v>973</v>
      </c>
      <c r="B164" s="28" t="s">
        <v>378</v>
      </c>
      <c r="C164" s="30" t="s">
        <v>106</v>
      </c>
      <c r="D164" s="85" t="s">
        <v>974</v>
      </c>
      <c r="E164" s="36" t="s">
        <v>55</v>
      </c>
      <c r="F164" s="69" t="s">
        <v>108</v>
      </c>
      <c r="G164" s="36" t="s">
        <v>41</v>
      </c>
      <c r="H164" s="28" t="s">
        <v>979</v>
      </c>
      <c r="I164" s="39">
        <v>300000.0</v>
      </c>
      <c r="J164" s="39">
        <v>300000.0</v>
      </c>
      <c r="K164" s="39">
        <v>1500.0</v>
      </c>
      <c r="L164" s="42">
        <v>300000.0</v>
      </c>
      <c r="M164" s="42">
        <v>300000.0</v>
      </c>
      <c r="N164" s="42"/>
      <c r="O164" s="39">
        <v>300000.0</v>
      </c>
      <c r="P164" s="39">
        <v>300000.0</v>
      </c>
      <c r="Q164" s="39"/>
      <c r="R164" s="46"/>
      <c r="S164" s="46">
        <v>0.67</v>
      </c>
      <c r="T164" s="50">
        <f>IFERROR(__xludf.DUMMYFUNCTION("((IFERROR(MIN(FILTER({K164, N164, Q164}, ISNUMBER({K164, N164, Q164}), {K164, N164, Q164} &gt; 0)), """"))*S164)+IFERROR(MIN(FILTER({K164, N164, Q164}, ISNUMBER({K164, N164, Q164}), {K164, N164, Q164} &gt; 0)), """")"),2505.0)</f>
        <v>2505</v>
      </c>
      <c r="U164" s="53">
        <f>IFERROR(__xludf.DUMMYFUNCTION("(T164-(IFERROR(MIN(FILTER({K164, N164, Q164}, ISNUMBER({K164, N164, Q164}), {K164, N164, Q164} &gt; 0)), """")))/T164"),0.40119760479041916)</f>
        <v>0.4011976048</v>
      </c>
      <c r="V164" s="88">
        <f t="shared" si="10"/>
        <v>1875</v>
      </c>
      <c r="W164" s="89"/>
    </row>
    <row r="165" ht="22.5" customHeight="1">
      <c r="A165" s="28" t="s">
        <v>982</v>
      </c>
      <c r="B165" s="28" t="s">
        <v>831</v>
      </c>
      <c r="C165" s="30" t="s">
        <v>106</v>
      </c>
      <c r="D165" s="85" t="s">
        <v>983</v>
      </c>
      <c r="E165" s="36" t="s">
        <v>55</v>
      </c>
      <c r="F165" s="69" t="s">
        <v>58</v>
      </c>
      <c r="G165" s="36" t="s">
        <v>41</v>
      </c>
      <c r="H165" s="28" t="s">
        <v>984</v>
      </c>
      <c r="I165" s="39">
        <v>300000.0</v>
      </c>
      <c r="J165" s="39">
        <v>300000.0</v>
      </c>
      <c r="K165" s="39">
        <v>1200.0</v>
      </c>
      <c r="L165" s="42">
        <v>300000.0</v>
      </c>
      <c r="M165" s="42">
        <v>300000.0</v>
      </c>
      <c r="N165" s="42"/>
      <c r="O165" s="39">
        <v>300000.0</v>
      </c>
      <c r="P165" s="39">
        <v>300000.0</v>
      </c>
      <c r="Q165" s="39"/>
      <c r="R165" s="46"/>
      <c r="S165" s="46">
        <v>0.67</v>
      </c>
      <c r="T165" s="50">
        <f>IFERROR(__xludf.DUMMYFUNCTION("((IFERROR(MIN(FILTER({K165, N165, Q165}, ISNUMBER({K165, N165, Q165}), {K165, N165, Q165} &gt; 0)), """"))*S165)+IFERROR(MIN(FILTER({K165, N165, Q165}, ISNUMBER({K165, N165, Q165}), {K165, N165, Q165} &gt; 0)), """")"),2004.0)</f>
        <v>2004</v>
      </c>
      <c r="U165" s="53">
        <f>IFERROR(__xludf.DUMMYFUNCTION("(T165-(IFERROR(MIN(FILTER({K165, N165, Q165}, ISNUMBER({K165, N165, Q165}), {K165, N165, Q165} &gt; 0)), """")))/T165"),0.40119760479041916)</f>
        <v>0.4011976048</v>
      </c>
      <c r="V165" s="88">
        <f t="shared" si="10"/>
        <v>1500</v>
      </c>
      <c r="W165" s="89"/>
    </row>
    <row r="166" ht="22.5" customHeight="1">
      <c r="A166" s="28" t="s">
        <v>982</v>
      </c>
      <c r="B166" s="28" t="s">
        <v>831</v>
      </c>
      <c r="C166" s="30" t="s">
        <v>106</v>
      </c>
      <c r="D166" s="85" t="s">
        <v>983</v>
      </c>
      <c r="E166" s="36" t="s">
        <v>55</v>
      </c>
      <c r="F166" s="69" t="s">
        <v>58</v>
      </c>
      <c r="G166" s="36" t="s">
        <v>41</v>
      </c>
      <c r="H166" s="28" t="s">
        <v>986</v>
      </c>
      <c r="I166" s="39">
        <v>50000.0</v>
      </c>
      <c r="J166" s="39">
        <v>50000.0</v>
      </c>
      <c r="K166" s="39">
        <v>1350.0</v>
      </c>
      <c r="L166" s="42">
        <v>50000.0</v>
      </c>
      <c r="M166" s="42">
        <v>50000.0</v>
      </c>
      <c r="N166" s="42"/>
      <c r="O166" s="39">
        <v>50000.0</v>
      </c>
      <c r="P166" s="39">
        <v>50000.0</v>
      </c>
      <c r="Q166" s="39"/>
      <c r="R166" s="46"/>
      <c r="S166" s="46">
        <v>0.67</v>
      </c>
      <c r="T166" s="50">
        <f>IFERROR(__xludf.DUMMYFUNCTION("((IFERROR(MIN(FILTER({K166, N166, Q166}, ISNUMBER({K166, N166, Q166}), {K166, N166, Q166} &gt; 0)), """"))*S166)+IFERROR(MIN(FILTER({K166, N166, Q166}, ISNUMBER({K166, N166, Q166}), {K166, N166, Q166} &gt; 0)), """")"),2254.5)</f>
        <v>2254.5</v>
      </c>
      <c r="U166" s="53">
        <f>IFERROR(__xludf.DUMMYFUNCTION("(T166-(IFERROR(MIN(FILTER({K166, N166, Q166}, ISNUMBER({K166, N166, Q166}), {K166, N166, Q166} &gt; 0)), """")))/T166"),0.40119760479041916)</f>
        <v>0.4011976048</v>
      </c>
      <c r="V166" s="88">
        <f t="shared" si="10"/>
        <v>1687.5</v>
      </c>
      <c r="W166" s="89"/>
    </row>
    <row r="167" ht="22.5" customHeight="1">
      <c r="A167" s="28" t="s">
        <v>982</v>
      </c>
      <c r="B167" s="28" t="s">
        <v>831</v>
      </c>
      <c r="C167" s="30" t="s">
        <v>106</v>
      </c>
      <c r="D167" s="85" t="s">
        <v>990</v>
      </c>
      <c r="E167" s="36" t="s">
        <v>55</v>
      </c>
      <c r="F167" s="69" t="s">
        <v>58</v>
      </c>
      <c r="G167" s="36" t="s">
        <v>41</v>
      </c>
      <c r="H167" s="28" t="s">
        <v>991</v>
      </c>
      <c r="I167" s="39">
        <v>100000.0</v>
      </c>
      <c r="J167" s="39">
        <v>100000.0</v>
      </c>
      <c r="K167" s="39">
        <v>1300.0</v>
      </c>
      <c r="L167" s="42">
        <v>100000.0</v>
      </c>
      <c r="M167" s="42">
        <v>100000.0</v>
      </c>
      <c r="N167" s="42"/>
      <c r="O167" s="39">
        <v>100000.0</v>
      </c>
      <c r="P167" s="39">
        <v>100000.0</v>
      </c>
      <c r="Q167" s="39"/>
      <c r="R167" s="46"/>
      <c r="S167" s="46">
        <v>0.67</v>
      </c>
      <c r="T167" s="50">
        <f>IFERROR(__xludf.DUMMYFUNCTION("((IFERROR(MIN(FILTER({K167, N167, Q167}, ISNUMBER({K167, N167, Q167}), {K167, N167, Q167} &gt; 0)), """"))*S167)+IFERROR(MIN(FILTER({K167, N167, Q167}, ISNUMBER({K167, N167, Q167}), {K167, N167, Q167} &gt; 0)), """")"),2171.0)</f>
        <v>2171</v>
      </c>
      <c r="U167" s="53">
        <f>IFERROR(__xludf.DUMMYFUNCTION("(T167-(IFERROR(MIN(FILTER({K167, N167, Q167}, ISNUMBER({K167, N167, Q167}), {K167, N167, Q167} &gt; 0)), """")))/T167"),0.40119760479041916)</f>
        <v>0.4011976048</v>
      </c>
      <c r="V167" s="88">
        <f t="shared" si="10"/>
        <v>1625</v>
      </c>
      <c r="W167" s="89"/>
    </row>
    <row r="168" ht="22.5" customHeight="1">
      <c r="A168" s="28" t="s">
        <v>982</v>
      </c>
      <c r="B168" s="28" t="s">
        <v>831</v>
      </c>
      <c r="C168" s="30" t="s">
        <v>106</v>
      </c>
      <c r="D168" s="85" t="s">
        <v>990</v>
      </c>
      <c r="E168" s="36" t="s">
        <v>55</v>
      </c>
      <c r="F168" s="69" t="s">
        <v>58</v>
      </c>
      <c r="G168" s="36" t="s">
        <v>41</v>
      </c>
      <c r="H168" s="28" t="s">
        <v>993</v>
      </c>
      <c r="I168" s="39">
        <v>200000.0</v>
      </c>
      <c r="J168" s="39">
        <v>200000.0</v>
      </c>
      <c r="K168" s="39">
        <v>1200.0</v>
      </c>
      <c r="L168" s="42">
        <v>200000.0</v>
      </c>
      <c r="M168" s="42">
        <v>200000.0</v>
      </c>
      <c r="N168" s="42"/>
      <c r="O168" s="39">
        <v>200000.0</v>
      </c>
      <c r="P168" s="39">
        <v>200000.0</v>
      </c>
      <c r="Q168" s="39"/>
      <c r="R168" s="46"/>
      <c r="S168" s="46">
        <v>0.67</v>
      </c>
      <c r="T168" s="50">
        <f>IFERROR(__xludf.DUMMYFUNCTION("((IFERROR(MIN(FILTER({K168, N168, Q168}, ISNUMBER({K168, N168, Q168}), {K168, N168, Q168} &gt; 0)), """"))*S168)+IFERROR(MIN(FILTER({K168, N168, Q168}, ISNUMBER({K168, N168, Q168}), {K168, N168, Q168} &gt; 0)), """")"),2004.0)</f>
        <v>2004</v>
      </c>
      <c r="U168" s="53">
        <f>IFERROR(__xludf.DUMMYFUNCTION("(T168-(IFERROR(MIN(FILTER({K168, N168, Q168}, ISNUMBER({K168, N168, Q168}), {K168, N168, Q168} &gt; 0)), """")))/T168"),0.40119760479041916)</f>
        <v>0.4011976048</v>
      </c>
      <c r="V168" s="88">
        <f t="shared" si="10"/>
        <v>1500</v>
      </c>
      <c r="W168" s="89"/>
    </row>
    <row r="169" ht="22.5" customHeight="1">
      <c r="A169" s="28" t="s">
        <v>1000</v>
      </c>
      <c r="B169" s="28" t="s">
        <v>1001</v>
      </c>
      <c r="C169" s="30" t="s">
        <v>106</v>
      </c>
      <c r="D169" s="85" t="s">
        <v>1002</v>
      </c>
      <c r="E169" s="36" t="s">
        <v>55</v>
      </c>
      <c r="F169" s="69" t="s">
        <v>216</v>
      </c>
      <c r="G169" s="36" t="s">
        <v>41</v>
      </c>
      <c r="H169" s="28" t="s">
        <v>1003</v>
      </c>
      <c r="I169" s="39">
        <v>50000.0</v>
      </c>
      <c r="J169" s="39">
        <v>50000.0</v>
      </c>
      <c r="K169" s="39">
        <v>350.0</v>
      </c>
      <c r="L169" s="42">
        <v>50000.0</v>
      </c>
      <c r="M169" s="42">
        <v>50000.0</v>
      </c>
      <c r="N169" s="42"/>
      <c r="O169" s="39">
        <v>50000.0</v>
      </c>
      <c r="P169" s="39">
        <v>50000.0</v>
      </c>
      <c r="Q169" s="39"/>
      <c r="R169" s="46"/>
      <c r="S169" s="46">
        <v>0.67</v>
      </c>
      <c r="T169" s="50">
        <f>IFERROR(__xludf.DUMMYFUNCTION("((IFERROR(MIN(FILTER({K169, N169, Q169}, ISNUMBER({K169, N169, Q169}), {K169, N169, Q169} &gt; 0)), """"))*S169)+IFERROR(MIN(FILTER({K169, N169, Q169}, ISNUMBER({K169, N169, Q169}), {K169, N169, Q169} &gt; 0)), """")"),584.5)</f>
        <v>584.5</v>
      </c>
      <c r="U169" s="53">
        <f>IFERROR(__xludf.DUMMYFUNCTION("(T169-(IFERROR(MIN(FILTER({K169, N169, Q169}, ISNUMBER({K169, N169, Q169}), {K169, N169, Q169} &gt; 0)), """")))/T169"),0.40119760479041916)</f>
        <v>0.4011976048</v>
      </c>
      <c r="V169" s="88">
        <f t="shared" si="10"/>
        <v>437.5</v>
      </c>
      <c r="W169" s="89"/>
    </row>
    <row r="170" ht="22.5" customHeight="1">
      <c r="A170" s="28" t="s">
        <v>412</v>
      </c>
      <c r="B170" s="28" t="s">
        <v>470</v>
      </c>
      <c r="C170" s="30" t="s">
        <v>479</v>
      </c>
      <c r="D170" s="85" t="s">
        <v>1006</v>
      </c>
      <c r="E170" s="36" t="s">
        <v>55</v>
      </c>
      <c r="F170" s="69" t="s">
        <v>1007</v>
      </c>
      <c r="G170" s="36" t="s">
        <v>41</v>
      </c>
      <c r="H170" s="28" t="s">
        <v>1008</v>
      </c>
      <c r="I170" s="39">
        <v>1000.0</v>
      </c>
      <c r="J170" s="39">
        <v>1000.0</v>
      </c>
      <c r="K170" s="41"/>
      <c r="L170" s="42">
        <v>1000.0</v>
      </c>
      <c r="M170" s="42">
        <v>1000.0</v>
      </c>
      <c r="N170" s="42">
        <v>10356.0</v>
      </c>
      <c r="O170" s="39">
        <v>1000.0</v>
      </c>
      <c r="P170" s="39">
        <v>1000.0</v>
      </c>
      <c r="Q170" s="63"/>
      <c r="R170" s="92">
        <f>IF(MAX(K170,N170,Q170)&gt;0, MAX(K170,N170,Q170))</f>
        <v>10356</v>
      </c>
      <c r="S170" s="46">
        <v>0.67</v>
      </c>
      <c r="T170" s="93">
        <f>IFERROR(__xludf.DUMMYFUNCTION("((IFERROR(MAX(FILTER({K170, N170, Q170}, ISNUMBER({K170, N170, Q170}), {K170, N170, Q170} &gt; 0)), """"))*S170)+IFERROR(MAX(FILTER({K170, N170, Q170}, ISNUMBER({K170, N170, Q170}), {K170, N170, Q170} &gt; 0)), """")"),17294.52)</f>
        <v>17294.52</v>
      </c>
      <c r="U170" s="53">
        <f>IFERROR(__xludf.DUMMYFUNCTION("(T170-(IFERROR(MIN(FILTER({K170, N170, Q170}, ISNUMBER({K170, N170, Q170}), {K170, N170, Q170} &gt; 0)), """")))/T170"),0.40119760479041916)</f>
        <v>0.4011976048</v>
      </c>
      <c r="V170" s="93">
        <f>IF(MAX(K170,N170,Q170)&gt;0, MAX(K170,N170,Q170)/0.75, 0)</f>
        <v>13808</v>
      </c>
      <c r="W170" s="94">
        <f>(V170-R170)/V170</f>
        <v>0.25</v>
      </c>
    </row>
    <row r="171" ht="22.5" customHeight="1">
      <c r="A171" s="28" t="s">
        <v>1013</v>
      </c>
      <c r="B171" s="28" t="s">
        <v>1014</v>
      </c>
      <c r="C171" s="30" t="s">
        <v>106</v>
      </c>
      <c r="D171" s="85" t="s">
        <v>1015</v>
      </c>
      <c r="E171" s="36" t="s">
        <v>63</v>
      </c>
      <c r="F171" s="69" t="s">
        <v>67</v>
      </c>
      <c r="G171" s="36" t="s">
        <v>41</v>
      </c>
      <c r="H171" s="28" t="s">
        <v>1016</v>
      </c>
      <c r="I171" s="39">
        <v>50000.0</v>
      </c>
      <c r="J171" s="39">
        <v>50000.0</v>
      </c>
      <c r="K171" s="39">
        <v>1450.0</v>
      </c>
      <c r="L171" s="42">
        <v>50000.0</v>
      </c>
      <c r="M171" s="42">
        <v>50000.0</v>
      </c>
      <c r="N171" s="42"/>
      <c r="O171" s="39">
        <v>50000.0</v>
      </c>
      <c r="P171" s="39">
        <v>50000.0</v>
      </c>
      <c r="Q171" s="39"/>
      <c r="R171" s="46"/>
      <c r="S171" s="46">
        <v>0.67</v>
      </c>
      <c r="T171" s="50">
        <f>IFERROR(__xludf.DUMMYFUNCTION("((IFERROR(MIN(FILTER({K171, N171, Q171}, ISNUMBER({K171, N171, Q171}), {K171, N171, Q171} &gt; 0)), """"))*S171)+IFERROR(MIN(FILTER({K171, N171, Q171}, ISNUMBER({K171, N171, Q171}), {K171, N171, Q171} &gt; 0)), """")"),2421.5)</f>
        <v>2421.5</v>
      </c>
      <c r="U171" s="53">
        <f>IFERROR(__xludf.DUMMYFUNCTION("(T171-(IFERROR(MIN(FILTER({K171, N171, Q171}, ISNUMBER({K171, N171, Q171}), {K171, N171, Q171} &gt; 0)), """")))/T171"),0.40119760479041916)</f>
        <v>0.4011976048</v>
      </c>
      <c r="V171" s="88">
        <f t="shared" ref="V171:V175" si="11">IF(MAX(K171,N171,Q171)&gt;0, MAX(K171,N171,Q171)*1.25, 0)</f>
        <v>1812.5</v>
      </c>
      <c r="W171" s="89"/>
    </row>
    <row r="172" ht="22.5" customHeight="1">
      <c r="A172" s="28" t="s">
        <v>1013</v>
      </c>
      <c r="B172" s="28" t="s">
        <v>1014</v>
      </c>
      <c r="C172" s="30" t="s">
        <v>106</v>
      </c>
      <c r="D172" s="85" t="s">
        <v>1021</v>
      </c>
      <c r="E172" s="36" t="s">
        <v>63</v>
      </c>
      <c r="F172" s="69" t="s">
        <v>67</v>
      </c>
      <c r="G172" s="36" t="s">
        <v>41</v>
      </c>
      <c r="H172" s="28" t="s">
        <v>1022</v>
      </c>
      <c r="I172" s="39">
        <v>100000.0</v>
      </c>
      <c r="J172" s="39">
        <v>100000.0</v>
      </c>
      <c r="K172" s="39">
        <v>1350.0</v>
      </c>
      <c r="L172" s="42">
        <v>100000.0</v>
      </c>
      <c r="M172" s="42">
        <v>100000.0</v>
      </c>
      <c r="N172" s="42"/>
      <c r="O172" s="39">
        <v>100000.0</v>
      </c>
      <c r="P172" s="39">
        <v>100000.0</v>
      </c>
      <c r="Q172" s="39"/>
      <c r="R172" s="46"/>
      <c r="S172" s="46">
        <v>0.67</v>
      </c>
      <c r="T172" s="50">
        <f>IFERROR(__xludf.DUMMYFUNCTION("((IFERROR(MIN(FILTER({K172, N172, Q172}, ISNUMBER({K172, N172, Q172}), {K172, N172, Q172} &gt; 0)), """"))*S172)+IFERROR(MIN(FILTER({K172, N172, Q172}, ISNUMBER({K172, N172, Q172}), {K172, N172, Q172} &gt; 0)), """")"),2254.5)</f>
        <v>2254.5</v>
      </c>
      <c r="U172" s="53">
        <f>IFERROR(__xludf.DUMMYFUNCTION("(T172-(IFERROR(MIN(FILTER({K172, N172, Q172}, ISNUMBER({K172, N172, Q172}), {K172, N172, Q172} &gt; 0)), """")))/T172"),0.40119760479041916)</f>
        <v>0.4011976048</v>
      </c>
      <c r="V172" s="88">
        <f t="shared" si="11"/>
        <v>1687.5</v>
      </c>
      <c r="W172" s="89"/>
    </row>
    <row r="173" ht="22.5" customHeight="1">
      <c r="A173" s="28" t="s">
        <v>1013</v>
      </c>
      <c r="B173" s="28" t="s">
        <v>1014</v>
      </c>
      <c r="C173" s="30" t="s">
        <v>106</v>
      </c>
      <c r="D173" s="85" t="s">
        <v>1025</v>
      </c>
      <c r="E173" s="36" t="s">
        <v>63</v>
      </c>
      <c r="F173" s="69" t="s">
        <v>67</v>
      </c>
      <c r="G173" s="36" t="s">
        <v>41</v>
      </c>
      <c r="H173" s="28" t="s">
        <v>1016</v>
      </c>
      <c r="I173" s="39">
        <v>200000.0</v>
      </c>
      <c r="J173" s="39">
        <v>200000.0</v>
      </c>
      <c r="K173" s="39">
        <v>1300.0</v>
      </c>
      <c r="L173" s="42">
        <v>200000.0</v>
      </c>
      <c r="M173" s="42">
        <v>200000.0</v>
      </c>
      <c r="N173" s="42"/>
      <c r="O173" s="39">
        <v>200000.0</v>
      </c>
      <c r="P173" s="39">
        <v>200000.0</v>
      </c>
      <c r="Q173" s="39"/>
      <c r="R173" s="46"/>
      <c r="S173" s="46">
        <v>0.67</v>
      </c>
      <c r="T173" s="50">
        <f>IFERROR(__xludf.DUMMYFUNCTION("((IFERROR(MIN(FILTER({K173, N173, Q173}, ISNUMBER({K173, N173, Q173}), {K173, N173, Q173} &gt; 0)), """"))*S173)+IFERROR(MIN(FILTER({K173, N173, Q173}, ISNUMBER({K173, N173, Q173}), {K173, N173, Q173} &gt; 0)), """")"),2171.0)</f>
        <v>2171</v>
      </c>
      <c r="U173" s="53">
        <f>IFERROR(__xludf.DUMMYFUNCTION("(T173-(IFERROR(MIN(FILTER({K173, N173, Q173}, ISNUMBER({K173, N173, Q173}), {K173, N173, Q173} &gt; 0)), """")))/T173"),0.40119760479041916)</f>
        <v>0.4011976048</v>
      </c>
      <c r="V173" s="88">
        <f t="shared" si="11"/>
        <v>1625</v>
      </c>
      <c r="W173" s="89"/>
    </row>
    <row r="174" ht="22.5" customHeight="1">
      <c r="A174" s="28" t="s">
        <v>1013</v>
      </c>
      <c r="B174" s="28" t="s">
        <v>1014</v>
      </c>
      <c r="C174" s="30" t="s">
        <v>1027</v>
      </c>
      <c r="D174" s="85" t="s">
        <v>1028</v>
      </c>
      <c r="E174" s="36" t="s">
        <v>63</v>
      </c>
      <c r="F174" s="69" t="s">
        <v>67</v>
      </c>
      <c r="G174" s="36" t="s">
        <v>41</v>
      </c>
      <c r="H174" s="28" t="s">
        <v>1022</v>
      </c>
      <c r="I174" s="39">
        <v>50000.0</v>
      </c>
      <c r="J174" s="39">
        <v>50000.0</v>
      </c>
      <c r="K174" s="39">
        <v>235.0</v>
      </c>
      <c r="L174" s="42">
        <v>50000.0</v>
      </c>
      <c r="M174" s="42">
        <v>50000.0</v>
      </c>
      <c r="N174" s="42"/>
      <c r="O174" s="39">
        <v>50000.0</v>
      </c>
      <c r="P174" s="39">
        <v>50000.0</v>
      </c>
      <c r="Q174" s="39"/>
      <c r="R174" s="46"/>
      <c r="S174" s="46">
        <v>0.67</v>
      </c>
      <c r="T174" s="50">
        <f>IFERROR(__xludf.DUMMYFUNCTION("((IFERROR(MIN(FILTER({K174, N174, Q174}, ISNUMBER({K174, N174, Q174}), {K174, N174, Q174} &gt; 0)), """"))*S174)+IFERROR(MIN(FILTER({K174, N174, Q174}, ISNUMBER({K174, N174, Q174}), {K174, N174, Q174} &gt; 0)), """")"),392.45000000000005)</f>
        <v>392.45</v>
      </c>
      <c r="U174" s="53">
        <f>IFERROR(__xludf.DUMMYFUNCTION("(T174-(IFERROR(MIN(FILTER({K174, N174, Q174}, ISNUMBER({K174, N174, Q174}), {K174, N174, Q174} &gt; 0)), """")))/T174"),0.4011976047904192)</f>
        <v>0.4011976048</v>
      </c>
      <c r="V174" s="88">
        <f t="shared" si="11"/>
        <v>293.75</v>
      </c>
      <c r="W174" s="89"/>
    </row>
    <row r="175" ht="22.5" customHeight="1">
      <c r="A175" s="28" t="s">
        <v>1013</v>
      </c>
      <c r="B175" s="28" t="s">
        <v>1029</v>
      </c>
      <c r="C175" s="30" t="s">
        <v>128</v>
      </c>
      <c r="D175" s="85" t="s">
        <v>1030</v>
      </c>
      <c r="E175" s="36" t="s">
        <v>63</v>
      </c>
      <c r="F175" s="69" t="s">
        <v>67</v>
      </c>
      <c r="G175" s="36" t="s">
        <v>41</v>
      </c>
      <c r="H175" s="28" t="s">
        <v>1031</v>
      </c>
      <c r="I175" s="39">
        <v>50000.0</v>
      </c>
      <c r="J175" s="39">
        <v>50000.0</v>
      </c>
      <c r="K175" s="39">
        <v>250.0</v>
      </c>
      <c r="L175" s="42">
        <v>50000.0</v>
      </c>
      <c r="M175" s="42">
        <v>50000.0</v>
      </c>
      <c r="N175" s="42"/>
      <c r="O175" s="39">
        <v>50000.0</v>
      </c>
      <c r="P175" s="39">
        <v>50000.0</v>
      </c>
      <c r="Q175" s="39"/>
      <c r="R175" s="46"/>
      <c r="S175" s="46">
        <v>0.67</v>
      </c>
      <c r="T175" s="50">
        <f>IFERROR(__xludf.DUMMYFUNCTION("((IFERROR(MIN(FILTER({K175, N175, Q175}, ISNUMBER({K175, N175, Q175}), {K175, N175, Q175} &gt; 0)), """"))*S175)+IFERROR(MIN(FILTER({K175, N175, Q175}, ISNUMBER({K175, N175, Q175}), {K175, N175, Q175} &gt; 0)), """")"),417.5)</f>
        <v>417.5</v>
      </c>
      <c r="U175" s="53">
        <f>IFERROR(__xludf.DUMMYFUNCTION("(T175-(IFERROR(MIN(FILTER({K175, N175, Q175}, ISNUMBER({K175, N175, Q175}), {K175, N175, Q175} &gt; 0)), """")))/T175"),0.40119760479041916)</f>
        <v>0.4011976048</v>
      </c>
      <c r="V175" s="88">
        <f t="shared" si="11"/>
        <v>312.5</v>
      </c>
      <c r="W175" s="89"/>
    </row>
    <row r="176" ht="22.5" customHeight="1">
      <c r="A176" s="28" t="s">
        <v>412</v>
      </c>
      <c r="B176" s="28" t="s">
        <v>470</v>
      </c>
      <c r="C176" s="30" t="s">
        <v>479</v>
      </c>
      <c r="D176" s="85" t="s">
        <v>1006</v>
      </c>
      <c r="E176" s="36" t="s">
        <v>55</v>
      </c>
      <c r="F176" s="69" t="s">
        <v>1007</v>
      </c>
      <c r="G176" s="36" t="s">
        <v>41</v>
      </c>
      <c r="H176" s="28" t="s">
        <v>1008</v>
      </c>
      <c r="I176" s="39">
        <v>1200.0</v>
      </c>
      <c r="J176" s="39">
        <v>1200.0</v>
      </c>
      <c r="K176" s="41"/>
      <c r="L176" s="42">
        <v>1200.0</v>
      </c>
      <c r="M176" s="42">
        <v>1200.0</v>
      </c>
      <c r="N176" s="42">
        <v>9068.0</v>
      </c>
      <c r="O176" s="39">
        <v>1200.0</v>
      </c>
      <c r="P176" s="39">
        <v>1200.0</v>
      </c>
      <c r="Q176" s="63"/>
      <c r="R176" s="92">
        <f>IF(MAX(K176,N176,Q176)&gt;0, MAX(K176,N176,Q176))</f>
        <v>9068</v>
      </c>
      <c r="S176" s="46">
        <v>0.67</v>
      </c>
      <c r="T176" s="93">
        <f>IFERROR(__xludf.DUMMYFUNCTION("((IFERROR(MAX(FILTER({K176, N176, Q176}, ISNUMBER({K176, N176, Q176}), {K176, N176, Q176} &gt; 0)), """"))*S176)+IFERROR(MAX(FILTER({K176, N176, Q176}, ISNUMBER({K176, N176, Q176}), {K176, N176, Q176} &gt; 0)), """")"),15143.560000000001)</f>
        <v>15143.56</v>
      </c>
      <c r="U176" s="53">
        <f>IFERROR(__xludf.DUMMYFUNCTION("(T176-(IFERROR(MIN(FILTER({K176, N176, Q176}, ISNUMBER({K176, N176, Q176}), {K176, N176, Q176} &gt; 0)), """")))/T176"),0.4011976047904192)</f>
        <v>0.4011976048</v>
      </c>
      <c r="V176" s="93">
        <f>IF(MAX(K176,N176,Q176)&gt;0, MAX(K176,N176,Q176)/0.75, 0)</f>
        <v>12090.66667</v>
      </c>
      <c r="W176" s="94">
        <f>(V176-R176)/V176</f>
        <v>0.25</v>
      </c>
    </row>
    <row r="177" ht="22.5" customHeight="1">
      <c r="A177" s="28" t="s">
        <v>1040</v>
      </c>
      <c r="B177" s="28" t="s">
        <v>1029</v>
      </c>
      <c r="C177" s="30" t="s">
        <v>349</v>
      </c>
      <c r="D177" s="85" t="s">
        <v>1041</v>
      </c>
      <c r="E177" s="36" t="s">
        <v>55</v>
      </c>
      <c r="F177" s="69" t="s">
        <v>58</v>
      </c>
      <c r="G177" s="36" t="s">
        <v>41</v>
      </c>
      <c r="H177" s="28" t="s">
        <v>1042</v>
      </c>
      <c r="I177" s="39">
        <v>25000.0</v>
      </c>
      <c r="J177" s="39">
        <v>25000.0</v>
      </c>
      <c r="K177" s="41"/>
      <c r="L177" s="42">
        <v>25000.0</v>
      </c>
      <c r="M177" s="42">
        <v>25000.0</v>
      </c>
      <c r="N177" s="42">
        <v>1935.0</v>
      </c>
      <c r="O177" s="39">
        <v>25000.0</v>
      </c>
      <c r="P177" s="39">
        <v>25000.0</v>
      </c>
      <c r="Q177" s="41"/>
      <c r="R177" s="46"/>
      <c r="S177" s="46">
        <v>0.67</v>
      </c>
      <c r="T177" s="50">
        <f>IFERROR(__xludf.DUMMYFUNCTION("((IFERROR(MIN(FILTER({K177, N177, Q177}, ISNUMBER({K177, N177, Q177}), {K177, N177, Q177} &gt; 0)), """"))*S177)+IFERROR(MIN(FILTER({K177, N177, Q177}, ISNUMBER({K177, N177, Q177}), {K177, N177, Q177} &gt; 0)), """")"),3231.45)</f>
        <v>3231.45</v>
      </c>
      <c r="U177" s="53">
        <f>IFERROR(__xludf.DUMMYFUNCTION("(T177-(IFERROR(MIN(FILTER({K177, N177, Q177}, ISNUMBER({K177, N177, Q177}), {K177, N177, Q177} &gt; 0)), """")))/T177"),0.4011976047904191)</f>
        <v>0.4011976048</v>
      </c>
      <c r="V177" s="88">
        <f t="shared" ref="V177:V183" si="12">IF(MAX(K177,N177,Q177)&gt;0, MAX(K177,N177,Q177)*1.25, 0)</f>
        <v>2418.75</v>
      </c>
      <c r="W177" s="89"/>
    </row>
    <row r="178" ht="22.5" customHeight="1">
      <c r="A178" s="28" t="s">
        <v>1040</v>
      </c>
      <c r="B178" s="28" t="s">
        <v>1029</v>
      </c>
      <c r="C178" s="30" t="s">
        <v>349</v>
      </c>
      <c r="D178" s="85" t="s">
        <v>1041</v>
      </c>
      <c r="E178" s="36" t="s">
        <v>55</v>
      </c>
      <c r="F178" s="69" t="s">
        <v>58</v>
      </c>
      <c r="G178" s="36" t="s">
        <v>41</v>
      </c>
      <c r="H178" s="28" t="s">
        <v>1044</v>
      </c>
      <c r="I178" s="39">
        <v>25000.0</v>
      </c>
      <c r="J178" s="39">
        <v>25000.0</v>
      </c>
      <c r="K178" s="39">
        <v>530.0</v>
      </c>
      <c r="L178" s="42">
        <v>25000.0</v>
      </c>
      <c r="M178" s="42">
        <v>25000.0</v>
      </c>
      <c r="N178" s="42"/>
      <c r="O178" s="39">
        <v>25000.0</v>
      </c>
      <c r="P178" s="39">
        <v>25000.0</v>
      </c>
      <c r="Q178" s="39"/>
      <c r="R178" s="46"/>
      <c r="S178" s="46">
        <v>0.67</v>
      </c>
      <c r="T178" s="50">
        <f>IFERROR(__xludf.DUMMYFUNCTION("((IFERROR(MIN(FILTER({K178, N178, Q178}, ISNUMBER({K178, N178, Q178}), {K178, N178, Q178} &gt; 0)), """"))*S178)+IFERROR(MIN(FILTER({K178, N178, Q178}, ISNUMBER({K178, N178, Q178}), {K178, N178, Q178} &gt; 0)), """")"),885.1)</f>
        <v>885.1</v>
      </c>
      <c r="U178" s="53">
        <f>IFERROR(__xludf.DUMMYFUNCTION("(T178-(IFERROR(MIN(FILTER({K178, N178, Q178}, ISNUMBER({K178, N178, Q178}), {K178, N178, Q178} &gt; 0)), """")))/T178"),0.40119760479041916)</f>
        <v>0.4011976048</v>
      </c>
      <c r="V178" s="88">
        <f t="shared" si="12"/>
        <v>662.5</v>
      </c>
      <c r="W178" s="89"/>
    </row>
    <row r="179" ht="22.5" customHeight="1">
      <c r="A179" s="28" t="s">
        <v>1040</v>
      </c>
      <c r="B179" s="28" t="s">
        <v>1029</v>
      </c>
      <c r="C179" s="30" t="s">
        <v>349</v>
      </c>
      <c r="D179" s="85" t="s">
        <v>1041</v>
      </c>
      <c r="E179" s="36" t="s">
        <v>55</v>
      </c>
      <c r="F179" s="69" t="s">
        <v>58</v>
      </c>
      <c r="G179" s="36" t="s">
        <v>41</v>
      </c>
      <c r="H179" s="28" t="s">
        <v>1047</v>
      </c>
      <c r="I179" s="39">
        <v>25000.0</v>
      </c>
      <c r="J179" s="39">
        <v>25000.0</v>
      </c>
      <c r="K179" s="39">
        <v>1600.0</v>
      </c>
      <c r="L179" s="42">
        <v>25000.0</v>
      </c>
      <c r="M179" s="42">
        <v>25000.0</v>
      </c>
      <c r="N179" s="42"/>
      <c r="O179" s="39">
        <v>25000.0</v>
      </c>
      <c r="P179" s="39">
        <v>25000.0</v>
      </c>
      <c r="Q179" s="39"/>
      <c r="R179" s="46"/>
      <c r="S179" s="46">
        <v>0.67</v>
      </c>
      <c r="T179" s="50">
        <f>IFERROR(__xludf.DUMMYFUNCTION("((IFERROR(MIN(FILTER({K179, N179, Q179}, ISNUMBER({K179, N179, Q179}), {K179, N179, Q179} &gt; 0)), """"))*S179)+IFERROR(MIN(FILTER({K179, N179, Q179}, ISNUMBER({K179, N179, Q179}), {K179, N179, Q179} &gt; 0)), """")"),2672.0)</f>
        <v>2672</v>
      </c>
      <c r="U179" s="53">
        <f>IFERROR(__xludf.DUMMYFUNCTION("(T179-(IFERROR(MIN(FILTER({K179, N179, Q179}, ISNUMBER({K179, N179, Q179}), {K179, N179, Q179} &gt; 0)), """")))/T179"),0.40119760479041916)</f>
        <v>0.4011976048</v>
      </c>
      <c r="V179" s="88">
        <f t="shared" si="12"/>
        <v>2000</v>
      </c>
      <c r="W179" s="89"/>
    </row>
    <row r="180" ht="22.5" customHeight="1">
      <c r="A180" s="28" t="s">
        <v>1040</v>
      </c>
      <c r="B180" s="28" t="s">
        <v>1029</v>
      </c>
      <c r="C180" s="30" t="s">
        <v>349</v>
      </c>
      <c r="D180" s="85" t="s">
        <v>1041</v>
      </c>
      <c r="E180" s="36" t="s">
        <v>55</v>
      </c>
      <c r="F180" s="69" t="s">
        <v>58</v>
      </c>
      <c r="G180" s="36" t="s">
        <v>41</v>
      </c>
      <c r="H180" s="28" t="s">
        <v>1050</v>
      </c>
      <c r="I180" s="39">
        <v>50000.0</v>
      </c>
      <c r="J180" s="39">
        <v>50000.0</v>
      </c>
      <c r="K180" s="39">
        <v>1500.0</v>
      </c>
      <c r="L180" s="42">
        <v>50000.0</v>
      </c>
      <c r="M180" s="42">
        <v>50000.0</v>
      </c>
      <c r="N180" s="42"/>
      <c r="O180" s="39">
        <v>50000.0</v>
      </c>
      <c r="P180" s="39">
        <v>50000.0</v>
      </c>
      <c r="Q180" s="39"/>
      <c r="R180" s="46"/>
      <c r="S180" s="46">
        <v>0.67</v>
      </c>
      <c r="T180" s="50">
        <f>IFERROR(__xludf.DUMMYFUNCTION("((IFERROR(MIN(FILTER({K180, N180, Q180}, ISNUMBER({K180, N180, Q180}), {K180, N180, Q180} &gt; 0)), """"))*S180)+IFERROR(MIN(FILTER({K180, N180, Q180}, ISNUMBER({K180, N180, Q180}), {K180, N180, Q180} &gt; 0)), """")"),2505.0)</f>
        <v>2505</v>
      </c>
      <c r="U180" s="53">
        <f>IFERROR(__xludf.DUMMYFUNCTION("(T180-(IFERROR(MIN(FILTER({K180, N180, Q180}, ISNUMBER({K180, N180, Q180}), {K180, N180, Q180} &gt; 0)), """")))/T180"),0.40119760479041916)</f>
        <v>0.4011976048</v>
      </c>
      <c r="V180" s="88">
        <f t="shared" si="12"/>
        <v>1875</v>
      </c>
      <c r="W180" s="89"/>
    </row>
    <row r="181" ht="22.5" customHeight="1">
      <c r="A181" s="28" t="s">
        <v>1040</v>
      </c>
      <c r="B181" s="28" t="s">
        <v>1029</v>
      </c>
      <c r="C181" s="30" t="s">
        <v>349</v>
      </c>
      <c r="D181" s="85" t="s">
        <v>1041</v>
      </c>
      <c r="E181" s="36" t="s">
        <v>55</v>
      </c>
      <c r="F181" s="69" t="s">
        <v>58</v>
      </c>
      <c r="G181" s="36" t="s">
        <v>41</v>
      </c>
      <c r="H181" s="28" t="s">
        <v>1053</v>
      </c>
      <c r="I181" s="39">
        <v>5000.0</v>
      </c>
      <c r="J181" s="39">
        <v>5000.0</v>
      </c>
      <c r="K181" s="41"/>
      <c r="L181" s="42">
        <v>5000.0</v>
      </c>
      <c r="M181" s="42">
        <v>5000.0</v>
      </c>
      <c r="N181" s="42">
        <v>4698.0</v>
      </c>
      <c r="O181" s="39">
        <v>5000.0</v>
      </c>
      <c r="P181" s="39">
        <v>5000.0</v>
      </c>
      <c r="Q181" s="41"/>
      <c r="R181" s="46"/>
      <c r="S181" s="46">
        <v>0.67</v>
      </c>
      <c r="T181" s="50">
        <f>IFERROR(__xludf.DUMMYFUNCTION("((IFERROR(MIN(FILTER({K181, N181, Q181}, ISNUMBER({K181, N181, Q181}), {K181, N181, Q181} &gt; 0)), """"))*S181)+IFERROR(MIN(FILTER({K181, N181, Q181}, ISNUMBER({K181, N181, Q181}), {K181, N181, Q181} &gt; 0)), """")"),7845.66)</f>
        <v>7845.66</v>
      </c>
      <c r="U181" s="53">
        <f>IFERROR(__xludf.DUMMYFUNCTION("(T181-(IFERROR(MIN(FILTER({K181, N181, Q181}, ISNUMBER({K181, N181, Q181}), {K181, N181, Q181} &gt; 0)), """")))/T181"),0.40119760479041916)</f>
        <v>0.4011976048</v>
      </c>
      <c r="V181" s="88">
        <f t="shared" si="12"/>
        <v>5872.5</v>
      </c>
      <c r="W181" s="89"/>
    </row>
    <row r="182" ht="22.5" customHeight="1">
      <c r="A182" s="28" t="s">
        <v>1058</v>
      </c>
      <c r="B182" s="28" t="s">
        <v>1059</v>
      </c>
      <c r="C182" s="30" t="s">
        <v>106</v>
      </c>
      <c r="D182" s="85" t="s">
        <v>1060</v>
      </c>
      <c r="E182" s="36" t="s">
        <v>63</v>
      </c>
      <c r="F182" s="69" t="s">
        <v>67</v>
      </c>
      <c r="G182" s="36" t="s">
        <v>41</v>
      </c>
      <c r="H182" s="28" t="s">
        <v>1061</v>
      </c>
      <c r="I182" s="39">
        <v>10000.0</v>
      </c>
      <c r="J182" s="39">
        <v>10000.0</v>
      </c>
      <c r="K182" s="41"/>
      <c r="L182" s="42">
        <v>10000.0</v>
      </c>
      <c r="M182" s="42">
        <v>10000.0</v>
      </c>
      <c r="N182" s="42">
        <v>4312.0</v>
      </c>
      <c r="O182" s="39">
        <v>10000.0</v>
      </c>
      <c r="P182" s="39">
        <v>10000.0</v>
      </c>
      <c r="Q182" s="41"/>
      <c r="R182" s="46"/>
      <c r="S182" s="46">
        <v>0.67</v>
      </c>
      <c r="T182" s="50">
        <f>IFERROR(__xludf.DUMMYFUNCTION("((IFERROR(MIN(FILTER({K182, N182, Q182}, ISNUMBER({K182, N182, Q182}), {K182, N182, Q182} &gt; 0)), """"))*S182)+IFERROR(MIN(FILTER({K182, N182, Q182}, ISNUMBER({K182, N182, Q182}), {K182, N182, Q182} &gt; 0)), """")"),7201.04)</f>
        <v>7201.04</v>
      </c>
      <c r="U182" s="53">
        <f>IFERROR(__xludf.DUMMYFUNCTION("(T182-(IFERROR(MIN(FILTER({K182, N182, Q182}, ISNUMBER({K182, N182, Q182}), {K182, N182, Q182} &gt; 0)), """")))/T182"),0.40119760479041916)</f>
        <v>0.4011976048</v>
      </c>
      <c r="V182" s="88">
        <f t="shared" si="12"/>
        <v>5390</v>
      </c>
      <c r="W182" s="89"/>
    </row>
    <row r="183" ht="22.5" customHeight="1">
      <c r="A183" s="28" t="s">
        <v>1066</v>
      </c>
      <c r="B183" s="28" t="s">
        <v>705</v>
      </c>
      <c r="C183" s="30" t="s">
        <v>128</v>
      </c>
      <c r="D183" s="85" t="s">
        <v>1067</v>
      </c>
      <c r="E183" s="36" t="s">
        <v>63</v>
      </c>
      <c r="F183" s="69" t="s">
        <v>67</v>
      </c>
      <c r="G183" s="36" t="s">
        <v>41</v>
      </c>
      <c r="H183" s="28" t="s">
        <v>1068</v>
      </c>
      <c r="I183" s="39">
        <v>15000.0</v>
      </c>
      <c r="J183" s="39">
        <v>15000.0</v>
      </c>
      <c r="K183" s="41"/>
      <c r="L183" s="42">
        <v>15000.0</v>
      </c>
      <c r="M183" s="42">
        <v>15000.0</v>
      </c>
      <c r="N183" s="42">
        <v>4185.0</v>
      </c>
      <c r="O183" s="39">
        <v>15000.0</v>
      </c>
      <c r="P183" s="39">
        <v>15000.0</v>
      </c>
      <c r="Q183" s="41"/>
      <c r="R183" s="46"/>
      <c r="S183" s="46">
        <v>0.67</v>
      </c>
      <c r="T183" s="50">
        <f>IFERROR(__xludf.DUMMYFUNCTION("((IFERROR(MIN(FILTER({K183, N183, Q183}, ISNUMBER({K183, N183, Q183}), {K183, N183, Q183} &gt; 0)), """"))*S183)+IFERROR(MIN(FILTER({K183, N183, Q183}, ISNUMBER({K183, N183, Q183}), {K183, N183, Q183} &gt; 0)), """")"),6988.950000000001)</f>
        <v>6988.95</v>
      </c>
      <c r="U183" s="53">
        <f>IFERROR(__xludf.DUMMYFUNCTION("(T183-(IFERROR(MIN(FILTER({K183, N183, Q183}, ISNUMBER({K183, N183, Q183}), {K183, N183, Q183} &gt; 0)), """")))/T183"),0.4011976047904192)</f>
        <v>0.4011976048</v>
      </c>
      <c r="V183" s="88">
        <f t="shared" si="12"/>
        <v>5231.25</v>
      </c>
      <c r="W183" s="89"/>
    </row>
    <row r="184" ht="22.5" customHeight="1">
      <c r="A184" s="28" t="s">
        <v>1072</v>
      </c>
      <c r="B184" s="28" t="s">
        <v>470</v>
      </c>
      <c r="C184" s="30" t="s">
        <v>106</v>
      </c>
      <c r="D184" s="85" t="s">
        <v>1073</v>
      </c>
      <c r="E184" s="36" t="s">
        <v>63</v>
      </c>
      <c r="F184" s="69" t="s">
        <v>67</v>
      </c>
      <c r="G184" s="36" t="s">
        <v>41</v>
      </c>
      <c r="H184" s="28" t="s">
        <v>1074</v>
      </c>
      <c r="I184" s="39">
        <v>300.0</v>
      </c>
      <c r="J184" s="39">
        <v>300.0</v>
      </c>
      <c r="K184" s="41"/>
      <c r="L184" s="42">
        <v>300.0</v>
      </c>
      <c r="M184" s="42">
        <v>300.0</v>
      </c>
      <c r="N184" s="42">
        <v>28629.0</v>
      </c>
      <c r="O184" s="39">
        <v>300.0</v>
      </c>
      <c r="P184" s="39">
        <v>300.0</v>
      </c>
      <c r="Q184" s="63"/>
      <c r="R184" s="92">
        <f>IF(MAX(K184,N184,Q184)&gt;0, MAX(K184,N184,Q184))</f>
        <v>28629</v>
      </c>
      <c r="S184" s="46">
        <v>0.67</v>
      </c>
      <c r="T184" s="93">
        <f>IFERROR(__xludf.DUMMYFUNCTION("((IFERROR(MAX(FILTER({K184, N184, Q184}, ISNUMBER({K184, N184, Q184}), {K184, N184, Q184} &gt; 0)), """"))*S184)+IFERROR(MAX(FILTER({K184, N184, Q184}, ISNUMBER({K184, N184, Q184}), {K184, N184, Q184} &gt; 0)), """")"),47810.43)</f>
        <v>47810.43</v>
      </c>
      <c r="U184" s="53">
        <f>IFERROR(__xludf.DUMMYFUNCTION("(T184-(IFERROR(MIN(FILTER({K184, N184, Q184}, ISNUMBER({K184, N184, Q184}), {K184, N184, Q184} &gt; 0)), """")))/T184"),0.40119760479041916)</f>
        <v>0.4011976048</v>
      </c>
      <c r="V184" s="93">
        <f>IF(MAX(K184,N184,Q184)&gt;0, MAX(K184,N184,Q184)/0.75, 0)</f>
        <v>38172</v>
      </c>
      <c r="W184" s="94">
        <f>(V184-R184)/V184</f>
        <v>0.25</v>
      </c>
    </row>
    <row r="185" ht="22.5" customHeight="1">
      <c r="A185" s="28" t="s">
        <v>798</v>
      </c>
      <c r="B185" s="28" t="s">
        <v>378</v>
      </c>
      <c r="C185" s="30" t="s">
        <v>106</v>
      </c>
      <c r="D185" s="85" t="s">
        <v>990</v>
      </c>
      <c r="E185" s="36" t="s">
        <v>36</v>
      </c>
      <c r="F185" s="69" t="s">
        <v>800</v>
      </c>
      <c r="G185" s="36" t="s">
        <v>41</v>
      </c>
      <c r="H185" s="28" t="s">
        <v>761</v>
      </c>
      <c r="I185" s="39">
        <v>25000.0</v>
      </c>
      <c r="J185" s="39">
        <v>25000.0</v>
      </c>
      <c r="K185" s="39">
        <v>1600.0</v>
      </c>
      <c r="L185" s="42">
        <v>25000.0</v>
      </c>
      <c r="M185" s="42">
        <v>25000.0</v>
      </c>
      <c r="N185" s="42"/>
      <c r="O185" s="39">
        <v>25000.0</v>
      </c>
      <c r="P185" s="39">
        <v>25000.0</v>
      </c>
      <c r="Q185" s="39"/>
      <c r="R185" s="46"/>
      <c r="S185" s="46">
        <v>0.67</v>
      </c>
      <c r="T185" s="50">
        <f>IFERROR(__xludf.DUMMYFUNCTION("((IFERROR(MIN(FILTER({K185, N185, Q185}, ISNUMBER({K185, N185, Q185}), {K185, N185, Q185} &gt; 0)), """"))*S185)+IFERROR(MIN(FILTER({K185, N185, Q185}, ISNUMBER({K185, N185, Q185}), {K185, N185, Q185} &gt; 0)), """")"),2672.0)</f>
        <v>2672</v>
      </c>
      <c r="U185" s="53">
        <f>IFERROR(__xludf.DUMMYFUNCTION("(T185-(IFERROR(MIN(FILTER({K185, N185, Q185}, ISNUMBER({K185, N185, Q185}), {K185, N185, Q185} &gt; 0)), """")))/T185"),0.40119760479041916)</f>
        <v>0.4011976048</v>
      </c>
      <c r="V185" s="88">
        <f t="shared" ref="V185:V206" si="13">IF(MAX(K185,N185,Q185)&gt;0, MAX(K185,N185,Q185)*1.25, 0)</f>
        <v>2000</v>
      </c>
      <c r="W185" s="89"/>
    </row>
    <row r="186" ht="22.5" customHeight="1">
      <c r="A186" s="28" t="s">
        <v>1084</v>
      </c>
      <c r="B186" s="28" t="s">
        <v>1085</v>
      </c>
      <c r="C186" s="30" t="s">
        <v>857</v>
      </c>
      <c r="D186" s="85" t="s">
        <v>1086</v>
      </c>
      <c r="E186" s="36" t="s">
        <v>46</v>
      </c>
      <c r="F186" s="69" t="s">
        <v>1087</v>
      </c>
      <c r="G186" s="36" t="s">
        <v>41</v>
      </c>
      <c r="H186" s="28" t="s">
        <v>1088</v>
      </c>
      <c r="I186" s="39">
        <v>50000.0</v>
      </c>
      <c r="J186" s="39">
        <v>50000.0</v>
      </c>
      <c r="K186" s="39">
        <v>1500.0</v>
      </c>
      <c r="L186" s="42">
        <v>50000.0</v>
      </c>
      <c r="M186" s="42">
        <v>50000.0</v>
      </c>
      <c r="N186" s="42"/>
      <c r="O186" s="39">
        <v>50000.0</v>
      </c>
      <c r="P186" s="39">
        <v>50000.0</v>
      </c>
      <c r="Q186" s="39"/>
      <c r="R186" s="46"/>
      <c r="S186" s="46">
        <v>0.67</v>
      </c>
      <c r="T186" s="50">
        <f>IFERROR(__xludf.DUMMYFUNCTION("((IFERROR(MIN(FILTER({K186, N186, Q186}, ISNUMBER({K186, N186, Q186}), {K186, N186, Q186} &gt; 0)), """"))*S186)+IFERROR(MIN(FILTER({K186, N186, Q186}, ISNUMBER({K186, N186, Q186}), {K186, N186, Q186} &gt; 0)), """")"),2505.0)</f>
        <v>2505</v>
      </c>
      <c r="U186" s="53">
        <f>IFERROR(__xludf.DUMMYFUNCTION("(T186-(IFERROR(MIN(FILTER({K186, N186, Q186}, ISNUMBER({K186, N186, Q186}), {K186, N186, Q186} &gt; 0)), """")))/T186"),0.40119760479041916)</f>
        <v>0.4011976048</v>
      </c>
      <c r="V186" s="88">
        <f t="shared" si="13"/>
        <v>1875</v>
      </c>
      <c r="W186" s="89"/>
    </row>
    <row r="187" ht="22.5" customHeight="1">
      <c r="A187" s="28" t="s">
        <v>520</v>
      </c>
      <c r="B187" s="28" t="s">
        <v>831</v>
      </c>
      <c r="C187" s="30" t="s">
        <v>379</v>
      </c>
      <c r="D187" s="85" t="s">
        <v>1091</v>
      </c>
      <c r="E187" s="36" t="s">
        <v>46</v>
      </c>
      <c r="F187" s="69" t="s">
        <v>1092</v>
      </c>
      <c r="G187" s="36" t="s">
        <v>41</v>
      </c>
      <c r="H187" s="28" t="s">
        <v>1093</v>
      </c>
      <c r="I187" s="39">
        <v>5000.0</v>
      </c>
      <c r="J187" s="39">
        <v>5000.0</v>
      </c>
      <c r="K187" s="41"/>
      <c r="L187" s="42">
        <v>5000.0</v>
      </c>
      <c r="M187" s="42">
        <v>5000.0</v>
      </c>
      <c r="N187" s="42">
        <v>4406.0</v>
      </c>
      <c r="O187" s="39">
        <v>5000.0</v>
      </c>
      <c r="P187" s="39">
        <v>5000.0</v>
      </c>
      <c r="Q187" s="41"/>
      <c r="R187" s="46"/>
      <c r="S187" s="46">
        <v>0.67</v>
      </c>
      <c r="T187" s="50">
        <f>IFERROR(__xludf.DUMMYFUNCTION("((IFERROR(MIN(FILTER({K187, N187, Q187}, ISNUMBER({K187, N187, Q187}), {K187, N187, Q187} &gt; 0)), """"))*S187)+IFERROR(MIN(FILTER({K187, N187, Q187}, ISNUMBER({K187, N187, Q187}), {K187, N187, Q187} &gt; 0)), """")"),7358.02)</f>
        <v>7358.02</v>
      </c>
      <c r="U187" s="53">
        <f>IFERROR(__xludf.DUMMYFUNCTION("(T187-(IFERROR(MIN(FILTER({K187, N187, Q187}, ISNUMBER({K187, N187, Q187}), {K187, N187, Q187} &gt; 0)), """")))/T187"),0.4011976047904192)</f>
        <v>0.4011976048</v>
      </c>
      <c r="V187" s="88">
        <f t="shared" si="13"/>
        <v>5507.5</v>
      </c>
      <c r="W187" s="89"/>
    </row>
    <row r="188" ht="22.5" customHeight="1">
      <c r="A188" s="28" t="s">
        <v>520</v>
      </c>
      <c r="B188" s="28" t="s">
        <v>831</v>
      </c>
      <c r="C188" s="30" t="s">
        <v>379</v>
      </c>
      <c r="D188" s="85" t="s">
        <v>1091</v>
      </c>
      <c r="E188" s="36" t="s">
        <v>46</v>
      </c>
      <c r="F188" s="69" t="s">
        <v>1092</v>
      </c>
      <c r="G188" s="36" t="s">
        <v>41</v>
      </c>
      <c r="H188" s="28" t="s">
        <v>1097</v>
      </c>
      <c r="I188" s="39">
        <v>10000.0</v>
      </c>
      <c r="J188" s="39">
        <v>10000.0</v>
      </c>
      <c r="K188" s="41"/>
      <c r="L188" s="42">
        <v>10000.0</v>
      </c>
      <c r="M188" s="42">
        <v>10000.0</v>
      </c>
      <c r="N188" s="42">
        <v>4044.0</v>
      </c>
      <c r="O188" s="39">
        <v>10000.0</v>
      </c>
      <c r="P188" s="39">
        <v>10000.0</v>
      </c>
      <c r="Q188" s="41"/>
      <c r="R188" s="46"/>
      <c r="S188" s="46">
        <v>0.67</v>
      </c>
      <c r="T188" s="50">
        <f>IFERROR(__xludf.DUMMYFUNCTION("((IFERROR(MIN(FILTER({K188, N188, Q188}, ISNUMBER({K188, N188, Q188}), {K188, N188, Q188} &gt; 0)), """"))*S188)+IFERROR(MIN(FILTER({K188, N188, Q188}, ISNUMBER({K188, N188, Q188}), {K188, N188, Q188} &gt; 0)), """")"),6753.48)</f>
        <v>6753.48</v>
      </c>
      <c r="U188" s="53">
        <f>IFERROR(__xludf.DUMMYFUNCTION("(T188-(IFERROR(MIN(FILTER({K188, N188, Q188}, ISNUMBER({K188, N188, Q188}), {K188, N188, Q188} &gt; 0)), """")))/T188"),0.4011976047904191)</f>
        <v>0.4011976048</v>
      </c>
      <c r="V188" s="88">
        <f t="shared" si="13"/>
        <v>5055</v>
      </c>
      <c r="W188" s="89"/>
    </row>
    <row r="189" ht="22.5" customHeight="1">
      <c r="A189" s="28" t="s">
        <v>520</v>
      </c>
      <c r="B189" s="28" t="s">
        <v>831</v>
      </c>
      <c r="C189" s="30" t="s">
        <v>379</v>
      </c>
      <c r="D189" s="85" t="s">
        <v>1091</v>
      </c>
      <c r="E189" s="36" t="s">
        <v>46</v>
      </c>
      <c r="F189" s="69" t="s">
        <v>1092</v>
      </c>
      <c r="G189" s="36" t="s">
        <v>41</v>
      </c>
      <c r="H189" s="28" t="s">
        <v>1102</v>
      </c>
      <c r="I189" s="39">
        <v>15000.0</v>
      </c>
      <c r="J189" s="39">
        <v>15000.0</v>
      </c>
      <c r="K189" s="41"/>
      <c r="L189" s="42">
        <v>15000.0</v>
      </c>
      <c r="M189" s="42">
        <v>15000.0</v>
      </c>
      <c r="N189" s="42">
        <v>3949.0</v>
      </c>
      <c r="O189" s="39">
        <v>15000.0</v>
      </c>
      <c r="P189" s="39">
        <v>15000.0</v>
      </c>
      <c r="Q189" s="41"/>
      <c r="R189" s="46"/>
      <c r="S189" s="46">
        <v>0.67</v>
      </c>
      <c r="T189" s="50">
        <f>IFERROR(__xludf.DUMMYFUNCTION("((IFERROR(MIN(FILTER({K189, N189, Q189}, ISNUMBER({K189, N189, Q189}), {K189, N189, Q189} &gt; 0)), """"))*S189)+IFERROR(MIN(FILTER({K189, N189, Q189}, ISNUMBER({K189, N189, Q189}), {K189, N189, Q189} &gt; 0)), """")"),6594.83)</f>
        <v>6594.83</v>
      </c>
      <c r="U189" s="53">
        <f>IFERROR(__xludf.DUMMYFUNCTION("(T189-(IFERROR(MIN(FILTER({K189, N189, Q189}, ISNUMBER({K189, N189, Q189}), {K189, N189, Q189} &gt; 0)), """")))/T189"),0.40119760479041916)</f>
        <v>0.4011976048</v>
      </c>
      <c r="V189" s="88">
        <f t="shared" si="13"/>
        <v>4936.25</v>
      </c>
      <c r="W189" s="89"/>
    </row>
    <row r="190" ht="22.5" customHeight="1">
      <c r="A190" s="28" t="s">
        <v>1107</v>
      </c>
      <c r="B190" s="28" t="s">
        <v>1109</v>
      </c>
      <c r="C190" s="30" t="s">
        <v>333</v>
      </c>
      <c r="D190" s="85" t="s">
        <v>1111</v>
      </c>
      <c r="E190" s="36" t="s">
        <v>36</v>
      </c>
      <c r="F190" s="69" t="s">
        <v>1112</v>
      </c>
      <c r="G190" s="36" t="s">
        <v>41</v>
      </c>
      <c r="H190" s="28" t="s">
        <v>1113</v>
      </c>
      <c r="I190" s="39">
        <v>20000.0</v>
      </c>
      <c r="J190" s="39">
        <v>20000.0</v>
      </c>
      <c r="K190" s="41"/>
      <c r="L190" s="42">
        <v>20000.0</v>
      </c>
      <c r="M190" s="42">
        <v>20000.0</v>
      </c>
      <c r="N190" s="42">
        <v>3921.0</v>
      </c>
      <c r="O190" s="39">
        <v>20000.0</v>
      </c>
      <c r="P190" s="39">
        <v>20000.0</v>
      </c>
      <c r="Q190" s="41"/>
      <c r="R190" s="46"/>
      <c r="S190" s="46">
        <v>0.67</v>
      </c>
      <c r="T190" s="50">
        <f>IFERROR(__xludf.DUMMYFUNCTION("((IFERROR(MIN(FILTER({K190, N190, Q190}, ISNUMBER({K190, N190, Q190}), {K190, N190, Q190} &gt; 0)), """"))*S190)+IFERROR(MIN(FILTER({K190, N190, Q190}, ISNUMBER({K190, N190, Q190}), {K190, N190, Q190} &gt; 0)), """")"),6548.07)</f>
        <v>6548.07</v>
      </c>
      <c r="U190" s="53">
        <f>IFERROR(__xludf.DUMMYFUNCTION("(T190-(IFERROR(MIN(FILTER({K190, N190, Q190}, ISNUMBER({K190, N190, Q190}), {K190, N190, Q190} &gt; 0)), """")))/T190"),0.40119760479041916)</f>
        <v>0.4011976048</v>
      </c>
      <c r="V190" s="88">
        <f t="shared" si="13"/>
        <v>4901.25</v>
      </c>
      <c r="W190" s="89"/>
    </row>
    <row r="191" ht="22.5" customHeight="1">
      <c r="A191" s="28" t="s">
        <v>1107</v>
      </c>
      <c r="B191" s="28" t="s">
        <v>1109</v>
      </c>
      <c r="C191" s="30" t="s">
        <v>333</v>
      </c>
      <c r="D191" s="85" t="s">
        <v>1111</v>
      </c>
      <c r="E191" s="36" t="s">
        <v>36</v>
      </c>
      <c r="F191" s="69" t="s">
        <v>1112</v>
      </c>
      <c r="G191" s="36" t="s">
        <v>41</v>
      </c>
      <c r="H191" s="28" t="s">
        <v>1114</v>
      </c>
      <c r="I191" s="39">
        <v>10000.0</v>
      </c>
      <c r="J191" s="39">
        <v>10000.0</v>
      </c>
      <c r="K191" s="41"/>
      <c r="L191" s="42">
        <v>10000.0</v>
      </c>
      <c r="M191" s="42">
        <v>10000.0</v>
      </c>
      <c r="N191" s="42">
        <v>4843.0</v>
      </c>
      <c r="O191" s="39">
        <v>10000.0</v>
      </c>
      <c r="P191" s="39">
        <v>10000.0</v>
      </c>
      <c r="Q191" s="41"/>
      <c r="R191" s="46"/>
      <c r="S191" s="46">
        <v>0.67</v>
      </c>
      <c r="T191" s="50">
        <f>IFERROR(__xludf.DUMMYFUNCTION("((IFERROR(MIN(FILTER({K191, N191, Q191}, ISNUMBER({K191, N191, Q191}), {K191, N191, Q191} &gt; 0)), """"))*S191)+IFERROR(MIN(FILTER({K191, N191, Q191}, ISNUMBER({K191, N191, Q191}), {K191, N191, Q191} &gt; 0)), """")"),8087.81)</f>
        <v>8087.81</v>
      </c>
      <c r="U191" s="53">
        <f>IFERROR(__xludf.DUMMYFUNCTION("(T191-(IFERROR(MIN(FILTER({K191, N191, Q191}, ISNUMBER({K191, N191, Q191}), {K191, N191, Q191} &gt; 0)), """")))/T191"),0.4011976047904192)</f>
        <v>0.4011976048</v>
      </c>
      <c r="V191" s="88">
        <f t="shared" si="13"/>
        <v>6053.75</v>
      </c>
      <c r="W191" s="89"/>
    </row>
    <row r="192" ht="22.5" customHeight="1">
      <c r="A192" s="28" t="s">
        <v>1107</v>
      </c>
      <c r="B192" s="28" t="s">
        <v>1115</v>
      </c>
      <c r="C192" s="30" t="s">
        <v>333</v>
      </c>
      <c r="D192" s="85" t="s">
        <v>1116</v>
      </c>
      <c r="E192" s="36" t="s">
        <v>36</v>
      </c>
      <c r="F192" s="69" t="s">
        <v>112</v>
      </c>
      <c r="G192" s="36" t="s">
        <v>41</v>
      </c>
      <c r="H192" s="28" t="s">
        <v>1117</v>
      </c>
      <c r="I192" s="39">
        <v>15000.0</v>
      </c>
      <c r="J192" s="39">
        <v>15000.0</v>
      </c>
      <c r="K192" s="41"/>
      <c r="L192" s="42">
        <v>15000.0</v>
      </c>
      <c r="M192" s="42">
        <v>15000.0</v>
      </c>
      <c r="N192" s="42">
        <v>4769.0</v>
      </c>
      <c r="O192" s="39">
        <v>15000.0</v>
      </c>
      <c r="P192" s="39">
        <v>15000.0</v>
      </c>
      <c r="Q192" s="41"/>
      <c r="R192" s="46"/>
      <c r="S192" s="46">
        <v>0.67</v>
      </c>
      <c r="T192" s="50">
        <f>IFERROR(__xludf.DUMMYFUNCTION("((IFERROR(MIN(FILTER({K192, N192, Q192}, ISNUMBER({K192, N192, Q192}), {K192, N192, Q192} &gt; 0)), """"))*S192)+IFERROR(MIN(FILTER({K192, N192, Q192}, ISNUMBER({K192, N192, Q192}), {K192, N192, Q192} &gt; 0)), """")"),7964.23)</f>
        <v>7964.23</v>
      </c>
      <c r="U192" s="53">
        <f>IFERROR(__xludf.DUMMYFUNCTION("(T192-(IFERROR(MIN(FILTER({K192, N192, Q192}, ISNUMBER({K192, N192, Q192}), {K192, N192, Q192} &gt; 0)), """")))/T192"),0.4011976047904191)</f>
        <v>0.4011976048</v>
      </c>
      <c r="V192" s="88">
        <f t="shared" si="13"/>
        <v>5961.25</v>
      </c>
      <c r="W192" s="89"/>
    </row>
    <row r="193" ht="22.5" customHeight="1">
      <c r="A193" s="28" t="s">
        <v>1107</v>
      </c>
      <c r="B193" s="28" t="s">
        <v>1115</v>
      </c>
      <c r="C193" s="30" t="s">
        <v>333</v>
      </c>
      <c r="D193" s="85" t="s">
        <v>1116</v>
      </c>
      <c r="E193" s="36" t="s">
        <v>36</v>
      </c>
      <c r="F193" s="69" t="s">
        <v>112</v>
      </c>
      <c r="G193" s="36" t="s">
        <v>41</v>
      </c>
      <c r="H193" s="28" t="s">
        <v>1117</v>
      </c>
      <c r="I193" s="39">
        <v>25000.0</v>
      </c>
      <c r="J193" s="39">
        <v>25000.0</v>
      </c>
      <c r="K193" s="41"/>
      <c r="L193" s="42">
        <v>25000.0</v>
      </c>
      <c r="M193" s="42">
        <v>25000.0</v>
      </c>
      <c r="N193" s="42">
        <v>4710.0</v>
      </c>
      <c r="O193" s="39">
        <v>25000.0</v>
      </c>
      <c r="P193" s="39">
        <v>25000.0</v>
      </c>
      <c r="Q193" s="41"/>
      <c r="R193" s="46"/>
      <c r="S193" s="46">
        <v>0.67</v>
      </c>
      <c r="T193" s="50">
        <f>IFERROR(__xludf.DUMMYFUNCTION("((IFERROR(MIN(FILTER({K193, N193, Q193}, ISNUMBER({K193, N193, Q193}), {K193, N193, Q193} &gt; 0)), """"))*S193)+IFERROR(MIN(FILTER({K193, N193, Q193}, ISNUMBER({K193, N193, Q193}), {K193, N193, Q193} &gt; 0)), """")"),7865.700000000001)</f>
        <v>7865.7</v>
      </c>
      <c r="U193" s="53">
        <f>IFERROR(__xludf.DUMMYFUNCTION("(T193-(IFERROR(MIN(FILTER({K193, N193, Q193}, ISNUMBER({K193, N193, Q193}), {K193, N193, Q193} &gt; 0)), """")))/T193"),0.4011976047904192)</f>
        <v>0.4011976048</v>
      </c>
      <c r="V193" s="88">
        <f t="shared" si="13"/>
        <v>5887.5</v>
      </c>
      <c r="W193" s="89"/>
    </row>
    <row r="194" ht="22.5" customHeight="1">
      <c r="A194" s="28" t="s">
        <v>1118</v>
      </c>
      <c r="B194" s="28" t="s">
        <v>378</v>
      </c>
      <c r="C194" s="30" t="s">
        <v>106</v>
      </c>
      <c r="D194" s="85" t="s">
        <v>1119</v>
      </c>
      <c r="E194" s="36" t="s">
        <v>36</v>
      </c>
      <c r="F194" s="105"/>
      <c r="G194" s="36" t="s">
        <v>41</v>
      </c>
      <c r="H194" s="28" t="s">
        <v>1120</v>
      </c>
      <c r="I194" s="39">
        <v>10000.0</v>
      </c>
      <c r="J194" s="39">
        <v>10000.0</v>
      </c>
      <c r="K194" s="41"/>
      <c r="L194" s="42">
        <v>10000.0</v>
      </c>
      <c r="M194" s="42">
        <v>10000.0</v>
      </c>
      <c r="N194" s="42">
        <v>4327.0</v>
      </c>
      <c r="O194" s="39">
        <v>10000.0</v>
      </c>
      <c r="P194" s="39">
        <v>10000.0</v>
      </c>
      <c r="Q194" s="41"/>
      <c r="R194" s="46"/>
      <c r="S194" s="46">
        <v>0.67</v>
      </c>
      <c r="T194" s="50">
        <f>IFERROR(__xludf.DUMMYFUNCTION("((IFERROR(MIN(FILTER({K194, N194, Q194}, ISNUMBER({K194, N194, Q194}), {K194, N194, Q194} &gt; 0)), """"))*S194)+IFERROR(MIN(FILTER({K194, N194, Q194}, ISNUMBER({K194, N194, Q194}), {K194, N194, Q194} &gt; 0)), """")"),7226.09)</f>
        <v>7226.09</v>
      </c>
      <c r="U194" s="53">
        <f>IFERROR(__xludf.DUMMYFUNCTION("(T194-(IFERROR(MIN(FILTER({K194, N194, Q194}, ISNUMBER({K194, N194, Q194}), {K194, N194, Q194} &gt; 0)), """")))/T194"),0.40119760479041916)</f>
        <v>0.4011976048</v>
      </c>
      <c r="V194" s="88">
        <f t="shared" si="13"/>
        <v>5408.75</v>
      </c>
      <c r="W194" s="89"/>
    </row>
    <row r="195" ht="22.5" customHeight="1">
      <c r="A195" s="28" t="s">
        <v>1118</v>
      </c>
      <c r="B195" s="28" t="s">
        <v>378</v>
      </c>
      <c r="C195" s="30" t="s">
        <v>106</v>
      </c>
      <c r="D195" s="85" t="s">
        <v>684</v>
      </c>
      <c r="E195" s="36" t="s">
        <v>36</v>
      </c>
      <c r="F195" s="105"/>
      <c r="G195" s="36" t="s">
        <v>41</v>
      </c>
      <c r="H195" s="28" t="s">
        <v>1122</v>
      </c>
      <c r="I195" s="39">
        <v>15000.0</v>
      </c>
      <c r="J195" s="39">
        <v>15000.0</v>
      </c>
      <c r="K195" s="41"/>
      <c r="L195" s="42">
        <v>15000.0</v>
      </c>
      <c r="M195" s="42">
        <v>15000.0</v>
      </c>
      <c r="N195" s="42">
        <v>4323.0</v>
      </c>
      <c r="O195" s="39">
        <v>15000.0</v>
      </c>
      <c r="P195" s="39">
        <v>15000.0</v>
      </c>
      <c r="Q195" s="41"/>
      <c r="R195" s="46"/>
      <c r="S195" s="46">
        <v>0.67</v>
      </c>
      <c r="T195" s="50">
        <f>IFERROR(__xludf.DUMMYFUNCTION("((IFERROR(MIN(FILTER({K195, N195, Q195}, ISNUMBER({K195, N195, Q195}), {K195, N195, Q195} &gt; 0)), """"))*S195)+IFERROR(MIN(FILTER({K195, N195, Q195}, ISNUMBER({K195, N195, Q195}), {K195, N195, Q195} &gt; 0)), """")"),7219.41)</f>
        <v>7219.41</v>
      </c>
      <c r="U195" s="53">
        <f>IFERROR(__xludf.DUMMYFUNCTION("(T195-(IFERROR(MIN(FILTER({K195, N195, Q195}, ISNUMBER({K195, N195, Q195}), {K195, N195, Q195} &gt; 0)), """")))/T195"),0.40119760479041916)</f>
        <v>0.4011976048</v>
      </c>
      <c r="V195" s="88">
        <f t="shared" si="13"/>
        <v>5403.75</v>
      </c>
      <c r="W195" s="89"/>
    </row>
    <row r="196" ht="22.5" customHeight="1">
      <c r="A196" s="28" t="s">
        <v>1118</v>
      </c>
      <c r="B196" s="28" t="s">
        <v>378</v>
      </c>
      <c r="C196" s="30" t="s">
        <v>106</v>
      </c>
      <c r="D196" s="85" t="s">
        <v>1119</v>
      </c>
      <c r="E196" s="36" t="s">
        <v>36</v>
      </c>
      <c r="F196" s="105"/>
      <c r="G196" s="36" t="s">
        <v>41</v>
      </c>
      <c r="H196" s="28" t="s">
        <v>1012</v>
      </c>
      <c r="I196" s="39">
        <v>25000.0</v>
      </c>
      <c r="J196" s="39">
        <v>25000.0</v>
      </c>
      <c r="K196" s="41"/>
      <c r="L196" s="42">
        <v>25000.0</v>
      </c>
      <c r="M196" s="42">
        <v>25000.0</v>
      </c>
      <c r="N196" s="42">
        <v>4159.0</v>
      </c>
      <c r="O196" s="39">
        <v>25000.0</v>
      </c>
      <c r="P196" s="39">
        <v>25000.0</v>
      </c>
      <c r="Q196" s="41"/>
      <c r="R196" s="46"/>
      <c r="S196" s="46">
        <v>0.67</v>
      </c>
      <c r="T196" s="50">
        <f>IFERROR(__xludf.DUMMYFUNCTION("((IFERROR(MIN(FILTER({K196, N196, Q196}, ISNUMBER({K196, N196, Q196}), {K196, N196, Q196} &gt; 0)), """"))*S196)+IFERROR(MIN(FILTER({K196, N196, Q196}, ISNUMBER({K196, N196, Q196}), {K196, N196, Q196} &gt; 0)), """")"),6945.530000000001)</f>
        <v>6945.53</v>
      </c>
      <c r="U196" s="53">
        <f>IFERROR(__xludf.DUMMYFUNCTION("(T196-(IFERROR(MIN(FILTER({K196, N196, Q196}, ISNUMBER({K196, N196, Q196}), {K196, N196, Q196} &gt; 0)), """")))/T196"),0.4011976047904192)</f>
        <v>0.4011976048</v>
      </c>
      <c r="V196" s="88">
        <f t="shared" si="13"/>
        <v>5198.75</v>
      </c>
      <c r="W196" s="89"/>
    </row>
    <row r="197" ht="22.5" customHeight="1">
      <c r="A197" s="28" t="s">
        <v>1118</v>
      </c>
      <c r="B197" s="28" t="s">
        <v>378</v>
      </c>
      <c r="C197" s="30" t="s">
        <v>106</v>
      </c>
      <c r="D197" s="85" t="s">
        <v>684</v>
      </c>
      <c r="E197" s="36" t="s">
        <v>36</v>
      </c>
      <c r="F197" s="105"/>
      <c r="G197" s="36" t="s">
        <v>41</v>
      </c>
      <c r="H197" s="28" t="s">
        <v>1012</v>
      </c>
      <c r="I197" s="39">
        <v>25000.0</v>
      </c>
      <c r="J197" s="39">
        <v>25000.0</v>
      </c>
      <c r="K197" s="39">
        <v>315.0</v>
      </c>
      <c r="L197" s="42">
        <v>25000.0</v>
      </c>
      <c r="M197" s="42">
        <v>25000.0</v>
      </c>
      <c r="N197" s="42"/>
      <c r="O197" s="39">
        <v>25000.0</v>
      </c>
      <c r="P197" s="39">
        <v>25000.0</v>
      </c>
      <c r="Q197" s="39"/>
      <c r="R197" s="46"/>
      <c r="S197" s="46">
        <v>0.67</v>
      </c>
      <c r="T197" s="50">
        <f>IFERROR(__xludf.DUMMYFUNCTION("((IFERROR(MIN(FILTER({K197, N197, Q197}, ISNUMBER({K197, N197, Q197}), {K197, N197, Q197} &gt; 0)), """"))*S197)+IFERROR(MIN(FILTER({K197, N197, Q197}, ISNUMBER({K197, N197, Q197}), {K197, N197, Q197} &gt; 0)), """")"),526.05)</f>
        <v>526.05</v>
      </c>
      <c r="U197" s="53">
        <f>IFERROR(__xludf.DUMMYFUNCTION("(T197-(IFERROR(MIN(FILTER({K197, N197, Q197}, ISNUMBER({K197, N197, Q197}), {K197, N197, Q197} &gt; 0)), """")))/T197"),0.4011976047904191)</f>
        <v>0.4011976048</v>
      </c>
      <c r="V197" s="88">
        <f t="shared" si="13"/>
        <v>393.75</v>
      </c>
      <c r="W197" s="89"/>
    </row>
    <row r="198" ht="22.5" customHeight="1">
      <c r="A198" s="28" t="s">
        <v>532</v>
      </c>
      <c r="B198" s="28" t="s">
        <v>1125</v>
      </c>
      <c r="C198" s="30" t="s">
        <v>379</v>
      </c>
      <c r="D198" s="85" t="s">
        <v>1127</v>
      </c>
      <c r="E198" s="36" t="s">
        <v>55</v>
      </c>
      <c r="F198" s="69" t="s">
        <v>536</v>
      </c>
      <c r="G198" s="36" t="s">
        <v>41</v>
      </c>
      <c r="H198" s="28" t="s">
        <v>979</v>
      </c>
      <c r="I198" s="39">
        <v>25000.0</v>
      </c>
      <c r="J198" s="39">
        <v>25000.0</v>
      </c>
      <c r="K198" s="39">
        <v>1600.0</v>
      </c>
      <c r="L198" s="42">
        <v>25000.0</v>
      </c>
      <c r="M198" s="42">
        <v>25000.0</v>
      </c>
      <c r="N198" s="42"/>
      <c r="O198" s="39">
        <v>25000.0</v>
      </c>
      <c r="P198" s="39">
        <v>25000.0</v>
      </c>
      <c r="Q198" s="39"/>
      <c r="R198" s="46"/>
      <c r="S198" s="46">
        <v>0.67</v>
      </c>
      <c r="T198" s="50">
        <f>IFERROR(__xludf.DUMMYFUNCTION("((IFERROR(MIN(FILTER({K198, N198, Q198}, ISNUMBER({K198, N198, Q198}), {K198, N198, Q198} &gt; 0)), """"))*S198)+IFERROR(MIN(FILTER({K198, N198, Q198}, ISNUMBER({K198, N198, Q198}), {K198, N198, Q198} &gt; 0)), """")"),2672.0)</f>
        <v>2672</v>
      </c>
      <c r="U198" s="53">
        <f>IFERROR(__xludf.DUMMYFUNCTION("(T198-(IFERROR(MIN(FILTER({K198, N198, Q198}, ISNUMBER({K198, N198, Q198}), {K198, N198, Q198} &gt; 0)), """")))/T198"),0.40119760479041916)</f>
        <v>0.4011976048</v>
      </c>
      <c r="V198" s="88">
        <f t="shared" si="13"/>
        <v>2000</v>
      </c>
      <c r="W198" s="89"/>
    </row>
    <row r="199" ht="22.5" customHeight="1">
      <c r="A199" s="28" t="s">
        <v>532</v>
      </c>
      <c r="B199" s="28" t="s">
        <v>1125</v>
      </c>
      <c r="C199" s="30" t="s">
        <v>379</v>
      </c>
      <c r="D199" s="85" t="s">
        <v>1127</v>
      </c>
      <c r="E199" s="36" t="s">
        <v>55</v>
      </c>
      <c r="F199" s="69" t="s">
        <v>536</v>
      </c>
      <c r="G199" s="36" t="s">
        <v>41</v>
      </c>
      <c r="H199" s="28" t="s">
        <v>1129</v>
      </c>
      <c r="I199" s="39">
        <v>1000.0</v>
      </c>
      <c r="J199" s="39">
        <v>1000.0</v>
      </c>
      <c r="K199" s="41"/>
      <c r="L199" s="42">
        <v>1000.0</v>
      </c>
      <c r="M199" s="42">
        <v>1000.0</v>
      </c>
      <c r="N199" s="42">
        <v>7563.0</v>
      </c>
      <c r="O199" s="39">
        <v>1000.0</v>
      </c>
      <c r="P199" s="39">
        <v>1000.0</v>
      </c>
      <c r="Q199" s="41"/>
      <c r="R199" s="46"/>
      <c r="S199" s="46">
        <v>0.67</v>
      </c>
      <c r="T199" s="50">
        <f>IFERROR(__xludf.DUMMYFUNCTION("((IFERROR(MIN(FILTER({K199, N199, Q199}, ISNUMBER({K199, N199, Q199}), {K199, N199, Q199} &gt; 0)), """"))*S199)+IFERROR(MIN(FILTER({K199, N199, Q199}, ISNUMBER({K199, N199, Q199}), {K199, N199, Q199} &gt; 0)), """")"),12630.21)</f>
        <v>12630.21</v>
      </c>
      <c r="U199" s="53">
        <f>IFERROR(__xludf.DUMMYFUNCTION("(T199-(IFERROR(MIN(FILTER({K199, N199, Q199}, ISNUMBER({K199, N199, Q199}), {K199, N199, Q199} &gt; 0)), """")))/T199"),0.4011976047904191)</f>
        <v>0.4011976048</v>
      </c>
      <c r="V199" s="88">
        <f t="shared" si="13"/>
        <v>9453.75</v>
      </c>
      <c r="W199" s="89"/>
    </row>
    <row r="200" ht="22.5" customHeight="1">
      <c r="A200" s="28" t="s">
        <v>532</v>
      </c>
      <c r="B200" s="28" t="s">
        <v>1125</v>
      </c>
      <c r="C200" s="30" t="s">
        <v>379</v>
      </c>
      <c r="D200" s="85" t="s">
        <v>1127</v>
      </c>
      <c r="E200" s="36" t="s">
        <v>55</v>
      </c>
      <c r="F200" s="69" t="s">
        <v>536</v>
      </c>
      <c r="G200" s="36" t="s">
        <v>41</v>
      </c>
      <c r="H200" s="28" t="s">
        <v>1132</v>
      </c>
      <c r="I200" s="39">
        <v>2000.0</v>
      </c>
      <c r="J200" s="39">
        <v>2000.0</v>
      </c>
      <c r="K200" s="41"/>
      <c r="L200" s="42">
        <v>2000.0</v>
      </c>
      <c r="M200" s="42">
        <v>2000.0</v>
      </c>
      <c r="N200" s="42">
        <v>4665.0</v>
      </c>
      <c r="O200" s="39">
        <v>2000.0</v>
      </c>
      <c r="P200" s="39">
        <v>2000.0</v>
      </c>
      <c r="Q200" s="41"/>
      <c r="R200" s="46"/>
      <c r="S200" s="46">
        <v>0.67</v>
      </c>
      <c r="T200" s="50">
        <f>IFERROR(__xludf.DUMMYFUNCTION("((IFERROR(MIN(FILTER({K200, N200, Q200}, ISNUMBER({K200, N200, Q200}), {K200, N200, Q200} &gt; 0)), """"))*S200)+IFERROR(MIN(FILTER({K200, N200, Q200}, ISNUMBER({K200, N200, Q200}), {K200, N200, Q200} &gt; 0)), """")"),7790.55)</f>
        <v>7790.55</v>
      </c>
      <c r="U200" s="53">
        <f>IFERROR(__xludf.DUMMYFUNCTION("(T200-(IFERROR(MIN(FILTER({K200, N200, Q200}, ISNUMBER({K200, N200, Q200}), {K200, N200, Q200} &gt; 0)), """")))/T200"),0.40119760479041916)</f>
        <v>0.4011976048</v>
      </c>
      <c r="V200" s="88">
        <f t="shared" si="13"/>
        <v>5831.25</v>
      </c>
      <c r="W200" s="89"/>
    </row>
    <row r="201" ht="22.5" customHeight="1">
      <c r="A201" s="28" t="s">
        <v>532</v>
      </c>
      <c r="B201" s="28" t="s">
        <v>1134</v>
      </c>
      <c r="C201" s="30" t="s">
        <v>379</v>
      </c>
      <c r="D201" s="85" t="s">
        <v>1135</v>
      </c>
      <c r="E201" s="36" t="s">
        <v>55</v>
      </c>
      <c r="F201" s="69" t="s">
        <v>536</v>
      </c>
      <c r="G201" s="36" t="s">
        <v>41</v>
      </c>
      <c r="H201" s="28" t="s">
        <v>1136</v>
      </c>
      <c r="I201" s="39">
        <v>5000.0</v>
      </c>
      <c r="J201" s="39">
        <v>5000.0</v>
      </c>
      <c r="K201" s="41"/>
      <c r="L201" s="42">
        <v>5000.0</v>
      </c>
      <c r="M201" s="42">
        <v>5000.0</v>
      </c>
      <c r="N201" s="42">
        <v>4059.0</v>
      </c>
      <c r="O201" s="39">
        <v>5000.0</v>
      </c>
      <c r="P201" s="39">
        <v>5000.0</v>
      </c>
      <c r="Q201" s="41"/>
      <c r="R201" s="46"/>
      <c r="S201" s="46">
        <v>0.67</v>
      </c>
      <c r="T201" s="50">
        <f>IFERROR(__xludf.DUMMYFUNCTION("((IFERROR(MIN(FILTER({K201, N201, Q201}, ISNUMBER({K201, N201, Q201}), {K201, N201, Q201} &gt; 0)), """"))*S201)+IFERROR(MIN(FILTER({K201, N201, Q201}, ISNUMBER({K201, N201, Q201}), {K201, N201, Q201} &gt; 0)), """")"),6778.530000000001)</f>
        <v>6778.53</v>
      </c>
      <c r="U201" s="53">
        <f>IFERROR(__xludf.DUMMYFUNCTION("(T201-(IFERROR(MIN(FILTER({K201, N201, Q201}, ISNUMBER({K201, N201, Q201}), {K201, N201, Q201} &gt; 0)), """")))/T201"),0.4011976047904192)</f>
        <v>0.4011976048</v>
      </c>
      <c r="V201" s="88">
        <f t="shared" si="13"/>
        <v>5073.75</v>
      </c>
      <c r="W201" s="89"/>
    </row>
    <row r="202" ht="22.5" customHeight="1">
      <c r="A202" s="28" t="s">
        <v>532</v>
      </c>
      <c r="B202" s="28" t="s">
        <v>1134</v>
      </c>
      <c r="C202" s="30" t="s">
        <v>379</v>
      </c>
      <c r="D202" s="85" t="s">
        <v>1135</v>
      </c>
      <c r="E202" s="36" t="s">
        <v>55</v>
      </c>
      <c r="F202" s="69" t="s">
        <v>536</v>
      </c>
      <c r="G202" s="36" t="s">
        <v>41</v>
      </c>
      <c r="H202" s="28" t="s">
        <v>1138</v>
      </c>
      <c r="I202" s="39">
        <v>3000.0</v>
      </c>
      <c r="J202" s="39">
        <v>3000.0</v>
      </c>
      <c r="K202" s="41"/>
      <c r="L202" s="42">
        <v>3000.0</v>
      </c>
      <c r="M202" s="42">
        <v>3000.0</v>
      </c>
      <c r="N202" s="42">
        <v>5495.0</v>
      </c>
      <c r="O202" s="39">
        <v>3000.0</v>
      </c>
      <c r="P202" s="39">
        <v>3000.0</v>
      </c>
      <c r="Q202" s="41"/>
      <c r="R202" s="46"/>
      <c r="S202" s="46">
        <v>0.67</v>
      </c>
      <c r="T202" s="50">
        <f>IFERROR(__xludf.DUMMYFUNCTION("((IFERROR(MIN(FILTER({K202, N202, Q202}, ISNUMBER({K202, N202, Q202}), {K202, N202, Q202} &gt; 0)), """"))*S202)+IFERROR(MIN(FILTER({K202, N202, Q202}, ISNUMBER({K202, N202, Q202}), {K202, N202, Q202} &gt; 0)), """")"),9176.65)</f>
        <v>9176.65</v>
      </c>
      <c r="U202" s="53">
        <f>IFERROR(__xludf.DUMMYFUNCTION("(T202-(IFERROR(MIN(FILTER({K202, N202, Q202}, ISNUMBER({K202, N202, Q202}), {K202, N202, Q202} &gt; 0)), """")))/T202"),0.40119760479041916)</f>
        <v>0.4011976048</v>
      </c>
      <c r="V202" s="88">
        <f t="shared" si="13"/>
        <v>6868.75</v>
      </c>
      <c r="W202" s="89"/>
    </row>
    <row r="203" ht="22.5" customHeight="1">
      <c r="A203" s="28" t="s">
        <v>532</v>
      </c>
      <c r="B203" s="28" t="s">
        <v>1134</v>
      </c>
      <c r="C203" s="30" t="s">
        <v>379</v>
      </c>
      <c r="D203" s="85" t="s">
        <v>1135</v>
      </c>
      <c r="E203" s="36" t="s">
        <v>55</v>
      </c>
      <c r="F203" s="69" t="s">
        <v>536</v>
      </c>
      <c r="G203" s="36" t="s">
        <v>41</v>
      </c>
      <c r="H203" s="28" t="s">
        <v>1139</v>
      </c>
      <c r="I203" s="39">
        <v>3300.0</v>
      </c>
      <c r="J203" s="39">
        <v>3300.0</v>
      </c>
      <c r="K203" s="41"/>
      <c r="L203" s="42">
        <v>3300.0</v>
      </c>
      <c r="M203" s="42">
        <v>3300.0</v>
      </c>
      <c r="N203" s="42">
        <v>5287.0</v>
      </c>
      <c r="O203" s="39">
        <v>3300.0</v>
      </c>
      <c r="P203" s="39">
        <v>3300.0</v>
      </c>
      <c r="Q203" s="41"/>
      <c r="R203" s="46"/>
      <c r="S203" s="46">
        <v>0.67</v>
      </c>
      <c r="T203" s="50">
        <f>IFERROR(__xludf.DUMMYFUNCTION("((IFERROR(MIN(FILTER({K203, N203, Q203}, ISNUMBER({K203, N203, Q203}), {K203, N203, Q203} &gt; 0)), """"))*S203)+IFERROR(MIN(FILTER({K203, N203, Q203}, ISNUMBER({K203, N203, Q203}), {K203, N203, Q203} &gt; 0)), """")"),8829.29)</f>
        <v>8829.29</v>
      </c>
      <c r="U203" s="53">
        <f>IFERROR(__xludf.DUMMYFUNCTION("(T203-(IFERROR(MIN(FILTER({K203, N203, Q203}, ISNUMBER({K203, N203, Q203}), {K203, N203, Q203} &gt; 0)), """")))/T203"),0.4011976047904192)</f>
        <v>0.4011976048</v>
      </c>
      <c r="V203" s="88">
        <f t="shared" si="13"/>
        <v>6608.75</v>
      </c>
      <c r="W203" s="89"/>
    </row>
    <row r="204" ht="22.5" customHeight="1">
      <c r="A204" s="28" t="s">
        <v>1072</v>
      </c>
      <c r="B204" s="28" t="s">
        <v>378</v>
      </c>
      <c r="C204" s="30" t="s">
        <v>106</v>
      </c>
      <c r="D204" s="85" t="s">
        <v>1140</v>
      </c>
      <c r="E204" s="36" t="s">
        <v>63</v>
      </c>
      <c r="F204" s="69" t="s">
        <v>67</v>
      </c>
      <c r="G204" s="36" t="s">
        <v>41</v>
      </c>
      <c r="H204" s="28" t="s">
        <v>453</v>
      </c>
      <c r="I204" s="39">
        <v>3300.0</v>
      </c>
      <c r="J204" s="39">
        <v>3300.0</v>
      </c>
      <c r="K204" s="41"/>
      <c r="L204" s="42">
        <v>3300.0</v>
      </c>
      <c r="M204" s="42">
        <v>3300.0</v>
      </c>
      <c r="N204" s="42">
        <v>5594.0</v>
      </c>
      <c r="O204" s="39">
        <v>3300.0</v>
      </c>
      <c r="P204" s="39">
        <v>3300.0</v>
      </c>
      <c r="Q204" s="41"/>
      <c r="R204" s="46"/>
      <c r="S204" s="46">
        <v>0.67</v>
      </c>
      <c r="T204" s="50">
        <f>IFERROR(__xludf.DUMMYFUNCTION("((IFERROR(MIN(FILTER({K204, N204, Q204}, ISNUMBER({K204, N204, Q204}), {K204, N204, Q204} &gt; 0)), """"))*S204)+IFERROR(MIN(FILTER({K204, N204, Q204}, ISNUMBER({K204, N204, Q204}), {K204, N204, Q204} &gt; 0)), """")"),9341.98)</f>
        <v>9341.98</v>
      </c>
      <c r="U204" s="53">
        <f>IFERROR(__xludf.DUMMYFUNCTION("(T204-(IFERROR(MIN(FILTER({K204, N204, Q204}, ISNUMBER({K204, N204, Q204}), {K204, N204, Q204} &gt; 0)), """")))/T204"),0.40119760479041916)</f>
        <v>0.4011976048</v>
      </c>
      <c r="V204" s="88">
        <f t="shared" si="13"/>
        <v>6992.5</v>
      </c>
      <c r="W204" s="89"/>
    </row>
    <row r="205" ht="22.5" customHeight="1">
      <c r="A205" s="28" t="s">
        <v>1072</v>
      </c>
      <c r="B205" s="28" t="s">
        <v>378</v>
      </c>
      <c r="C205" s="30" t="s">
        <v>106</v>
      </c>
      <c r="D205" s="85" t="s">
        <v>1144</v>
      </c>
      <c r="E205" s="36" t="s">
        <v>63</v>
      </c>
      <c r="F205" s="69" t="s">
        <v>67</v>
      </c>
      <c r="G205" s="36" t="s">
        <v>41</v>
      </c>
      <c r="H205" s="28" t="s">
        <v>758</v>
      </c>
      <c r="I205" s="39">
        <v>3000.0</v>
      </c>
      <c r="J205" s="39">
        <v>3000.0</v>
      </c>
      <c r="K205" s="41"/>
      <c r="L205" s="42">
        <v>3000.0</v>
      </c>
      <c r="M205" s="42">
        <v>3000.0</v>
      </c>
      <c r="N205" s="42">
        <v>5388.0</v>
      </c>
      <c r="O205" s="39">
        <v>3000.0</v>
      </c>
      <c r="P205" s="39">
        <v>3000.0</v>
      </c>
      <c r="Q205" s="41"/>
      <c r="R205" s="46"/>
      <c r="S205" s="46">
        <v>0.67</v>
      </c>
      <c r="T205" s="50">
        <f>IFERROR(__xludf.DUMMYFUNCTION("((IFERROR(MIN(FILTER({K205, N205, Q205}, ISNUMBER({K205, N205, Q205}), {K205, N205, Q205} &gt; 0)), """"))*S205)+IFERROR(MIN(FILTER({K205, N205, Q205}, ISNUMBER({K205, N205, Q205}), {K205, N205, Q205} &gt; 0)), """")"),8997.96)</f>
        <v>8997.96</v>
      </c>
      <c r="U205" s="53">
        <f>IFERROR(__xludf.DUMMYFUNCTION("(T205-(IFERROR(MIN(FILTER({K205, N205, Q205}, ISNUMBER({K205, N205, Q205}), {K205, N205, Q205} &gt; 0)), """")))/T205"),0.4011976047904191)</f>
        <v>0.4011976048</v>
      </c>
      <c r="V205" s="88">
        <f t="shared" si="13"/>
        <v>6735</v>
      </c>
      <c r="W205" s="89"/>
    </row>
    <row r="206" ht="22.5" customHeight="1">
      <c r="A206" s="28" t="s">
        <v>1072</v>
      </c>
      <c r="B206" s="28" t="s">
        <v>378</v>
      </c>
      <c r="C206" s="30" t="s">
        <v>106</v>
      </c>
      <c r="D206" s="85" t="s">
        <v>1145</v>
      </c>
      <c r="E206" s="36" t="s">
        <v>63</v>
      </c>
      <c r="F206" s="69" t="s">
        <v>67</v>
      </c>
      <c r="G206" s="36" t="s">
        <v>41</v>
      </c>
      <c r="H206" s="28" t="s">
        <v>761</v>
      </c>
      <c r="I206" s="39">
        <v>3000.0</v>
      </c>
      <c r="J206" s="39">
        <v>3000.0</v>
      </c>
      <c r="K206" s="41"/>
      <c r="L206" s="42">
        <v>3000.0</v>
      </c>
      <c r="M206" s="42">
        <v>3000.0</v>
      </c>
      <c r="N206" s="42">
        <v>5287.0</v>
      </c>
      <c r="O206" s="39">
        <v>3000.0</v>
      </c>
      <c r="P206" s="39">
        <v>3000.0</v>
      </c>
      <c r="Q206" s="41"/>
      <c r="R206" s="46"/>
      <c r="S206" s="46">
        <v>0.67</v>
      </c>
      <c r="T206" s="50">
        <f>IFERROR(__xludf.DUMMYFUNCTION("((IFERROR(MIN(FILTER({K206, N206, Q206}, ISNUMBER({K206, N206, Q206}), {K206, N206, Q206} &gt; 0)), """"))*S206)+IFERROR(MIN(FILTER({K206, N206, Q206}, ISNUMBER({K206, N206, Q206}), {K206, N206, Q206} &gt; 0)), """")"),8829.29)</f>
        <v>8829.29</v>
      </c>
      <c r="U206" s="53">
        <f>IFERROR(__xludf.DUMMYFUNCTION("(T206-(IFERROR(MIN(FILTER({K206, N206, Q206}, ISNUMBER({K206, N206, Q206}), {K206, N206, Q206} &gt; 0)), """")))/T206"),0.4011976047904192)</f>
        <v>0.4011976048</v>
      </c>
      <c r="V206" s="88">
        <f t="shared" si="13"/>
        <v>6608.75</v>
      </c>
      <c r="W206" s="89"/>
    </row>
    <row r="207" ht="22.5" customHeight="1">
      <c r="A207" s="28" t="s">
        <v>1072</v>
      </c>
      <c r="B207" s="28" t="s">
        <v>470</v>
      </c>
      <c r="C207" s="30" t="s">
        <v>106</v>
      </c>
      <c r="D207" s="85" t="s">
        <v>1146</v>
      </c>
      <c r="E207" s="36" t="s">
        <v>63</v>
      </c>
      <c r="F207" s="69" t="s">
        <v>67</v>
      </c>
      <c r="G207" s="36" t="s">
        <v>41</v>
      </c>
      <c r="H207" s="28" t="s">
        <v>1147</v>
      </c>
      <c r="I207" s="39">
        <v>500.0</v>
      </c>
      <c r="J207" s="39">
        <v>500.0</v>
      </c>
      <c r="K207" s="41"/>
      <c r="L207" s="42">
        <v>500.0</v>
      </c>
      <c r="M207" s="42">
        <v>500.0</v>
      </c>
      <c r="N207" s="42">
        <v>20152.0</v>
      </c>
      <c r="O207" s="39">
        <v>500.0</v>
      </c>
      <c r="P207" s="39">
        <v>500.0</v>
      </c>
      <c r="Q207" s="63"/>
      <c r="R207" s="92">
        <f t="shared" ref="R207:R210" si="14">IF(MAX(K207,N207,Q207)&gt;0, MAX(K207,N207,Q207))</f>
        <v>20152</v>
      </c>
      <c r="S207" s="46">
        <v>0.67</v>
      </c>
      <c r="T207" s="93">
        <f>IFERROR(__xludf.DUMMYFUNCTION("((IFERROR(MAX(FILTER({K207, N207, Q207}, ISNUMBER({K207, N207, Q207}), {K207, N207, Q207} &gt; 0)), """"))*S207)+IFERROR(MAX(FILTER({K207, N207, Q207}, ISNUMBER({K207, N207, Q207}), {K207, N207, Q207} &gt; 0)), """")"),33653.84)</f>
        <v>33653.84</v>
      </c>
      <c r="U207" s="53">
        <f>IFERROR(__xludf.DUMMYFUNCTION("(T207-(IFERROR(MIN(FILTER({K207, N207, Q207}, ISNUMBER({K207, N207, Q207}), {K207, N207, Q207} &gt; 0)), """")))/T207"),0.4011976047904191)</f>
        <v>0.4011976048</v>
      </c>
      <c r="V207" s="93">
        <f t="shared" ref="V207:V210" si="15">IF(MAX(K207,N207,Q207)&gt;0, MAX(K207,N207,Q207)/0.75, 0)</f>
        <v>26869.33333</v>
      </c>
      <c r="W207" s="94">
        <f t="shared" ref="W207:W210" si="16">(V207-R207)/V207</f>
        <v>0.25</v>
      </c>
    </row>
    <row r="208" ht="22.5" customHeight="1">
      <c r="A208" s="28" t="s">
        <v>1072</v>
      </c>
      <c r="B208" s="28" t="s">
        <v>1150</v>
      </c>
      <c r="C208" s="30" t="s">
        <v>106</v>
      </c>
      <c r="D208" s="85" t="s">
        <v>1146</v>
      </c>
      <c r="E208" s="36" t="s">
        <v>63</v>
      </c>
      <c r="F208" s="69" t="s">
        <v>67</v>
      </c>
      <c r="G208" s="36" t="s">
        <v>41</v>
      </c>
      <c r="H208" s="28" t="s">
        <v>1151</v>
      </c>
      <c r="I208" s="39">
        <v>1000.0</v>
      </c>
      <c r="J208" s="39">
        <v>1000.0</v>
      </c>
      <c r="K208" s="41"/>
      <c r="L208" s="42">
        <v>1000.0</v>
      </c>
      <c r="M208" s="42">
        <v>1000.0</v>
      </c>
      <c r="N208" s="42">
        <v>8444.0</v>
      </c>
      <c r="O208" s="39">
        <v>1000.0</v>
      </c>
      <c r="P208" s="39">
        <v>1000.0</v>
      </c>
      <c r="Q208" s="63"/>
      <c r="R208" s="92">
        <f t="shared" si="14"/>
        <v>8444</v>
      </c>
      <c r="S208" s="46">
        <v>0.67</v>
      </c>
      <c r="T208" s="93">
        <f>IFERROR(__xludf.DUMMYFUNCTION("((IFERROR(MAX(FILTER({K208, N208, Q208}, ISNUMBER({K208, N208, Q208}), {K208, N208, Q208} &gt; 0)), """"))*S208)+IFERROR(MAX(FILTER({K208, N208, Q208}, ISNUMBER({K208, N208, Q208}), {K208, N208, Q208} &gt; 0)), """")"),14101.48)</f>
        <v>14101.48</v>
      </c>
      <c r="U208" s="53">
        <f>IFERROR(__xludf.DUMMYFUNCTION("(T208-(IFERROR(MIN(FILTER({K208, N208, Q208}, ISNUMBER({K208, N208, Q208}), {K208, N208, Q208} &gt; 0)), """")))/T208"),0.40119760479041916)</f>
        <v>0.4011976048</v>
      </c>
      <c r="V208" s="93">
        <f t="shared" si="15"/>
        <v>11258.66667</v>
      </c>
      <c r="W208" s="94">
        <f t="shared" si="16"/>
        <v>0.25</v>
      </c>
    </row>
    <row r="209" ht="22.5" customHeight="1">
      <c r="A209" s="28" t="s">
        <v>786</v>
      </c>
      <c r="B209" s="28" t="s">
        <v>470</v>
      </c>
      <c r="C209" s="30" t="s">
        <v>106</v>
      </c>
      <c r="D209" s="85" t="s">
        <v>1153</v>
      </c>
      <c r="E209" s="36" t="s">
        <v>63</v>
      </c>
      <c r="F209" s="69" t="s">
        <v>67</v>
      </c>
      <c r="G209" s="36" t="s">
        <v>41</v>
      </c>
      <c r="H209" s="28" t="s">
        <v>788</v>
      </c>
      <c r="I209" s="39">
        <v>1000.0</v>
      </c>
      <c r="J209" s="39">
        <v>1000.0</v>
      </c>
      <c r="K209" s="41"/>
      <c r="L209" s="42">
        <v>1000.0</v>
      </c>
      <c r="M209" s="42">
        <v>1000.0</v>
      </c>
      <c r="N209" s="60"/>
      <c r="O209" s="39">
        <v>1000.0</v>
      </c>
      <c r="P209" s="39">
        <v>1000.0</v>
      </c>
      <c r="Q209" s="62">
        <v>3900.0</v>
      </c>
      <c r="R209" s="92">
        <f t="shared" si="14"/>
        <v>3900</v>
      </c>
      <c r="S209" s="46">
        <v>0.67</v>
      </c>
      <c r="T209" s="93">
        <f>IFERROR(__xludf.DUMMYFUNCTION("((IFERROR(MAX(FILTER({K209, N209, Q209}, ISNUMBER({K209, N209, Q209}), {K209, N209, Q209} &gt; 0)), """"))*S209)+IFERROR(MAX(FILTER({K209, N209, Q209}, ISNUMBER({K209, N209, Q209}), {K209, N209, Q209} &gt; 0)), """")"),6513.0)</f>
        <v>6513</v>
      </c>
      <c r="U209" s="53">
        <f>IFERROR(__xludf.DUMMYFUNCTION("(T209-(IFERROR(MIN(FILTER({K209, N209, Q209}, ISNUMBER({K209, N209, Q209}), {K209, N209, Q209} &gt; 0)), """")))/T209"),0.40119760479041916)</f>
        <v>0.4011976048</v>
      </c>
      <c r="V209" s="93">
        <f t="shared" si="15"/>
        <v>5200</v>
      </c>
      <c r="W209" s="94">
        <f t="shared" si="16"/>
        <v>0.25</v>
      </c>
    </row>
    <row r="210" ht="22.5" customHeight="1">
      <c r="A210" s="28" t="s">
        <v>786</v>
      </c>
      <c r="B210" s="28" t="s">
        <v>470</v>
      </c>
      <c r="C210" s="30" t="s">
        <v>106</v>
      </c>
      <c r="D210" s="85" t="s">
        <v>1155</v>
      </c>
      <c r="E210" s="36" t="s">
        <v>63</v>
      </c>
      <c r="F210" s="69" t="s">
        <v>67</v>
      </c>
      <c r="G210" s="36" t="s">
        <v>41</v>
      </c>
      <c r="H210" s="28" t="s">
        <v>788</v>
      </c>
      <c r="I210" s="39">
        <v>500.0</v>
      </c>
      <c r="J210" s="39">
        <v>500.0</v>
      </c>
      <c r="K210" s="41"/>
      <c r="L210" s="42">
        <v>500.0</v>
      </c>
      <c r="M210" s="42">
        <v>500.0</v>
      </c>
      <c r="N210" s="60"/>
      <c r="O210" s="39">
        <v>500.0</v>
      </c>
      <c r="P210" s="39">
        <v>500.0</v>
      </c>
      <c r="Q210" s="62">
        <v>12500.0</v>
      </c>
      <c r="R210" s="92">
        <f t="shared" si="14"/>
        <v>12500</v>
      </c>
      <c r="S210" s="46">
        <v>0.67</v>
      </c>
      <c r="T210" s="93">
        <f>IFERROR(__xludf.DUMMYFUNCTION("((IFERROR(MAX(FILTER({K210, N210, Q210}, ISNUMBER({K210, N210, Q210}), {K210, N210, Q210} &gt; 0)), """"))*S210)+IFERROR(MAX(FILTER({K210, N210, Q210}, ISNUMBER({K210, N210, Q210}), {K210, N210, Q210} &gt; 0)), """")"),20875.0)</f>
        <v>20875</v>
      </c>
      <c r="U210" s="53">
        <f>IFERROR(__xludf.DUMMYFUNCTION("(T210-(IFERROR(MIN(FILTER({K210, N210, Q210}, ISNUMBER({K210, N210, Q210}), {K210, N210, Q210} &gt; 0)), """")))/T210"),0.40119760479041916)</f>
        <v>0.4011976048</v>
      </c>
      <c r="V210" s="93">
        <f t="shared" si="15"/>
        <v>16666.66667</v>
      </c>
      <c r="W210" s="94">
        <f t="shared" si="16"/>
        <v>0.25</v>
      </c>
    </row>
    <row r="211" ht="22.5" customHeight="1">
      <c r="A211" s="28" t="s">
        <v>487</v>
      </c>
      <c r="B211" s="28" t="s">
        <v>831</v>
      </c>
      <c r="C211" s="30" t="s">
        <v>379</v>
      </c>
      <c r="D211" s="85" t="s">
        <v>1156</v>
      </c>
      <c r="E211" s="36" t="s">
        <v>36</v>
      </c>
      <c r="F211" s="69" t="s">
        <v>1157</v>
      </c>
      <c r="G211" s="36" t="s">
        <v>41</v>
      </c>
      <c r="H211" s="28" t="s">
        <v>1158</v>
      </c>
      <c r="I211" s="39">
        <v>7000.0</v>
      </c>
      <c r="J211" s="39">
        <v>7000.0</v>
      </c>
      <c r="K211" s="41"/>
      <c r="L211" s="42">
        <v>7000.0</v>
      </c>
      <c r="M211" s="42">
        <v>7000.0</v>
      </c>
      <c r="N211" s="42">
        <v>7508.0</v>
      </c>
      <c r="O211" s="39">
        <v>7000.0</v>
      </c>
      <c r="P211" s="39">
        <v>7000.0</v>
      </c>
      <c r="Q211" s="41"/>
      <c r="R211" s="46"/>
      <c r="S211" s="46">
        <v>0.67</v>
      </c>
      <c r="T211" s="50">
        <f>IFERROR(__xludf.DUMMYFUNCTION("((IFERROR(MIN(FILTER({K211, N211, Q211}, ISNUMBER({K211, N211, Q211}), {K211, N211, Q211} &gt; 0)), """"))*S211)+IFERROR(MIN(FILTER({K211, N211, Q211}, ISNUMBER({K211, N211, Q211}), {K211, N211, Q211} &gt; 0)), """")"),12538.36)</f>
        <v>12538.36</v>
      </c>
      <c r="U211" s="53">
        <f>IFERROR(__xludf.DUMMYFUNCTION("(T211-(IFERROR(MIN(FILTER({K211, N211, Q211}, ISNUMBER({K211, N211, Q211}), {K211, N211, Q211} &gt; 0)), """")))/T211"),0.4011976047904192)</f>
        <v>0.4011976048</v>
      </c>
      <c r="V211" s="88">
        <f>IF(MAX(K211,N211,Q211)&gt;0, MAX(K211,N211,Q211)*1.25, 0)</f>
        <v>9385</v>
      </c>
      <c r="W211" s="89"/>
    </row>
    <row r="212" ht="22.5" customHeight="1">
      <c r="A212" s="28" t="s">
        <v>1161</v>
      </c>
      <c r="B212" s="28" t="s">
        <v>478</v>
      </c>
      <c r="C212" s="30" t="s">
        <v>821</v>
      </c>
      <c r="D212" s="31" t="s">
        <v>1162</v>
      </c>
      <c r="E212" s="69" t="s">
        <v>46</v>
      </c>
      <c r="F212" s="69" t="s">
        <v>1163</v>
      </c>
      <c r="G212" s="36" t="s">
        <v>41</v>
      </c>
      <c r="H212" s="28" t="s">
        <v>1164</v>
      </c>
      <c r="I212" s="39">
        <v>500.0</v>
      </c>
      <c r="J212" s="39">
        <v>500.0</v>
      </c>
      <c r="K212" s="41"/>
      <c r="L212" s="42">
        <v>500.0</v>
      </c>
      <c r="M212" s="42">
        <v>500.0</v>
      </c>
      <c r="N212" s="42">
        <v>11270.0</v>
      </c>
      <c r="O212" s="39">
        <v>500.0</v>
      </c>
      <c r="P212" s="39">
        <v>500.0</v>
      </c>
      <c r="Q212" s="63"/>
      <c r="R212" s="92">
        <f>IF(MAX(K212,N212,Q212)&gt;0, MAX(K212,N212,Q212))</f>
        <v>11270</v>
      </c>
      <c r="S212" s="46">
        <v>0.67</v>
      </c>
      <c r="T212" s="93">
        <f>IFERROR(__xludf.DUMMYFUNCTION("((IFERROR(MAX(FILTER({K212, N212, Q212}, ISNUMBER({K212, N212, Q212}), {K212, N212, Q212} &gt; 0)), """"))*S212)+IFERROR(MAX(FILTER({K212, N212, Q212}, ISNUMBER({K212, N212, Q212}), {K212, N212, Q212} &gt; 0)), """")"),18820.9)</f>
        <v>18820.9</v>
      </c>
      <c r="U212" s="53">
        <f>IFERROR(__xludf.DUMMYFUNCTION("(T212-(IFERROR(MIN(FILTER({K212, N212, Q212}, ISNUMBER({K212, N212, Q212}), {K212, N212, Q212} &gt; 0)), """")))/T212"),0.4011976047904192)</f>
        <v>0.4011976048</v>
      </c>
      <c r="V212" s="93">
        <f>IF(MAX(K212,N212,Q212)&gt;0, MAX(K212,N212,Q212)/0.75, 0)</f>
        <v>15026.66667</v>
      </c>
      <c r="W212" s="94">
        <f>(V212-R212)/V212</f>
        <v>0.25</v>
      </c>
    </row>
    <row r="213" ht="22.5" customHeight="1">
      <c r="A213" s="28" t="s">
        <v>188</v>
      </c>
      <c r="B213" s="28" t="s">
        <v>1165</v>
      </c>
      <c r="C213" s="30" t="s">
        <v>560</v>
      </c>
      <c r="D213" s="85" t="s">
        <v>1166</v>
      </c>
      <c r="E213" s="36" t="s">
        <v>1167</v>
      </c>
      <c r="F213" s="69" t="s">
        <v>1168</v>
      </c>
      <c r="G213" s="36" t="s">
        <v>41</v>
      </c>
      <c r="H213" s="28" t="s">
        <v>1169</v>
      </c>
      <c r="I213" s="39">
        <v>4000.0</v>
      </c>
      <c r="J213" s="39">
        <v>4000.0</v>
      </c>
      <c r="K213" s="41"/>
      <c r="L213" s="42">
        <v>4000.0</v>
      </c>
      <c r="M213" s="42">
        <v>4000.0</v>
      </c>
      <c r="N213" s="42">
        <v>6081.0</v>
      </c>
      <c r="O213" s="39">
        <v>4000.0</v>
      </c>
      <c r="P213" s="39">
        <v>4000.0</v>
      </c>
      <c r="Q213" s="41"/>
      <c r="R213" s="46"/>
      <c r="S213" s="46">
        <v>0.67</v>
      </c>
      <c r="T213" s="50">
        <f>IFERROR(__xludf.DUMMYFUNCTION("((IFERROR(MIN(FILTER({K213, N213, Q213}, ISNUMBER({K213, N213, Q213}), {K213, N213, Q213} &gt; 0)), """"))*S213)+IFERROR(MIN(FILTER({K213, N213, Q213}, ISNUMBER({K213, N213, Q213}), {K213, N213, Q213} &gt; 0)), """")"),10155.27)</f>
        <v>10155.27</v>
      </c>
      <c r="U213" s="53">
        <f>IFERROR(__xludf.DUMMYFUNCTION("(T213-(IFERROR(MIN(FILTER({K213, N213, Q213}, ISNUMBER({K213, N213, Q213}), {K213, N213, Q213} &gt; 0)), """")))/T213"),0.40119760479041916)</f>
        <v>0.4011976048</v>
      </c>
      <c r="V213" s="88">
        <f t="shared" ref="V213:V229" si="17">IF(MAX(K213,N213,Q213)&gt;0, MAX(K213,N213,Q213)*1.25, 0)</f>
        <v>7601.25</v>
      </c>
      <c r="W213" s="89"/>
    </row>
    <row r="214" ht="22.5" customHeight="1">
      <c r="A214" s="28" t="s">
        <v>188</v>
      </c>
      <c r="B214" s="28" t="s">
        <v>1165</v>
      </c>
      <c r="C214" s="30" t="s">
        <v>560</v>
      </c>
      <c r="D214" s="85" t="s">
        <v>1166</v>
      </c>
      <c r="E214" s="36" t="s">
        <v>1167</v>
      </c>
      <c r="F214" s="69" t="s">
        <v>1168</v>
      </c>
      <c r="G214" s="36" t="s">
        <v>41</v>
      </c>
      <c r="H214" s="28" t="s">
        <v>1169</v>
      </c>
      <c r="I214" s="39">
        <v>1000.0</v>
      </c>
      <c r="J214" s="39">
        <v>1000.0</v>
      </c>
      <c r="K214" s="41"/>
      <c r="L214" s="42">
        <v>1000.0</v>
      </c>
      <c r="M214" s="42">
        <v>1000.0</v>
      </c>
      <c r="N214" s="42">
        <v>9154.0</v>
      </c>
      <c r="O214" s="39">
        <v>1000.0</v>
      </c>
      <c r="P214" s="39">
        <v>1000.0</v>
      </c>
      <c r="Q214" s="41"/>
      <c r="R214" s="46"/>
      <c r="S214" s="46">
        <v>0.67</v>
      </c>
      <c r="T214" s="50">
        <f>IFERROR(__xludf.DUMMYFUNCTION("((IFERROR(MIN(FILTER({K214, N214, Q214}, ISNUMBER({K214, N214, Q214}), {K214, N214, Q214} &gt; 0)), """"))*S214)+IFERROR(MIN(FILTER({K214, N214, Q214}, ISNUMBER({K214, N214, Q214}), {K214, N214, Q214} &gt; 0)), """")"),15287.18)</f>
        <v>15287.18</v>
      </c>
      <c r="U214" s="53">
        <f>IFERROR(__xludf.DUMMYFUNCTION("(T214-(IFERROR(MIN(FILTER({K214, N214, Q214}, ISNUMBER({K214, N214, Q214}), {K214, N214, Q214} &gt; 0)), """")))/T214"),0.40119760479041916)</f>
        <v>0.4011976048</v>
      </c>
      <c r="V214" s="88">
        <f t="shared" si="17"/>
        <v>11442.5</v>
      </c>
      <c r="W214" s="89"/>
    </row>
    <row r="215" ht="22.5" customHeight="1">
      <c r="A215" s="28" t="s">
        <v>188</v>
      </c>
      <c r="B215" s="28" t="s">
        <v>1165</v>
      </c>
      <c r="C215" s="30" t="s">
        <v>560</v>
      </c>
      <c r="D215" s="85" t="s">
        <v>1166</v>
      </c>
      <c r="E215" s="36" t="s">
        <v>1167</v>
      </c>
      <c r="F215" s="69" t="s">
        <v>1168</v>
      </c>
      <c r="G215" s="36" t="s">
        <v>41</v>
      </c>
      <c r="H215" s="28" t="s">
        <v>1169</v>
      </c>
      <c r="I215" s="39">
        <v>2000.0</v>
      </c>
      <c r="J215" s="39">
        <v>2000.0</v>
      </c>
      <c r="K215" s="41"/>
      <c r="L215" s="42">
        <v>2000.0</v>
      </c>
      <c r="M215" s="42">
        <v>2000.0</v>
      </c>
      <c r="N215" s="42">
        <v>6733.0</v>
      </c>
      <c r="O215" s="39">
        <v>2000.0</v>
      </c>
      <c r="P215" s="39">
        <v>2000.0</v>
      </c>
      <c r="Q215" s="41"/>
      <c r="R215" s="46"/>
      <c r="S215" s="46">
        <v>0.67</v>
      </c>
      <c r="T215" s="50">
        <f>IFERROR(__xludf.DUMMYFUNCTION("((IFERROR(MIN(FILTER({K215, N215, Q215}, ISNUMBER({K215, N215, Q215}), {K215, N215, Q215} &gt; 0)), """"))*S215)+IFERROR(MIN(FILTER({K215, N215, Q215}, ISNUMBER({K215, N215, Q215}), {K215, N215, Q215} &gt; 0)), """")"),11244.11)</f>
        <v>11244.11</v>
      </c>
      <c r="U215" s="53">
        <f>IFERROR(__xludf.DUMMYFUNCTION("(T215-(IFERROR(MIN(FILTER({K215, N215, Q215}, ISNUMBER({K215, N215, Q215}), {K215, N215, Q215} &gt; 0)), """")))/T215"),0.4011976047904192)</f>
        <v>0.4011976048</v>
      </c>
      <c r="V215" s="88">
        <f t="shared" si="17"/>
        <v>8416.25</v>
      </c>
      <c r="W215" s="89"/>
    </row>
    <row r="216" ht="22.5" customHeight="1">
      <c r="A216" s="28" t="s">
        <v>188</v>
      </c>
      <c r="B216" s="28" t="s">
        <v>1165</v>
      </c>
      <c r="C216" s="30" t="s">
        <v>560</v>
      </c>
      <c r="D216" s="85" t="s">
        <v>1166</v>
      </c>
      <c r="E216" s="36" t="s">
        <v>1167</v>
      </c>
      <c r="F216" s="69" t="s">
        <v>1168</v>
      </c>
      <c r="G216" s="36" t="s">
        <v>41</v>
      </c>
      <c r="H216" s="28" t="s">
        <v>1169</v>
      </c>
      <c r="I216" s="39">
        <v>500.0</v>
      </c>
      <c r="J216" s="39">
        <v>500.0</v>
      </c>
      <c r="K216" s="41"/>
      <c r="L216" s="42">
        <v>500.0</v>
      </c>
      <c r="M216" s="42">
        <v>500.0</v>
      </c>
      <c r="N216" s="42">
        <v>10297.0</v>
      </c>
      <c r="O216" s="39">
        <v>500.0</v>
      </c>
      <c r="P216" s="39">
        <v>500.0</v>
      </c>
      <c r="Q216" s="41"/>
      <c r="R216" s="46"/>
      <c r="S216" s="46">
        <v>0.67</v>
      </c>
      <c r="T216" s="50">
        <f>IFERROR(__xludf.DUMMYFUNCTION("((IFERROR(MIN(FILTER({K216, N216, Q216}, ISNUMBER({K216, N216, Q216}), {K216, N216, Q216} &gt; 0)), """"))*S216)+IFERROR(MIN(FILTER({K216, N216, Q216}, ISNUMBER({K216, N216, Q216}), {K216, N216, Q216} &gt; 0)), """")"),17195.99)</f>
        <v>17195.99</v>
      </c>
      <c r="U216" s="53">
        <f>IFERROR(__xludf.DUMMYFUNCTION("(T216-(IFERROR(MIN(FILTER({K216, N216, Q216}, ISNUMBER({K216, N216, Q216}), {K216, N216, Q216} &gt; 0)), """")))/T216"),0.4011976047904192)</f>
        <v>0.4011976048</v>
      </c>
      <c r="V216" s="88">
        <f t="shared" si="17"/>
        <v>12871.25</v>
      </c>
      <c r="W216" s="89"/>
    </row>
    <row r="217" ht="22.5" customHeight="1">
      <c r="A217" s="28" t="s">
        <v>188</v>
      </c>
      <c r="B217" s="28" t="s">
        <v>1171</v>
      </c>
      <c r="C217" s="30" t="s">
        <v>560</v>
      </c>
      <c r="D217" s="85" t="s">
        <v>1172</v>
      </c>
      <c r="E217" s="36" t="s">
        <v>1167</v>
      </c>
      <c r="F217" s="69" t="s">
        <v>1168</v>
      </c>
      <c r="G217" s="36" t="s">
        <v>41</v>
      </c>
      <c r="H217" s="28" t="s">
        <v>975</v>
      </c>
      <c r="I217" s="39">
        <v>500.0</v>
      </c>
      <c r="J217" s="39">
        <v>500.0</v>
      </c>
      <c r="K217" s="41"/>
      <c r="L217" s="42">
        <v>500.0</v>
      </c>
      <c r="M217" s="42">
        <v>500.0</v>
      </c>
      <c r="N217" s="42">
        <v>6188.0</v>
      </c>
      <c r="O217" s="39">
        <v>500.0</v>
      </c>
      <c r="P217" s="39">
        <v>500.0</v>
      </c>
      <c r="Q217" s="41"/>
      <c r="R217" s="46"/>
      <c r="S217" s="46">
        <v>0.67</v>
      </c>
      <c r="T217" s="50">
        <f>IFERROR(__xludf.DUMMYFUNCTION("((IFERROR(MIN(FILTER({K217, N217, Q217}, ISNUMBER({K217, N217, Q217}), {K217, N217, Q217} &gt; 0)), """"))*S217)+IFERROR(MIN(FILTER({K217, N217, Q217}, ISNUMBER({K217, N217, Q217}), {K217, N217, Q217} &gt; 0)), """")"),10333.96)</f>
        <v>10333.96</v>
      </c>
      <c r="U217" s="53">
        <f>IFERROR(__xludf.DUMMYFUNCTION("(T217-(IFERROR(MIN(FILTER({K217, N217, Q217}, ISNUMBER({K217, N217, Q217}), {K217, N217, Q217} &gt; 0)), """")))/T217"),0.4011976047904191)</f>
        <v>0.4011976048</v>
      </c>
      <c r="V217" s="88">
        <f t="shared" si="17"/>
        <v>7735</v>
      </c>
      <c r="W217" s="89"/>
    </row>
    <row r="218" ht="22.5" customHeight="1">
      <c r="A218" s="28" t="s">
        <v>188</v>
      </c>
      <c r="B218" s="28" t="s">
        <v>1171</v>
      </c>
      <c r="C218" s="30" t="s">
        <v>560</v>
      </c>
      <c r="D218" s="85" t="s">
        <v>1172</v>
      </c>
      <c r="E218" s="36" t="s">
        <v>1167</v>
      </c>
      <c r="F218" s="69" t="s">
        <v>1168</v>
      </c>
      <c r="G218" s="36" t="s">
        <v>41</v>
      </c>
      <c r="H218" s="28" t="s">
        <v>975</v>
      </c>
      <c r="I218" s="39">
        <v>1000.0</v>
      </c>
      <c r="J218" s="39">
        <v>1000.0</v>
      </c>
      <c r="K218" s="41"/>
      <c r="L218" s="42">
        <v>1000.0</v>
      </c>
      <c r="M218" s="42">
        <v>1000.0</v>
      </c>
      <c r="N218" s="42">
        <v>11967.0</v>
      </c>
      <c r="O218" s="39">
        <v>1000.0</v>
      </c>
      <c r="P218" s="39">
        <v>1000.0</v>
      </c>
      <c r="Q218" s="41"/>
      <c r="R218" s="46"/>
      <c r="S218" s="46">
        <v>0.67</v>
      </c>
      <c r="T218" s="50">
        <f>IFERROR(__xludf.DUMMYFUNCTION("((IFERROR(MIN(FILTER({K218, N218, Q218}, ISNUMBER({K218, N218, Q218}), {K218, N218, Q218} &gt; 0)), """"))*S218)+IFERROR(MIN(FILTER({K218, N218, Q218}, ISNUMBER({K218, N218, Q218}), {K218, N218, Q218} &gt; 0)), """")"),19984.89)</f>
        <v>19984.89</v>
      </c>
      <c r="U218" s="53">
        <f>IFERROR(__xludf.DUMMYFUNCTION("(T218-(IFERROR(MIN(FILTER({K218, N218, Q218}, ISNUMBER({K218, N218, Q218}), {K218, N218, Q218} &gt; 0)), """")))/T218"),0.40119760479041916)</f>
        <v>0.4011976048</v>
      </c>
      <c r="V218" s="88">
        <f t="shared" si="17"/>
        <v>14958.75</v>
      </c>
      <c r="W218" s="89"/>
    </row>
    <row r="219" ht="22.5" customHeight="1">
      <c r="A219" s="28" t="s">
        <v>188</v>
      </c>
      <c r="B219" s="28" t="s">
        <v>1171</v>
      </c>
      <c r="C219" s="30" t="s">
        <v>560</v>
      </c>
      <c r="D219" s="85" t="s">
        <v>1172</v>
      </c>
      <c r="E219" s="36" t="s">
        <v>1167</v>
      </c>
      <c r="F219" s="69" t="s">
        <v>1168</v>
      </c>
      <c r="G219" s="36" t="s">
        <v>41</v>
      </c>
      <c r="H219" s="28" t="s">
        <v>975</v>
      </c>
      <c r="I219" s="39">
        <v>5000.0</v>
      </c>
      <c r="J219" s="39">
        <v>5000.0</v>
      </c>
      <c r="K219" s="41"/>
      <c r="L219" s="42">
        <v>5000.0</v>
      </c>
      <c r="M219" s="42">
        <v>5000.0</v>
      </c>
      <c r="N219" s="42">
        <v>9412.0</v>
      </c>
      <c r="O219" s="39">
        <v>5000.0</v>
      </c>
      <c r="P219" s="39">
        <v>5000.0</v>
      </c>
      <c r="Q219" s="41"/>
      <c r="R219" s="46"/>
      <c r="S219" s="46">
        <v>0.67</v>
      </c>
      <c r="T219" s="50">
        <f>IFERROR(__xludf.DUMMYFUNCTION("((IFERROR(MIN(FILTER({K219, N219, Q219}, ISNUMBER({K219, N219, Q219}), {K219, N219, Q219} &gt; 0)), """"))*S219)+IFERROR(MIN(FILTER({K219, N219, Q219}, ISNUMBER({K219, N219, Q219}), {K219, N219, Q219} &gt; 0)), """")"),15718.04)</f>
        <v>15718.04</v>
      </c>
      <c r="U219" s="53">
        <f>IFERROR(__xludf.DUMMYFUNCTION("(T219-(IFERROR(MIN(FILTER({K219, N219, Q219}, ISNUMBER({K219, N219, Q219}), {K219, N219, Q219} &gt; 0)), """")))/T219"),0.4011976047904192)</f>
        <v>0.4011976048</v>
      </c>
      <c r="V219" s="88">
        <f t="shared" si="17"/>
        <v>11765</v>
      </c>
      <c r="W219" s="89"/>
    </row>
    <row r="220" ht="22.5" customHeight="1">
      <c r="A220" s="28" t="s">
        <v>188</v>
      </c>
      <c r="B220" s="28" t="s">
        <v>1171</v>
      </c>
      <c r="C220" s="30" t="s">
        <v>560</v>
      </c>
      <c r="D220" s="85" t="s">
        <v>1172</v>
      </c>
      <c r="E220" s="36" t="s">
        <v>1167</v>
      </c>
      <c r="F220" s="69" t="s">
        <v>1168</v>
      </c>
      <c r="G220" s="36" t="s">
        <v>41</v>
      </c>
      <c r="H220" s="28" t="s">
        <v>975</v>
      </c>
      <c r="I220" s="39">
        <v>10000.0</v>
      </c>
      <c r="J220" s="39">
        <v>10000.0</v>
      </c>
      <c r="K220" s="41"/>
      <c r="L220" s="42">
        <v>10000.0</v>
      </c>
      <c r="M220" s="42">
        <v>10000.0</v>
      </c>
      <c r="N220" s="42">
        <v>8945.0</v>
      </c>
      <c r="O220" s="39">
        <v>10000.0</v>
      </c>
      <c r="P220" s="39">
        <v>10000.0</v>
      </c>
      <c r="Q220" s="41"/>
      <c r="R220" s="46"/>
      <c r="S220" s="46">
        <v>0.67</v>
      </c>
      <c r="T220" s="50">
        <f>IFERROR(__xludf.DUMMYFUNCTION("((IFERROR(MIN(FILTER({K220, N220, Q220}, ISNUMBER({K220, N220, Q220}), {K220, N220, Q220} &gt; 0)), """"))*S220)+IFERROR(MIN(FILTER({K220, N220, Q220}, ISNUMBER({K220, N220, Q220}), {K220, N220, Q220} &gt; 0)), """")"),14938.150000000001)</f>
        <v>14938.15</v>
      </c>
      <c r="U220" s="53">
        <f>IFERROR(__xludf.DUMMYFUNCTION("(T220-(IFERROR(MIN(FILTER({K220, N220, Q220}, ISNUMBER({K220, N220, Q220}), {K220, N220, Q220} &gt; 0)), """")))/T220"),0.4011976047904192)</f>
        <v>0.4011976048</v>
      </c>
      <c r="V220" s="88">
        <f t="shared" si="17"/>
        <v>11181.25</v>
      </c>
      <c r="W220" s="89"/>
    </row>
    <row r="221" ht="22.5" customHeight="1">
      <c r="A221" s="28" t="s">
        <v>188</v>
      </c>
      <c r="B221" s="28" t="s">
        <v>1179</v>
      </c>
      <c r="C221" s="30" t="s">
        <v>560</v>
      </c>
      <c r="D221" s="85" t="s">
        <v>1166</v>
      </c>
      <c r="E221" s="36" t="s">
        <v>1167</v>
      </c>
      <c r="F221" s="69" t="s">
        <v>1168</v>
      </c>
      <c r="G221" s="36" t="s">
        <v>41</v>
      </c>
      <c r="H221" s="28" t="s">
        <v>1180</v>
      </c>
      <c r="I221" s="39">
        <v>25000.0</v>
      </c>
      <c r="J221" s="39">
        <v>25000.0</v>
      </c>
      <c r="K221" s="41"/>
      <c r="L221" s="42">
        <v>25000.0</v>
      </c>
      <c r="M221" s="42">
        <v>25000.0</v>
      </c>
      <c r="N221" s="42">
        <v>8748.0</v>
      </c>
      <c r="O221" s="39">
        <v>25000.0</v>
      </c>
      <c r="P221" s="39">
        <v>25000.0</v>
      </c>
      <c r="Q221" s="41"/>
      <c r="R221" s="46"/>
      <c r="S221" s="46">
        <v>0.67</v>
      </c>
      <c r="T221" s="50">
        <f>IFERROR(__xludf.DUMMYFUNCTION("((IFERROR(MIN(FILTER({K221, N221, Q221}, ISNUMBER({K221, N221, Q221}), {K221, N221, Q221} &gt; 0)), """"))*S221)+IFERROR(MIN(FILTER({K221, N221, Q221}, ISNUMBER({K221, N221, Q221}), {K221, N221, Q221} &gt; 0)), """")"),14609.16)</f>
        <v>14609.16</v>
      </c>
      <c r="U221" s="53">
        <f>IFERROR(__xludf.DUMMYFUNCTION("(T221-(IFERROR(MIN(FILTER({K221, N221, Q221}, ISNUMBER({K221, N221, Q221}), {K221, N221, Q221} &gt; 0)), """")))/T221"),0.40119760479041916)</f>
        <v>0.4011976048</v>
      </c>
      <c r="V221" s="88">
        <f t="shared" si="17"/>
        <v>10935</v>
      </c>
      <c r="W221" s="89"/>
    </row>
    <row r="222" ht="22.5" customHeight="1">
      <c r="A222" s="28" t="s">
        <v>188</v>
      </c>
      <c r="B222" s="28" t="s">
        <v>1179</v>
      </c>
      <c r="C222" s="30" t="s">
        <v>560</v>
      </c>
      <c r="D222" s="85" t="s">
        <v>1166</v>
      </c>
      <c r="E222" s="36" t="s">
        <v>1167</v>
      </c>
      <c r="F222" s="69" t="s">
        <v>1168</v>
      </c>
      <c r="G222" s="36" t="s">
        <v>41</v>
      </c>
      <c r="H222" s="28" t="s">
        <v>1180</v>
      </c>
      <c r="I222" s="39">
        <v>1000.0</v>
      </c>
      <c r="J222" s="39">
        <v>1000.0</v>
      </c>
      <c r="K222" s="41"/>
      <c r="L222" s="42">
        <v>1000.0</v>
      </c>
      <c r="M222" s="42">
        <v>1000.0</v>
      </c>
      <c r="N222" s="42">
        <v>6367.0</v>
      </c>
      <c r="O222" s="39">
        <v>1000.0</v>
      </c>
      <c r="P222" s="39">
        <v>1000.0</v>
      </c>
      <c r="Q222" s="41"/>
      <c r="R222" s="46"/>
      <c r="S222" s="46">
        <v>0.67</v>
      </c>
      <c r="T222" s="50">
        <f>IFERROR(__xludf.DUMMYFUNCTION("((IFERROR(MIN(FILTER({K222, N222, Q222}, ISNUMBER({K222, N222, Q222}), {K222, N222, Q222} &gt; 0)), """"))*S222)+IFERROR(MIN(FILTER({K222, N222, Q222}, ISNUMBER({K222, N222, Q222}), {K222, N222, Q222} &gt; 0)), """")"),10632.89)</f>
        <v>10632.89</v>
      </c>
      <c r="U222" s="53">
        <f>IFERROR(__xludf.DUMMYFUNCTION("(T222-(IFERROR(MIN(FILTER({K222, N222, Q222}, ISNUMBER({K222, N222, Q222}), {K222, N222, Q222} &gt; 0)), """")))/T222"),0.4011976047904191)</f>
        <v>0.4011976048</v>
      </c>
      <c r="V222" s="88">
        <f t="shared" si="17"/>
        <v>7958.75</v>
      </c>
      <c r="W222" s="89"/>
    </row>
    <row r="223" ht="22.5" customHeight="1">
      <c r="A223" s="28" t="s">
        <v>188</v>
      </c>
      <c r="B223" s="28" t="s">
        <v>1179</v>
      </c>
      <c r="C223" s="30" t="s">
        <v>560</v>
      </c>
      <c r="D223" s="85" t="s">
        <v>1166</v>
      </c>
      <c r="E223" s="36" t="s">
        <v>1167</v>
      </c>
      <c r="F223" s="69" t="s">
        <v>1168</v>
      </c>
      <c r="G223" s="36" t="s">
        <v>41</v>
      </c>
      <c r="H223" s="28" t="s">
        <v>1180</v>
      </c>
      <c r="I223" s="39">
        <v>5000.0</v>
      </c>
      <c r="J223" s="39">
        <v>5000.0</v>
      </c>
      <c r="K223" s="41"/>
      <c r="L223" s="42">
        <v>5000.0</v>
      </c>
      <c r="M223" s="42">
        <v>5000.0</v>
      </c>
      <c r="N223" s="42">
        <v>4611.0</v>
      </c>
      <c r="O223" s="39">
        <v>5000.0</v>
      </c>
      <c r="P223" s="39">
        <v>5000.0</v>
      </c>
      <c r="Q223" s="41"/>
      <c r="R223" s="46"/>
      <c r="S223" s="46">
        <v>0.67</v>
      </c>
      <c r="T223" s="50">
        <f>IFERROR(__xludf.DUMMYFUNCTION("((IFERROR(MIN(FILTER({K223, N223, Q223}, ISNUMBER({K223, N223, Q223}), {K223, N223, Q223} &gt; 0)), """"))*S223)+IFERROR(MIN(FILTER({K223, N223, Q223}, ISNUMBER({K223, N223, Q223}), {K223, N223, Q223} &gt; 0)), """")"),7700.370000000001)</f>
        <v>7700.37</v>
      </c>
      <c r="U223" s="53">
        <f>IFERROR(__xludf.DUMMYFUNCTION("(T223-(IFERROR(MIN(FILTER({K223, N223, Q223}, ISNUMBER({K223, N223, Q223}), {K223, N223, Q223} &gt; 0)), """")))/T223"),0.4011976047904192)</f>
        <v>0.4011976048</v>
      </c>
      <c r="V223" s="88">
        <f t="shared" si="17"/>
        <v>5763.75</v>
      </c>
      <c r="W223" s="89"/>
    </row>
    <row r="224" ht="22.5" customHeight="1">
      <c r="A224" s="28" t="s">
        <v>188</v>
      </c>
      <c r="B224" s="28" t="s">
        <v>1179</v>
      </c>
      <c r="C224" s="30" t="s">
        <v>560</v>
      </c>
      <c r="D224" s="85" t="s">
        <v>1166</v>
      </c>
      <c r="E224" s="36" t="s">
        <v>1167</v>
      </c>
      <c r="F224" s="69" t="s">
        <v>1168</v>
      </c>
      <c r="G224" s="36" t="s">
        <v>41</v>
      </c>
      <c r="H224" s="28" t="s">
        <v>1180</v>
      </c>
      <c r="I224" s="39">
        <v>10000.0</v>
      </c>
      <c r="J224" s="39">
        <v>10000.0</v>
      </c>
      <c r="K224" s="41"/>
      <c r="L224" s="42">
        <v>10000.0</v>
      </c>
      <c r="M224" s="42">
        <v>10000.0</v>
      </c>
      <c r="N224" s="42">
        <v>4328.0</v>
      </c>
      <c r="O224" s="39">
        <v>10000.0</v>
      </c>
      <c r="P224" s="39">
        <v>10000.0</v>
      </c>
      <c r="Q224" s="41"/>
      <c r="R224" s="46"/>
      <c r="S224" s="46">
        <v>0.67</v>
      </c>
      <c r="T224" s="50">
        <f>IFERROR(__xludf.DUMMYFUNCTION("((IFERROR(MIN(FILTER({K224, N224, Q224}, ISNUMBER({K224, N224, Q224}), {K224, N224, Q224} &gt; 0)), """"))*S224)+IFERROR(MIN(FILTER({K224, N224, Q224}, ISNUMBER({K224, N224, Q224}), {K224, N224, Q224} &gt; 0)), """")"),7227.76)</f>
        <v>7227.76</v>
      </c>
      <c r="U224" s="53">
        <f>IFERROR(__xludf.DUMMYFUNCTION("(T224-(IFERROR(MIN(FILTER({K224, N224, Q224}, ISNUMBER({K224, N224, Q224}), {K224, N224, Q224} &gt; 0)), """")))/T224"),0.40119760479041916)</f>
        <v>0.4011976048</v>
      </c>
      <c r="V224" s="88">
        <f t="shared" si="17"/>
        <v>5410</v>
      </c>
      <c r="W224" s="89"/>
    </row>
    <row r="225" ht="22.5" customHeight="1">
      <c r="A225" s="28" t="s">
        <v>188</v>
      </c>
      <c r="B225" s="28" t="s">
        <v>1184</v>
      </c>
      <c r="C225" s="30" t="s">
        <v>560</v>
      </c>
      <c r="D225" s="85" t="s">
        <v>1172</v>
      </c>
      <c r="E225" s="36" t="s">
        <v>1167</v>
      </c>
      <c r="F225" s="69" t="s">
        <v>1168</v>
      </c>
      <c r="G225" s="36" t="s">
        <v>41</v>
      </c>
      <c r="H225" s="28" t="s">
        <v>975</v>
      </c>
      <c r="I225" s="39">
        <v>25000.0</v>
      </c>
      <c r="J225" s="39">
        <v>25000.0</v>
      </c>
      <c r="K225" s="39">
        <v>1600.0</v>
      </c>
      <c r="L225" s="42">
        <v>25000.0</v>
      </c>
      <c r="M225" s="42">
        <v>25000.0</v>
      </c>
      <c r="N225" s="42">
        <v>4250.0</v>
      </c>
      <c r="O225" s="39">
        <v>25000.0</v>
      </c>
      <c r="P225" s="39">
        <v>25000.0</v>
      </c>
      <c r="Q225" s="39"/>
      <c r="R225" s="46"/>
      <c r="S225" s="46">
        <v>0.67</v>
      </c>
      <c r="T225" s="50">
        <f>IFERROR(__xludf.DUMMYFUNCTION("((IFERROR(MIN(FILTER({K225, N225, Q225}, ISNUMBER({K225, N225, Q225}), {K225, N225, Q225} &gt; 0)), """"))*S225)+IFERROR(MIN(FILTER({K225, N225, Q225}, ISNUMBER({K225, N225, Q225}), {K225, N225, Q225} &gt; 0)), """")"),2672.0)</f>
        <v>2672</v>
      </c>
      <c r="U225" s="53">
        <f>IFERROR(__xludf.DUMMYFUNCTION("(T225-(IFERROR(MIN(FILTER({K225, N225, Q225}, ISNUMBER({K225, N225, Q225}), {K225, N225, Q225} &gt; 0)), """")))/T225"),0.40119760479041916)</f>
        <v>0.4011976048</v>
      </c>
      <c r="V225" s="88">
        <f t="shared" si="17"/>
        <v>5312.5</v>
      </c>
      <c r="W225" s="89"/>
    </row>
    <row r="226" ht="22.5" customHeight="1">
      <c r="A226" s="28" t="s">
        <v>188</v>
      </c>
      <c r="B226" s="28" t="s">
        <v>1184</v>
      </c>
      <c r="C226" s="30" t="s">
        <v>560</v>
      </c>
      <c r="D226" s="85" t="s">
        <v>1172</v>
      </c>
      <c r="E226" s="36" t="s">
        <v>1167</v>
      </c>
      <c r="F226" s="69" t="s">
        <v>1168</v>
      </c>
      <c r="G226" s="36" t="s">
        <v>41</v>
      </c>
      <c r="H226" s="28" t="s">
        <v>975</v>
      </c>
      <c r="I226" s="39">
        <v>1000.0</v>
      </c>
      <c r="J226" s="39">
        <v>1000.0</v>
      </c>
      <c r="K226" s="41"/>
      <c r="L226" s="42">
        <v>1000.0</v>
      </c>
      <c r="M226" s="42">
        <v>1000.0</v>
      </c>
      <c r="N226" s="42">
        <v>9834.0</v>
      </c>
      <c r="O226" s="39">
        <v>1000.0</v>
      </c>
      <c r="P226" s="39">
        <v>1000.0</v>
      </c>
      <c r="Q226" s="41"/>
      <c r="R226" s="46"/>
      <c r="S226" s="46">
        <v>0.67</v>
      </c>
      <c r="T226" s="50">
        <f>IFERROR(__xludf.DUMMYFUNCTION("((IFERROR(MIN(FILTER({K226, N226, Q226}, ISNUMBER({K226, N226, Q226}), {K226, N226, Q226} &gt; 0)), """"))*S226)+IFERROR(MIN(FILTER({K226, N226, Q226}, ISNUMBER({K226, N226, Q226}), {K226, N226, Q226} &gt; 0)), """")"),16422.78)</f>
        <v>16422.78</v>
      </c>
      <c r="U226" s="53">
        <f>IFERROR(__xludf.DUMMYFUNCTION("(T226-(IFERROR(MIN(FILTER({K226, N226, Q226}, ISNUMBER({K226, N226, Q226}), {K226, N226, Q226} &gt; 0)), """")))/T226"),0.4011976047904191)</f>
        <v>0.4011976048</v>
      </c>
      <c r="V226" s="88">
        <f t="shared" si="17"/>
        <v>12292.5</v>
      </c>
      <c r="W226" s="89"/>
    </row>
    <row r="227" ht="22.5" customHeight="1">
      <c r="A227" s="28" t="s">
        <v>188</v>
      </c>
      <c r="B227" s="28" t="s">
        <v>1184</v>
      </c>
      <c r="C227" s="30" t="s">
        <v>560</v>
      </c>
      <c r="D227" s="85" t="s">
        <v>1172</v>
      </c>
      <c r="E227" s="36" t="s">
        <v>1167</v>
      </c>
      <c r="F227" s="69" t="s">
        <v>1168</v>
      </c>
      <c r="G227" s="36" t="s">
        <v>41</v>
      </c>
      <c r="H227" s="28" t="s">
        <v>975</v>
      </c>
      <c r="I227" s="39">
        <v>5000.0</v>
      </c>
      <c r="J227" s="39">
        <v>5000.0</v>
      </c>
      <c r="K227" s="41"/>
      <c r="L227" s="42">
        <v>5000.0</v>
      </c>
      <c r="M227" s="42">
        <v>5000.0</v>
      </c>
      <c r="N227" s="42">
        <v>6309.0</v>
      </c>
      <c r="O227" s="39">
        <v>5000.0</v>
      </c>
      <c r="P227" s="39">
        <v>5000.0</v>
      </c>
      <c r="Q227" s="41"/>
      <c r="R227" s="46"/>
      <c r="S227" s="46">
        <v>0.67</v>
      </c>
      <c r="T227" s="50">
        <f>IFERROR(__xludf.DUMMYFUNCTION("((IFERROR(MIN(FILTER({K227, N227, Q227}, ISNUMBER({K227, N227, Q227}), {K227, N227, Q227} &gt; 0)), """"))*S227)+IFERROR(MIN(FILTER({K227, N227, Q227}, ISNUMBER({K227, N227, Q227}), {K227, N227, Q227} &gt; 0)), """")"),10536.03)</f>
        <v>10536.03</v>
      </c>
      <c r="U227" s="53">
        <f>IFERROR(__xludf.DUMMYFUNCTION("(T227-(IFERROR(MIN(FILTER({K227, N227, Q227}, ISNUMBER({K227, N227, Q227}), {K227, N227, Q227} &gt; 0)), """")))/T227"),0.4011976047904192)</f>
        <v>0.4011976048</v>
      </c>
      <c r="V227" s="88">
        <f t="shared" si="17"/>
        <v>7886.25</v>
      </c>
      <c r="W227" s="89"/>
    </row>
    <row r="228" ht="22.5" customHeight="1">
      <c r="A228" s="28" t="s">
        <v>188</v>
      </c>
      <c r="B228" s="28" t="s">
        <v>1184</v>
      </c>
      <c r="C228" s="30" t="s">
        <v>560</v>
      </c>
      <c r="D228" s="85" t="s">
        <v>1172</v>
      </c>
      <c r="E228" s="36" t="s">
        <v>1167</v>
      </c>
      <c r="F228" s="69" t="s">
        <v>1168</v>
      </c>
      <c r="G228" s="36" t="s">
        <v>41</v>
      </c>
      <c r="H228" s="28" t="s">
        <v>975</v>
      </c>
      <c r="I228" s="39">
        <v>10000.0</v>
      </c>
      <c r="J228" s="39">
        <v>10000.0</v>
      </c>
      <c r="K228" s="41"/>
      <c r="L228" s="42">
        <v>10000.0</v>
      </c>
      <c r="M228" s="42">
        <v>10000.0</v>
      </c>
      <c r="N228" s="42">
        <v>6014.0</v>
      </c>
      <c r="O228" s="39">
        <v>10000.0</v>
      </c>
      <c r="P228" s="39">
        <v>10000.0</v>
      </c>
      <c r="Q228" s="41"/>
      <c r="R228" s="46"/>
      <c r="S228" s="46">
        <v>0.67</v>
      </c>
      <c r="T228" s="50">
        <f>IFERROR(__xludf.DUMMYFUNCTION("((IFERROR(MIN(FILTER({K228, N228, Q228}, ISNUMBER({K228, N228, Q228}), {K228, N228, Q228} &gt; 0)), """"))*S228)+IFERROR(MIN(FILTER({K228, N228, Q228}, ISNUMBER({K228, N228, Q228}), {K228, N228, Q228} &gt; 0)), """")"),10043.380000000001)</f>
        <v>10043.38</v>
      </c>
      <c r="U228" s="53">
        <f>IFERROR(__xludf.DUMMYFUNCTION("(T228-(IFERROR(MIN(FILTER({K228, N228, Q228}, ISNUMBER({K228, N228, Q228}), {K228, N228, Q228} &gt; 0)), """")))/T228"),0.4011976047904192)</f>
        <v>0.4011976048</v>
      </c>
      <c r="V228" s="88">
        <f t="shared" si="17"/>
        <v>7517.5</v>
      </c>
      <c r="W228" s="89"/>
    </row>
    <row r="229" ht="22.5" customHeight="1">
      <c r="A229" s="28" t="s">
        <v>1187</v>
      </c>
      <c r="B229" s="28" t="s">
        <v>1188</v>
      </c>
      <c r="C229" s="30" t="s">
        <v>479</v>
      </c>
      <c r="D229" s="85" t="s">
        <v>1189</v>
      </c>
      <c r="E229" s="36" t="s">
        <v>36</v>
      </c>
      <c r="F229" s="69" t="s">
        <v>103</v>
      </c>
      <c r="G229" s="36" t="s">
        <v>41</v>
      </c>
      <c r="H229" s="28" t="s">
        <v>1193</v>
      </c>
      <c r="I229" s="39">
        <v>25000.0</v>
      </c>
      <c r="J229" s="39">
        <v>25000.0</v>
      </c>
      <c r="K229" s="39">
        <v>2100.0</v>
      </c>
      <c r="L229" s="42">
        <v>25000.0</v>
      </c>
      <c r="M229" s="42">
        <v>25000.0</v>
      </c>
      <c r="N229" s="42">
        <v>5763.0</v>
      </c>
      <c r="O229" s="39">
        <v>25000.0</v>
      </c>
      <c r="P229" s="39">
        <v>25000.0</v>
      </c>
      <c r="Q229" s="39"/>
      <c r="R229" s="46"/>
      <c r="S229" s="46">
        <v>0.67</v>
      </c>
      <c r="T229" s="50">
        <f>IFERROR(__xludf.DUMMYFUNCTION("((IFERROR(MIN(FILTER({K229, N229, Q229}, ISNUMBER({K229, N229, Q229}), {K229, N229, Q229} &gt; 0)), """"))*S229)+IFERROR(MIN(FILTER({K229, N229, Q229}, ISNUMBER({K229, N229, Q229}), {K229, N229, Q229} &gt; 0)), """")"),3507.0)</f>
        <v>3507</v>
      </c>
      <c r="U229" s="53">
        <f>IFERROR(__xludf.DUMMYFUNCTION("(T229-(IFERROR(MIN(FILTER({K229, N229, Q229}, ISNUMBER({K229, N229, Q229}), {K229, N229, Q229} &gt; 0)), """")))/T229"),0.40119760479041916)</f>
        <v>0.4011976048</v>
      </c>
      <c r="V229" s="88">
        <f t="shared" si="17"/>
        <v>7203.75</v>
      </c>
      <c r="W229" s="89"/>
    </row>
    <row r="230" ht="22.5" customHeight="1">
      <c r="A230" s="28" t="s">
        <v>1161</v>
      </c>
      <c r="B230" s="28" t="s">
        <v>478</v>
      </c>
      <c r="C230" s="30" t="s">
        <v>821</v>
      </c>
      <c r="D230" s="31" t="s">
        <v>1162</v>
      </c>
      <c r="E230" s="69" t="s">
        <v>46</v>
      </c>
      <c r="F230" s="69" t="s">
        <v>1163</v>
      </c>
      <c r="G230" s="36" t="s">
        <v>41</v>
      </c>
      <c r="H230" s="28" t="s">
        <v>1164</v>
      </c>
      <c r="I230" s="39">
        <v>1000.0</v>
      </c>
      <c r="J230" s="39">
        <v>1000.0</v>
      </c>
      <c r="K230" s="41"/>
      <c r="L230" s="42">
        <v>1000.0</v>
      </c>
      <c r="M230" s="42">
        <v>1000.0</v>
      </c>
      <c r="N230" s="42">
        <v>7111.0</v>
      </c>
      <c r="O230" s="39">
        <v>1000.0</v>
      </c>
      <c r="P230" s="39">
        <v>1000.0</v>
      </c>
      <c r="Q230" s="63"/>
      <c r="R230" s="92">
        <f t="shared" ref="R230:R231" si="18">IF(MAX(K230,N230,Q230)&gt;0, MAX(K230,N230,Q230))</f>
        <v>7111</v>
      </c>
      <c r="S230" s="46">
        <v>0.67</v>
      </c>
      <c r="T230" s="93">
        <f>IFERROR(__xludf.DUMMYFUNCTION("((IFERROR(MAX(FILTER({K230, N230, Q230}, ISNUMBER({K230, N230, Q230}), {K230, N230, Q230} &gt; 0)), """"))*S230)+IFERROR(MAX(FILTER({K230, N230, Q230}, ISNUMBER({K230, N230, Q230}), {K230, N230, Q230} &gt; 0)), """")"),11875.369999999999)</f>
        <v>11875.37</v>
      </c>
      <c r="U230" s="53">
        <f>IFERROR(__xludf.DUMMYFUNCTION("(T230-(IFERROR(MIN(FILTER({K230, N230, Q230}, ISNUMBER({K230, N230, Q230}), {K230, N230, Q230} &gt; 0)), """")))/T230"),0.4011976047904191)</f>
        <v>0.4011976048</v>
      </c>
      <c r="V230" s="93">
        <f t="shared" ref="V230:V231" si="19">IF(MAX(K230,N230,Q230)&gt;0, MAX(K230,N230,Q230)/0.75, 0)</f>
        <v>9481.333333</v>
      </c>
      <c r="W230" s="94">
        <f t="shared" ref="W230:W231" si="20">(V230-R230)/V230</f>
        <v>0.25</v>
      </c>
    </row>
    <row r="231" ht="22.5" customHeight="1">
      <c r="A231" s="28" t="s">
        <v>1197</v>
      </c>
      <c r="B231" s="28" t="s">
        <v>470</v>
      </c>
      <c r="C231" s="30" t="s">
        <v>106</v>
      </c>
      <c r="D231" s="85" t="s">
        <v>1198</v>
      </c>
      <c r="E231" s="36" t="s">
        <v>55</v>
      </c>
      <c r="F231" s="69" t="s">
        <v>108</v>
      </c>
      <c r="G231" s="36" t="s">
        <v>41</v>
      </c>
      <c r="H231" s="28" t="s">
        <v>466</v>
      </c>
      <c r="I231" s="39">
        <v>25000.0</v>
      </c>
      <c r="J231" s="39">
        <v>25000.0</v>
      </c>
      <c r="K231" s="39">
        <v>335.0</v>
      </c>
      <c r="L231" s="42">
        <v>25000.0</v>
      </c>
      <c r="M231" s="42">
        <v>25000.0</v>
      </c>
      <c r="N231" s="42"/>
      <c r="O231" s="39">
        <v>25000.0</v>
      </c>
      <c r="P231" s="39">
        <v>25000.0</v>
      </c>
      <c r="Q231" s="62"/>
      <c r="R231" s="92">
        <f t="shared" si="18"/>
        <v>335</v>
      </c>
      <c r="S231" s="46">
        <v>0.67</v>
      </c>
      <c r="T231" s="93">
        <f>IFERROR(__xludf.DUMMYFUNCTION("((IFERROR(MAX(FILTER({K231, N231, Q231}, ISNUMBER({K231, N231, Q231}), {K231, N231, Q231} &gt; 0)), """"))*S231)+IFERROR(MAX(FILTER({K231, N231, Q231}, ISNUMBER({K231, N231, Q231}), {K231, N231, Q231} &gt; 0)), """")"),559.45)</f>
        <v>559.45</v>
      </c>
      <c r="U231" s="53">
        <f>IFERROR(__xludf.DUMMYFUNCTION("(T231-(IFERROR(MIN(FILTER({K231, N231, Q231}, ISNUMBER({K231, N231, Q231}), {K231, N231, Q231} &gt; 0)), """")))/T231"),0.4011976047904192)</f>
        <v>0.4011976048</v>
      </c>
      <c r="V231" s="93">
        <f t="shared" si="19"/>
        <v>446.6666667</v>
      </c>
      <c r="W231" s="94">
        <f t="shared" si="20"/>
        <v>0.25</v>
      </c>
    </row>
    <row r="232" ht="22.5" customHeight="1">
      <c r="A232" s="28" t="s">
        <v>1199</v>
      </c>
      <c r="B232" s="28" t="s">
        <v>378</v>
      </c>
      <c r="C232" s="30" t="s">
        <v>821</v>
      </c>
      <c r="D232" s="85" t="s">
        <v>1200</v>
      </c>
      <c r="E232" s="36" t="s">
        <v>63</v>
      </c>
      <c r="F232" s="69" t="s">
        <v>67</v>
      </c>
      <c r="G232" s="36" t="s">
        <v>41</v>
      </c>
      <c r="H232" s="28" t="s">
        <v>1205</v>
      </c>
      <c r="I232" s="39">
        <v>2000.0</v>
      </c>
      <c r="J232" s="39">
        <v>2000.0</v>
      </c>
      <c r="K232" s="41"/>
      <c r="L232" s="42">
        <v>2000.0</v>
      </c>
      <c r="M232" s="42">
        <v>2000.0</v>
      </c>
      <c r="N232" s="42">
        <v>6044.0</v>
      </c>
      <c r="O232" s="39">
        <v>2000.0</v>
      </c>
      <c r="P232" s="39">
        <v>2000.0</v>
      </c>
      <c r="Q232" s="41"/>
      <c r="R232" s="46"/>
      <c r="S232" s="46">
        <v>0.67</v>
      </c>
      <c r="T232" s="50">
        <f>IFERROR(__xludf.DUMMYFUNCTION("((IFERROR(MIN(FILTER({K232, N232, Q232}, ISNUMBER({K232, N232, Q232}), {K232, N232, Q232} &gt; 0)), """"))*S232)+IFERROR(MIN(FILTER({K232, N232, Q232}, ISNUMBER({K232, N232, Q232}), {K232, N232, Q232} &gt; 0)), """")"),10093.48)</f>
        <v>10093.48</v>
      </c>
      <c r="U232" s="53">
        <f>IFERROR(__xludf.DUMMYFUNCTION("(T232-(IFERROR(MIN(FILTER({K232, N232, Q232}, ISNUMBER({K232, N232, Q232}), {K232, N232, Q232} &gt; 0)), """")))/T232"),0.40119760479041916)</f>
        <v>0.4011976048</v>
      </c>
      <c r="V232" s="88">
        <f t="shared" ref="V232:V234" si="21">IF(MAX(K232,N232,Q232)&gt;0, MAX(K232,N232,Q232)*1.25, 0)</f>
        <v>7555</v>
      </c>
      <c r="W232" s="89"/>
    </row>
    <row r="233" ht="22.5" customHeight="1">
      <c r="A233" s="28" t="s">
        <v>1199</v>
      </c>
      <c r="B233" s="28" t="s">
        <v>378</v>
      </c>
      <c r="C233" s="30" t="s">
        <v>821</v>
      </c>
      <c r="D233" s="85" t="s">
        <v>1200</v>
      </c>
      <c r="E233" s="36" t="s">
        <v>63</v>
      </c>
      <c r="F233" s="69" t="s">
        <v>67</v>
      </c>
      <c r="G233" s="36" t="s">
        <v>41</v>
      </c>
      <c r="H233" s="28" t="s">
        <v>1205</v>
      </c>
      <c r="I233" s="39">
        <v>5000.0</v>
      </c>
      <c r="J233" s="39">
        <v>5000.0</v>
      </c>
      <c r="K233" s="41"/>
      <c r="L233" s="42">
        <v>5000.0</v>
      </c>
      <c r="M233" s="42">
        <v>5000.0</v>
      </c>
      <c r="N233" s="42">
        <v>6297.0</v>
      </c>
      <c r="O233" s="39">
        <v>5000.0</v>
      </c>
      <c r="P233" s="39">
        <v>5000.0</v>
      </c>
      <c r="Q233" s="41"/>
      <c r="R233" s="46"/>
      <c r="S233" s="46">
        <v>0.67</v>
      </c>
      <c r="T233" s="50">
        <f>IFERROR(__xludf.DUMMYFUNCTION("((IFERROR(MIN(FILTER({K233, N233, Q233}, ISNUMBER({K233, N233, Q233}), {K233, N233, Q233} &gt; 0)), """"))*S233)+IFERROR(MIN(FILTER({K233, N233, Q233}, ISNUMBER({K233, N233, Q233}), {K233, N233, Q233} &gt; 0)), """")"),10515.990000000002)</f>
        <v>10515.99</v>
      </c>
      <c r="U233" s="53">
        <f>IFERROR(__xludf.DUMMYFUNCTION("(T233-(IFERROR(MIN(FILTER({K233, N233, Q233}, ISNUMBER({K233, N233, Q233}), {K233, N233, Q233} &gt; 0)), """")))/T233"),0.40119760479041927)</f>
        <v>0.4011976048</v>
      </c>
      <c r="V233" s="88">
        <f t="shared" si="21"/>
        <v>7871.25</v>
      </c>
      <c r="W233" s="89"/>
    </row>
    <row r="234" ht="22.5" customHeight="1">
      <c r="A234" s="28" t="s">
        <v>1199</v>
      </c>
      <c r="B234" s="28" t="s">
        <v>378</v>
      </c>
      <c r="C234" s="30" t="s">
        <v>821</v>
      </c>
      <c r="D234" s="85" t="s">
        <v>1200</v>
      </c>
      <c r="E234" s="36" t="s">
        <v>63</v>
      </c>
      <c r="F234" s="69" t="s">
        <v>67</v>
      </c>
      <c r="G234" s="36" t="s">
        <v>41</v>
      </c>
      <c r="H234" s="28" t="s">
        <v>1205</v>
      </c>
      <c r="I234" s="39">
        <v>500.0</v>
      </c>
      <c r="J234" s="39">
        <v>500.0</v>
      </c>
      <c r="K234" s="41"/>
      <c r="L234" s="42">
        <v>500.0</v>
      </c>
      <c r="M234" s="42">
        <v>500.0</v>
      </c>
      <c r="N234" s="42">
        <v>11181.0</v>
      </c>
      <c r="O234" s="39">
        <v>500.0</v>
      </c>
      <c r="P234" s="39">
        <v>500.0</v>
      </c>
      <c r="Q234" s="41"/>
      <c r="R234" s="46"/>
      <c r="S234" s="46">
        <v>0.67</v>
      </c>
      <c r="T234" s="50">
        <f>IFERROR(__xludf.DUMMYFUNCTION("((IFERROR(MIN(FILTER({K234, N234, Q234}, ISNUMBER({K234, N234, Q234}), {K234, N234, Q234} &gt; 0)), """"))*S234)+IFERROR(MIN(FILTER({K234, N234, Q234}, ISNUMBER({K234, N234, Q234}), {K234, N234, Q234} &gt; 0)), """")"),18672.27)</f>
        <v>18672.27</v>
      </c>
      <c r="U234" s="53">
        <f>IFERROR(__xludf.DUMMYFUNCTION("(T234-(IFERROR(MIN(FILTER({K234, N234, Q234}, ISNUMBER({K234, N234, Q234}), {K234, N234, Q234} &gt; 0)), """")))/T234"),0.40119760479041916)</f>
        <v>0.4011976048</v>
      </c>
      <c r="V234" s="88">
        <f t="shared" si="21"/>
        <v>13976.25</v>
      </c>
      <c r="W234" s="89"/>
    </row>
    <row r="235" ht="22.5" customHeight="1">
      <c r="A235" s="28" t="s">
        <v>523</v>
      </c>
      <c r="B235" s="28" t="s">
        <v>470</v>
      </c>
      <c r="C235" s="30" t="s">
        <v>811</v>
      </c>
      <c r="D235" s="85" t="s">
        <v>1206</v>
      </c>
      <c r="E235" s="36" t="s">
        <v>36</v>
      </c>
      <c r="F235" s="69" t="s">
        <v>1208</v>
      </c>
      <c r="G235" s="36" t="s">
        <v>41</v>
      </c>
      <c r="H235" s="28" t="s">
        <v>849</v>
      </c>
      <c r="I235" s="39">
        <v>500.0</v>
      </c>
      <c r="J235" s="39">
        <v>500.0</v>
      </c>
      <c r="K235" s="41"/>
      <c r="L235" s="42">
        <v>500.0</v>
      </c>
      <c r="M235" s="42">
        <v>500.0</v>
      </c>
      <c r="N235" s="42">
        <v>13664.0</v>
      </c>
      <c r="O235" s="39">
        <v>500.0</v>
      </c>
      <c r="P235" s="39">
        <v>500.0</v>
      </c>
      <c r="Q235" s="63"/>
      <c r="R235" s="92">
        <f>IF(MAX(K235,N235,Q235)&gt;0, MAX(K235,N235,Q235))</f>
        <v>13664</v>
      </c>
      <c r="S235" s="46">
        <v>0.67</v>
      </c>
      <c r="T235" s="93">
        <f>IFERROR(__xludf.DUMMYFUNCTION("((IFERROR(MAX(FILTER({K235, N235, Q235}, ISNUMBER({K235, N235, Q235}), {K235, N235, Q235} &gt; 0)), """"))*S235)+IFERROR(MAX(FILTER({K235, N235, Q235}, ISNUMBER({K235, N235, Q235}), {K235, N235, Q235} &gt; 0)), """")"),22818.88)</f>
        <v>22818.88</v>
      </c>
      <c r="U235" s="53">
        <f>IFERROR(__xludf.DUMMYFUNCTION("(T235-(IFERROR(MIN(FILTER({K235, N235, Q235}, ISNUMBER({K235, N235, Q235}), {K235, N235, Q235} &gt; 0)), """")))/T235"),0.4011976047904192)</f>
        <v>0.4011976048</v>
      </c>
      <c r="V235" s="93">
        <f>IF(MAX(K235,N235,Q235)&gt;0, MAX(K235,N235,Q235)/0.75, 0)</f>
        <v>18218.66667</v>
      </c>
      <c r="W235" s="94">
        <f>(V235-R235)/V235</f>
        <v>0.25</v>
      </c>
    </row>
    <row r="236" ht="22.5" customHeight="1">
      <c r="A236" s="28" t="s">
        <v>557</v>
      </c>
      <c r="B236" s="28" t="s">
        <v>1210</v>
      </c>
      <c r="C236" s="30" t="s">
        <v>560</v>
      </c>
      <c r="D236" s="85" t="s">
        <v>1211</v>
      </c>
      <c r="E236" s="36" t="s">
        <v>55</v>
      </c>
      <c r="F236" s="69" t="s">
        <v>1212</v>
      </c>
      <c r="G236" s="36" t="s">
        <v>41</v>
      </c>
      <c r="H236" s="28" t="s">
        <v>1120</v>
      </c>
      <c r="I236" s="39">
        <v>2000.0</v>
      </c>
      <c r="J236" s="39">
        <v>2000.0</v>
      </c>
      <c r="K236" s="41"/>
      <c r="L236" s="42">
        <v>2000.0</v>
      </c>
      <c r="M236" s="42">
        <v>2000.0</v>
      </c>
      <c r="N236" s="42">
        <v>6244.0</v>
      </c>
      <c r="O236" s="39">
        <v>2000.0</v>
      </c>
      <c r="P236" s="39">
        <v>2000.0</v>
      </c>
      <c r="Q236" s="41"/>
      <c r="R236" s="46"/>
      <c r="S236" s="46">
        <v>0.67</v>
      </c>
      <c r="T236" s="50">
        <f>IFERROR(__xludf.DUMMYFUNCTION("((IFERROR(MIN(FILTER({K236, N236, Q236}, ISNUMBER({K236, N236, Q236}), {K236, N236, Q236} &gt; 0)), """"))*S236)+IFERROR(MIN(FILTER({K236, N236, Q236}, ISNUMBER({K236, N236, Q236}), {K236, N236, Q236} &gt; 0)), """")"),10427.48)</f>
        <v>10427.48</v>
      </c>
      <c r="U236" s="53">
        <f>IFERROR(__xludf.DUMMYFUNCTION("(T236-(IFERROR(MIN(FILTER({K236, N236, Q236}, ISNUMBER({K236, N236, Q236}), {K236, N236, Q236} &gt; 0)), """")))/T236"),0.40119760479041916)</f>
        <v>0.4011976048</v>
      </c>
      <c r="V236" s="88">
        <f t="shared" ref="V236:V246" si="22">IF(MAX(K236,N236,Q236)&gt;0, MAX(K236,N236,Q236)*1.25, 0)</f>
        <v>7805</v>
      </c>
      <c r="W236" s="89"/>
    </row>
    <row r="237" ht="22.5" customHeight="1">
      <c r="A237" s="28" t="s">
        <v>557</v>
      </c>
      <c r="B237" s="28" t="s">
        <v>1210</v>
      </c>
      <c r="C237" s="30" t="s">
        <v>560</v>
      </c>
      <c r="D237" s="85" t="s">
        <v>1211</v>
      </c>
      <c r="E237" s="36" t="s">
        <v>55</v>
      </c>
      <c r="F237" s="69" t="s">
        <v>1212</v>
      </c>
      <c r="G237" s="36" t="s">
        <v>41</v>
      </c>
      <c r="H237" s="28" t="s">
        <v>1120</v>
      </c>
      <c r="I237" s="39">
        <v>500.0</v>
      </c>
      <c r="J237" s="39">
        <v>500.0</v>
      </c>
      <c r="K237" s="41"/>
      <c r="L237" s="42">
        <v>500.0</v>
      </c>
      <c r="M237" s="42">
        <v>500.0</v>
      </c>
      <c r="N237" s="42">
        <v>11181.0</v>
      </c>
      <c r="O237" s="39">
        <v>500.0</v>
      </c>
      <c r="P237" s="39">
        <v>500.0</v>
      </c>
      <c r="Q237" s="41"/>
      <c r="R237" s="46"/>
      <c r="S237" s="46">
        <v>0.67</v>
      </c>
      <c r="T237" s="50">
        <f>IFERROR(__xludf.DUMMYFUNCTION("((IFERROR(MIN(FILTER({K237, N237, Q237}, ISNUMBER({K237, N237, Q237}), {K237, N237, Q237} &gt; 0)), """"))*S237)+IFERROR(MIN(FILTER({K237, N237, Q237}, ISNUMBER({K237, N237, Q237}), {K237, N237, Q237} &gt; 0)), """")"),18672.27)</f>
        <v>18672.27</v>
      </c>
      <c r="U237" s="53">
        <f>IFERROR(__xludf.DUMMYFUNCTION("(T237-(IFERROR(MIN(FILTER({K237, N237, Q237}, ISNUMBER({K237, N237, Q237}), {K237, N237, Q237} &gt; 0)), """")))/T237"),0.40119760479041916)</f>
        <v>0.4011976048</v>
      </c>
      <c r="V237" s="88">
        <f t="shared" si="22"/>
        <v>13976.25</v>
      </c>
      <c r="W237" s="89"/>
    </row>
    <row r="238" ht="22.5" customHeight="1">
      <c r="A238" s="28" t="s">
        <v>557</v>
      </c>
      <c r="B238" s="28" t="s">
        <v>1210</v>
      </c>
      <c r="C238" s="30" t="s">
        <v>560</v>
      </c>
      <c r="D238" s="85" t="s">
        <v>1211</v>
      </c>
      <c r="E238" s="36" t="s">
        <v>55</v>
      </c>
      <c r="F238" s="69" t="s">
        <v>1212</v>
      </c>
      <c r="G238" s="36" t="s">
        <v>41</v>
      </c>
      <c r="H238" s="28" t="s">
        <v>1120</v>
      </c>
      <c r="I238" s="39">
        <v>1000.0</v>
      </c>
      <c r="J238" s="39">
        <v>1000.0</v>
      </c>
      <c r="K238" s="41"/>
      <c r="L238" s="42">
        <v>1000.0</v>
      </c>
      <c r="M238" s="42">
        <v>1000.0</v>
      </c>
      <c r="N238" s="42">
        <v>7728.0</v>
      </c>
      <c r="O238" s="39">
        <v>1000.0</v>
      </c>
      <c r="P238" s="39">
        <v>1000.0</v>
      </c>
      <c r="Q238" s="41"/>
      <c r="R238" s="46"/>
      <c r="S238" s="46">
        <v>0.67</v>
      </c>
      <c r="T238" s="50">
        <f>IFERROR(__xludf.DUMMYFUNCTION("((IFERROR(MIN(FILTER({K238, N238, Q238}, ISNUMBER({K238, N238, Q238}), {K238, N238, Q238} &gt; 0)), """"))*S238)+IFERROR(MIN(FILTER({K238, N238, Q238}, ISNUMBER({K238, N238, Q238}), {K238, N238, Q238} &gt; 0)), """")"),12905.76)</f>
        <v>12905.76</v>
      </c>
      <c r="U238" s="53">
        <f>IFERROR(__xludf.DUMMYFUNCTION("(T238-(IFERROR(MIN(FILTER({K238, N238, Q238}, ISNUMBER({K238, N238, Q238}), {K238, N238, Q238} &gt; 0)), """")))/T238"),0.40119760479041916)</f>
        <v>0.4011976048</v>
      </c>
      <c r="V238" s="88">
        <f t="shared" si="22"/>
        <v>9660</v>
      </c>
      <c r="W238" s="89"/>
    </row>
    <row r="239" ht="22.5" customHeight="1">
      <c r="A239" s="28" t="s">
        <v>557</v>
      </c>
      <c r="B239" s="28" t="s">
        <v>1217</v>
      </c>
      <c r="C239" s="30" t="s">
        <v>560</v>
      </c>
      <c r="D239" s="85" t="s">
        <v>1218</v>
      </c>
      <c r="E239" s="104">
        <v>46116.0</v>
      </c>
      <c r="F239" s="69" t="s">
        <v>67</v>
      </c>
      <c r="G239" s="36" t="s">
        <v>41</v>
      </c>
      <c r="H239" s="28" t="s">
        <v>1219</v>
      </c>
      <c r="I239" s="39">
        <v>2000.0</v>
      </c>
      <c r="J239" s="39">
        <v>2000.0</v>
      </c>
      <c r="K239" s="41"/>
      <c r="L239" s="42">
        <v>2000.0</v>
      </c>
      <c r="M239" s="42">
        <v>2000.0</v>
      </c>
      <c r="N239" s="42">
        <v>6244.0</v>
      </c>
      <c r="O239" s="39">
        <v>2000.0</v>
      </c>
      <c r="P239" s="39">
        <v>2000.0</v>
      </c>
      <c r="Q239" s="41"/>
      <c r="R239" s="46"/>
      <c r="S239" s="46">
        <v>0.67</v>
      </c>
      <c r="T239" s="50">
        <f>IFERROR(__xludf.DUMMYFUNCTION("((IFERROR(MIN(FILTER({K239, N239, Q239}, ISNUMBER({K239, N239, Q239}), {K239, N239, Q239} &gt; 0)), """"))*S239)+IFERROR(MIN(FILTER({K239, N239, Q239}, ISNUMBER({K239, N239, Q239}), {K239, N239, Q239} &gt; 0)), """")"),10427.48)</f>
        <v>10427.48</v>
      </c>
      <c r="U239" s="53">
        <f>IFERROR(__xludf.DUMMYFUNCTION("(T239-(IFERROR(MIN(FILTER({K239, N239, Q239}, ISNUMBER({K239, N239, Q239}), {K239, N239, Q239} &gt; 0)), """")))/T239"),0.40119760479041916)</f>
        <v>0.4011976048</v>
      </c>
      <c r="V239" s="88">
        <f t="shared" si="22"/>
        <v>7805</v>
      </c>
      <c r="W239" s="89"/>
    </row>
    <row r="240" ht="22.5" customHeight="1">
      <c r="A240" s="28" t="s">
        <v>557</v>
      </c>
      <c r="B240" s="28" t="s">
        <v>1217</v>
      </c>
      <c r="C240" s="30" t="s">
        <v>560</v>
      </c>
      <c r="D240" s="85" t="s">
        <v>1218</v>
      </c>
      <c r="E240" s="104">
        <v>46116.0</v>
      </c>
      <c r="F240" s="69" t="s">
        <v>67</v>
      </c>
      <c r="G240" s="36" t="s">
        <v>41</v>
      </c>
      <c r="H240" s="28" t="s">
        <v>1219</v>
      </c>
      <c r="I240" s="39">
        <v>1000.0</v>
      </c>
      <c r="J240" s="39">
        <v>1000.0</v>
      </c>
      <c r="K240" s="41"/>
      <c r="L240" s="42">
        <v>1000.0</v>
      </c>
      <c r="M240" s="42">
        <v>1000.0</v>
      </c>
      <c r="N240" s="42">
        <v>1622.0</v>
      </c>
      <c r="O240" s="39">
        <v>1000.0</v>
      </c>
      <c r="P240" s="39">
        <v>1000.0</v>
      </c>
      <c r="Q240" s="41"/>
      <c r="R240" s="46"/>
      <c r="S240" s="46">
        <v>0.67</v>
      </c>
      <c r="T240" s="50">
        <f>IFERROR(__xludf.DUMMYFUNCTION("((IFERROR(MIN(FILTER({K240, N240, Q240}, ISNUMBER({K240, N240, Q240}), {K240, N240, Q240} &gt; 0)), """"))*S240)+IFERROR(MIN(FILTER({K240, N240, Q240}, ISNUMBER({K240, N240, Q240}), {K240, N240, Q240} &gt; 0)), """")"),2708.74)</f>
        <v>2708.74</v>
      </c>
      <c r="U240" s="53">
        <f>IFERROR(__xludf.DUMMYFUNCTION("(T240-(IFERROR(MIN(FILTER({K240, N240, Q240}, ISNUMBER({K240, N240, Q240}), {K240, N240, Q240} &gt; 0)), """")))/T240"),0.4011976047904191)</f>
        <v>0.4011976048</v>
      </c>
      <c r="V240" s="88">
        <f t="shared" si="22"/>
        <v>2027.5</v>
      </c>
      <c r="W240" s="89"/>
    </row>
    <row r="241" ht="22.5" customHeight="1">
      <c r="A241" s="28" t="s">
        <v>557</v>
      </c>
      <c r="B241" s="28" t="s">
        <v>1217</v>
      </c>
      <c r="C241" s="30" t="s">
        <v>560</v>
      </c>
      <c r="D241" s="85" t="s">
        <v>1218</v>
      </c>
      <c r="E241" s="104">
        <v>46116.0</v>
      </c>
      <c r="F241" s="69" t="s">
        <v>67</v>
      </c>
      <c r="G241" s="36" t="s">
        <v>41</v>
      </c>
      <c r="H241" s="28" t="s">
        <v>1219</v>
      </c>
      <c r="I241" s="39">
        <v>3000.0</v>
      </c>
      <c r="J241" s="39">
        <v>3000.0</v>
      </c>
      <c r="K241" s="41"/>
      <c r="L241" s="42">
        <v>3000.0</v>
      </c>
      <c r="M241" s="42">
        <v>3000.0</v>
      </c>
      <c r="N241" s="42">
        <v>2671.0</v>
      </c>
      <c r="O241" s="39">
        <v>3000.0</v>
      </c>
      <c r="P241" s="39">
        <v>3000.0</v>
      </c>
      <c r="Q241" s="41"/>
      <c r="R241" s="46"/>
      <c r="S241" s="46">
        <v>0.67</v>
      </c>
      <c r="T241" s="50">
        <f>IFERROR(__xludf.DUMMYFUNCTION("((IFERROR(MIN(FILTER({K241, N241, Q241}, ISNUMBER({K241, N241, Q241}), {K241, N241, Q241} &gt; 0)), """"))*S241)+IFERROR(MIN(FILTER({K241, N241, Q241}, ISNUMBER({K241, N241, Q241}), {K241, N241, Q241} &gt; 0)), """")"),4460.57)</f>
        <v>4460.57</v>
      </c>
      <c r="U241" s="53">
        <f>IFERROR(__xludf.DUMMYFUNCTION("(T241-(IFERROR(MIN(FILTER({K241, N241, Q241}, ISNUMBER({K241, N241, Q241}), {K241, N241, Q241} &gt; 0)), """")))/T241"),0.4011976047904191)</f>
        <v>0.4011976048</v>
      </c>
      <c r="V241" s="88">
        <f t="shared" si="22"/>
        <v>3338.75</v>
      </c>
      <c r="W241" s="89"/>
    </row>
    <row r="242" ht="22.5" customHeight="1">
      <c r="A242" s="28" t="s">
        <v>188</v>
      </c>
      <c r="B242" s="28" t="s">
        <v>1221</v>
      </c>
      <c r="C242" s="30" t="s">
        <v>560</v>
      </c>
      <c r="D242" s="85" t="s">
        <v>1222</v>
      </c>
      <c r="E242" s="36" t="s">
        <v>63</v>
      </c>
      <c r="F242" s="69" t="s">
        <v>1223</v>
      </c>
      <c r="G242" s="36" t="s">
        <v>41</v>
      </c>
      <c r="H242" s="28" t="s">
        <v>1224</v>
      </c>
      <c r="I242" s="39">
        <v>5000.0</v>
      </c>
      <c r="J242" s="39">
        <v>5000.0</v>
      </c>
      <c r="K242" s="41"/>
      <c r="L242" s="42">
        <v>5000.0</v>
      </c>
      <c r="M242" s="42">
        <v>5000.0</v>
      </c>
      <c r="N242" s="42">
        <v>2280.0</v>
      </c>
      <c r="O242" s="39">
        <v>5000.0</v>
      </c>
      <c r="P242" s="39">
        <v>5000.0</v>
      </c>
      <c r="Q242" s="41"/>
      <c r="R242" s="46"/>
      <c r="S242" s="46">
        <v>0.67</v>
      </c>
      <c r="T242" s="50">
        <f>IFERROR(__xludf.DUMMYFUNCTION("((IFERROR(MIN(FILTER({K242, N242, Q242}, ISNUMBER({K242, N242, Q242}), {K242, N242, Q242} &gt; 0)), """"))*S242)+IFERROR(MIN(FILTER({K242, N242, Q242}, ISNUMBER({K242, N242, Q242}), {K242, N242, Q242} &gt; 0)), """")"),3807.6000000000004)</f>
        <v>3807.6</v>
      </c>
      <c r="U242" s="53">
        <f>IFERROR(__xludf.DUMMYFUNCTION("(T242-(IFERROR(MIN(FILTER({K242, N242, Q242}, ISNUMBER({K242, N242, Q242}), {K242, N242, Q242} &gt; 0)), """")))/T242"),0.4011976047904192)</f>
        <v>0.4011976048</v>
      </c>
      <c r="V242" s="88">
        <f t="shared" si="22"/>
        <v>2850</v>
      </c>
      <c r="W242" s="89"/>
    </row>
    <row r="243" ht="22.5" customHeight="1">
      <c r="A243" s="28" t="s">
        <v>188</v>
      </c>
      <c r="B243" s="28" t="s">
        <v>1221</v>
      </c>
      <c r="C243" s="30" t="s">
        <v>560</v>
      </c>
      <c r="D243" s="85" t="s">
        <v>1222</v>
      </c>
      <c r="E243" s="36" t="s">
        <v>63</v>
      </c>
      <c r="F243" s="69" t="s">
        <v>1223</v>
      </c>
      <c r="G243" s="36" t="s">
        <v>41</v>
      </c>
      <c r="H243" s="28" t="s">
        <v>1224</v>
      </c>
      <c r="I243" s="39">
        <v>3000.0</v>
      </c>
      <c r="J243" s="39">
        <v>3000.0</v>
      </c>
      <c r="K243" s="41"/>
      <c r="L243" s="42">
        <v>3000.0</v>
      </c>
      <c r="M243" s="42">
        <v>3000.0</v>
      </c>
      <c r="N243" s="60"/>
      <c r="O243" s="39">
        <v>3000.0</v>
      </c>
      <c r="P243" s="39">
        <v>3000.0</v>
      </c>
      <c r="Q243" s="39">
        <v>2400.0</v>
      </c>
      <c r="R243" s="46"/>
      <c r="S243" s="46">
        <v>0.67</v>
      </c>
      <c r="T243" s="50">
        <f>IFERROR(__xludf.DUMMYFUNCTION("((IFERROR(MIN(FILTER({K243, N243, Q243}, ISNUMBER({K243, N243, Q243}), {K243, N243, Q243} &gt; 0)), """"))*S243)+IFERROR(MIN(FILTER({K243, N243, Q243}, ISNUMBER({K243, N243, Q243}), {K243, N243, Q243} &gt; 0)), """")"),4008.0)</f>
        <v>4008</v>
      </c>
      <c r="U243" s="53">
        <f>IFERROR(__xludf.DUMMYFUNCTION("(T243-(IFERROR(MIN(FILTER({K243, N243, Q243}, ISNUMBER({K243, N243, Q243}), {K243, N243, Q243} &gt; 0)), """")))/T243"),0.40119760479041916)</f>
        <v>0.4011976048</v>
      </c>
      <c r="V243" s="88">
        <f t="shared" si="22"/>
        <v>3000</v>
      </c>
      <c r="W243" s="89"/>
    </row>
    <row r="244" ht="22.5" customHeight="1">
      <c r="A244" s="28" t="s">
        <v>188</v>
      </c>
      <c r="B244" s="28" t="s">
        <v>1221</v>
      </c>
      <c r="C244" s="30" t="s">
        <v>560</v>
      </c>
      <c r="D244" s="85" t="s">
        <v>1222</v>
      </c>
      <c r="E244" s="36" t="s">
        <v>63</v>
      </c>
      <c r="F244" s="69" t="s">
        <v>1223</v>
      </c>
      <c r="G244" s="36" t="s">
        <v>41</v>
      </c>
      <c r="H244" s="28" t="s">
        <v>1224</v>
      </c>
      <c r="I244" s="39">
        <v>1000.0</v>
      </c>
      <c r="J244" s="39">
        <v>1000.0</v>
      </c>
      <c r="K244" s="41"/>
      <c r="L244" s="42">
        <v>1000.0</v>
      </c>
      <c r="M244" s="42">
        <v>1000.0</v>
      </c>
      <c r="N244" s="60"/>
      <c r="O244" s="39">
        <v>1000.0</v>
      </c>
      <c r="P244" s="39">
        <v>1000.0</v>
      </c>
      <c r="Q244" s="39">
        <v>3900.0</v>
      </c>
      <c r="R244" s="46"/>
      <c r="S244" s="46">
        <v>0.67</v>
      </c>
      <c r="T244" s="50">
        <f>IFERROR(__xludf.DUMMYFUNCTION("((IFERROR(MIN(FILTER({K244, N244, Q244}, ISNUMBER({K244, N244, Q244}), {K244, N244, Q244} &gt; 0)), """"))*S244)+IFERROR(MIN(FILTER({K244, N244, Q244}, ISNUMBER({K244, N244, Q244}), {K244, N244, Q244} &gt; 0)), """")"),6513.0)</f>
        <v>6513</v>
      </c>
      <c r="U244" s="53">
        <f>IFERROR(__xludf.DUMMYFUNCTION("(T244-(IFERROR(MIN(FILTER({K244, N244, Q244}, ISNUMBER({K244, N244, Q244}), {K244, N244, Q244} &gt; 0)), """")))/T244"),0.40119760479041916)</f>
        <v>0.4011976048</v>
      </c>
      <c r="V244" s="88">
        <f t="shared" si="22"/>
        <v>4875</v>
      </c>
      <c r="W244" s="89"/>
    </row>
    <row r="245" ht="22.5" customHeight="1">
      <c r="A245" s="28" t="s">
        <v>188</v>
      </c>
      <c r="B245" s="28" t="s">
        <v>1225</v>
      </c>
      <c r="C245" s="30" t="s">
        <v>560</v>
      </c>
      <c r="D245" s="85" t="s">
        <v>1226</v>
      </c>
      <c r="E245" s="36" t="s">
        <v>63</v>
      </c>
      <c r="F245" s="69" t="s">
        <v>1223</v>
      </c>
      <c r="G245" s="36" t="s">
        <v>41</v>
      </c>
      <c r="H245" s="28" t="s">
        <v>1227</v>
      </c>
      <c r="I245" s="39">
        <v>1000.0</v>
      </c>
      <c r="J245" s="39">
        <v>1000.0</v>
      </c>
      <c r="K245" s="41"/>
      <c r="L245" s="42">
        <v>1000.0</v>
      </c>
      <c r="M245" s="42">
        <v>1000.0</v>
      </c>
      <c r="N245" s="60"/>
      <c r="O245" s="39">
        <v>1000.0</v>
      </c>
      <c r="P245" s="39">
        <v>1000.0</v>
      </c>
      <c r="Q245" s="39">
        <v>4100.0</v>
      </c>
      <c r="R245" s="46"/>
      <c r="S245" s="46">
        <v>0.67</v>
      </c>
      <c r="T245" s="50">
        <f>IFERROR(__xludf.DUMMYFUNCTION("((IFERROR(MIN(FILTER({K245, N245, Q245}, ISNUMBER({K245, N245, Q245}), {K245, N245, Q245} &gt; 0)), """"))*S245)+IFERROR(MIN(FILTER({K245, N245, Q245}, ISNUMBER({K245, N245, Q245}), {K245, N245, Q245} &gt; 0)), """")"),6847.0)</f>
        <v>6847</v>
      </c>
      <c r="U245" s="53">
        <f>IFERROR(__xludf.DUMMYFUNCTION("(T245-(IFERROR(MIN(FILTER({K245, N245, Q245}, ISNUMBER({K245, N245, Q245}), {K245, N245, Q245} &gt; 0)), """")))/T245"),0.40119760479041916)</f>
        <v>0.4011976048</v>
      </c>
      <c r="V245" s="88">
        <f t="shared" si="22"/>
        <v>5125</v>
      </c>
      <c r="W245" s="89"/>
    </row>
    <row r="246" ht="22.5" customHeight="1">
      <c r="A246" s="28" t="s">
        <v>188</v>
      </c>
      <c r="B246" s="28" t="s">
        <v>1225</v>
      </c>
      <c r="C246" s="30" t="s">
        <v>560</v>
      </c>
      <c r="D246" s="85" t="s">
        <v>1226</v>
      </c>
      <c r="E246" s="36" t="s">
        <v>63</v>
      </c>
      <c r="F246" s="69" t="s">
        <v>1223</v>
      </c>
      <c r="G246" s="36" t="s">
        <v>41</v>
      </c>
      <c r="H246" s="28" t="s">
        <v>1227</v>
      </c>
      <c r="I246" s="39">
        <v>500.0</v>
      </c>
      <c r="J246" s="39">
        <v>500.0</v>
      </c>
      <c r="K246" s="41"/>
      <c r="L246" s="42">
        <v>500.0</v>
      </c>
      <c r="M246" s="42">
        <v>500.0</v>
      </c>
      <c r="N246" s="60"/>
      <c r="O246" s="39">
        <v>500.0</v>
      </c>
      <c r="P246" s="39">
        <v>500.0</v>
      </c>
      <c r="Q246" s="39">
        <v>5200.0</v>
      </c>
      <c r="R246" s="46"/>
      <c r="S246" s="46">
        <v>0.67</v>
      </c>
      <c r="T246" s="50">
        <f>IFERROR(__xludf.DUMMYFUNCTION("((IFERROR(MIN(FILTER({K246, N246, Q246}, ISNUMBER({K246, N246, Q246}), {K246, N246, Q246} &gt; 0)), """"))*S246)+IFERROR(MIN(FILTER({K246, N246, Q246}, ISNUMBER({K246, N246, Q246}), {K246, N246, Q246} &gt; 0)), """")"),8684.0)</f>
        <v>8684</v>
      </c>
      <c r="U246" s="53">
        <f>IFERROR(__xludf.DUMMYFUNCTION("(T246-(IFERROR(MIN(FILTER({K246, N246, Q246}, ISNUMBER({K246, N246, Q246}), {K246, N246, Q246} &gt; 0)), """")))/T246"),0.40119760479041916)</f>
        <v>0.4011976048</v>
      </c>
      <c r="V246" s="88">
        <f t="shared" si="22"/>
        <v>6500</v>
      </c>
      <c r="W246" s="89"/>
    </row>
    <row r="247" ht="22.5" customHeight="1">
      <c r="A247" s="30" t="s">
        <v>523</v>
      </c>
      <c r="B247" s="30" t="s">
        <v>470</v>
      </c>
      <c r="C247" s="30" t="s">
        <v>128</v>
      </c>
      <c r="D247" s="85" t="s">
        <v>1231</v>
      </c>
      <c r="E247" s="86" t="s">
        <v>63</v>
      </c>
      <c r="F247" s="69" t="s">
        <v>1208</v>
      </c>
      <c r="G247" s="36" t="s">
        <v>41</v>
      </c>
      <c r="H247" s="28" t="s">
        <v>849</v>
      </c>
      <c r="I247" s="39">
        <v>2000.0</v>
      </c>
      <c r="J247" s="39">
        <v>2000.0</v>
      </c>
      <c r="K247" s="41"/>
      <c r="L247" s="42">
        <v>2000.0</v>
      </c>
      <c r="M247" s="42">
        <v>2000.0</v>
      </c>
      <c r="N247" s="60"/>
      <c r="O247" s="39">
        <v>2000.0</v>
      </c>
      <c r="P247" s="39">
        <v>2000.0</v>
      </c>
      <c r="Q247" s="62">
        <v>2450.0</v>
      </c>
      <c r="R247" s="92">
        <f t="shared" ref="R247:R257" si="23">IF(MAX(K247,N247,Q247)&gt;0, MAX(K247,N247,Q247))</f>
        <v>2450</v>
      </c>
      <c r="S247" s="46">
        <v>0.67</v>
      </c>
      <c r="T247" s="93">
        <f>IFERROR(__xludf.DUMMYFUNCTION("((IFERROR(MAX(FILTER({K247, N247, Q247}, ISNUMBER({K247, N247, Q247}), {K247, N247, Q247} &gt; 0)), """"))*S247)+IFERROR(MAX(FILTER({K247, N247, Q247}, ISNUMBER({K247, N247, Q247}), {K247, N247, Q247} &gt; 0)), """")"),4091.5)</f>
        <v>4091.5</v>
      </c>
      <c r="U247" s="53">
        <f>IFERROR(__xludf.DUMMYFUNCTION("(T247-(IFERROR(MIN(FILTER({K247, N247, Q247}, ISNUMBER({K247, N247, Q247}), {K247, N247, Q247} &gt; 0)), """")))/T247"),0.40119760479041916)</f>
        <v>0.4011976048</v>
      </c>
      <c r="V247" s="93">
        <f t="shared" ref="V247:V257" si="24">IF(MAX(K247,N247,Q247)&gt;0, MAX(K247,N247,Q247)/0.75, 0)</f>
        <v>3266.666667</v>
      </c>
      <c r="W247" s="94">
        <f t="shared" ref="W247:W257" si="25">(V247-R247)/V247</f>
        <v>0.25</v>
      </c>
    </row>
    <row r="248" ht="22.5" customHeight="1">
      <c r="A248" s="30" t="s">
        <v>523</v>
      </c>
      <c r="B248" s="30" t="s">
        <v>1232</v>
      </c>
      <c r="C248" s="30" t="s">
        <v>811</v>
      </c>
      <c r="D248" s="85" t="s">
        <v>1233</v>
      </c>
      <c r="E248" s="36" t="s">
        <v>55</v>
      </c>
      <c r="F248" s="69" t="s">
        <v>1208</v>
      </c>
      <c r="G248" s="36" t="s">
        <v>41</v>
      </c>
      <c r="H248" s="28" t="s">
        <v>1234</v>
      </c>
      <c r="I248" s="39">
        <v>500.0</v>
      </c>
      <c r="J248" s="39">
        <v>500.0</v>
      </c>
      <c r="K248" s="41"/>
      <c r="L248" s="42">
        <v>500.0</v>
      </c>
      <c r="M248" s="42">
        <v>500.0</v>
      </c>
      <c r="N248" s="42">
        <v>9048.0</v>
      </c>
      <c r="O248" s="39">
        <v>500.0</v>
      </c>
      <c r="P248" s="39">
        <v>500.0</v>
      </c>
      <c r="Q248" s="63"/>
      <c r="R248" s="92">
        <f t="shared" si="23"/>
        <v>9048</v>
      </c>
      <c r="S248" s="46">
        <v>0.67</v>
      </c>
      <c r="T248" s="93">
        <f>IFERROR(__xludf.DUMMYFUNCTION("((IFERROR(MAX(FILTER({K248, N248, Q248}, ISNUMBER({K248, N248, Q248}), {K248, N248, Q248} &gt; 0)), """"))*S248)+IFERROR(MAX(FILTER({K248, N248, Q248}, ISNUMBER({K248, N248, Q248}), {K248, N248, Q248} &gt; 0)), """")"),15110.16)</f>
        <v>15110.16</v>
      </c>
      <c r="U248" s="53">
        <f>IFERROR(__xludf.DUMMYFUNCTION("(T248-(IFERROR(MIN(FILTER({K248, N248, Q248}, ISNUMBER({K248, N248, Q248}), {K248, N248, Q248} &gt; 0)), """")))/T248"),0.40119760479041916)</f>
        <v>0.4011976048</v>
      </c>
      <c r="V248" s="93">
        <f t="shared" si="24"/>
        <v>12064</v>
      </c>
      <c r="W248" s="94">
        <f t="shared" si="25"/>
        <v>0.25</v>
      </c>
    </row>
    <row r="249" ht="22.5" customHeight="1">
      <c r="A249" s="30" t="s">
        <v>523</v>
      </c>
      <c r="B249" s="30" t="s">
        <v>1235</v>
      </c>
      <c r="C249" s="30" t="s">
        <v>560</v>
      </c>
      <c r="D249" s="85" t="s">
        <v>1233</v>
      </c>
      <c r="E249" s="36" t="s">
        <v>63</v>
      </c>
      <c r="F249" s="69" t="s">
        <v>1208</v>
      </c>
      <c r="G249" s="36" t="s">
        <v>41</v>
      </c>
      <c r="H249" s="28" t="s">
        <v>1234</v>
      </c>
      <c r="I249" s="39">
        <v>500.0</v>
      </c>
      <c r="J249" s="39">
        <v>500.0</v>
      </c>
      <c r="K249" s="41"/>
      <c r="L249" s="42">
        <v>500.0</v>
      </c>
      <c r="M249" s="42">
        <v>500.0</v>
      </c>
      <c r="N249" s="42">
        <v>8995.0</v>
      </c>
      <c r="O249" s="39">
        <v>500.0</v>
      </c>
      <c r="P249" s="39">
        <v>500.0</v>
      </c>
      <c r="Q249" s="63"/>
      <c r="R249" s="92">
        <f t="shared" si="23"/>
        <v>8995</v>
      </c>
      <c r="S249" s="46">
        <v>0.67</v>
      </c>
      <c r="T249" s="93">
        <f>IFERROR(__xludf.DUMMYFUNCTION("((IFERROR(MAX(FILTER({K249, N249, Q249}, ISNUMBER({K249, N249, Q249}), {K249, N249, Q249} &gt; 0)), """"))*S249)+IFERROR(MAX(FILTER({K249, N249, Q249}, ISNUMBER({K249, N249, Q249}), {K249, N249, Q249} &gt; 0)), """")"),15021.650000000001)</f>
        <v>15021.65</v>
      </c>
      <c r="U249" s="53">
        <f>IFERROR(__xludf.DUMMYFUNCTION("(T249-(IFERROR(MIN(FILTER({K249, N249, Q249}, ISNUMBER({K249, N249, Q249}), {K249, N249, Q249} &gt; 0)), """")))/T249"),0.4011976047904192)</f>
        <v>0.4011976048</v>
      </c>
      <c r="V249" s="93">
        <f t="shared" si="24"/>
        <v>11993.33333</v>
      </c>
      <c r="W249" s="94">
        <f t="shared" si="25"/>
        <v>0.25</v>
      </c>
    </row>
    <row r="250" ht="22.5" customHeight="1">
      <c r="A250" s="30" t="s">
        <v>523</v>
      </c>
      <c r="B250" s="30" t="s">
        <v>1240</v>
      </c>
      <c r="C250" s="30" t="s">
        <v>811</v>
      </c>
      <c r="D250" s="85" t="s">
        <v>1233</v>
      </c>
      <c r="E250" s="36" t="s">
        <v>55</v>
      </c>
      <c r="F250" s="69" t="s">
        <v>1208</v>
      </c>
      <c r="G250" s="36" t="s">
        <v>41</v>
      </c>
      <c r="H250" s="28" t="s">
        <v>1244</v>
      </c>
      <c r="I250" s="39">
        <v>1000.0</v>
      </c>
      <c r="J250" s="39">
        <v>1000.0</v>
      </c>
      <c r="K250" s="41"/>
      <c r="L250" s="42">
        <v>1000.0</v>
      </c>
      <c r="M250" s="42">
        <v>1000.0</v>
      </c>
      <c r="N250" s="60"/>
      <c r="O250" s="39">
        <v>1000.0</v>
      </c>
      <c r="P250" s="39">
        <v>1000.0</v>
      </c>
      <c r="Q250" s="62">
        <v>4000.0</v>
      </c>
      <c r="R250" s="92">
        <f t="shared" si="23"/>
        <v>4000</v>
      </c>
      <c r="S250" s="46">
        <v>0.67</v>
      </c>
      <c r="T250" s="93">
        <f>IFERROR(__xludf.DUMMYFUNCTION("((IFERROR(MAX(FILTER({K250, N250, Q250}, ISNUMBER({K250, N250, Q250}), {K250, N250, Q250} &gt; 0)), """"))*S250)+IFERROR(MAX(FILTER({K250, N250, Q250}, ISNUMBER({K250, N250, Q250}), {K250, N250, Q250} &gt; 0)), """")"),6680.0)</f>
        <v>6680</v>
      </c>
      <c r="U250" s="53">
        <f>IFERROR(__xludf.DUMMYFUNCTION("(T250-(IFERROR(MIN(FILTER({K250, N250, Q250}, ISNUMBER({K250, N250, Q250}), {K250, N250, Q250} &gt; 0)), """")))/T250"),0.40119760479041916)</f>
        <v>0.4011976048</v>
      </c>
      <c r="V250" s="93">
        <f t="shared" si="24"/>
        <v>5333.333333</v>
      </c>
      <c r="W250" s="94">
        <f t="shared" si="25"/>
        <v>0.25</v>
      </c>
    </row>
    <row r="251" ht="22.5" customHeight="1">
      <c r="A251" s="30" t="s">
        <v>523</v>
      </c>
      <c r="B251" s="30" t="s">
        <v>1245</v>
      </c>
      <c r="C251" s="30" t="s">
        <v>560</v>
      </c>
      <c r="D251" s="85" t="s">
        <v>1233</v>
      </c>
      <c r="E251" s="36" t="s">
        <v>55</v>
      </c>
      <c r="F251" s="69" t="s">
        <v>1208</v>
      </c>
      <c r="G251" s="36" t="s">
        <v>41</v>
      </c>
      <c r="H251" s="28" t="s">
        <v>1244</v>
      </c>
      <c r="I251" s="39">
        <v>1000.0</v>
      </c>
      <c r="J251" s="39">
        <v>1000.0</v>
      </c>
      <c r="K251" s="41"/>
      <c r="L251" s="42">
        <v>1000.0</v>
      </c>
      <c r="M251" s="42">
        <v>1000.0</v>
      </c>
      <c r="N251" s="60"/>
      <c r="O251" s="39">
        <v>1000.0</v>
      </c>
      <c r="P251" s="39">
        <v>1000.0</v>
      </c>
      <c r="Q251" s="62">
        <v>4500.0</v>
      </c>
      <c r="R251" s="92">
        <f t="shared" si="23"/>
        <v>4500</v>
      </c>
      <c r="S251" s="46">
        <v>0.67</v>
      </c>
      <c r="T251" s="93">
        <f>IFERROR(__xludf.DUMMYFUNCTION("((IFERROR(MAX(FILTER({K251, N251, Q251}, ISNUMBER({K251, N251, Q251}), {K251, N251, Q251} &gt; 0)), """"))*S251)+IFERROR(MAX(FILTER({K251, N251, Q251}, ISNUMBER({K251, N251, Q251}), {K251, N251, Q251} &gt; 0)), """")"),7515.0)</f>
        <v>7515</v>
      </c>
      <c r="U251" s="53">
        <f>IFERROR(__xludf.DUMMYFUNCTION("(T251-(IFERROR(MIN(FILTER({K251, N251, Q251}, ISNUMBER({K251, N251, Q251}), {K251, N251, Q251} &gt; 0)), """")))/T251"),0.40119760479041916)</f>
        <v>0.4011976048</v>
      </c>
      <c r="V251" s="93">
        <f t="shared" si="24"/>
        <v>6000</v>
      </c>
      <c r="W251" s="94">
        <f t="shared" si="25"/>
        <v>0.25</v>
      </c>
    </row>
    <row r="252" ht="22.5" customHeight="1">
      <c r="A252" s="30" t="s">
        <v>523</v>
      </c>
      <c r="B252" s="30" t="s">
        <v>1232</v>
      </c>
      <c r="C252" s="30" t="s">
        <v>811</v>
      </c>
      <c r="D252" s="85" t="s">
        <v>1233</v>
      </c>
      <c r="E252" s="36" t="s">
        <v>55</v>
      </c>
      <c r="F252" s="69" t="s">
        <v>1208</v>
      </c>
      <c r="G252" s="36" t="s">
        <v>41</v>
      </c>
      <c r="H252" s="28" t="s">
        <v>1234</v>
      </c>
      <c r="I252" s="39">
        <v>1000.0</v>
      </c>
      <c r="J252" s="39">
        <v>1000.0</v>
      </c>
      <c r="K252" s="41"/>
      <c r="L252" s="42">
        <v>1000.0</v>
      </c>
      <c r="M252" s="42">
        <v>1000.0</v>
      </c>
      <c r="N252" s="42">
        <v>6304.0</v>
      </c>
      <c r="O252" s="39">
        <v>1000.0</v>
      </c>
      <c r="P252" s="39">
        <v>1000.0</v>
      </c>
      <c r="Q252" s="63"/>
      <c r="R252" s="92">
        <f t="shared" si="23"/>
        <v>6304</v>
      </c>
      <c r="S252" s="46">
        <v>0.67</v>
      </c>
      <c r="T252" s="93">
        <f>IFERROR(__xludf.DUMMYFUNCTION("((IFERROR(MAX(FILTER({K252, N252, Q252}, ISNUMBER({K252, N252, Q252}), {K252, N252, Q252} &gt; 0)), """"))*S252)+IFERROR(MAX(FILTER({K252, N252, Q252}, ISNUMBER({K252, N252, Q252}), {K252, N252, Q252} &gt; 0)), """")"),10527.68)</f>
        <v>10527.68</v>
      </c>
      <c r="U252" s="53">
        <f>IFERROR(__xludf.DUMMYFUNCTION("(T252-(IFERROR(MIN(FILTER({K252, N252, Q252}, ISNUMBER({K252, N252, Q252}), {K252, N252, Q252} &gt; 0)), """")))/T252"),0.40119760479041916)</f>
        <v>0.4011976048</v>
      </c>
      <c r="V252" s="93">
        <f t="shared" si="24"/>
        <v>8405.333333</v>
      </c>
      <c r="W252" s="94">
        <f t="shared" si="25"/>
        <v>0.25</v>
      </c>
    </row>
    <row r="253" ht="22.5" customHeight="1">
      <c r="A253" s="30" t="s">
        <v>523</v>
      </c>
      <c r="B253" s="30" t="s">
        <v>1250</v>
      </c>
      <c r="C253" s="30" t="s">
        <v>479</v>
      </c>
      <c r="D253" s="85" t="s">
        <v>1233</v>
      </c>
      <c r="E253" s="36" t="s">
        <v>63</v>
      </c>
      <c r="F253" s="69" t="s">
        <v>1208</v>
      </c>
      <c r="G253" s="36" t="s">
        <v>41</v>
      </c>
      <c r="H253" s="28" t="s">
        <v>1234</v>
      </c>
      <c r="I253" s="39">
        <v>1000.0</v>
      </c>
      <c r="J253" s="39">
        <v>1000.0</v>
      </c>
      <c r="K253" s="41"/>
      <c r="L253" s="42">
        <v>1000.0</v>
      </c>
      <c r="M253" s="42">
        <v>1000.0</v>
      </c>
      <c r="N253" s="42">
        <v>6432.0</v>
      </c>
      <c r="O253" s="39">
        <v>1000.0</v>
      </c>
      <c r="P253" s="39">
        <v>1000.0</v>
      </c>
      <c r="Q253" s="63"/>
      <c r="R253" s="92">
        <f t="shared" si="23"/>
        <v>6432</v>
      </c>
      <c r="S253" s="46">
        <v>0.67</v>
      </c>
      <c r="T253" s="93">
        <f>IFERROR(__xludf.DUMMYFUNCTION("((IFERROR(MAX(FILTER({K253, N253, Q253}, ISNUMBER({K253, N253, Q253}), {K253, N253, Q253} &gt; 0)), """"))*S253)+IFERROR(MAX(FILTER({K253, N253, Q253}, ISNUMBER({K253, N253, Q253}), {K253, N253, Q253} &gt; 0)), """")"),10741.44)</f>
        <v>10741.44</v>
      </c>
      <c r="U253" s="53">
        <f>IFERROR(__xludf.DUMMYFUNCTION("(T253-(IFERROR(MIN(FILTER({K253, N253, Q253}, ISNUMBER({K253, N253, Q253}), {K253, N253, Q253} &gt; 0)), """")))/T253"),0.4011976047904192)</f>
        <v>0.4011976048</v>
      </c>
      <c r="V253" s="93">
        <f t="shared" si="24"/>
        <v>8576</v>
      </c>
      <c r="W253" s="94">
        <f t="shared" si="25"/>
        <v>0.25</v>
      </c>
    </row>
    <row r="254" ht="22.5" customHeight="1">
      <c r="A254" s="30" t="s">
        <v>523</v>
      </c>
      <c r="B254" s="30" t="s">
        <v>1235</v>
      </c>
      <c r="C254" s="30" t="s">
        <v>560</v>
      </c>
      <c r="D254" s="85" t="s">
        <v>1233</v>
      </c>
      <c r="E254" s="36" t="s">
        <v>63</v>
      </c>
      <c r="F254" s="69" t="s">
        <v>1208</v>
      </c>
      <c r="G254" s="36" t="s">
        <v>41</v>
      </c>
      <c r="H254" s="28" t="s">
        <v>1234</v>
      </c>
      <c r="I254" s="39">
        <v>1200.0</v>
      </c>
      <c r="J254" s="39">
        <v>1200.0</v>
      </c>
      <c r="K254" s="41"/>
      <c r="L254" s="42">
        <v>1200.0</v>
      </c>
      <c r="M254" s="42">
        <v>1200.0</v>
      </c>
      <c r="N254" s="42">
        <v>5849.0</v>
      </c>
      <c r="O254" s="39">
        <v>1200.0</v>
      </c>
      <c r="P254" s="39">
        <v>1200.0</v>
      </c>
      <c r="Q254" s="63"/>
      <c r="R254" s="92">
        <f t="shared" si="23"/>
        <v>5849</v>
      </c>
      <c r="S254" s="46">
        <v>0.67</v>
      </c>
      <c r="T254" s="93">
        <f>IFERROR(__xludf.DUMMYFUNCTION("((IFERROR(MAX(FILTER({K254, N254, Q254}, ISNUMBER({K254, N254, Q254}), {K254, N254, Q254} &gt; 0)), """"))*S254)+IFERROR(MAX(FILTER({K254, N254, Q254}, ISNUMBER({K254, N254, Q254}), {K254, N254, Q254} &gt; 0)), """")"),9767.83)</f>
        <v>9767.83</v>
      </c>
      <c r="U254" s="53">
        <f>IFERROR(__xludf.DUMMYFUNCTION("(T254-(IFERROR(MIN(FILTER({K254, N254, Q254}, ISNUMBER({K254, N254, Q254}), {K254, N254, Q254} &gt; 0)), """")))/T254"),0.40119760479041916)</f>
        <v>0.4011976048</v>
      </c>
      <c r="V254" s="93">
        <f t="shared" si="24"/>
        <v>7798.666667</v>
      </c>
      <c r="W254" s="94">
        <f t="shared" si="25"/>
        <v>0.25</v>
      </c>
    </row>
    <row r="255" ht="22.5" customHeight="1">
      <c r="A255" s="30" t="s">
        <v>523</v>
      </c>
      <c r="B255" s="30" t="s">
        <v>1250</v>
      </c>
      <c r="C255" s="30" t="s">
        <v>479</v>
      </c>
      <c r="D255" s="85" t="s">
        <v>1233</v>
      </c>
      <c r="E255" s="36" t="s">
        <v>63</v>
      </c>
      <c r="F255" s="69" t="s">
        <v>1208</v>
      </c>
      <c r="G255" s="36" t="s">
        <v>41</v>
      </c>
      <c r="H255" s="28" t="s">
        <v>1234</v>
      </c>
      <c r="I255" s="39">
        <v>1200.0</v>
      </c>
      <c r="J255" s="39">
        <v>1200.0</v>
      </c>
      <c r="K255" s="41"/>
      <c r="L255" s="42">
        <v>1200.0</v>
      </c>
      <c r="M255" s="42">
        <v>1200.0</v>
      </c>
      <c r="N255" s="42">
        <v>5996.0</v>
      </c>
      <c r="O255" s="39">
        <v>1200.0</v>
      </c>
      <c r="P255" s="39">
        <v>1200.0</v>
      </c>
      <c r="Q255" s="63"/>
      <c r="R255" s="92">
        <f t="shared" si="23"/>
        <v>5996</v>
      </c>
      <c r="S255" s="46">
        <v>0.67</v>
      </c>
      <c r="T255" s="93">
        <f>IFERROR(__xludf.DUMMYFUNCTION("((IFERROR(MAX(FILTER({K255, N255, Q255}, ISNUMBER({K255, N255, Q255}), {K255, N255, Q255} &gt; 0)), """"))*S255)+IFERROR(MAX(FILTER({K255, N255, Q255}, ISNUMBER({K255, N255, Q255}), {K255, N255, Q255} &gt; 0)), """")"),10013.32)</f>
        <v>10013.32</v>
      </c>
      <c r="U255" s="53">
        <f>IFERROR(__xludf.DUMMYFUNCTION("(T255-(IFERROR(MIN(FILTER({K255, N255, Q255}, ISNUMBER({K255, N255, Q255}), {K255, N255, Q255} &gt; 0)), """")))/T255"),0.40119760479041916)</f>
        <v>0.4011976048</v>
      </c>
      <c r="V255" s="93">
        <f t="shared" si="24"/>
        <v>7994.666667</v>
      </c>
      <c r="W255" s="94">
        <f t="shared" si="25"/>
        <v>0.25</v>
      </c>
    </row>
    <row r="256" ht="22.5" customHeight="1">
      <c r="A256" s="30" t="s">
        <v>523</v>
      </c>
      <c r="B256" s="30" t="s">
        <v>1251</v>
      </c>
      <c r="C256" s="30" t="s">
        <v>479</v>
      </c>
      <c r="D256" s="85" t="s">
        <v>1233</v>
      </c>
      <c r="E256" s="36" t="s">
        <v>55</v>
      </c>
      <c r="F256" s="69" t="s">
        <v>1208</v>
      </c>
      <c r="G256" s="36" t="s">
        <v>41</v>
      </c>
      <c r="H256" s="28" t="s">
        <v>1244</v>
      </c>
      <c r="I256" s="39">
        <v>2000.0</v>
      </c>
      <c r="J256" s="39">
        <v>2000.0</v>
      </c>
      <c r="K256" s="41"/>
      <c r="L256" s="42">
        <v>2000.0</v>
      </c>
      <c r="M256" s="42">
        <v>2000.0</v>
      </c>
      <c r="N256" s="42">
        <v>6284.0</v>
      </c>
      <c r="O256" s="39">
        <v>2000.0</v>
      </c>
      <c r="P256" s="39">
        <v>2000.0</v>
      </c>
      <c r="Q256" s="63"/>
      <c r="R256" s="92">
        <f t="shared" si="23"/>
        <v>6284</v>
      </c>
      <c r="S256" s="46">
        <v>0.67</v>
      </c>
      <c r="T256" s="93">
        <f>IFERROR(__xludf.DUMMYFUNCTION("((IFERROR(MAX(FILTER({K256, N256, Q256}, ISNUMBER({K256, N256, Q256}), {K256, N256, Q256} &gt; 0)), """"))*S256)+IFERROR(MAX(FILTER({K256, N256, Q256}, ISNUMBER({K256, N256, Q256}), {K256, N256, Q256} &gt; 0)), """")"),10494.28)</f>
        <v>10494.28</v>
      </c>
      <c r="U256" s="53">
        <f>IFERROR(__xludf.DUMMYFUNCTION("(T256-(IFERROR(MIN(FILTER({K256, N256, Q256}, ISNUMBER({K256, N256, Q256}), {K256, N256, Q256} &gt; 0)), """")))/T256"),0.4011976047904192)</f>
        <v>0.4011976048</v>
      </c>
      <c r="V256" s="93">
        <f t="shared" si="24"/>
        <v>8378.666667</v>
      </c>
      <c r="W256" s="94">
        <f t="shared" si="25"/>
        <v>0.25</v>
      </c>
    </row>
    <row r="257" ht="22.5" customHeight="1">
      <c r="A257" s="30" t="s">
        <v>523</v>
      </c>
      <c r="B257" s="30" t="s">
        <v>470</v>
      </c>
      <c r="C257" s="30" t="s">
        <v>379</v>
      </c>
      <c r="D257" s="85" t="s">
        <v>1233</v>
      </c>
      <c r="E257" s="86" t="s">
        <v>63</v>
      </c>
      <c r="F257" s="69" t="s">
        <v>1208</v>
      </c>
      <c r="G257" s="36" t="s">
        <v>41</v>
      </c>
      <c r="H257" s="28" t="s">
        <v>849</v>
      </c>
      <c r="I257" s="39">
        <v>5000.0</v>
      </c>
      <c r="J257" s="39">
        <v>5000.0</v>
      </c>
      <c r="K257" s="41"/>
      <c r="L257" s="42">
        <v>5000.0</v>
      </c>
      <c r="M257" s="42">
        <v>5000.0</v>
      </c>
      <c r="N257" s="60"/>
      <c r="O257" s="39">
        <v>5000.0</v>
      </c>
      <c r="P257" s="39">
        <v>5000.0</v>
      </c>
      <c r="Q257" s="62">
        <v>2600.0</v>
      </c>
      <c r="R257" s="124">
        <f t="shared" si="23"/>
        <v>2600</v>
      </c>
      <c r="S257" s="46">
        <v>0.67</v>
      </c>
      <c r="T257" s="93">
        <f>IFERROR(__xludf.DUMMYFUNCTION("((IFERROR(MAX(FILTER({K257, N257, Q257}, ISNUMBER({K257, N257, Q257}), {K257, N257, Q257} &gt; 0)), """"))*S257)+IFERROR(MAX(FILTER({K257, N257, Q257}, ISNUMBER({K257, N257, Q257}), {K257, N257, Q257} &gt; 0)), """")"),4342.0)</f>
        <v>4342</v>
      </c>
      <c r="U257" s="53">
        <f>IFERROR(__xludf.DUMMYFUNCTION("(T257-(IFERROR(MIN(FILTER({K257, N257, Q257}, ISNUMBER({K257, N257, Q257}), {K257, N257, Q257} &gt; 0)), """")))/T257"),0.40119760479041916)</f>
        <v>0.4011976048</v>
      </c>
      <c r="V257" s="93">
        <f t="shared" si="24"/>
        <v>3466.666667</v>
      </c>
      <c r="W257" s="94">
        <f t="shared" si="25"/>
        <v>0.25</v>
      </c>
    </row>
    <row r="258" ht="22.5" customHeight="1">
      <c r="A258" s="30" t="s">
        <v>1252</v>
      </c>
      <c r="B258" s="30" t="s">
        <v>378</v>
      </c>
      <c r="C258" s="30" t="s">
        <v>479</v>
      </c>
      <c r="D258" s="85" t="s">
        <v>1253</v>
      </c>
      <c r="E258" s="104">
        <v>46113.0</v>
      </c>
      <c r="F258" s="69" t="s">
        <v>1254</v>
      </c>
      <c r="G258" s="36" t="s">
        <v>41</v>
      </c>
      <c r="H258" s="28" t="s">
        <v>1255</v>
      </c>
      <c r="I258" s="39">
        <v>5000.0</v>
      </c>
      <c r="J258" s="39">
        <v>5000.0</v>
      </c>
      <c r="K258" s="41"/>
      <c r="L258" s="42">
        <v>5000.0</v>
      </c>
      <c r="M258" s="42">
        <v>5000.0</v>
      </c>
      <c r="N258" s="42">
        <v>5647.0</v>
      </c>
      <c r="O258" s="39">
        <v>5000.0</v>
      </c>
      <c r="P258" s="39">
        <v>5000.0</v>
      </c>
      <c r="Q258" s="41"/>
      <c r="R258" s="46"/>
      <c r="S258" s="46">
        <v>0.67</v>
      </c>
      <c r="T258" s="50">
        <f>IFERROR(__xludf.DUMMYFUNCTION("((IFERROR(MIN(FILTER({K258, N258, Q258}, ISNUMBER({K258, N258, Q258}), {K258, N258, Q258} &gt; 0)), """"))*S258)+IFERROR(MIN(FILTER({K258, N258, Q258}, ISNUMBER({K258, N258, Q258}), {K258, N258, Q258} &gt; 0)), """")"),9430.49)</f>
        <v>9430.49</v>
      </c>
      <c r="U258" s="53">
        <f>IFERROR(__xludf.DUMMYFUNCTION("(T258-(IFERROR(MIN(FILTER({K258, N258, Q258}, ISNUMBER({K258, N258, Q258}), {K258, N258, Q258} &gt; 0)), """")))/T258"),0.40119760479041916)</f>
        <v>0.4011976048</v>
      </c>
      <c r="V258" s="88">
        <f t="shared" ref="V258:V259" si="26">IF(MAX(K258,N258,Q258)&gt;0, MAX(K258,N258,Q258)*1.25, 0)</f>
        <v>7058.75</v>
      </c>
      <c r="W258" s="89"/>
    </row>
    <row r="259" ht="22.5" customHeight="1">
      <c r="A259" s="30" t="s">
        <v>1252</v>
      </c>
      <c r="B259" s="30" t="s">
        <v>378</v>
      </c>
      <c r="C259" s="30" t="s">
        <v>479</v>
      </c>
      <c r="D259" s="85" t="s">
        <v>1256</v>
      </c>
      <c r="E259" s="104">
        <v>46113.0</v>
      </c>
      <c r="F259" s="69" t="s">
        <v>1254</v>
      </c>
      <c r="G259" s="36" t="s">
        <v>41</v>
      </c>
      <c r="H259" s="28" t="s">
        <v>1255</v>
      </c>
      <c r="I259" s="39">
        <v>10000.0</v>
      </c>
      <c r="J259" s="39">
        <v>10000.0</v>
      </c>
      <c r="K259" s="41"/>
      <c r="L259" s="42">
        <v>10000.0</v>
      </c>
      <c r="M259" s="42">
        <v>10000.0</v>
      </c>
      <c r="N259" s="42">
        <v>5247.0</v>
      </c>
      <c r="O259" s="39">
        <v>10000.0</v>
      </c>
      <c r="P259" s="39">
        <v>10000.0</v>
      </c>
      <c r="Q259" s="41"/>
      <c r="R259" s="46"/>
      <c r="S259" s="46">
        <v>0.67</v>
      </c>
      <c r="T259" s="50">
        <f>IFERROR(__xludf.DUMMYFUNCTION("((IFERROR(MIN(FILTER({K259, N259, Q259}, ISNUMBER({K259, N259, Q259}), {K259, N259, Q259} &gt; 0)), """"))*S259)+IFERROR(MIN(FILTER({K259, N259, Q259}, ISNUMBER({K259, N259, Q259}), {K259, N259, Q259} &gt; 0)), """")"),8762.49)</f>
        <v>8762.49</v>
      </c>
      <c r="U259" s="53">
        <f>IFERROR(__xludf.DUMMYFUNCTION("(T259-(IFERROR(MIN(FILTER({K259, N259, Q259}, ISNUMBER({K259, N259, Q259}), {K259, N259, Q259} &gt; 0)), """")))/T259"),0.40119760479041916)</f>
        <v>0.4011976048</v>
      </c>
      <c r="V259" s="88">
        <f t="shared" si="26"/>
        <v>6558.75</v>
      </c>
      <c r="W259" s="89"/>
    </row>
    <row r="260" ht="22.5" customHeight="1">
      <c r="A260" s="30" t="s">
        <v>523</v>
      </c>
      <c r="B260" s="30" t="s">
        <v>1251</v>
      </c>
      <c r="C260" s="30" t="s">
        <v>479</v>
      </c>
      <c r="D260" s="85" t="s">
        <v>1233</v>
      </c>
      <c r="E260" s="36" t="s">
        <v>55</v>
      </c>
      <c r="F260" s="69" t="s">
        <v>1208</v>
      </c>
      <c r="G260" s="36" t="s">
        <v>41</v>
      </c>
      <c r="H260" s="28" t="s">
        <v>1244</v>
      </c>
      <c r="I260" s="39">
        <v>5000.0</v>
      </c>
      <c r="J260" s="39">
        <v>5000.0</v>
      </c>
      <c r="K260" s="41"/>
      <c r="L260" s="42">
        <v>5000.0</v>
      </c>
      <c r="M260" s="42">
        <v>5000.0</v>
      </c>
      <c r="N260" s="42">
        <v>5359.0</v>
      </c>
      <c r="O260" s="39">
        <v>5000.0</v>
      </c>
      <c r="P260" s="39">
        <v>5000.0</v>
      </c>
      <c r="Q260" s="63"/>
      <c r="R260" s="92">
        <f t="shared" ref="R260:R262" si="27">IF(MAX(K260,N260,Q260)&gt;0, MAX(K260,N260,Q260))</f>
        <v>5359</v>
      </c>
      <c r="S260" s="46">
        <v>0.67</v>
      </c>
      <c r="T260" s="93">
        <f>IFERROR(__xludf.DUMMYFUNCTION("((IFERROR(MAX(FILTER({K260, N260, Q260}, ISNUMBER({K260, N260, Q260}), {K260, N260, Q260} &gt; 0)), """"))*S260)+IFERROR(MAX(FILTER({K260, N260, Q260}, ISNUMBER({K260, N260, Q260}), {K260, N260, Q260} &gt; 0)), """")"),8949.53)</f>
        <v>8949.53</v>
      </c>
      <c r="U260" s="53">
        <f>IFERROR(__xludf.DUMMYFUNCTION("(T260-(IFERROR(MIN(FILTER({K260, N260, Q260}, ISNUMBER({K260, N260, Q260}), {K260, N260, Q260} &gt; 0)), """")))/T260"),0.4011976047904192)</f>
        <v>0.4011976048</v>
      </c>
      <c r="V260" s="93">
        <f t="shared" ref="V260:V262" si="28">IF(MAX(K260,N260,Q260)&gt;0, MAX(K260,N260,Q260)/0.75, 0)</f>
        <v>7145.333333</v>
      </c>
      <c r="W260" s="94">
        <f t="shared" ref="W260:W262" si="29">(V260-R260)/V260</f>
        <v>0.25</v>
      </c>
    </row>
    <row r="261" ht="22.5" customHeight="1">
      <c r="A261" s="30" t="s">
        <v>523</v>
      </c>
      <c r="B261" s="30" t="s">
        <v>470</v>
      </c>
      <c r="C261" s="30" t="s">
        <v>106</v>
      </c>
      <c r="D261" s="85" t="s">
        <v>1233</v>
      </c>
      <c r="E261" s="86" t="s">
        <v>63</v>
      </c>
      <c r="F261" s="69" t="s">
        <v>1208</v>
      </c>
      <c r="G261" s="36" t="s">
        <v>41</v>
      </c>
      <c r="H261" s="28" t="s">
        <v>1258</v>
      </c>
      <c r="I261" s="39">
        <v>10000.0</v>
      </c>
      <c r="J261" s="39">
        <v>10000.0</v>
      </c>
      <c r="K261" s="41"/>
      <c r="L261" s="42">
        <v>10000.0</v>
      </c>
      <c r="M261" s="42">
        <v>10000.0</v>
      </c>
      <c r="N261" s="60"/>
      <c r="O261" s="39">
        <v>10000.0</v>
      </c>
      <c r="P261" s="39">
        <v>10000.0</v>
      </c>
      <c r="Q261" s="62">
        <v>2100.0</v>
      </c>
      <c r="R261" s="92">
        <f t="shared" si="27"/>
        <v>2100</v>
      </c>
      <c r="S261" s="46">
        <v>0.67</v>
      </c>
      <c r="T261" s="93">
        <f>IFERROR(__xludf.DUMMYFUNCTION("((IFERROR(MAX(FILTER({K261, N261, Q261}, ISNUMBER({K261, N261, Q261}), {K261, N261, Q261} &gt; 0)), """"))*S261)+IFERROR(MAX(FILTER({K261, N261, Q261}, ISNUMBER({K261, N261, Q261}), {K261, N261, Q261} &gt; 0)), """")"),3507.0)</f>
        <v>3507</v>
      </c>
      <c r="U261" s="53">
        <f>IFERROR(__xludf.DUMMYFUNCTION("(T261-(IFERROR(MIN(FILTER({K261, N261, Q261}, ISNUMBER({K261, N261, Q261}), {K261, N261, Q261} &gt; 0)), """")))/T261"),0.40119760479041916)</f>
        <v>0.4011976048</v>
      </c>
      <c r="V261" s="93">
        <f t="shared" si="28"/>
        <v>2800</v>
      </c>
      <c r="W261" s="94">
        <f t="shared" si="29"/>
        <v>0.25</v>
      </c>
    </row>
    <row r="262" ht="22.5" customHeight="1">
      <c r="A262" s="30" t="s">
        <v>523</v>
      </c>
      <c r="B262" s="30" t="s">
        <v>1245</v>
      </c>
      <c r="C262" s="30" t="s">
        <v>560</v>
      </c>
      <c r="D262" s="85" t="s">
        <v>1233</v>
      </c>
      <c r="E262" s="36" t="s">
        <v>55</v>
      </c>
      <c r="F262" s="69" t="s">
        <v>1208</v>
      </c>
      <c r="G262" s="36" t="s">
        <v>41</v>
      </c>
      <c r="H262" s="28" t="s">
        <v>1244</v>
      </c>
      <c r="I262" s="39">
        <v>10000.0</v>
      </c>
      <c r="J262" s="39">
        <v>10000.0</v>
      </c>
      <c r="K262" s="39">
        <v>330.0</v>
      </c>
      <c r="L262" s="42">
        <v>10000.0</v>
      </c>
      <c r="M262" s="42">
        <v>10000.0</v>
      </c>
      <c r="N262" s="42"/>
      <c r="O262" s="39">
        <v>10000.0</v>
      </c>
      <c r="P262" s="39">
        <v>10000.0</v>
      </c>
      <c r="Q262" s="62"/>
      <c r="R262" s="92">
        <f t="shared" si="27"/>
        <v>330</v>
      </c>
      <c r="S262" s="46">
        <v>0.67</v>
      </c>
      <c r="T262" s="93">
        <f>IFERROR(__xludf.DUMMYFUNCTION("((IFERROR(MAX(FILTER({K262, N262, Q262}, ISNUMBER({K262, N262, Q262}), {K262, N262, Q262} &gt; 0)), """"))*S262)+IFERROR(MAX(FILTER({K262, N262, Q262}, ISNUMBER({K262, N262, Q262}), {K262, N262, Q262} &gt; 0)), """")"),551.1)</f>
        <v>551.1</v>
      </c>
      <c r="U262" s="53">
        <f>IFERROR(__xludf.DUMMYFUNCTION("(T262-(IFERROR(MIN(FILTER({K262, N262, Q262}, ISNUMBER({K262, N262, Q262}), {K262, N262, Q262} &gt; 0)), """")))/T262"),0.40119760479041916)</f>
        <v>0.4011976048</v>
      </c>
      <c r="V262" s="93">
        <f t="shared" si="28"/>
        <v>440</v>
      </c>
      <c r="W262" s="94">
        <f t="shared" si="29"/>
        <v>0.25</v>
      </c>
    </row>
    <row r="263" ht="22.5" customHeight="1">
      <c r="A263" s="30" t="s">
        <v>1262</v>
      </c>
      <c r="B263" s="30" t="s">
        <v>378</v>
      </c>
      <c r="C263" s="30" t="s">
        <v>479</v>
      </c>
      <c r="D263" s="85" t="s">
        <v>1263</v>
      </c>
      <c r="E263" s="36" t="s">
        <v>55</v>
      </c>
      <c r="F263" s="69" t="s">
        <v>216</v>
      </c>
      <c r="G263" s="36" t="s">
        <v>41</v>
      </c>
      <c r="H263" s="28" t="s">
        <v>1264</v>
      </c>
      <c r="I263" s="39">
        <v>1000.0</v>
      </c>
      <c r="J263" s="39">
        <v>1000.0</v>
      </c>
      <c r="K263" s="41"/>
      <c r="L263" s="42">
        <v>1000.0</v>
      </c>
      <c r="M263" s="42">
        <v>1000.0</v>
      </c>
      <c r="N263" s="42">
        <v>8480.0</v>
      </c>
      <c r="O263" s="39">
        <v>1000.0</v>
      </c>
      <c r="P263" s="39">
        <v>1000.0</v>
      </c>
      <c r="Q263" s="41"/>
      <c r="R263" s="46"/>
      <c r="S263" s="46">
        <v>0.67</v>
      </c>
      <c r="T263" s="50">
        <f>IFERROR(__xludf.DUMMYFUNCTION("((IFERROR(MIN(FILTER({K263, N263, Q263}, ISNUMBER({K263, N263, Q263}), {K263, N263, Q263} &gt; 0)), """"))*S263)+IFERROR(MIN(FILTER({K263, N263, Q263}, ISNUMBER({K263, N263, Q263}), {K263, N263, Q263} &gt; 0)), """")"),14161.6)</f>
        <v>14161.6</v>
      </c>
      <c r="U263" s="53">
        <f>IFERROR(__xludf.DUMMYFUNCTION("(T263-(IFERROR(MIN(FILTER({K263, N263, Q263}, ISNUMBER({K263, N263, Q263}), {K263, N263, Q263} &gt; 0)), """")))/T263"),0.40119760479041916)</f>
        <v>0.4011976048</v>
      </c>
      <c r="V263" s="88">
        <f t="shared" ref="V263:V268" si="30">IF(MAX(K263,N263,Q263)&gt;0, MAX(K263,N263,Q263)*1.25, 0)</f>
        <v>10600</v>
      </c>
      <c r="W263" s="89"/>
    </row>
    <row r="264" ht="22.5" customHeight="1">
      <c r="A264" s="30" t="s">
        <v>1262</v>
      </c>
      <c r="B264" s="30" t="s">
        <v>378</v>
      </c>
      <c r="C264" s="30" t="s">
        <v>479</v>
      </c>
      <c r="D264" s="85" t="s">
        <v>1265</v>
      </c>
      <c r="E264" s="36" t="s">
        <v>55</v>
      </c>
      <c r="F264" s="69" t="s">
        <v>216</v>
      </c>
      <c r="G264" s="36" t="s">
        <v>41</v>
      </c>
      <c r="H264" s="28" t="s">
        <v>1264</v>
      </c>
      <c r="I264" s="39">
        <v>1200.0</v>
      </c>
      <c r="J264" s="39">
        <v>1200.0</v>
      </c>
      <c r="K264" s="41"/>
      <c r="L264" s="42">
        <v>1200.0</v>
      </c>
      <c r="M264" s="42">
        <v>1200.0</v>
      </c>
      <c r="N264" s="42">
        <v>7725.0</v>
      </c>
      <c r="O264" s="39">
        <v>1200.0</v>
      </c>
      <c r="P264" s="39">
        <v>1200.0</v>
      </c>
      <c r="Q264" s="41"/>
      <c r="R264" s="46"/>
      <c r="S264" s="46">
        <v>0.67</v>
      </c>
      <c r="T264" s="50">
        <f>IFERROR(__xludf.DUMMYFUNCTION("((IFERROR(MIN(FILTER({K264, N264, Q264}, ISNUMBER({K264, N264, Q264}), {K264, N264, Q264} &gt; 0)), """"))*S264)+IFERROR(MIN(FILTER({K264, N264, Q264}, ISNUMBER({K264, N264, Q264}), {K264, N264, Q264} &gt; 0)), """")"),12900.75)</f>
        <v>12900.75</v>
      </c>
      <c r="U264" s="53">
        <f>IFERROR(__xludf.DUMMYFUNCTION("(T264-(IFERROR(MIN(FILTER({K264, N264, Q264}, ISNUMBER({K264, N264, Q264}), {K264, N264, Q264} &gt; 0)), """")))/T264"),0.40119760479041916)</f>
        <v>0.4011976048</v>
      </c>
      <c r="V264" s="88">
        <f t="shared" si="30"/>
        <v>9656.25</v>
      </c>
      <c r="W264" s="89"/>
    </row>
    <row r="265" ht="22.5" customHeight="1">
      <c r="A265" s="30" t="s">
        <v>693</v>
      </c>
      <c r="B265" s="30" t="s">
        <v>378</v>
      </c>
      <c r="C265" s="30" t="s">
        <v>560</v>
      </c>
      <c r="D265" s="85" t="s">
        <v>1267</v>
      </c>
      <c r="E265" s="104">
        <v>46054.0</v>
      </c>
      <c r="F265" s="69" t="s">
        <v>1268</v>
      </c>
      <c r="G265" s="36" t="s">
        <v>41</v>
      </c>
      <c r="H265" s="28" t="s">
        <v>620</v>
      </c>
      <c r="I265" s="39">
        <v>500.0</v>
      </c>
      <c r="J265" s="39">
        <v>500.0</v>
      </c>
      <c r="K265" s="41"/>
      <c r="L265" s="42">
        <v>500.0</v>
      </c>
      <c r="M265" s="42">
        <v>500.0</v>
      </c>
      <c r="N265" s="42">
        <v>13932.0</v>
      </c>
      <c r="O265" s="39">
        <v>500.0</v>
      </c>
      <c r="P265" s="39">
        <v>500.0</v>
      </c>
      <c r="Q265" s="41"/>
      <c r="R265" s="46"/>
      <c r="S265" s="46">
        <v>0.67</v>
      </c>
      <c r="T265" s="50">
        <f>IFERROR(__xludf.DUMMYFUNCTION("((IFERROR(MIN(FILTER({K265, N265, Q265}, ISNUMBER({K265, N265, Q265}), {K265, N265, Q265} &gt; 0)), """"))*S265)+IFERROR(MIN(FILTER({K265, N265, Q265}, ISNUMBER({K265, N265, Q265}), {K265, N265, Q265} &gt; 0)), """")"),23266.440000000002)</f>
        <v>23266.44</v>
      </c>
      <c r="U265" s="53">
        <f>IFERROR(__xludf.DUMMYFUNCTION("(T265-(IFERROR(MIN(FILTER({K265, N265, Q265}, ISNUMBER({K265, N265, Q265}), {K265, N265, Q265} &gt; 0)), """")))/T265"),0.4011976047904192)</f>
        <v>0.4011976048</v>
      </c>
      <c r="V265" s="88">
        <f t="shared" si="30"/>
        <v>17415</v>
      </c>
      <c r="W265" s="89"/>
    </row>
    <row r="266" ht="22.5" customHeight="1">
      <c r="A266" s="30" t="s">
        <v>693</v>
      </c>
      <c r="B266" s="30" t="s">
        <v>378</v>
      </c>
      <c r="C266" s="30" t="s">
        <v>560</v>
      </c>
      <c r="D266" s="85" t="s">
        <v>1267</v>
      </c>
      <c r="E266" s="104">
        <v>46054.0</v>
      </c>
      <c r="F266" s="69" t="s">
        <v>1268</v>
      </c>
      <c r="G266" s="36" t="s">
        <v>41</v>
      </c>
      <c r="H266" s="28" t="s">
        <v>620</v>
      </c>
      <c r="I266" s="39">
        <v>1000.0</v>
      </c>
      <c r="J266" s="39">
        <v>1000.0</v>
      </c>
      <c r="K266" s="41"/>
      <c r="L266" s="42">
        <v>1000.0</v>
      </c>
      <c r="M266" s="42">
        <v>1000.0</v>
      </c>
      <c r="N266" s="42">
        <v>8678.0</v>
      </c>
      <c r="O266" s="39">
        <v>1000.0</v>
      </c>
      <c r="P266" s="39">
        <v>1000.0</v>
      </c>
      <c r="Q266" s="41"/>
      <c r="R266" s="46"/>
      <c r="S266" s="46">
        <v>0.67</v>
      </c>
      <c r="T266" s="50">
        <f>IFERROR(__xludf.DUMMYFUNCTION("((IFERROR(MIN(FILTER({K266, N266, Q266}, ISNUMBER({K266, N266, Q266}), {K266, N266, Q266} &gt; 0)), """"))*S266)+IFERROR(MIN(FILTER({K266, N266, Q266}, ISNUMBER({K266, N266, Q266}), {K266, N266, Q266} &gt; 0)), """")"),14492.26)</f>
        <v>14492.26</v>
      </c>
      <c r="U266" s="53">
        <f>IFERROR(__xludf.DUMMYFUNCTION("(T266-(IFERROR(MIN(FILTER({K266, N266, Q266}, ISNUMBER({K266, N266, Q266}), {K266, N266, Q266} &gt; 0)), """")))/T266"),0.40119760479041916)</f>
        <v>0.4011976048</v>
      </c>
      <c r="V266" s="88">
        <f t="shared" si="30"/>
        <v>10847.5</v>
      </c>
      <c r="W266" s="89"/>
    </row>
    <row r="267" ht="22.5" customHeight="1">
      <c r="A267" s="30" t="s">
        <v>693</v>
      </c>
      <c r="B267" s="30" t="s">
        <v>378</v>
      </c>
      <c r="C267" s="30" t="s">
        <v>560</v>
      </c>
      <c r="D267" s="85" t="s">
        <v>1267</v>
      </c>
      <c r="E267" s="104">
        <v>46054.0</v>
      </c>
      <c r="F267" s="69" t="s">
        <v>1268</v>
      </c>
      <c r="G267" s="36" t="s">
        <v>41</v>
      </c>
      <c r="H267" s="28" t="s">
        <v>620</v>
      </c>
      <c r="I267" s="39">
        <v>1200.0</v>
      </c>
      <c r="J267" s="39">
        <v>1200.0</v>
      </c>
      <c r="K267" s="41"/>
      <c r="L267" s="42">
        <v>1200.0</v>
      </c>
      <c r="M267" s="42">
        <v>1200.0</v>
      </c>
      <c r="N267" s="42">
        <v>7932.0</v>
      </c>
      <c r="O267" s="39">
        <v>1200.0</v>
      </c>
      <c r="P267" s="39">
        <v>1200.0</v>
      </c>
      <c r="Q267" s="41"/>
      <c r="R267" s="46"/>
      <c r="S267" s="46">
        <v>0.67</v>
      </c>
      <c r="T267" s="50">
        <f>IFERROR(__xludf.DUMMYFUNCTION("((IFERROR(MIN(FILTER({K267, N267, Q267}, ISNUMBER({K267, N267, Q267}), {K267, N267, Q267} &gt; 0)), """"))*S267)+IFERROR(MIN(FILTER({K267, N267, Q267}, ISNUMBER({K267, N267, Q267}), {K267, N267, Q267} &gt; 0)), """")"),13246.44)</f>
        <v>13246.44</v>
      </c>
      <c r="U267" s="53">
        <f>IFERROR(__xludf.DUMMYFUNCTION("(T267-(IFERROR(MIN(FILTER({K267, N267, Q267}, ISNUMBER({K267, N267, Q267}), {K267, N267, Q267} &gt; 0)), """")))/T267"),0.40119760479041916)</f>
        <v>0.4011976048</v>
      </c>
      <c r="V267" s="88">
        <f t="shared" si="30"/>
        <v>9915</v>
      </c>
      <c r="W267" s="89"/>
    </row>
    <row r="268" ht="22.5" customHeight="1">
      <c r="A268" s="30" t="s">
        <v>693</v>
      </c>
      <c r="B268" s="30" t="s">
        <v>378</v>
      </c>
      <c r="C268" s="30" t="s">
        <v>560</v>
      </c>
      <c r="D268" s="85" t="s">
        <v>1267</v>
      </c>
      <c r="E268" s="104">
        <v>46054.0</v>
      </c>
      <c r="F268" s="69" t="s">
        <v>1268</v>
      </c>
      <c r="G268" s="36" t="s">
        <v>41</v>
      </c>
      <c r="H268" s="28" t="s">
        <v>620</v>
      </c>
      <c r="I268" s="39">
        <v>500.0</v>
      </c>
      <c r="J268" s="39">
        <v>500.0</v>
      </c>
      <c r="K268" s="41"/>
      <c r="L268" s="42">
        <v>500.0</v>
      </c>
      <c r="M268" s="42">
        <v>500.0</v>
      </c>
      <c r="N268" s="42">
        <v>16552.0</v>
      </c>
      <c r="O268" s="39">
        <v>500.0</v>
      </c>
      <c r="P268" s="39">
        <v>500.0</v>
      </c>
      <c r="Q268" s="41"/>
      <c r="R268" s="46"/>
      <c r="S268" s="46">
        <v>0.67</v>
      </c>
      <c r="T268" s="50">
        <f>IFERROR(__xludf.DUMMYFUNCTION("((IFERROR(MIN(FILTER({K268, N268, Q268}, ISNUMBER({K268, N268, Q268}), {K268, N268, Q268} &gt; 0)), """"))*S268)+IFERROR(MIN(FILTER({K268, N268, Q268}, ISNUMBER({K268, N268, Q268}), {K268, N268, Q268} &gt; 0)), """")"),27641.84)</f>
        <v>27641.84</v>
      </c>
      <c r="U268" s="53">
        <f>IFERROR(__xludf.DUMMYFUNCTION("(T268-(IFERROR(MIN(FILTER({K268, N268, Q268}, ISNUMBER({K268, N268, Q268}), {K268, N268, Q268} &gt; 0)), """")))/T268"),0.40119760479041916)</f>
        <v>0.4011976048</v>
      </c>
      <c r="V268" s="88">
        <f t="shared" si="30"/>
        <v>20690</v>
      </c>
      <c r="W268" s="89"/>
    </row>
    <row r="269" ht="22.5" customHeight="1">
      <c r="A269" s="30" t="s">
        <v>523</v>
      </c>
      <c r="B269" s="30" t="s">
        <v>470</v>
      </c>
      <c r="C269" s="30" t="s">
        <v>128</v>
      </c>
      <c r="D269" s="85" t="s">
        <v>1278</v>
      </c>
      <c r="E269" s="86" t="s">
        <v>63</v>
      </c>
      <c r="F269" s="69" t="s">
        <v>1208</v>
      </c>
      <c r="G269" s="36" t="s">
        <v>41</v>
      </c>
      <c r="H269" s="28" t="s">
        <v>1258</v>
      </c>
      <c r="I269" s="39">
        <v>2000.0</v>
      </c>
      <c r="J269" s="39">
        <v>2000.0</v>
      </c>
      <c r="K269" s="41"/>
      <c r="L269" s="42">
        <v>2000.0</v>
      </c>
      <c r="M269" s="42">
        <v>2000.0</v>
      </c>
      <c r="N269" s="60"/>
      <c r="O269" s="39">
        <v>2000.0</v>
      </c>
      <c r="P269" s="39">
        <v>2000.0</v>
      </c>
      <c r="Q269" s="62">
        <v>2850.0</v>
      </c>
      <c r="R269" s="92">
        <f t="shared" ref="R269:R270" si="31">IF(MAX(K269,N269,Q269)&gt;0, MAX(K269,N269,Q269))</f>
        <v>2850</v>
      </c>
      <c r="S269" s="46">
        <v>0.67</v>
      </c>
      <c r="T269" s="93">
        <f>IFERROR(__xludf.DUMMYFUNCTION("((IFERROR(MAX(FILTER({K269, N269, Q269}, ISNUMBER({K269, N269, Q269}), {K269, N269, Q269} &gt; 0)), """"))*S269)+IFERROR(MAX(FILTER({K269, N269, Q269}, ISNUMBER({K269, N269, Q269}), {K269, N269, Q269} &gt; 0)), """")"),4759.5)</f>
        <v>4759.5</v>
      </c>
      <c r="U269" s="53">
        <f>IFERROR(__xludf.DUMMYFUNCTION("(T269-(IFERROR(MIN(FILTER({K269, N269, Q269}, ISNUMBER({K269, N269, Q269}), {K269, N269, Q269} &gt; 0)), """")))/T269"),0.40119760479041916)</f>
        <v>0.4011976048</v>
      </c>
      <c r="V269" s="93">
        <f t="shared" ref="V269:V270" si="32">IF(MAX(K269,N269,Q269)&gt;0, MAX(K269,N269,Q269)/0.75, 0)</f>
        <v>3800</v>
      </c>
      <c r="W269" s="94">
        <f t="shared" ref="W269:W270" si="33">(V269-R269)/V269</f>
        <v>0.25</v>
      </c>
    </row>
    <row r="270" ht="22.5" customHeight="1">
      <c r="A270" s="30" t="s">
        <v>523</v>
      </c>
      <c r="B270" s="30" t="s">
        <v>470</v>
      </c>
      <c r="C270" s="30" t="s">
        <v>106</v>
      </c>
      <c r="D270" s="85" t="s">
        <v>1278</v>
      </c>
      <c r="E270" s="86" t="s">
        <v>63</v>
      </c>
      <c r="F270" s="69" t="s">
        <v>1208</v>
      </c>
      <c r="G270" s="36" t="s">
        <v>41</v>
      </c>
      <c r="H270" s="28" t="s">
        <v>1282</v>
      </c>
      <c r="I270" s="39">
        <v>5000.0</v>
      </c>
      <c r="J270" s="39">
        <v>5000.0</v>
      </c>
      <c r="K270" s="41"/>
      <c r="L270" s="42">
        <v>5000.0</v>
      </c>
      <c r="M270" s="42">
        <v>5000.0</v>
      </c>
      <c r="N270" s="60"/>
      <c r="O270" s="39">
        <v>5000.0</v>
      </c>
      <c r="P270" s="39">
        <v>5000.0</v>
      </c>
      <c r="Q270" s="62">
        <v>2350.0</v>
      </c>
      <c r="R270" s="92">
        <f t="shared" si="31"/>
        <v>2350</v>
      </c>
      <c r="S270" s="46">
        <v>0.67</v>
      </c>
      <c r="T270" s="93">
        <f>IFERROR(__xludf.DUMMYFUNCTION("((IFERROR(MAX(FILTER({K270, N270, Q270}, ISNUMBER({K270, N270, Q270}), {K270, N270, Q270} &gt; 0)), """"))*S270)+IFERROR(MAX(FILTER({K270, N270, Q270}, ISNUMBER({K270, N270, Q270}), {K270, N270, Q270} &gt; 0)), """")"),3924.5)</f>
        <v>3924.5</v>
      </c>
      <c r="U270" s="53">
        <f>IFERROR(__xludf.DUMMYFUNCTION("(T270-(IFERROR(MIN(FILTER({K270, N270, Q270}, ISNUMBER({K270, N270, Q270}), {K270, N270, Q270} &gt; 0)), """")))/T270"),0.40119760479041916)</f>
        <v>0.4011976048</v>
      </c>
      <c r="V270" s="93">
        <f t="shared" si="32"/>
        <v>3133.333333</v>
      </c>
      <c r="W270" s="94">
        <f t="shared" si="33"/>
        <v>0.25</v>
      </c>
    </row>
    <row r="271" ht="22.5" customHeight="1">
      <c r="A271" s="30" t="s">
        <v>1283</v>
      </c>
      <c r="B271" s="30" t="s">
        <v>1284</v>
      </c>
      <c r="C271" s="30" t="s">
        <v>821</v>
      </c>
      <c r="D271" s="85" t="s">
        <v>1285</v>
      </c>
      <c r="E271" s="36" t="s">
        <v>55</v>
      </c>
      <c r="F271" s="69" t="s">
        <v>1286</v>
      </c>
      <c r="G271" s="36" t="s">
        <v>41</v>
      </c>
      <c r="H271" s="28" t="s">
        <v>1287</v>
      </c>
      <c r="I271" s="39">
        <v>1000.0</v>
      </c>
      <c r="J271" s="39">
        <v>1000.0</v>
      </c>
      <c r="K271" s="41"/>
      <c r="L271" s="42">
        <v>1000.0</v>
      </c>
      <c r="M271" s="42">
        <v>1000.0</v>
      </c>
      <c r="N271" s="42">
        <v>7069.0</v>
      </c>
      <c r="O271" s="39">
        <v>1000.0</v>
      </c>
      <c r="P271" s="39">
        <v>1000.0</v>
      </c>
      <c r="Q271" s="41"/>
      <c r="R271" s="46"/>
      <c r="S271" s="46">
        <v>0.67</v>
      </c>
      <c r="T271" s="50">
        <f>IFERROR(__xludf.DUMMYFUNCTION("((IFERROR(MIN(FILTER({K271, N271, Q271}, ISNUMBER({K271, N271, Q271}), {K271, N271, Q271} &gt; 0)), """"))*S271)+IFERROR(MIN(FILTER({K271, N271, Q271}, ISNUMBER({K271, N271, Q271}), {K271, N271, Q271} &gt; 0)), """")"),11805.23)</f>
        <v>11805.23</v>
      </c>
      <c r="U271" s="53">
        <f>IFERROR(__xludf.DUMMYFUNCTION("(T271-(IFERROR(MIN(FILTER({K271, N271, Q271}, ISNUMBER({K271, N271, Q271}), {K271, N271, Q271} &gt; 0)), """")))/T271"),0.40119760479041916)</f>
        <v>0.4011976048</v>
      </c>
      <c r="V271" s="88">
        <f t="shared" ref="V271:V273" si="34">IF(MAX(K271,N271,Q271)&gt;0, MAX(K271,N271,Q271)*1.25, 0)</f>
        <v>8836.25</v>
      </c>
      <c r="W271" s="89"/>
    </row>
    <row r="272" ht="22.5" customHeight="1">
      <c r="A272" s="30" t="s">
        <v>1283</v>
      </c>
      <c r="B272" s="30" t="s">
        <v>1284</v>
      </c>
      <c r="C272" s="30" t="s">
        <v>821</v>
      </c>
      <c r="D272" s="85" t="s">
        <v>1285</v>
      </c>
      <c r="E272" s="36" t="s">
        <v>55</v>
      </c>
      <c r="F272" s="69" t="s">
        <v>1286</v>
      </c>
      <c r="G272" s="36" t="s">
        <v>41</v>
      </c>
      <c r="H272" s="28" t="s">
        <v>1287</v>
      </c>
      <c r="I272" s="39">
        <v>2000.0</v>
      </c>
      <c r="J272" s="39">
        <v>2000.0</v>
      </c>
      <c r="K272" s="41"/>
      <c r="L272" s="42">
        <v>2000.0</v>
      </c>
      <c r="M272" s="42">
        <v>2000.0</v>
      </c>
      <c r="N272" s="42">
        <v>5450.0</v>
      </c>
      <c r="O272" s="39">
        <v>2000.0</v>
      </c>
      <c r="P272" s="39">
        <v>2000.0</v>
      </c>
      <c r="Q272" s="41"/>
      <c r="R272" s="46"/>
      <c r="S272" s="46">
        <v>0.67</v>
      </c>
      <c r="T272" s="50">
        <f>IFERROR(__xludf.DUMMYFUNCTION("((IFERROR(MIN(FILTER({K272, N272, Q272}, ISNUMBER({K272, N272, Q272}), {K272, N272, Q272} &gt; 0)), """"))*S272)+IFERROR(MIN(FILTER({K272, N272, Q272}, ISNUMBER({K272, N272, Q272}), {K272, N272, Q272} &gt; 0)), """")"),9101.5)</f>
        <v>9101.5</v>
      </c>
      <c r="U272" s="53">
        <f>IFERROR(__xludf.DUMMYFUNCTION("(T272-(IFERROR(MIN(FILTER({K272, N272, Q272}, ISNUMBER({K272, N272, Q272}), {K272, N272, Q272} &gt; 0)), """")))/T272"),0.40119760479041916)</f>
        <v>0.4011976048</v>
      </c>
      <c r="V272" s="88">
        <f t="shared" si="34"/>
        <v>6812.5</v>
      </c>
      <c r="W272" s="89"/>
    </row>
    <row r="273" ht="22.5" customHeight="1">
      <c r="A273" s="30" t="s">
        <v>1283</v>
      </c>
      <c r="B273" s="30" t="s">
        <v>1284</v>
      </c>
      <c r="C273" s="30" t="s">
        <v>821</v>
      </c>
      <c r="D273" s="85" t="s">
        <v>1285</v>
      </c>
      <c r="E273" s="36" t="s">
        <v>55</v>
      </c>
      <c r="F273" s="69" t="s">
        <v>1286</v>
      </c>
      <c r="G273" s="36" t="s">
        <v>41</v>
      </c>
      <c r="H273" s="28" t="s">
        <v>1287</v>
      </c>
      <c r="I273" s="39">
        <v>1000.0</v>
      </c>
      <c r="J273" s="39">
        <v>1000.0</v>
      </c>
      <c r="K273" s="41"/>
      <c r="L273" s="42">
        <v>1000.0</v>
      </c>
      <c r="M273" s="42">
        <v>1000.0</v>
      </c>
      <c r="N273" s="42">
        <v>8126.0</v>
      </c>
      <c r="O273" s="39">
        <v>1000.0</v>
      </c>
      <c r="P273" s="39">
        <v>1000.0</v>
      </c>
      <c r="Q273" s="41"/>
      <c r="R273" s="46"/>
      <c r="S273" s="46">
        <v>0.67</v>
      </c>
      <c r="T273" s="50">
        <f>IFERROR(__xludf.DUMMYFUNCTION("((IFERROR(MIN(FILTER({K273, N273, Q273}, ISNUMBER({K273, N273, Q273}), {K273, N273, Q273} &gt; 0)), """"))*S273)+IFERROR(MIN(FILTER({K273, N273, Q273}, ISNUMBER({K273, N273, Q273}), {K273, N273, Q273} &gt; 0)), """")"),13570.42)</f>
        <v>13570.42</v>
      </c>
      <c r="U273" s="53">
        <f>IFERROR(__xludf.DUMMYFUNCTION("(T273-(IFERROR(MIN(FILTER({K273, N273, Q273}, ISNUMBER({K273, N273, Q273}), {K273, N273, Q273} &gt; 0)), """")))/T273"),0.40119760479041916)</f>
        <v>0.4011976048</v>
      </c>
      <c r="V273" s="88">
        <f t="shared" si="34"/>
        <v>10157.5</v>
      </c>
      <c r="W273" s="89"/>
    </row>
    <row r="274" ht="22.5" customHeight="1">
      <c r="A274" s="30" t="s">
        <v>523</v>
      </c>
      <c r="B274" s="30" t="s">
        <v>470</v>
      </c>
      <c r="C274" s="30" t="s">
        <v>379</v>
      </c>
      <c r="D274" s="85" t="s">
        <v>1278</v>
      </c>
      <c r="E274" s="86" t="s">
        <v>63</v>
      </c>
      <c r="F274" s="69" t="s">
        <v>1208</v>
      </c>
      <c r="G274" s="36" t="s">
        <v>41</v>
      </c>
      <c r="H274" s="28" t="s">
        <v>1292</v>
      </c>
      <c r="I274" s="39">
        <v>7800.0</v>
      </c>
      <c r="J274" s="39">
        <v>7800.0</v>
      </c>
      <c r="K274" s="41"/>
      <c r="L274" s="42">
        <v>7800.0</v>
      </c>
      <c r="M274" s="42">
        <v>7800.0</v>
      </c>
      <c r="N274" s="60"/>
      <c r="O274" s="39">
        <v>7800.0</v>
      </c>
      <c r="P274" s="39">
        <v>7800.0</v>
      </c>
      <c r="Q274" s="62">
        <v>1981.0</v>
      </c>
      <c r="R274" s="92">
        <f>IF(MAX(K274,N274,Q274)&gt;0, MAX(K274,N274,Q274))</f>
        <v>1981</v>
      </c>
      <c r="S274" s="46">
        <v>0.67</v>
      </c>
      <c r="T274" s="93">
        <f>IFERROR(__xludf.DUMMYFUNCTION("((IFERROR(MAX(FILTER({K274, N274, Q274}, ISNUMBER({K274, N274, Q274}), {K274, N274, Q274} &gt; 0)), """"))*S274)+IFERROR(MAX(FILTER({K274, N274, Q274}, ISNUMBER({K274, N274, Q274}), {K274, N274, Q274} &gt; 0)), """")"),3308.27)</f>
        <v>3308.27</v>
      </c>
      <c r="U274" s="53">
        <f>IFERROR(__xludf.DUMMYFUNCTION("(T274-(IFERROR(MIN(FILTER({K274, N274, Q274}, ISNUMBER({K274, N274, Q274}), {K274, N274, Q274} &gt; 0)), """")))/T274"),0.40119760479041916)</f>
        <v>0.4011976048</v>
      </c>
      <c r="V274" s="93">
        <f>IF(MAX(K274,N274,Q274)&gt;0, MAX(K274,N274,Q274)/0.75, 0)</f>
        <v>2641.333333</v>
      </c>
      <c r="W274" s="94">
        <f>(V274-R274)/V274</f>
        <v>0.25</v>
      </c>
    </row>
    <row r="275" ht="22.5" customHeight="1">
      <c r="A275" s="30" t="s">
        <v>1252</v>
      </c>
      <c r="B275" s="30" t="s">
        <v>378</v>
      </c>
      <c r="C275" s="30" t="s">
        <v>479</v>
      </c>
      <c r="D275" s="85" t="s">
        <v>1293</v>
      </c>
      <c r="E275" s="104">
        <v>46113.0</v>
      </c>
      <c r="F275" s="69" t="s">
        <v>1294</v>
      </c>
      <c r="G275" s="36" t="s">
        <v>41</v>
      </c>
      <c r="H275" s="28" t="s">
        <v>1255</v>
      </c>
      <c r="I275" s="39">
        <v>2000.0</v>
      </c>
      <c r="J275" s="39">
        <v>2000.0</v>
      </c>
      <c r="K275" s="41"/>
      <c r="L275" s="42">
        <v>2000.0</v>
      </c>
      <c r="M275" s="42">
        <v>2000.0</v>
      </c>
      <c r="N275" s="42">
        <v>6260.0</v>
      </c>
      <c r="O275" s="39">
        <v>2000.0</v>
      </c>
      <c r="P275" s="39">
        <v>2000.0</v>
      </c>
      <c r="Q275" s="39">
        <v>6260.0</v>
      </c>
      <c r="R275" s="46"/>
      <c r="S275" s="46">
        <v>0.67</v>
      </c>
      <c r="T275" s="50">
        <f>IFERROR(__xludf.DUMMYFUNCTION("((IFERROR(MIN(FILTER({K275, N275, Q275}, ISNUMBER({K275, N275, Q275}), {K275, N275, Q275} &gt; 0)), """"))*S275)+IFERROR(MIN(FILTER({K275, N275, Q275}, ISNUMBER({K275, N275, Q275}), {K275, N275, Q275} &gt; 0)), """")"),10454.2)</f>
        <v>10454.2</v>
      </c>
      <c r="U275" s="53">
        <f>IFERROR(__xludf.DUMMYFUNCTION("(T275-(IFERROR(MIN(FILTER({K275, N275, Q275}, ISNUMBER({K275, N275, Q275}), {K275, N275, Q275} &gt; 0)), """")))/T275"),0.4011976047904192)</f>
        <v>0.4011976048</v>
      </c>
      <c r="V275" s="88">
        <f t="shared" ref="V275:V286" si="35">IF(MAX(K275,N275,Q275)&gt;0, MAX(K275,N275,Q275)*1.25, 0)</f>
        <v>7825</v>
      </c>
      <c r="W275" s="89"/>
    </row>
    <row r="276" ht="22.5" customHeight="1">
      <c r="A276" s="30" t="s">
        <v>1252</v>
      </c>
      <c r="B276" s="30" t="s">
        <v>378</v>
      </c>
      <c r="C276" s="30" t="s">
        <v>479</v>
      </c>
      <c r="D276" s="85" t="s">
        <v>1295</v>
      </c>
      <c r="E276" s="104">
        <v>46113.0</v>
      </c>
      <c r="F276" s="69" t="s">
        <v>1294</v>
      </c>
      <c r="G276" s="36" t="s">
        <v>41</v>
      </c>
      <c r="H276" s="28" t="s">
        <v>1255</v>
      </c>
      <c r="I276" s="39">
        <v>2000.0</v>
      </c>
      <c r="J276" s="39">
        <v>2000.0</v>
      </c>
      <c r="K276" s="41"/>
      <c r="L276" s="42">
        <v>2000.0</v>
      </c>
      <c r="M276" s="42">
        <v>2000.0</v>
      </c>
      <c r="N276" s="42">
        <v>7422.0</v>
      </c>
      <c r="O276" s="39">
        <v>2000.0</v>
      </c>
      <c r="P276" s="39">
        <v>2000.0</v>
      </c>
      <c r="Q276" s="39">
        <v>7422.0</v>
      </c>
      <c r="R276" s="46"/>
      <c r="S276" s="46">
        <v>0.67</v>
      </c>
      <c r="T276" s="50">
        <f>IFERROR(__xludf.DUMMYFUNCTION("((IFERROR(MIN(FILTER({K276, N276, Q276}, ISNUMBER({K276, N276, Q276}), {K276, N276, Q276} &gt; 0)), """"))*S276)+IFERROR(MIN(FILTER({K276, N276, Q276}, ISNUMBER({K276, N276, Q276}), {K276, N276, Q276} &gt; 0)), """")"),12394.740000000002)</f>
        <v>12394.74</v>
      </c>
      <c r="U276" s="53">
        <f>IFERROR(__xludf.DUMMYFUNCTION("(T276-(IFERROR(MIN(FILTER({K276, N276, Q276}, ISNUMBER({K276, N276, Q276}), {K276, N276, Q276} &gt; 0)), """")))/T276"),0.4011976047904192)</f>
        <v>0.4011976048</v>
      </c>
      <c r="V276" s="88">
        <f t="shared" si="35"/>
        <v>9277.5</v>
      </c>
      <c r="W276" s="89"/>
    </row>
    <row r="277" ht="22.5" customHeight="1">
      <c r="A277" s="30" t="s">
        <v>188</v>
      </c>
      <c r="B277" s="30" t="s">
        <v>1221</v>
      </c>
      <c r="C277" s="30" t="s">
        <v>560</v>
      </c>
      <c r="D277" s="85" t="s">
        <v>1300</v>
      </c>
      <c r="E277" s="36" t="s">
        <v>63</v>
      </c>
      <c r="F277" s="69" t="s">
        <v>1301</v>
      </c>
      <c r="G277" s="36" t="s">
        <v>41</v>
      </c>
      <c r="H277" s="28" t="s">
        <v>1302</v>
      </c>
      <c r="I277" s="39">
        <v>2000.0</v>
      </c>
      <c r="J277" s="39">
        <v>2000.0</v>
      </c>
      <c r="K277" s="41"/>
      <c r="L277" s="42">
        <v>2000.0</v>
      </c>
      <c r="M277" s="42">
        <v>2000.0</v>
      </c>
      <c r="N277" s="42">
        <v>7061.0</v>
      </c>
      <c r="O277" s="39">
        <v>2000.0</v>
      </c>
      <c r="P277" s="39">
        <v>2000.0</v>
      </c>
      <c r="Q277" s="41"/>
      <c r="R277" s="46"/>
      <c r="S277" s="46">
        <v>0.67</v>
      </c>
      <c r="T277" s="50">
        <f>IFERROR(__xludf.DUMMYFUNCTION("((IFERROR(MIN(FILTER({K277, N277, Q277}, ISNUMBER({K277, N277, Q277}), {K277, N277, Q277} &gt; 0)), """"))*S277)+IFERROR(MIN(FILTER({K277, N277, Q277}, ISNUMBER({K277, N277, Q277}), {K277, N277, Q277} &gt; 0)), """")"),11791.869999999999)</f>
        <v>11791.87</v>
      </c>
      <c r="U277" s="53">
        <f>IFERROR(__xludf.DUMMYFUNCTION("(T277-(IFERROR(MIN(FILTER({K277, N277, Q277}, ISNUMBER({K277, N277, Q277}), {K277, N277, Q277} &gt; 0)), """")))/T277"),0.4011976047904191)</f>
        <v>0.4011976048</v>
      </c>
      <c r="V277" s="88">
        <f t="shared" si="35"/>
        <v>8826.25</v>
      </c>
      <c r="W277" s="89"/>
    </row>
    <row r="278" ht="22.5" customHeight="1">
      <c r="A278" s="30" t="s">
        <v>188</v>
      </c>
      <c r="B278" s="30" t="s">
        <v>1221</v>
      </c>
      <c r="C278" s="30" t="s">
        <v>560</v>
      </c>
      <c r="D278" s="85" t="s">
        <v>1300</v>
      </c>
      <c r="E278" s="36" t="s">
        <v>63</v>
      </c>
      <c r="F278" s="69" t="s">
        <v>1301</v>
      </c>
      <c r="G278" s="36" t="s">
        <v>41</v>
      </c>
      <c r="H278" s="28" t="s">
        <v>1302</v>
      </c>
      <c r="I278" s="39">
        <v>2000.0</v>
      </c>
      <c r="J278" s="39">
        <v>2000.0</v>
      </c>
      <c r="K278" s="41"/>
      <c r="L278" s="42">
        <v>2000.0</v>
      </c>
      <c r="M278" s="42">
        <v>2000.0</v>
      </c>
      <c r="N278" s="42">
        <v>6955.0</v>
      </c>
      <c r="O278" s="39">
        <v>2000.0</v>
      </c>
      <c r="P278" s="39">
        <v>2000.0</v>
      </c>
      <c r="Q278" s="41"/>
      <c r="R278" s="46"/>
      <c r="S278" s="46">
        <v>0.67</v>
      </c>
      <c r="T278" s="50">
        <f>IFERROR(__xludf.DUMMYFUNCTION("((IFERROR(MIN(FILTER({K278, N278, Q278}, ISNUMBER({K278, N278, Q278}), {K278, N278, Q278} &gt; 0)), """"))*S278)+IFERROR(MIN(FILTER({K278, N278, Q278}, ISNUMBER({K278, N278, Q278}), {K278, N278, Q278} &gt; 0)), """")"),11614.85)</f>
        <v>11614.85</v>
      </c>
      <c r="U278" s="53">
        <f>IFERROR(__xludf.DUMMYFUNCTION("(T278-(IFERROR(MIN(FILTER({K278, N278, Q278}, ISNUMBER({K278, N278, Q278}), {K278, N278, Q278} &gt; 0)), """")))/T278"),0.40119760479041916)</f>
        <v>0.4011976048</v>
      </c>
      <c r="V278" s="88">
        <f t="shared" si="35"/>
        <v>8693.75</v>
      </c>
      <c r="W278" s="89"/>
    </row>
    <row r="279" ht="22.5" customHeight="1">
      <c r="A279" s="30" t="s">
        <v>188</v>
      </c>
      <c r="B279" s="30" t="s">
        <v>1221</v>
      </c>
      <c r="C279" s="30" t="s">
        <v>560</v>
      </c>
      <c r="D279" s="85" t="s">
        <v>1300</v>
      </c>
      <c r="E279" s="36" t="s">
        <v>63</v>
      </c>
      <c r="F279" s="69" t="s">
        <v>1301</v>
      </c>
      <c r="G279" s="36" t="s">
        <v>41</v>
      </c>
      <c r="H279" s="28" t="s">
        <v>1302</v>
      </c>
      <c r="I279" s="39">
        <v>5000.0</v>
      </c>
      <c r="J279" s="39">
        <v>5000.0</v>
      </c>
      <c r="K279" s="41"/>
      <c r="L279" s="42">
        <v>5000.0</v>
      </c>
      <c r="M279" s="42">
        <v>5000.0</v>
      </c>
      <c r="N279" s="42">
        <v>6125.0</v>
      </c>
      <c r="O279" s="39">
        <v>5000.0</v>
      </c>
      <c r="P279" s="39">
        <v>5000.0</v>
      </c>
      <c r="Q279" s="41"/>
      <c r="R279" s="46"/>
      <c r="S279" s="46">
        <v>0.67</v>
      </c>
      <c r="T279" s="50">
        <f>IFERROR(__xludf.DUMMYFUNCTION("((IFERROR(MIN(FILTER({K279, N279, Q279}, ISNUMBER({K279, N279, Q279}), {K279, N279, Q279} &gt; 0)), """"))*S279)+IFERROR(MIN(FILTER({K279, N279, Q279}, ISNUMBER({K279, N279, Q279}), {K279, N279, Q279} &gt; 0)), """")"),10228.75)</f>
        <v>10228.75</v>
      </c>
      <c r="U279" s="53">
        <f>IFERROR(__xludf.DUMMYFUNCTION("(T279-(IFERROR(MIN(FILTER({K279, N279, Q279}, ISNUMBER({K279, N279, Q279}), {K279, N279, Q279} &gt; 0)), """")))/T279"),0.40119760479041916)</f>
        <v>0.4011976048</v>
      </c>
      <c r="V279" s="88">
        <f t="shared" si="35"/>
        <v>7656.25</v>
      </c>
      <c r="W279" s="89"/>
    </row>
    <row r="280" ht="22.5" customHeight="1">
      <c r="A280" s="30" t="s">
        <v>188</v>
      </c>
      <c r="B280" s="30" t="s">
        <v>1225</v>
      </c>
      <c r="C280" s="30" t="s">
        <v>560</v>
      </c>
      <c r="D280" s="85" t="s">
        <v>1306</v>
      </c>
      <c r="E280" s="36" t="s">
        <v>63</v>
      </c>
      <c r="F280" s="69" t="s">
        <v>1301</v>
      </c>
      <c r="G280" s="36" t="s">
        <v>41</v>
      </c>
      <c r="H280" s="28" t="s">
        <v>1307</v>
      </c>
      <c r="I280" s="39">
        <v>2000.0</v>
      </c>
      <c r="J280" s="39">
        <v>2000.0</v>
      </c>
      <c r="K280" s="41"/>
      <c r="L280" s="42">
        <v>2000.0</v>
      </c>
      <c r="M280" s="42">
        <v>2000.0</v>
      </c>
      <c r="N280" s="42">
        <v>6056.0</v>
      </c>
      <c r="O280" s="39">
        <v>2000.0</v>
      </c>
      <c r="P280" s="39">
        <v>2000.0</v>
      </c>
      <c r="Q280" s="41"/>
      <c r="R280" s="46"/>
      <c r="S280" s="46">
        <v>0.67</v>
      </c>
      <c r="T280" s="50">
        <f>IFERROR(__xludf.DUMMYFUNCTION("((IFERROR(MIN(FILTER({K280, N280, Q280}, ISNUMBER({K280, N280, Q280}), {K280, N280, Q280} &gt; 0)), """"))*S280)+IFERROR(MIN(FILTER({K280, N280, Q280}, ISNUMBER({K280, N280, Q280}), {K280, N280, Q280} &gt; 0)), """")"),10113.52)</f>
        <v>10113.52</v>
      </c>
      <c r="U280" s="53">
        <f>IFERROR(__xludf.DUMMYFUNCTION("(T280-(IFERROR(MIN(FILTER({K280, N280, Q280}, ISNUMBER({K280, N280, Q280}), {K280, N280, Q280} &gt; 0)), """")))/T280"),0.40119760479041916)</f>
        <v>0.4011976048</v>
      </c>
      <c r="V280" s="88">
        <f t="shared" si="35"/>
        <v>7570</v>
      </c>
      <c r="W280" s="89"/>
    </row>
    <row r="281" ht="22.5" customHeight="1">
      <c r="A281" s="30" t="s">
        <v>188</v>
      </c>
      <c r="B281" s="30" t="s">
        <v>1225</v>
      </c>
      <c r="C281" s="30" t="s">
        <v>560</v>
      </c>
      <c r="D281" s="85" t="s">
        <v>1306</v>
      </c>
      <c r="E281" s="36" t="s">
        <v>63</v>
      </c>
      <c r="F281" s="69" t="s">
        <v>1301</v>
      </c>
      <c r="G281" s="36" t="s">
        <v>41</v>
      </c>
      <c r="H281" s="28" t="s">
        <v>1307</v>
      </c>
      <c r="I281" s="39">
        <v>5000.0</v>
      </c>
      <c r="J281" s="39">
        <v>5000.0</v>
      </c>
      <c r="K281" s="41"/>
      <c r="L281" s="42">
        <v>5000.0</v>
      </c>
      <c r="M281" s="42">
        <v>5000.0</v>
      </c>
      <c r="N281" s="42">
        <v>5054.0</v>
      </c>
      <c r="O281" s="39">
        <v>5000.0</v>
      </c>
      <c r="P281" s="39">
        <v>5000.0</v>
      </c>
      <c r="Q281" s="41"/>
      <c r="R281" s="46"/>
      <c r="S281" s="46">
        <v>0.67</v>
      </c>
      <c r="T281" s="50">
        <f>IFERROR(__xludf.DUMMYFUNCTION("((IFERROR(MIN(FILTER({K281, N281, Q281}, ISNUMBER({K281, N281, Q281}), {K281, N281, Q281} &gt; 0)), """"))*S281)+IFERROR(MIN(FILTER({K281, N281, Q281}, ISNUMBER({K281, N281, Q281}), {K281, N281, Q281} &gt; 0)), """")"),8440.18)</f>
        <v>8440.18</v>
      </c>
      <c r="U281" s="53">
        <f>IFERROR(__xludf.DUMMYFUNCTION("(T281-(IFERROR(MIN(FILTER({K281, N281, Q281}, ISNUMBER({K281, N281, Q281}), {K281, N281, Q281} &gt; 0)), """")))/T281"),0.40119760479041916)</f>
        <v>0.4011976048</v>
      </c>
      <c r="V281" s="88">
        <f t="shared" si="35"/>
        <v>6317.5</v>
      </c>
      <c r="W281" s="89"/>
    </row>
    <row r="282" ht="22.5" customHeight="1">
      <c r="A282" s="30" t="s">
        <v>188</v>
      </c>
      <c r="B282" s="30" t="s">
        <v>1225</v>
      </c>
      <c r="C282" s="30" t="s">
        <v>560</v>
      </c>
      <c r="D282" s="85" t="s">
        <v>1306</v>
      </c>
      <c r="E282" s="36" t="s">
        <v>63</v>
      </c>
      <c r="F282" s="69" t="s">
        <v>1301</v>
      </c>
      <c r="G282" s="36" t="s">
        <v>41</v>
      </c>
      <c r="H282" s="28" t="s">
        <v>1307</v>
      </c>
      <c r="I282" s="39">
        <v>1000.0</v>
      </c>
      <c r="J282" s="39">
        <v>1000.0</v>
      </c>
      <c r="K282" s="41"/>
      <c r="L282" s="42">
        <v>1000.0</v>
      </c>
      <c r="M282" s="42">
        <v>1000.0</v>
      </c>
      <c r="N282" s="42">
        <v>7740.0</v>
      </c>
      <c r="O282" s="39">
        <v>1000.0</v>
      </c>
      <c r="P282" s="39">
        <v>1000.0</v>
      </c>
      <c r="Q282" s="39">
        <v>7740.0</v>
      </c>
      <c r="R282" s="46"/>
      <c r="S282" s="46">
        <v>0.67</v>
      </c>
      <c r="T282" s="50">
        <f>IFERROR(__xludf.DUMMYFUNCTION("((IFERROR(MIN(FILTER({K282, N282, Q282}, ISNUMBER({K282, N282, Q282}), {K282, N282, Q282} &gt; 0)), """"))*S282)+IFERROR(MIN(FILTER({K282, N282, Q282}, ISNUMBER({K282, N282, Q282}), {K282, N282, Q282} &gt; 0)), """")"),12925.8)</f>
        <v>12925.8</v>
      </c>
      <c r="U282" s="53">
        <f>IFERROR(__xludf.DUMMYFUNCTION("(T282-(IFERROR(MIN(FILTER({K282, N282, Q282}, ISNUMBER({K282, N282, Q282}), {K282, N282, Q282} &gt; 0)), """")))/T282"),0.4011976047904191)</f>
        <v>0.4011976048</v>
      </c>
      <c r="V282" s="88">
        <f t="shared" si="35"/>
        <v>9675</v>
      </c>
      <c r="W282" s="89"/>
    </row>
    <row r="283" ht="22.5" customHeight="1">
      <c r="A283" s="30" t="s">
        <v>188</v>
      </c>
      <c r="B283" s="30" t="s">
        <v>1316</v>
      </c>
      <c r="C283" s="30" t="s">
        <v>560</v>
      </c>
      <c r="D283" s="85" t="s">
        <v>1317</v>
      </c>
      <c r="E283" s="36" t="s">
        <v>63</v>
      </c>
      <c r="F283" s="69" t="s">
        <v>1168</v>
      </c>
      <c r="G283" s="36" t="s">
        <v>41</v>
      </c>
      <c r="H283" s="28" t="s">
        <v>1318</v>
      </c>
      <c r="I283" s="39">
        <v>1000.0</v>
      </c>
      <c r="J283" s="39">
        <v>1000.0</v>
      </c>
      <c r="K283" s="41"/>
      <c r="L283" s="42">
        <v>1000.0</v>
      </c>
      <c r="M283" s="42">
        <v>1000.0</v>
      </c>
      <c r="N283" s="42">
        <v>7842.0</v>
      </c>
      <c r="O283" s="39">
        <v>1000.0</v>
      </c>
      <c r="P283" s="39">
        <v>1000.0</v>
      </c>
      <c r="Q283" s="41"/>
      <c r="R283" s="46"/>
      <c r="S283" s="46">
        <v>0.67</v>
      </c>
      <c r="T283" s="50">
        <f>IFERROR(__xludf.DUMMYFUNCTION("((IFERROR(MIN(FILTER({K283, N283, Q283}, ISNUMBER({K283, N283, Q283}), {K283, N283, Q283} &gt; 0)), """"))*S283)+IFERROR(MIN(FILTER({K283, N283, Q283}, ISNUMBER({K283, N283, Q283}), {K283, N283, Q283} &gt; 0)), """")"),13096.14)</f>
        <v>13096.14</v>
      </c>
      <c r="U283" s="53">
        <f>IFERROR(__xludf.DUMMYFUNCTION("(T283-(IFERROR(MIN(FILTER({K283, N283, Q283}, ISNUMBER({K283, N283, Q283}), {K283, N283, Q283} &gt; 0)), """")))/T283"),0.40119760479041916)</f>
        <v>0.4011976048</v>
      </c>
      <c r="V283" s="88">
        <f t="shared" si="35"/>
        <v>9802.5</v>
      </c>
      <c r="W283" s="89"/>
    </row>
    <row r="284" ht="22.5" customHeight="1">
      <c r="A284" s="30" t="s">
        <v>188</v>
      </c>
      <c r="B284" s="30" t="s">
        <v>1327</v>
      </c>
      <c r="C284" s="30" t="s">
        <v>560</v>
      </c>
      <c r="D284" s="85" t="s">
        <v>1328</v>
      </c>
      <c r="E284" s="36" t="s">
        <v>55</v>
      </c>
      <c r="F284" s="69" t="s">
        <v>1329</v>
      </c>
      <c r="G284" s="36" t="s">
        <v>41</v>
      </c>
      <c r="H284" s="28" t="s">
        <v>975</v>
      </c>
      <c r="I284" s="39">
        <v>20000.0</v>
      </c>
      <c r="J284" s="39">
        <v>20000.0</v>
      </c>
      <c r="K284" s="41"/>
      <c r="L284" s="42">
        <v>20000.0</v>
      </c>
      <c r="M284" s="42">
        <v>20000.0</v>
      </c>
      <c r="N284" s="42">
        <v>4444.0</v>
      </c>
      <c r="O284" s="39">
        <v>20000.0</v>
      </c>
      <c r="P284" s="39">
        <v>20000.0</v>
      </c>
      <c r="Q284" s="41"/>
      <c r="R284" s="46"/>
      <c r="S284" s="46">
        <v>0.67</v>
      </c>
      <c r="T284" s="50">
        <f>IFERROR(__xludf.DUMMYFUNCTION("((IFERROR(MIN(FILTER({K284, N284, Q284}, ISNUMBER({K284, N284, Q284}), {K284, N284, Q284} &gt; 0)), """"))*S284)+IFERROR(MIN(FILTER({K284, N284, Q284}, ISNUMBER({K284, N284, Q284}), {K284, N284, Q284} &gt; 0)), """")"),7421.48)</f>
        <v>7421.48</v>
      </c>
      <c r="U284" s="53">
        <f>IFERROR(__xludf.DUMMYFUNCTION("(T284-(IFERROR(MIN(FILTER({K284, N284, Q284}, ISNUMBER({K284, N284, Q284}), {K284, N284, Q284} &gt; 0)), """")))/T284"),0.4011976047904191)</f>
        <v>0.4011976048</v>
      </c>
      <c r="V284" s="88">
        <f t="shared" si="35"/>
        <v>5555</v>
      </c>
      <c r="W284" s="89"/>
    </row>
    <row r="285" ht="22.5" customHeight="1">
      <c r="A285" s="30" t="s">
        <v>188</v>
      </c>
      <c r="B285" s="30" t="s">
        <v>1327</v>
      </c>
      <c r="C285" s="30" t="s">
        <v>560</v>
      </c>
      <c r="D285" s="85" t="s">
        <v>1328</v>
      </c>
      <c r="E285" s="36" t="s">
        <v>55</v>
      </c>
      <c r="F285" s="69" t="s">
        <v>1329</v>
      </c>
      <c r="G285" s="36" t="s">
        <v>41</v>
      </c>
      <c r="H285" s="28" t="s">
        <v>975</v>
      </c>
      <c r="I285" s="39">
        <v>10000.0</v>
      </c>
      <c r="J285" s="39">
        <v>10000.0</v>
      </c>
      <c r="K285" s="41"/>
      <c r="L285" s="42">
        <v>10000.0</v>
      </c>
      <c r="M285" s="42">
        <v>10000.0</v>
      </c>
      <c r="N285" s="42">
        <v>5388.0</v>
      </c>
      <c r="O285" s="39">
        <v>10000.0</v>
      </c>
      <c r="P285" s="39">
        <v>10000.0</v>
      </c>
      <c r="Q285" s="41"/>
      <c r="R285" s="46"/>
      <c r="S285" s="46">
        <v>0.67</v>
      </c>
      <c r="T285" s="50">
        <f>IFERROR(__xludf.DUMMYFUNCTION("((IFERROR(MIN(FILTER({K285, N285, Q285}, ISNUMBER({K285, N285, Q285}), {K285, N285, Q285} &gt; 0)), """"))*S285)+IFERROR(MIN(FILTER({K285, N285, Q285}, ISNUMBER({K285, N285, Q285}), {K285, N285, Q285} &gt; 0)), """")"),8997.96)</f>
        <v>8997.96</v>
      </c>
      <c r="U285" s="53">
        <f>IFERROR(__xludf.DUMMYFUNCTION("(T285-(IFERROR(MIN(FILTER({K285, N285, Q285}, ISNUMBER({K285, N285, Q285}), {K285, N285, Q285} &gt; 0)), """")))/T285"),0.4011976047904191)</f>
        <v>0.4011976048</v>
      </c>
      <c r="V285" s="88">
        <f t="shared" si="35"/>
        <v>6735</v>
      </c>
      <c r="W285" s="89"/>
    </row>
    <row r="286" ht="22.5" customHeight="1">
      <c r="A286" s="30" t="s">
        <v>188</v>
      </c>
      <c r="B286" s="30" t="s">
        <v>1334</v>
      </c>
      <c r="C286" s="30" t="s">
        <v>560</v>
      </c>
      <c r="D286" s="85" t="s">
        <v>1335</v>
      </c>
      <c r="E286" s="36" t="s">
        <v>1336</v>
      </c>
      <c r="F286" s="69" t="s">
        <v>1337</v>
      </c>
      <c r="G286" s="36" t="s">
        <v>41</v>
      </c>
      <c r="H286" s="28" t="s">
        <v>1338</v>
      </c>
      <c r="I286" s="39">
        <v>5000.0</v>
      </c>
      <c r="J286" s="39">
        <v>5000.0</v>
      </c>
      <c r="K286" s="41"/>
      <c r="L286" s="42">
        <v>5000.0</v>
      </c>
      <c r="M286" s="42">
        <v>5000.0</v>
      </c>
      <c r="N286" s="42">
        <v>6189.0</v>
      </c>
      <c r="O286" s="39">
        <v>5000.0</v>
      </c>
      <c r="P286" s="39">
        <v>5000.0</v>
      </c>
      <c r="Q286" s="41"/>
      <c r="R286" s="46"/>
      <c r="S286" s="46">
        <v>0.67</v>
      </c>
      <c r="T286" s="50">
        <f>IFERROR(__xludf.DUMMYFUNCTION("((IFERROR(MIN(FILTER({K286, N286, Q286}, ISNUMBER({K286, N286, Q286}), {K286, N286, Q286} &gt; 0)), """"))*S286)+IFERROR(MIN(FILTER({K286, N286, Q286}, ISNUMBER({K286, N286, Q286}), {K286, N286, Q286} &gt; 0)), """")"),10335.630000000001)</f>
        <v>10335.63</v>
      </c>
      <c r="U286" s="53">
        <f>IFERROR(__xludf.DUMMYFUNCTION("(T286-(IFERROR(MIN(FILTER({K286, N286, Q286}, ISNUMBER({K286, N286, Q286}), {K286, N286, Q286} &gt; 0)), """")))/T286"),0.4011976047904192)</f>
        <v>0.4011976048</v>
      </c>
      <c r="V286" s="88">
        <f t="shared" si="35"/>
        <v>7736.25</v>
      </c>
      <c r="W286" s="89"/>
    </row>
    <row r="287" ht="22.5" customHeight="1">
      <c r="A287" s="30" t="s">
        <v>1339</v>
      </c>
      <c r="B287" s="30" t="s">
        <v>478</v>
      </c>
      <c r="C287" s="30" t="s">
        <v>479</v>
      </c>
      <c r="D287" s="85" t="s">
        <v>1340</v>
      </c>
      <c r="E287" s="36" t="s">
        <v>63</v>
      </c>
      <c r="F287" s="69" t="s">
        <v>67</v>
      </c>
      <c r="G287" s="36" t="s">
        <v>41</v>
      </c>
      <c r="H287" s="28" t="s">
        <v>1341</v>
      </c>
      <c r="I287" s="39">
        <v>1000.0</v>
      </c>
      <c r="J287" s="39">
        <v>1000.0</v>
      </c>
      <c r="K287" s="41"/>
      <c r="L287" s="42">
        <v>1000.0</v>
      </c>
      <c r="M287" s="42">
        <v>1000.0</v>
      </c>
      <c r="N287" s="42">
        <v>7728.0</v>
      </c>
      <c r="O287" s="39">
        <v>1000.0</v>
      </c>
      <c r="P287" s="39">
        <v>1000.0</v>
      </c>
      <c r="Q287" s="63"/>
      <c r="R287" s="92">
        <f>IF(MAX(K287,N287,Q287)&gt;0, MAX(K287,N287,Q287))</f>
        <v>7728</v>
      </c>
      <c r="S287" s="46">
        <v>0.67</v>
      </c>
      <c r="T287" s="93">
        <f>IFERROR(__xludf.DUMMYFUNCTION("((IFERROR(MAX(FILTER({K287, N287, Q287}, ISNUMBER({K287, N287, Q287}), {K287, N287, Q287} &gt; 0)), """"))*S287)+IFERROR(MAX(FILTER({K287, N287, Q287}, ISNUMBER({K287, N287, Q287}), {K287, N287, Q287} &gt; 0)), """")"),12905.76)</f>
        <v>12905.76</v>
      </c>
      <c r="U287" s="53">
        <f>IFERROR(__xludf.DUMMYFUNCTION("(T287-(IFERROR(MIN(FILTER({K287, N287, Q287}, ISNUMBER({K287, N287, Q287}), {K287, N287, Q287} &gt; 0)), """")))/T287"),0.40119760479041916)</f>
        <v>0.4011976048</v>
      </c>
      <c r="V287" s="93">
        <f>IF(MAX(K287,N287,Q287)&gt;0, MAX(K287,N287,Q287)/0.75, 0)</f>
        <v>10304</v>
      </c>
      <c r="W287" s="94">
        <f>(V287-R287)/V287</f>
        <v>0.25</v>
      </c>
    </row>
    <row r="288" ht="22.5" customHeight="1">
      <c r="A288" s="30" t="s">
        <v>1342</v>
      </c>
      <c r="B288" s="30" t="s">
        <v>378</v>
      </c>
      <c r="C288" s="30" t="s">
        <v>560</v>
      </c>
      <c r="D288" s="31" t="s">
        <v>1343</v>
      </c>
      <c r="E288" s="69" t="s">
        <v>36</v>
      </c>
      <c r="F288" s="69" t="s">
        <v>1344</v>
      </c>
      <c r="G288" s="36" t="s">
        <v>41</v>
      </c>
      <c r="H288" s="28" t="s">
        <v>1164</v>
      </c>
      <c r="I288" s="39">
        <v>1000.0</v>
      </c>
      <c r="J288" s="39">
        <v>1000.0</v>
      </c>
      <c r="K288" s="39">
        <v>5003.0</v>
      </c>
      <c r="L288" s="42">
        <v>150000.0</v>
      </c>
      <c r="M288" s="42">
        <v>150000.0</v>
      </c>
      <c r="N288" s="42">
        <v>7574.0</v>
      </c>
      <c r="O288" s="41"/>
      <c r="P288" s="39">
        <v>150000.0</v>
      </c>
      <c r="Q288" s="39">
        <v>7574.0</v>
      </c>
      <c r="R288" s="46"/>
      <c r="S288" s="46">
        <v>0.67</v>
      </c>
      <c r="T288" s="50">
        <f>IFERROR(__xludf.DUMMYFUNCTION("((IFERROR(MIN(FILTER({K288, N288, Q288}, ISNUMBER({K288, N288, Q288}), {K288, N288, Q288} &gt; 0)), """"))*S288)+IFERROR(MIN(FILTER({K288, N288, Q288}, ISNUMBER({K288, N288, Q288}), {K288, N288, Q288} &gt; 0)), """")"),8355.01)</f>
        <v>8355.01</v>
      </c>
      <c r="U288" s="53">
        <f>IFERROR(__xludf.DUMMYFUNCTION("(T288-(IFERROR(MIN(FILTER({K288, N288, Q288}, ISNUMBER({K288, N288, Q288}), {K288, N288, Q288} &gt; 0)), """")))/T288"),0.40119760479041916)</f>
        <v>0.4011976048</v>
      </c>
      <c r="V288" s="88">
        <f t="shared" ref="V288:V305" si="36">IF(MAX(K288,N288,Q288)&gt;0, MAX(K288,N288,Q288)*1.25, 0)</f>
        <v>9467.5</v>
      </c>
      <c r="W288" s="89"/>
    </row>
    <row r="289" ht="22.5" customHeight="1">
      <c r="A289" s="30" t="s">
        <v>1342</v>
      </c>
      <c r="B289" s="30" t="s">
        <v>378</v>
      </c>
      <c r="C289" s="30" t="s">
        <v>560</v>
      </c>
      <c r="D289" s="31" t="s">
        <v>1343</v>
      </c>
      <c r="E289" s="69" t="s">
        <v>36</v>
      </c>
      <c r="F289" s="69" t="s">
        <v>1344</v>
      </c>
      <c r="G289" s="36" t="s">
        <v>41</v>
      </c>
      <c r="H289" s="28" t="s">
        <v>1164</v>
      </c>
      <c r="I289" s="39">
        <v>500.0</v>
      </c>
      <c r="J289" s="39">
        <v>500.0</v>
      </c>
      <c r="K289" s="39">
        <v>8441.0</v>
      </c>
      <c r="L289" s="42">
        <v>300000.0</v>
      </c>
      <c r="M289" s="42">
        <v>300000.0</v>
      </c>
      <c r="N289" s="42">
        <v>7529.0</v>
      </c>
      <c r="O289" s="41"/>
      <c r="P289" s="39">
        <v>300000.0</v>
      </c>
      <c r="Q289" s="39">
        <v>7529.0</v>
      </c>
      <c r="R289" s="46"/>
      <c r="S289" s="46">
        <v>0.67</v>
      </c>
      <c r="T289" s="50">
        <f>IFERROR(__xludf.DUMMYFUNCTION("((IFERROR(MIN(FILTER({K289, N289, Q289}, ISNUMBER({K289, N289, Q289}), {K289, N289, Q289} &gt; 0)), """"))*S289)+IFERROR(MIN(FILTER({K289, N289, Q289}, ISNUMBER({K289, N289, Q289}), {K289, N289, Q289} &gt; 0)), """")"),12573.43)</f>
        <v>12573.43</v>
      </c>
      <c r="U289" s="53">
        <f>IFERROR(__xludf.DUMMYFUNCTION("(T289-(IFERROR(MIN(FILTER({K289, N289, Q289}, ISNUMBER({K289, N289, Q289}), {K289, N289, Q289} &gt; 0)), """")))/T289"),0.40119760479041916)</f>
        <v>0.4011976048</v>
      </c>
      <c r="V289" s="88">
        <f t="shared" si="36"/>
        <v>10551.25</v>
      </c>
      <c r="W289" s="89"/>
    </row>
    <row r="290" ht="22.5" customHeight="1">
      <c r="A290" s="30" t="s">
        <v>1353</v>
      </c>
      <c r="B290" s="30" t="s">
        <v>378</v>
      </c>
      <c r="C290" s="30" t="s">
        <v>479</v>
      </c>
      <c r="D290" s="31" t="s">
        <v>1354</v>
      </c>
      <c r="E290" s="69" t="s">
        <v>46</v>
      </c>
      <c r="F290" s="69" t="s">
        <v>1355</v>
      </c>
      <c r="G290" s="36" t="s">
        <v>41</v>
      </c>
      <c r="H290" s="28" t="s">
        <v>1356</v>
      </c>
      <c r="I290" s="39">
        <v>60000.0</v>
      </c>
      <c r="J290" s="39">
        <v>60000.0</v>
      </c>
      <c r="K290" s="41"/>
      <c r="L290" s="42">
        <v>60000.0</v>
      </c>
      <c r="M290" s="42">
        <v>60000.0</v>
      </c>
      <c r="N290" s="42">
        <v>8847.0</v>
      </c>
      <c r="O290" s="39">
        <v>60000.0</v>
      </c>
      <c r="P290" s="39">
        <v>60000.0</v>
      </c>
      <c r="Q290" s="39">
        <v>8847.0</v>
      </c>
      <c r="R290" s="46"/>
      <c r="S290" s="46">
        <v>0.67</v>
      </c>
      <c r="T290" s="50">
        <f>IFERROR(__xludf.DUMMYFUNCTION("((IFERROR(MIN(FILTER({K290, N290, Q290}, ISNUMBER({K290, N290, Q290}), {K290, N290, Q290} &gt; 0)), """"))*S290)+IFERROR(MIN(FILTER({K290, N290, Q290}, ISNUMBER({K290, N290, Q290}), {K290, N290, Q290} &gt; 0)), """")"),14774.490000000002)</f>
        <v>14774.49</v>
      </c>
      <c r="U290" s="53">
        <f>IFERROR(__xludf.DUMMYFUNCTION("(T290-(IFERROR(MIN(FILTER({K290, N290, Q290}, ISNUMBER({K290, N290, Q290}), {K290, N290, Q290} &gt; 0)), """")))/T290"),0.4011976047904192)</f>
        <v>0.4011976048</v>
      </c>
      <c r="V290" s="88">
        <f t="shared" si="36"/>
        <v>11058.75</v>
      </c>
      <c r="W290" s="89"/>
    </row>
    <row r="291" ht="22.5" customHeight="1">
      <c r="A291" s="30" t="s">
        <v>1353</v>
      </c>
      <c r="B291" s="30" t="s">
        <v>378</v>
      </c>
      <c r="C291" s="30" t="s">
        <v>479</v>
      </c>
      <c r="D291" s="31" t="s">
        <v>1354</v>
      </c>
      <c r="E291" s="69" t="s">
        <v>46</v>
      </c>
      <c r="F291" s="69" t="s">
        <v>1355</v>
      </c>
      <c r="G291" s="36" t="s">
        <v>41</v>
      </c>
      <c r="H291" s="28" t="s">
        <v>1356</v>
      </c>
      <c r="I291" s="39">
        <v>150000.0</v>
      </c>
      <c r="J291" s="39">
        <v>150000.0</v>
      </c>
      <c r="K291" s="41"/>
      <c r="L291" s="42">
        <v>150000.0</v>
      </c>
      <c r="M291" s="42">
        <v>150000.0</v>
      </c>
      <c r="N291" s="42">
        <v>8621.0</v>
      </c>
      <c r="O291" s="39">
        <v>150000.0</v>
      </c>
      <c r="P291" s="39">
        <v>150000.0</v>
      </c>
      <c r="Q291" s="39">
        <v>8621.0</v>
      </c>
      <c r="R291" s="46"/>
      <c r="S291" s="46">
        <v>0.67</v>
      </c>
      <c r="T291" s="50">
        <f>IFERROR(__xludf.DUMMYFUNCTION("((IFERROR(MIN(FILTER({K291, N291, Q291}, ISNUMBER({K291, N291, Q291}), {K291, N291, Q291} &gt; 0)), """"))*S291)+IFERROR(MIN(FILTER({K291, N291, Q291}, ISNUMBER({K291, N291, Q291}), {K291, N291, Q291} &gt; 0)), """")"),14397.07)</f>
        <v>14397.07</v>
      </c>
      <c r="U291" s="53">
        <f>IFERROR(__xludf.DUMMYFUNCTION("(T291-(IFERROR(MIN(FILTER({K291, N291, Q291}, ISNUMBER({K291, N291, Q291}), {K291, N291, Q291} &gt; 0)), """")))/T291"),0.40119760479041916)</f>
        <v>0.4011976048</v>
      </c>
      <c r="V291" s="88">
        <f t="shared" si="36"/>
        <v>10776.25</v>
      </c>
      <c r="W291" s="89"/>
    </row>
    <row r="292" ht="22.5" customHeight="1">
      <c r="A292" s="30" t="s">
        <v>1359</v>
      </c>
      <c r="B292" s="30" t="s">
        <v>378</v>
      </c>
      <c r="C292" s="30" t="s">
        <v>479</v>
      </c>
      <c r="D292" s="31" t="s">
        <v>1361</v>
      </c>
      <c r="E292" s="69" t="s">
        <v>36</v>
      </c>
      <c r="F292" s="69" t="s">
        <v>1362</v>
      </c>
      <c r="G292" s="36" t="s">
        <v>41</v>
      </c>
      <c r="H292" s="28" t="s">
        <v>1363</v>
      </c>
      <c r="I292" s="39">
        <v>300000.0</v>
      </c>
      <c r="J292" s="39">
        <v>300000.0</v>
      </c>
      <c r="K292" s="41"/>
      <c r="L292" s="42">
        <v>300000.0</v>
      </c>
      <c r="M292" s="42">
        <v>300000.0</v>
      </c>
      <c r="N292" s="42">
        <v>8531.0</v>
      </c>
      <c r="O292" s="39">
        <v>300000.0</v>
      </c>
      <c r="P292" s="39">
        <v>300000.0</v>
      </c>
      <c r="Q292" s="39">
        <v>8531.0</v>
      </c>
      <c r="R292" s="46"/>
      <c r="S292" s="46">
        <v>0.67</v>
      </c>
      <c r="T292" s="50">
        <f>IFERROR(__xludf.DUMMYFUNCTION("((IFERROR(MIN(FILTER({K292, N292, Q292}, ISNUMBER({K292, N292, Q292}), {K292, N292, Q292} &gt; 0)), """"))*S292)+IFERROR(MIN(FILTER({K292, N292, Q292}, ISNUMBER({K292, N292, Q292}), {K292, N292, Q292} &gt; 0)), """")"),14246.77)</f>
        <v>14246.77</v>
      </c>
      <c r="U292" s="53">
        <f>IFERROR(__xludf.DUMMYFUNCTION("(T292-(IFERROR(MIN(FILTER({K292, N292, Q292}, ISNUMBER({K292, N292, Q292}), {K292, N292, Q292} &gt; 0)), """")))/T292"),0.40119760479041916)</f>
        <v>0.4011976048</v>
      </c>
      <c r="V292" s="88">
        <f t="shared" si="36"/>
        <v>10663.75</v>
      </c>
      <c r="W292" s="89"/>
    </row>
    <row r="293" ht="22.5" customHeight="1">
      <c r="A293" s="30" t="s">
        <v>1342</v>
      </c>
      <c r="B293" s="30" t="s">
        <v>1369</v>
      </c>
      <c r="C293" s="30" t="s">
        <v>560</v>
      </c>
      <c r="D293" s="31" t="s">
        <v>1370</v>
      </c>
      <c r="E293" s="69" t="s">
        <v>63</v>
      </c>
      <c r="F293" s="69" t="s">
        <v>67</v>
      </c>
      <c r="G293" s="36" t="s">
        <v>41</v>
      </c>
      <c r="H293" s="28" t="s">
        <v>1164</v>
      </c>
      <c r="I293" s="39">
        <v>1000.0</v>
      </c>
      <c r="J293" s="39">
        <v>1000.0</v>
      </c>
      <c r="K293" s="41"/>
      <c r="L293" s="42">
        <v>1000.0</v>
      </c>
      <c r="M293" s="42">
        <v>1000.0</v>
      </c>
      <c r="N293" s="42">
        <v>8384.0</v>
      </c>
      <c r="O293" s="39">
        <v>1000.0</v>
      </c>
      <c r="P293" s="39">
        <v>1000.0</v>
      </c>
      <c r="Q293" s="39">
        <v>8384.0</v>
      </c>
      <c r="R293" s="46"/>
      <c r="S293" s="46">
        <v>0.67</v>
      </c>
      <c r="T293" s="50">
        <f>IFERROR(__xludf.DUMMYFUNCTION("((IFERROR(MIN(FILTER({K293, N293, Q293}, ISNUMBER({K293, N293, Q293}), {K293, N293, Q293} &gt; 0)), """"))*S293)+IFERROR(MIN(FILTER({K293, N293, Q293}, ISNUMBER({K293, N293, Q293}), {K293, N293, Q293} &gt; 0)), """")"),14001.28)</f>
        <v>14001.28</v>
      </c>
      <c r="U293" s="53">
        <f>IFERROR(__xludf.DUMMYFUNCTION("(T293-(IFERROR(MIN(FILTER({K293, N293, Q293}, ISNUMBER({K293, N293, Q293}), {K293, N293, Q293} &gt; 0)), """")))/T293"),0.4011976047904192)</f>
        <v>0.4011976048</v>
      </c>
      <c r="V293" s="88">
        <f t="shared" si="36"/>
        <v>10480</v>
      </c>
      <c r="W293" s="89"/>
    </row>
    <row r="294" ht="22.5" customHeight="1">
      <c r="A294" s="30" t="s">
        <v>1342</v>
      </c>
      <c r="B294" s="30" t="s">
        <v>1369</v>
      </c>
      <c r="C294" s="30" t="s">
        <v>560</v>
      </c>
      <c r="D294" s="31" t="s">
        <v>1370</v>
      </c>
      <c r="E294" s="69" t="s">
        <v>63</v>
      </c>
      <c r="F294" s="69" t="s">
        <v>67</v>
      </c>
      <c r="G294" s="36" t="s">
        <v>41</v>
      </c>
      <c r="H294" s="28" t="s">
        <v>1164</v>
      </c>
      <c r="I294" s="39">
        <v>1000.0</v>
      </c>
      <c r="J294" s="39">
        <v>1000.0</v>
      </c>
      <c r="K294" s="41"/>
      <c r="L294" s="42">
        <v>1000.0</v>
      </c>
      <c r="M294" s="42">
        <v>1000.0</v>
      </c>
      <c r="N294" s="42">
        <v>11874.0</v>
      </c>
      <c r="O294" s="39">
        <v>1000.0</v>
      </c>
      <c r="P294" s="39">
        <v>1000.0</v>
      </c>
      <c r="Q294" s="39">
        <v>11874.0</v>
      </c>
      <c r="R294" s="46"/>
      <c r="S294" s="46">
        <v>0.67</v>
      </c>
      <c r="T294" s="50">
        <f>IFERROR(__xludf.DUMMYFUNCTION("((IFERROR(MIN(FILTER({K294, N294, Q294}, ISNUMBER({K294, N294, Q294}), {K294, N294, Q294} &gt; 0)), """"))*S294)+IFERROR(MIN(FILTER({K294, N294, Q294}, ISNUMBER({K294, N294, Q294}), {K294, N294, Q294} &gt; 0)), """")"),19829.58)</f>
        <v>19829.58</v>
      </c>
      <c r="U294" s="53">
        <f>IFERROR(__xludf.DUMMYFUNCTION("(T294-(IFERROR(MIN(FILTER({K294, N294, Q294}, ISNUMBER({K294, N294, Q294}), {K294, N294, Q294} &gt; 0)), """")))/T294"),0.4011976047904192)</f>
        <v>0.4011976048</v>
      </c>
      <c r="V294" s="88">
        <f t="shared" si="36"/>
        <v>14842.5</v>
      </c>
      <c r="W294" s="89"/>
    </row>
    <row r="295" ht="22.5" customHeight="1">
      <c r="A295" s="30" t="s">
        <v>1342</v>
      </c>
      <c r="B295" s="30" t="s">
        <v>1376</v>
      </c>
      <c r="C295" s="30" t="s">
        <v>560</v>
      </c>
      <c r="D295" s="31" t="s">
        <v>1377</v>
      </c>
      <c r="E295" s="69" t="s">
        <v>55</v>
      </c>
      <c r="F295" s="69" t="s">
        <v>58</v>
      </c>
      <c r="G295" s="36" t="s">
        <v>41</v>
      </c>
      <c r="H295" s="28" t="s">
        <v>1164</v>
      </c>
      <c r="I295" s="39">
        <v>2000.0</v>
      </c>
      <c r="J295" s="39">
        <v>2000.0</v>
      </c>
      <c r="K295" s="41"/>
      <c r="L295" s="42">
        <v>2000.0</v>
      </c>
      <c r="M295" s="42">
        <v>2000.0</v>
      </c>
      <c r="N295" s="42">
        <v>2765.0</v>
      </c>
      <c r="O295" s="39">
        <v>2000.0</v>
      </c>
      <c r="P295" s="39">
        <v>2000.0</v>
      </c>
      <c r="Q295" s="41"/>
      <c r="R295" s="46"/>
      <c r="S295" s="46">
        <v>0.67</v>
      </c>
      <c r="T295" s="50">
        <f>IFERROR(__xludf.DUMMYFUNCTION("((IFERROR(MIN(FILTER({K295, N295, Q295}, ISNUMBER({K295, N295, Q295}), {K295, N295, Q295} &gt; 0)), """"))*S295)+IFERROR(MIN(FILTER({K295, N295, Q295}, ISNUMBER({K295, N295, Q295}), {K295, N295, Q295} &gt; 0)), """")"),4617.55)</f>
        <v>4617.55</v>
      </c>
      <c r="U295" s="53">
        <f>IFERROR(__xludf.DUMMYFUNCTION("(T295-(IFERROR(MIN(FILTER({K295, N295, Q295}, ISNUMBER({K295, N295, Q295}), {K295, N295, Q295} &gt; 0)), """")))/T295"),0.40119760479041916)</f>
        <v>0.4011976048</v>
      </c>
      <c r="V295" s="88">
        <f t="shared" si="36"/>
        <v>3456.25</v>
      </c>
      <c r="W295" s="89"/>
    </row>
    <row r="296" ht="22.5" customHeight="1">
      <c r="A296" s="30" t="s">
        <v>1342</v>
      </c>
      <c r="B296" s="30" t="s">
        <v>1376</v>
      </c>
      <c r="C296" s="30" t="s">
        <v>560</v>
      </c>
      <c r="D296" s="31" t="s">
        <v>1377</v>
      </c>
      <c r="E296" s="69" t="s">
        <v>55</v>
      </c>
      <c r="F296" s="69" t="s">
        <v>58</v>
      </c>
      <c r="G296" s="36" t="s">
        <v>41</v>
      </c>
      <c r="H296" s="28" t="s">
        <v>1164</v>
      </c>
      <c r="I296" s="39">
        <v>5000.0</v>
      </c>
      <c r="J296" s="39">
        <v>5000.0</v>
      </c>
      <c r="K296" s="41"/>
      <c r="L296" s="42">
        <v>5000.0</v>
      </c>
      <c r="M296" s="42">
        <v>5000.0</v>
      </c>
      <c r="N296" s="42">
        <v>1915.0</v>
      </c>
      <c r="O296" s="39">
        <v>5000.0</v>
      </c>
      <c r="P296" s="39">
        <v>5000.0</v>
      </c>
      <c r="Q296" s="41"/>
      <c r="R296" s="46"/>
      <c r="S296" s="46">
        <v>0.67</v>
      </c>
      <c r="T296" s="50">
        <f>IFERROR(__xludf.DUMMYFUNCTION("((IFERROR(MIN(FILTER({K296, N296, Q296}, ISNUMBER({K296, N296, Q296}), {K296, N296, Q296} &gt; 0)), """"))*S296)+IFERROR(MIN(FILTER({K296, N296, Q296}, ISNUMBER({K296, N296, Q296}), {K296, N296, Q296} &gt; 0)), """")"),3198.05)</f>
        <v>3198.05</v>
      </c>
      <c r="U296" s="53">
        <f>IFERROR(__xludf.DUMMYFUNCTION("(T296-(IFERROR(MIN(FILTER({K296, N296, Q296}, ISNUMBER({K296, N296, Q296}), {K296, N296, Q296} &gt; 0)), """")))/T296"),0.4011976047904192)</f>
        <v>0.4011976048</v>
      </c>
      <c r="V296" s="88">
        <f t="shared" si="36"/>
        <v>2393.75</v>
      </c>
      <c r="W296" s="89"/>
    </row>
    <row r="297" ht="22.5" customHeight="1">
      <c r="A297" s="30" t="s">
        <v>1353</v>
      </c>
      <c r="B297" s="30" t="s">
        <v>378</v>
      </c>
      <c r="C297" s="30" t="s">
        <v>479</v>
      </c>
      <c r="D297" s="31" t="s">
        <v>1354</v>
      </c>
      <c r="E297" s="69" t="s">
        <v>46</v>
      </c>
      <c r="F297" s="69" t="s">
        <v>1355</v>
      </c>
      <c r="G297" s="36" t="s">
        <v>41</v>
      </c>
      <c r="H297" s="28" t="s">
        <v>1356</v>
      </c>
      <c r="I297" s="39">
        <v>1000.0</v>
      </c>
      <c r="J297" s="39">
        <v>1000.0</v>
      </c>
      <c r="K297" s="41"/>
      <c r="L297" s="42">
        <v>1000.0</v>
      </c>
      <c r="M297" s="42">
        <v>1000.0</v>
      </c>
      <c r="N297" s="42">
        <v>7751.0</v>
      </c>
      <c r="O297" s="41"/>
      <c r="P297" s="39">
        <v>1000.0</v>
      </c>
      <c r="Q297" s="39">
        <v>7751.0</v>
      </c>
      <c r="R297" s="46"/>
      <c r="S297" s="46">
        <v>0.67</v>
      </c>
      <c r="T297" s="50">
        <f>IFERROR(__xludf.DUMMYFUNCTION("((IFERROR(MIN(FILTER({K297, N297, Q297}, ISNUMBER({K297, N297, Q297}), {K297, N297, Q297} &gt; 0)), """"))*S297)+IFERROR(MIN(FILTER({K297, N297, Q297}, ISNUMBER({K297, N297, Q297}), {K297, N297, Q297} &gt; 0)), """")"),12944.17)</f>
        <v>12944.17</v>
      </c>
      <c r="U297" s="53">
        <f>IFERROR(__xludf.DUMMYFUNCTION("(T297-(IFERROR(MIN(FILTER({K297, N297, Q297}, ISNUMBER({K297, N297, Q297}), {K297, N297, Q297} &gt; 0)), """")))/T297"),0.40119760479041916)</f>
        <v>0.4011976048</v>
      </c>
      <c r="V297" s="88">
        <f t="shared" si="36"/>
        <v>9688.75</v>
      </c>
      <c r="W297" s="89"/>
    </row>
    <row r="298" ht="22.5" customHeight="1">
      <c r="A298" s="30" t="s">
        <v>1353</v>
      </c>
      <c r="B298" s="30" t="s">
        <v>378</v>
      </c>
      <c r="C298" s="30" t="s">
        <v>479</v>
      </c>
      <c r="D298" s="31" t="s">
        <v>1354</v>
      </c>
      <c r="E298" s="69" t="s">
        <v>46</v>
      </c>
      <c r="F298" s="69" t="s">
        <v>1355</v>
      </c>
      <c r="G298" s="36" t="s">
        <v>41</v>
      </c>
      <c r="H298" s="28" t="s">
        <v>1356</v>
      </c>
      <c r="I298" s="39">
        <v>5000.0</v>
      </c>
      <c r="J298" s="39">
        <v>5000.0</v>
      </c>
      <c r="K298" s="41"/>
      <c r="L298" s="42">
        <v>5000.0</v>
      </c>
      <c r="M298" s="42">
        <v>5000.0</v>
      </c>
      <c r="N298" s="42">
        <v>5182.0</v>
      </c>
      <c r="O298" s="41"/>
      <c r="P298" s="39">
        <v>5000.0</v>
      </c>
      <c r="Q298" s="39">
        <v>5182.0</v>
      </c>
      <c r="R298" s="46"/>
      <c r="S298" s="46">
        <v>0.67</v>
      </c>
      <c r="T298" s="50">
        <f>IFERROR(__xludf.DUMMYFUNCTION("((IFERROR(MIN(FILTER({K298, N298, Q298}, ISNUMBER({K298, N298, Q298}), {K298, N298, Q298} &gt; 0)), """"))*S298)+IFERROR(MIN(FILTER({K298, N298, Q298}, ISNUMBER({K298, N298, Q298}), {K298, N298, Q298} &gt; 0)), """")"),8653.94)</f>
        <v>8653.94</v>
      </c>
      <c r="U298" s="53">
        <f>IFERROR(__xludf.DUMMYFUNCTION("(T298-(IFERROR(MIN(FILTER({K298, N298, Q298}, ISNUMBER({K298, N298, Q298}), {K298, N298, Q298} &gt; 0)), """")))/T298"),0.4011976047904192)</f>
        <v>0.4011976048</v>
      </c>
      <c r="V298" s="88">
        <f t="shared" si="36"/>
        <v>6477.5</v>
      </c>
      <c r="W298" s="89"/>
    </row>
    <row r="299" ht="22.5" customHeight="1">
      <c r="A299" s="30" t="s">
        <v>557</v>
      </c>
      <c r="B299" s="30" t="s">
        <v>1388</v>
      </c>
      <c r="C299" s="30" t="s">
        <v>560</v>
      </c>
      <c r="D299" s="31" t="s">
        <v>1389</v>
      </c>
      <c r="E299" s="69" t="s">
        <v>55</v>
      </c>
      <c r="F299" s="69" t="s">
        <v>121</v>
      </c>
      <c r="G299" s="36" t="s">
        <v>41</v>
      </c>
      <c r="H299" s="28" t="s">
        <v>699</v>
      </c>
      <c r="I299" s="39">
        <v>5500.0</v>
      </c>
      <c r="J299" s="39">
        <v>5500.0</v>
      </c>
      <c r="K299" s="41"/>
      <c r="L299" s="42">
        <v>5500.0</v>
      </c>
      <c r="M299" s="42">
        <v>5500.0</v>
      </c>
      <c r="N299" s="42">
        <v>5028.0</v>
      </c>
      <c r="O299" s="41"/>
      <c r="P299" s="39">
        <v>5500.0</v>
      </c>
      <c r="Q299" s="39">
        <v>5028.0</v>
      </c>
      <c r="R299" s="46"/>
      <c r="S299" s="46">
        <v>0.67</v>
      </c>
      <c r="T299" s="50">
        <f>IFERROR(__xludf.DUMMYFUNCTION("((IFERROR(MIN(FILTER({K299, N299, Q299}, ISNUMBER({K299, N299, Q299}), {K299, N299, Q299} &gt; 0)), """"))*S299)+IFERROR(MIN(FILTER({K299, N299, Q299}, ISNUMBER({K299, N299, Q299}), {K299, N299, Q299} &gt; 0)), """")"),8396.76)</f>
        <v>8396.76</v>
      </c>
      <c r="U299" s="53">
        <f>IFERROR(__xludf.DUMMYFUNCTION("(T299-(IFERROR(MIN(FILTER({K299, N299, Q299}, ISNUMBER({K299, N299, Q299}), {K299, N299, Q299} &gt; 0)), """")))/T299"),0.40119760479041916)</f>
        <v>0.4011976048</v>
      </c>
      <c r="V299" s="88">
        <f t="shared" si="36"/>
        <v>6285</v>
      </c>
      <c r="W299" s="89"/>
    </row>
    <row r="300" ht="22.5" customHeight="1">
      <c r="A300" s="30" t="s">
        <v>557</v>
      </c>
      <c r="B300" s="30" t="s">
        <v>1390</v>
      </c>
      <c r="C300" s="30" t="s">
        <v>560</v>
      </c>
      <c r="D300" s="31" t="s">
        <v>1391</v>
      </c>
      <c r="E300" s="69" t="s">
        <v>55</v>
      </c>
      <c r="F300" s="69" t="s">
        <v>121</v>
      </c>
      <c r="G300" s="36" t="s">
        <v>41</v>
      </c>
      <c r="H300" s="28" t="s">
        <v>699</v>
      </c>
      <c r="I300" s="39">
        <v>1000.0</v>
      </c>
      <c r="J300" s="39">
        <v>1000.0</v>
      </c>
      <c r="K300" s="41"/>
      <c r="L300" s="42">
        <v>1000.0</v>
      </c>
      <c r="M300" s="42">
        <v>1000.0</v>
      </c>
      <c r="N300" s="42">
        <v>8478.0</v>
      </c>
      <c r="O300" s="41"/>
      <c r="P300" s="39">
        <v>1000.0</v>
      </c>
      <c r="Q300" s="39">
        <v>8478.0</v>
      </c>
      <c r="R300" s="46"/>
      <c r="S300" s="46">
        <v>0.67</v>
      </c>
      <c r="T300" s="50">
        <f>IFERROR(__xludf.DUMMYFUNCTION("((IFERROR(MIN(FILTER({K300, N300, Q300}, ISNUMBER({K300, N300, Q300}), {K300, N300, Q300} &gt; 0)), """"))*S300)+IFERROR(MIN(FILTER({K300, N300, Q300}, ISNUMBER({K300, N300, Q300}), {K300, N300, Q300} &gt; 0)), """")"),14158.26)</f>
        <v>14158.26</v>
      </c>
      <c r="U300" s="53">
        <f>IFERROR(__xludf.DUMMYFUNCTION("(T300-(IFERROR(MIN(FILTER({K300, N300, Q300}, ISNUMBER({K300, N300, Q300}), {K300, N300, Q300} &gt; 0)), """")))/T300"),0.40119760479041916)</f>
        <v>0.4011976048</v>
      </c>
      <c r="V300" s="88">
        <f t="shared" si="36"/>
        <v>10597.5</v>
      </c>
      <c r="W300" s="89"/>
    </row>
    <row r="301" ht="22.5" customHeight="1">
      <c r="A301" s="30" t="s">
        <v>557</v>
      </c>
      <c r="B301" s="30" t="s">
        <v>1392</v>
      </c>
      <c r="C301" s="30" t="s">
        <v>560</v>
      </c>
      <c r="D301" s="31" t="s">
        <v>1393</v>
      </c>
      <c r="E301" s="69" t="s">
        <v>55</v>
      </c>
      <c r="F301" s="69" t="s">
        <v>121</v>
      </c>
      <c r="G301" s="36" t="s">
        <v>41</v>
      </c>
      <c r="H301" s="28" t="s">
        <v>699</v>
      </c>
      <c r="I301" s="39">
        <v>500.0</v>
      </c>
      <c r="J301" s="39">
        <v>500.0</v>
      </c>
      <c r="K301" s="41"/>
      <c r="L301" s="42">
        <v>500.0</v>
      </c>
      <c r="M301" s="42">
        <v>500.0</v>
      </c>
      <c r="N301" s="42">
        <v>13801.0</v>
      </c>
      <c r="O301" s="41"/>
      <c r="P301" s="39">
        <v>500.0</v>
      </c>
      <c r="Q301" s="39">
        <v>12720.0</v>
      </c>
      <c r="R301" s="46"/>
      <c r="S301" s="46">
        <v>0.67</v>
      </c>
      <c r="T301" s="50">
        <f>IFERROR(__xludf.DUMMYFUNCTION("((IFERROR(MIN(FILTER({K301, N301, Q301}, ISNUMBER({K301, N301, Q301}), {K301, N301, Q301} &gt; 0)), """"))*S301)+IFERROR(MIN(FILTER({K301, N301, Q301}, ISNUMBER({K301, N301, Q301}), {K301, N301, Q301} &gt; 0)), """")"),21242.4)</f>
        <v>21242.4</v>
      </c>
      <c r="U301" s="53">
        <f>IFERROR(__xludf.DUMMYFUNCTION("(T301-(IFERROR(MIN(FILTER({K301, N301, Q301}, ISNUMBER({K301, N301, Q301}), {K301, N301, Q301} &gt; 0)), """")))/T301"),0.4011976047904192)</f>
        <v>0.4011976048</v>
      </c>
      <c r="V301" s="88">
        <f t="shared" si="36"/>
        <v>17251.25</v>
      </c>
      <c r="W301" s="89"/>
    </row>
    <row r="302" ht="22.5" customHeight="1">
      <c r="A302" s="30" t="s">
        <v>1359</v>
      </c>
      <c r="B302" s="30" t="s">
        <v>378</v>
      </c>
      <c r="C302" s="30" t="s">
        <v>479</v>
      </c>
      <c r="D302" s="31" t="s">
        <v>1361</v>
      </c>
      <c r="E302" s="69" t="s">
        <v>36</v>
      </c>
      <c r="F302" s="69" t="s">
        <v>294</v>
      </c>
      <c r="G302" s="36" t="s">
        <v>41</v>
      </c>
      <c r="H302" s="28" t="s">
        <v>1363</v>
      </c>
      <c r="I302" s="39">
        <v>1000.0</v>
      </c>
      <c r="J302" s="39">
        <v>1000.0</v>
      </c>
      <c r="K302" s="41"/>
      <c r="L302" s="42">
        <v>1000.0</v>
      </c>
      <c r="M302" s="42">
        <v>1000.0</v>
      </c>
      <c r="N302" s="42">
        <v>8900.0</v>
      </c>
      <c r="O302" s="41"/>
      <c r="P302" s="39">
        <v>1000.0</v>
      </c>
      <c r="Q302" s="39">
        <v>8023.0</v>
      </c>
      <c r="R302" s="46"/>
      <c r="S302" s="46">
        <v>0.67</v>
      </c>
      <c r="T302" s="50">
        <f>IFERROR(__xludf.DUMMYFUNCTION("((IFERROR(MIN(FILTER({K302, N302, Q302}, ISNUMBER({K302, N302, Q302}), {K302, N302, Q302} &gt; 0)), """"))*S302)+IFERROR(MIN(FILTER({K302, N302, Q302}, ISNUMBER({K302, N302, Q302}), {K302, N302, Q302} &gt; 0)), """")"),13398.41)</f>
        <v>13398.41</v>
      </c>
      <c r="U302" s="53">
        <f>IFERROR(__xludf.DUMMYFUNCTION("(T302-(IFERROR(MIN(FILTER({K302, N302, Q302}, ISNUMBER({K302, N302, Q302}), {K302, N302, Q302} &gt; 0)), """")))/T302"),0.40119760479041916)</f>
        <v>0.4011976048</v>
      </c>
      <c r="V302" s="88">
        <f t="shared" si="36"/>
        <v>11125</v>
      </c>
      <c r="W302" s="89"/>
    </row>
    <row r="303" ht="22.5" customHeight="1">
      <c r="A303" s="30" t="s">
        <v>1395</v>
      </c>
      <c r="B303" s="30" t="s">
        <v>831</v>
      </c>
      <c r="C303" s="30" t="s">
        <v>479</v>
      </c>
      <c r="D303" s="31" t="s">
        <v>1396</v>
      </c>
      <c r="E303" s="69" t="s">
        <v>36</v>
      </c>
      <c r="F303" s="69" t="s">
        <v>1397</v>
      </c>
      <c r="G303" s="36" t="s">
        <v>41</v>
      </c>
      <c r="H303" s="28" t="s">
        <v>1398</v>
      </c>
      <c r="I303" s="39">
        <v>500.0</v>
      </c>
      <c r="J303" s="39">
        <v>500.0</v>
      </c>
      <c r="K303" s="41"/>
      <c r="L303" s="42">
        <v>500.0</v>
      </c>
      <c r="M303" s="42">
        <v>500.0</v>
      </c>
      <c r="N303" s="42">
        <v>12720.0</v>
      </c>
      <c r="O303" s="41"/>
      <c r="P303" s="39">
        <v>500.0</v>
      </c>
      <c r="Q303" s="39">
        <v>13801.0</v>
      </c>
      <c r="R303" s="46"/>
      <c r="S303" s="46">
        <v>0.67</v>
      </c>
      <c r="T303" s="50">
        <f>IFERROR(__xludf.DUMMYFUNCTION("((IFERROR(MIN(FILTER({K303, N303, Q303}, ISNUMBER({K303, N303, Q303}), {K303, N303, Q303} &gt; 0)), """"))*S303)+IFERROR(MIN(FILTER({K303, N303, Q303}, ISNUMBER({K303, N303, Q303}), {K303, N303, Q303} &gt; 0)), """")"),21242.4)</f>
        <v>21242.4</v>
      </c>
      <c r="U303" s="53">
        <f>IFERROR(__xludf.DUMMYFUNCTION("(T303-(IFERROR(MIN(FILTER({K303, N303, Q303}, ISNUMBER({K303, N303, Q303}), {K303, N303, Q303} &gt; 0)), """")))/T303"),0.4011976047904192)</f>
        <v>0.4011976048</v>
      </c>
      <c r="V303" s="88">
        <f t="shared" si="36"/>
        <v>17251.25</v>
      </c>
      <c r="W303" s="89"/>
    </row>
    <row r="304" ht="22.5" customHeight="1">
      <c r="A304" s="30" t="s">
        <v>1395</v>
      </c>
      <c r="B304" s="30" t="s">
        <v>831</v>
      </c>
      <c r="C304" s="30" t="s">
        <v>479</v>
      </c>
      <c r="D304" s="31" t="s">
        <v>1399</v>
      </c>
      <c r="E304" s="69" t="s">
        <v>36</v>
      </c>
      <c r="F304" s="69" t="s">
        <v>1397</v>
      </c>
      <c r="G304" s="36" t="s">
        <v>41</v>
      </c>
      <c r="H304" s="28" t="s">
        <v>1398</v>
      </c>
      <c r="I304" s="39">
        <v>1000.0</v>
      </c>
      <c r="J304" s="39">
        <v>1000.0</v>
      </c>
      <c r="K304" s="41"/>
      <c r="L304" s="42">
        <v>1000.0</v>
      </c>
      <c r="M304" s="42">
        <v>1000.0</v>
      </c>
      <c r="N304" s="42">
        <v>8023.0</v>
      </c>
      <c r="O304" s="41"/>
      <c r="P304" s="39">
        <v>1000.0</v>
      </c>
      <c r="Q304" s="39">
        <v>8900.0</v>
      </c>
      <c r="R304" s="46"/>
      <c r="S304" s="46">
        <v>0.67</v>
      </c>
      <c r="T304" s="50">
        <f>IFERROR(__xludf.DUMMYFUNCTION("((IFERROR(MIN(FILTER({K304, N304, Q304}, ISNUMBER({K304, N304, Q304}), {K304, N304, Q304} &gt; 0)), """"))*S304)+IFERROR(MIN(FILTER({K304, N304, Q304}, ISNUMBER({K304, N304, Q304}), {K304, N304, Q304} &gt; 0)), """")"),13398.41)</f>
        <v>13398.41</v>
      </c>
      <c r="U304" s="53">
        <f>IFERROR(__xludf.DUMMYFUNCTION("(T304-(IFERROR(MIN(FILTER({K304, N304, Q304}, ISNUMBER({K304, N304, Q304}), {K304, N304, Q304} &gt; 0)), """")))/T304"),0.40119760479041916)</f>
        <v>0.4011976048</v>
      </c>
      <c r="V304" s="88">
        <f t="shared" si="36"/>
        <v>11125</v>
      </c>
      <c r="W304" s="89"/>
    </row>
    <row r="305" ht="22.5" customHeight="1">
      <c r="A305" s="30" t="s">
        <v>1395</v>
      </c>
      <c r="B305" s="30" t="s">
        <v>831</v>
      </c>
      <c r="C305" s="30" t="s">
        <v>479</v>
      </c>
      <c r="D305" s="31" t="s">
        <v>1402</v>
      </c>
      <c r="E305" s="69" t="s">
        <v>36</v>
      </c>
      <c r="F305" s="69" t="s">
        <v>1397</v>
      </c>
      <c r="G305" s="36" t="s">
        <v>41</v>
      </c>
      <c r="H305" s="28" t="s">
        <v>1398</v>
      </c>
      <c r="I305" s="41" t="s">
        <v>261</v>
      </c>
      <c r="J305" s="41" t="s">
        <v>261</v>
      </c>
      <c r="K305" s="41"/>
      <c r="L305" s="60"/>
      <c r="M305" s="60"/>
      <c r="N305" s="42">
        <v>6974.0</v>
      </c>
      <c r="O305" s="41"/>
      <c r="P305" s="39">
        <v>1000.0</v>
      </c>
      <c r="Q305" s="41"/>
      <c r="R305" s="46"/>
      <c r="S305" s="46">
        <v>0.67</v>
      </c>
      <c r="T305" s="50">
        <f>IFERROR(__xludf.DUMMYFUNCTION("((IFERROR(MIN(FILTER({K305, N305, Q305}, ISNUMBER({K305, N305, Q305}), {K305, N305, Q305} &gt; 0)), """"))*S305)+IFERROR(MIN(FILTER({K305, N305, Q305}, ISNUMBER({K305, N305, Q305}), {K305, N305, Q305} &gt; 0)), """")"),11646.58)</f>
        <v>11646.58</v>
      </c>
      <c r="U305" s="53">
        <f>IFERROR(__xludf.DUMMYFUNCTION("(T305-(IFERROR(MIN(FILTER({K305, N305, Q305}, ISNUMBER({K305, N305, Q305}), {K305, N305, Q305} &gt; 0)), """")))/T305"),0.40119760479041916)</f>
        <v>0.4011976048</v>
      </c>
      <c r="V305" s="88">
        <f t="shared" si="36"/>
        <v>8717.5</v>
      </c>
      <c r="W305" s="89"/>
    </row>
    <row r="306" ht="22.5" customHeight="1">
      <c r="A306" s="30" t="s">
        <v>1407</v>
      </c>
      <c r="B306" s="30" t="s">
        <v>478</v>
      </c>
      <c r="C306" s="30" t="s">
        <v>479</v>
      </c>
      <c r="D306" s="85" t="s">
        <v>1408</v>
      </c>
      <c r="E306" s="36" t="s">
        <v>55</v>
      </c>
      <c r="F306" s="69" t="s">
        <v>216</v>
      </c>
      <c r="G306" s="36" t="s">
        <v>41</v>
      </c>
      <c r="H306" s="28" t="s">
        <v>1409</v>
      </c>
      <c r="I306" s="39">
        <v>5000.0</v>
      </c>
      <c r="J306" s="39">
        <v>5000.0</v>
      </c>
      <c r="K306" s="41"/>
      <c r="L306" s="42">
        <v>5000.0</v>
      </c>
      <c r="M306" s="42">
        <v>5000.0</v>
      </c>
      <c r="N306" s="42">
        <v>5222.0</v>
      </c>
      <c r="O306" s="39">
        <v>5000.0</v>
      </c>
      <c r="P306" s="39">
        <v>5000.0</v>
      </c>
      <c r="Q306" s="63"/>
      <c r="R306" s="92">
        <f t="shared" ref="R306:R307" si="37">IF(MAX(K306,N306,Q306)&gt;0, MAX(K306,N306,Q306))</f>
        <v>5222</v>
      </c>
      <c r="S306" s="46">
        <v>0.67</v>
      </c>
      <c r="T306" s="93">
        <f>IFERROR(__xludf.DUMMYFUNCTION("((IFERROR(MAX(FILTER({K306, N306, Q306}, ISNUMBER({K306, N306, Q306}), {K306, N306, Q306} &gt; 0)), """"))*S306)+IFERROR(MAX(FILTER({K306, N306, Q306}, ISNUMBER({K306, N306, Q306}), {K306, N306, Q306} &gt; 0)), """")"),8720.74)</f>
        <v>8720.74</v>
      </c>
      <c r="U306" s="53">
        <f>IFERROR(__xludf.DUMMYFUNCTION("(T306-(IFERROR(MIN(FILTER({K306, N306, Q306}, ISNUMBER({K306, N306, Q306}), {K306, N306, Q306} &gt; 0)), """")))/T306"),0.40119760479041916)</f>
        <v>0.4011976048</v>
      </c>
      <c r="V306" s="93">
        <f t="shared" ref="V306:V307" si="38">IF(MAX(K306,N306,Q306)&gt;0, MAX(K306,N306,Q306)/0.75, 0)</f>
        <v>6962.666667</v>
      </c>
      <c r="W306" s="94">
        <f t="shared" ref="W306:W307" si="39">(V306-R306)/V306</f>
        <v>0.25</v>
      </c>
    </row>
    <row r="307" ht="22.5" customHeight="1">
      <c r="A307" s="30" t="s">
        <v>1407</v>
      </c>
      <c r="B307" s="30" t="s">
        <v>478</v>
      </c>
      <c r="C307" s="30" t="s">
        <v>479</v>
      </c>
      <c r="D307" s="85" t="s">
        <v>1415</v>
      </c>
      <c r="E307" s="36" t="s">
        <v>55</v>
      </c>
      <c r="F307" s="69" t="s">
        <v>216</v>
      </c>
      <c r="G307" s="36" t="s">
        <v>41</v>
      </c>
      <c r="H307" s="28" t="s">
        <v>1409</v>
      </c>
      <c r="I307" s="39">
        <v>2000.0</v>
      </c>
      <c r="J307" s="39">
        <v>2000.0</v>
      </c>
      <c r="K307" s="41"/>
      <c r="L307" s="42">
        <v>2000.0</v>
      </c>
      <c r="M307" s="42">
        <v>2000.0</v>
      </c>
      <c r="N307" s="42">
        <v>5963.0</v>
      </c>
      <c r="O307" s="39">
        <v>2000.0</v>
      </c>
      <c r="P307" s="39">
        <v>2000.0</v>
      </c>
      <c r="Q307" s="63"/>
      <c r="R307" s="92">
        <f t="shared" si="37"/>
        <v>5963</v>
      </c>
      <c r="S307" s="46">
        <v>0.67</v>
      </c>
      <c r="T307" s="93">
        <f>IFERROR(__xludf.DUMMYFUNCTION("((IFERROR(MAX(FILTER({K307, N307, Q307}, ISNUMBER({K307, N307, Q307}), {K307, N307, Q307} &gt; 0)), """"))*S307)+IFERROR(MAX(FILTER({K307, N307, Q307}, ISNUMBER({K307, N307, Q307}), {K307, N307, Q307} &gt; 0)), """")"),9958.21)</f>
        <v>9958.21</v>
      </c>
      <c r="U307" s="53">
        <f>IFERROR(__xludf.DUMMYFUNCTION("(T307-(IFERROR(MIN(FILTER({K307, N307, Q307}, ISNUMBER({K307, N307, Q307}), {K307, N307, Q307} &gt; 0)), """")))/T307"),0.4011976047904191)</f>
        <v>0.4011976048</v>
      </c>
      <c r="V307" s="93">
        <f t="shared" si="38"/>
        <v>7950.666667</v>
      </c>
      <c r="W307" s="94">
        <f t="shared" si="39"/>
        <v>0.25</v>
      </c>
    </row>
    <row r="308" ht="22.5" customHeight="1">
      <c r="A308" s="137" t="s">
        <v>1407</v>
      </c>
      <c r="B308" s="137" t="s">
        <v>478</v>
      </c>
      <c r="C308" s="137" t="s">
        <v>479</v>
      </c>
      <c r="D308" s="31" t="s">
        <v>1418</v>
      </c>
      <c r="E308" s="69" t="s">
        <v>63</v>
      </c>
      <c r="F308" s="138"/>
      <c r="G308" s="139"/>
      <c r="H308" s="28" t="s">
        <v>1419</v>
      </c>
      <c r="I308" s="39"/>
      <c r="J308" s="39"/>
      <c r="K308" s="41"/>
      <c r="L308" s="42">
        <v>1000.0</v>
      </c>
      <c r="M308" s="42">
        <v>1000.0</v>
      </c>
      <c r="N308" s="42">
        <v>5274.0</v>
      </c>
      <c r="O308" s="41"/>
      <c r="P308" s="39"/>
      <c r="Q308" s="39"/>
      <c r="R308" s="46"/>
      <c r="S308" s="46">
        <v>0.67</v>
      </c>
      <c r="T308" s="50">
        <f>IFERROR(__xludf.DUMMYFUNCTION("((IFERROR(MIN(FILTER({K308, N308, Q308}, ISNUMBER({K308, N308, Q308}), {K308, N308, Q308} &gt; 0)), """"))*S308)+IFERROR(MIN(FILTER({K308, N308, Q308}, ISNUMBER({K308, N308, Q308}), {K308, N308, Q308} &gt; 0)), """")"),8807.58)</f>
        <v>8807.58</v>
      </c>
      <c r="U308" s="53">
        <f>IFERROR(__xludf.DUMMYFUNCTION("(T308-(IFERROR(MIN(FILTER({K308, N308, Q308}, ISNUMBER({K308, N308, Q308}), {K308, N308, Q308} &gt; 0)), """")))/T308"),0.40119760479041916)</f>
        <v>0.4011976048</v>
      </c>
      <c r="V308" s="88">
        <f t="shared" ref="V308:V368" si="40">IF(MAX(K308,N308,Q308)&gt;0, MAX(K308,N308,Q308)*1.25, 0)</f>
        <v>6592.5</v>
      </c>
      <c r="W308" s="89"/>
    </row>
    <row r="309" ht="22.5" customHeight="1">
      <c r="A309" s="30" t="s">
        <v>1072</v>
      </c>
      <c r="B309" s="137" t="s">
        <v>478</v>
      </c>
      <c r="C309" s="137" t="s">
        <v>479</v>
      </c>
      <c r="D309" s="31" t="s">
        <v>1426</v>
      </c>
      <c r="E309" s="69" t="s">
        <v>63</v>
      </c>
      <c r="F309" s="105"/>
      <c r="G309" s="139"/>
      <c r="H309" s="28" t="s">
        <v>1419</v>
      </c>
      <c r="I309" s="41"/>
      <c r="J309" s="41"/>
      <c r="K309" s="41"/>
      <c r="L309" s="42">
        <v>1000.0</v>
      </c>
      <c r="M309" s="42">
        <v>1000.0</v>
      </c>
      <c r="N309" s="42">
        <v>8403.0</v>
      </c>
      <c r="O309" s="41"/>
      <c r="P309" s="39"/>
      <c r="Q309" s="41"/>
      <c r="R309" s="46"/>
      <c r="S309" s="46">
        <v>0.67</v>
      </c>
      <c r="T309" s="50">
        <f>IFERROR(__xludf.DUMMYFUNCTION("((IFERROR(MIN(FILTER({K309, N309, Q309}, ISNUMBER({K309, N309, Q309}), {K309, N309, Q309} &gt; 0)), """"))*S309)+IFERROR(MIN(FILTER({K309, N309, Q309}, ISNUMBER({K309, N309, Q309}), {K309, N309, Q309} &gt; 0)), """")"),14033.01)</f>
        <v>14033.01</v>
      </c>
      <c r="U309" s="53">
        <f>IFERROR(__xludf.DUMMYFUNCTION("(T309-(IFERROR(MIN(FILTER({K309, N309, Q309}, ISNUMBER({K309, N309, Q309}), {K309, N309, Q309} &gt; 0)), """")))/T309"),0.40119760479041916)</f>
        <v>0.4011976048</v>
      </c>
      <c r="V309" s="88">
        <f t="shared" si="40"/>
        <v>10503.75</v>
      </c>
      <c r="W309" s="89"/>
    </row>
    <row r="310" ht="22.5" customHeight="1">
      <c r="A310" s="30" t="s">
        <v>493</v>
      </c>
      <c r="B310" s="137" t="s">
        <v>478</v>
      </c>
      <c r="C310" s="137" t="s">
        <v>479</v>
      </c>
      <c r="D310" s="31" t="s">
        <v>1429</v>
      </c>
      <c r="E310" s="69" t="s">
        <v>63</v>
      </c>
      <c r="F310" s="105"/>
      <c r="G310" s="139"/>
      <c r="H310" s="28" t="s">
        <v>1419</v>
      </c>
      <c r="I310" s="41"/>
      <c r="J310" s="41"/>
      <c r="K310" s="41"/>
      <c r="L310" s="42">
        <v>1000.0</v>
      </c>
      <c r="M310" s="42">
        <v>1000.0</v>
      </c>
      <c r="N310" s="42">
        <v>6097.0</v>
      </c>
      <c r="O310" s="41"/>
      <c r="P310" s="39"/>
      <c r="Q310" s="41"/>
      <c r="R310" s="46"/>
      <c r="S310" s="46">
        <v>0.67</v>
      </c>
      <c r="T310" s="50">
        <f>IFERROR(__xludf.DUMMYFUNCTION("((IFERROR(MIN(FILTER({K310, N310, Q310}, ISNUMBER({K310, N310, Q310}), {K310, N310, Q310} &gt; 0)), """"))*S310)+IFERROR(MIN(FILTER({K310, N310, Q310}, ISNUMBER({K310, N310, Q310}), {K310, N310, Q310} &gt; 0)), """")"),10181.99)</f>
        <v>10181.99</v>
      </c>
      <c r="U310" s="53">
        <f>IFERROR(__xludf.DUMMYFUNCTION("(T310-(IFERROR(MIN(FILTER({K310, N310, Q310}, ISNUMBER({K310, N310, Q310}), {K310, N310, Q310} &gt; 0)), """")))/T310"),0.40119760479041916)</f>
        <v>0.4011976048</v>
      </c>
      <c r="V310" s="88">
        <f t="shared" si="40"/>
        <v>7621.25</v>
      </c>
      <c r="W310" s="89"/>
    </row>
    <row r="311" ht="22.5" customHeight="1">
      <c r="A311" s="30" t="s">
        <v>1407</v>
      </c>
      <c r="B311" s="137" t="s">
        <v>478</v>
      </c>
      <c r="C311" s="137" t="s">
        <v>479</v>
      </c>
      <c r="D311" s="31" t="s">
        <v>1432</v>
      </c>
      <c r="E311" s="69" t="s">
        <v>63</v>
      </c>
      <c r="F311" s="105"/>
      <c r="G311" s="139"/>
      <c r="H311" s="28" t="s">
        <v>1419</v>
      </c>
      <c r="I311" s="41"/>
      <c r="J311" s="41"/>
      <c r="K311" s="41"/>
      <c r="L311" s="42">
        <v>1000.0</v>
      </c>
      <c r="M311" s="42">
        <v>1000.0</v>
      </c>
      <c r="N311" s="42">
        <v>8751.0</v>
      </c>
      <c r="O311" s="41"/>
      <c r="P311" s="39"/>
      <c r="Q311" s="41"/>
      <c r="R311" s="46"/>
      <c r="S311" s="46">
        <v>0.67</v>
      </c>
      <c r="T311" s="50">
        <f>IFERROR(__xludf.DUMMYFUNCTION("((IFERROR(MIN(FILTER({K311, N311, Q311}, ISNUMBER({K311, N311, Q311}), {K311, N311, Q311} &gt; 0)), """"))*S311)+IFERROR(MIN(FILTER({K311, N311, Q311}, ISNUMBER({K311, N311, Q311}), {K311, N311, Q311} &gt; 0)), """")"),14614.17)</f>
        <v>14614.17</v>
      </c>
      <c r="U311" s="53">
        <f>IFERROR(__xludf.DUMMYFUNCTION("(T311-(IFERROR(MIN(FILTER({K311, N311, Q311}, ISNUMBER({K311, N311, Q311}), {K311, N311, Q311} &gt; 0)), """")))/T311"),0.40119760479041916)</f>
        <v>0.4011976048</v>
      </c>
      <c r="V311" s="88">
        <f t="shared" si="40"/>
        <v>10938.75</v>
      </c>
      <c r="W311" s="89"/>
    </row>
    <row r="312" ht="22.5" customHeight="1">
      <c r="A312" s="30" t="s">
        <v>487</v>
      </c>
      <c r="B312" s="137" t="s">
        <v>478</v>
      </c>
      <c r="C312" s="137" t="s">
        <v>479</v>
      </c>
      <c r="D312" s="31" t="s">
        <v>1433</v>
      </c>
      <c r="E312" s="69" t="s">
        <v>63</v>
      </c>
      <c r="F312" s="105"/>
      <c r="G312" s="139"/>
      <c r="H312" s="28" t="s">
        <v>1419</v>
      </c>
      <c r="I312" s="41"/>
      <c r="J312" s="41"/>
      <c r="K312" s="41"/>
      <c r="L312" s="42">
        <v>1000.0</v>
      </c>
      <c r="M312" s="42">
        <v>1000.0</v>
      </c>
      <c r="N312" s="42">
        <v>6759.0</v>
      </c>
      <c r="O312" s="41"/>
      <c r="P312" s="39"/>
      <c r="Q312" s="41"/>
      <c r="R312" s="46"/>
      <c r="S312" s="46">
        <v>0.67</v>
      </c>
      <c r="T312" s="50">
        <f>IFERROR(__xludf.DUMMYFUNCTION("((IFERROR(MIN(FILTER({K312, N312, Q312}, ISNUMBER({K312, N312, Q312}), {K312, N312, Q312} &gt; 0)), """"))*S312)+IFERROR(MIN(FILTER({K312, N312, Q312}, ISNUMBER({K312, N312, Q312}), {K312, N312, Q312} &gt; 0)), """")"),11287.53)</f>
        <v>11287.53</v>
      </c>
      <c r="U312" s="53">
        <f>IFERROR(__xludf.DUMMYFUNCTION("(T312-(IFERROR(MIN(FILTER({K312, N312, Q312}, ISNUMBER({K312, N312, Q312}), {K312, N312, Q312} &gt; 0)), """")))/T312"),0.4011976047904192)</f>
        <v>0.4011976048</v>
      </c>
      <c r="V312" s="88">
        <f t="shared" si="40"/>
        <v>8448.75</v>
      </c>
      <c r="W312" s="89"/>
    </row>
    <row r="313" ht="22.5" customHeight="1">
      <c r="A313" s="30" t="s">
        <v>798</v>
      </c>
      <c r="B313" s="137" t="s">
        <v>478</v>
      </c>
      <c r="C313" s="137" t="s">
        <v>479</v>
      </c>
      <c r="D313" s="31" t="s">
        <v>1435</v>
      </c>
      <c r="E313" s="69" t="s">
        <v>63</v>
      </c>
      <c r="F313" s="105"/>
      <c r="G313" s="139"/>
      <c r="H313" s="28" t="s">
        <v>1419</v>
      </c>
      <c r="I313" s="41"/>
      <c r="J313" s="41"/>
      <c r="K313" s="41"/>
      <c r="L313" s="42">
        <v>1000.0</v>
      </c>
      <c r="M313" s="42">
        <v>1000.0</v>
      </c>
      <c r="N313" s="42">
        <v>8275.0</v>
      </c>
      <c r="O313" s="41"/>
      <c r="P313" s="41"/>
      <c r="Q313" s="41"/>
      <c r="R313" s="46"/>
      <c r="S313" s="46">
        <v>0.67</v>
      </c>
      <c r="T313" s="50">
        <f>IFERROR(__xludf.DUMMYFUNCTION("((IFERROR(MIN(FILTER({K313, N313, Q313}, ISNUMBER({K313, N313, Q313}), {K313, N313, Q313} &gt; 0)), """"))*S313)+IFERROR(MIN(FILTER({K313, N313, Q313}, ISNUMBER({K313, N313, Q313}), {K313, N313, Q313} &gt; 0)), """")"),13819.25)</f>
        <v>13819.25</v>
      </c>
      <c r="U313" s="53">
        <f>IFERROR(__xludf.DUMMYFUNCTION("(T313-(IFERROR(MIN(FILTER({K313, N313, Q313}, ISNUMBER({K313, N313, Q313}), {K313, N313, Q313} &gt; 0)), """")))/T313"),0.40119760479041916)</f>
        <v>0.4011976048</v>
      </c>
      <c r="V313" s="88">
        <f t="shared" si="40"/>
        <v>10343.75</v>
      </c>
      <c r="W313" s="89"/>
    </row>
    <row r="314" ht="22.5" customHeight="1">
      <c r="A314" s="30" t="s">
        <v>523</v>
      </c>
      <c r="B314" s="137" t="s">
        <v>478</v>
      </c>
      <c r="C314" s="137" t="s">
        <v>479</v>
      </c>
      <c r="D314" s="31" t="s">
        <v>1438</v>
      </c>
      <c r="E314" s="69" t="s">
        <v>63</v>
      </c>
      <c r="F314" s="105"/>
      <c r="G314" s="139"/>
      <c r="H314" s="28" t="s">
        <v>1419</v>
      </c>
      <c r="I314" s="41"/>
      <c r="J314" s="41"/>
      <c r="K314" s="41"/>
      <c r="L314" s="42">
        <v>1000.0</v>
      </c>
      <c r="M314" s="42">
        <v>1000.0</v>
      </c>
      <c r="N314" s="42">
        <v>7895.0</v>
      </c>
      <c r="O314" s="41"/>
      <c r="P314" s="41"/>
      <c r="Q314" s="41"/>
      <c r="R314" s="46"/>
      <c r="S314" s="46">
        <v>0.67</v>
      </c>
      <c r="T314" s="50">
        <f>IFERROR(__xludf.DUMMYFUNCTION("((IFERROR(MIN(FILTER({K314, N314, Q314}, ISNUMBER({K314, N314, Q314}), {K314, N314, Q314} &gt; 0)), """"))*S314)+IFERROR(MIN(FILTER({K314, N314, Q314}, ISNUMBER({K314, N314, Q314}), {K314, N314, Q314} &gt; 0)), """")"),13184.650000000001)</f>
        <v>13184.65</v>
      </c>
      <c r="U314" s="53">
        <f>IFERROR(__xludf.DUMMYFUNCTION("(T314-(IFERROR(MIN(FILTER({K314, N314, Q314}, ISNUMBER({K314, N314, Q314}), {K314, N314, Q314} &gt; 0)), """")))/T314"),0.4011976047904192)</f>
        <v>0.4011976048</v>
      </c>
      <c r="V314" s="88">
        <f t="shared" si="40"/>
        <v>9868.75</v>
      </c>
      <c r="W314" s="89"/>
    </row>
    <row r="315" ht="22.5" customHeight="1">
      <c r="A315" s="30" t="s">
        <v>523</v>
      </c>
      <c r="B315" s="137" t="s">
        <v>478</v>
      </c>
      <c r="C315" s="137" t="s">
        <v>479</v>
      </c>
      <c r="D315" s="31" t="s">
        <v>1439</v>
      </c>
      <c r="E315" s="69" t="s">
        <v>63</v>
      </c>
      <c r="F315" s="105"/>
      <c r="G315" s="139"/>
      <c r="H315" s="28" t="s">
        <v>1419</v>
      </c>
      <c r="I315" s="41"/>
      <c r="J315" s="41"/>
      <c r="K315" s="41"/>
      <c r="L315" s="42">
        <v>1000.0</v>
      </c>
      <c r="M315" s="42">
        <v>1000.0</v>
      </c>
      <c r="N315" s="42">
        <v>9224.0</v>
      </c>
      <c r="O315" s="41"/>
      <c r="P315" s="41"/>
      <c r="Q315" s="41"/>
      <c r="R315" s="46"/>
      <c r="S315" s="46">
        <v>0.67</v>
      </c>
      <c r="T315" s="50">
        <f>IFERROR(__xludf.DUMMYFUNCTION("((IFERROR(MIN(FILTER({K315, N315, Q315}, ISNUMBER({K315, N315, Q315}), {K315, N315, Q315} &gt; 0)), """"))*S315)+IFERROR(MIN(FILTER({K315, N315, Q315}, ISNUMBER({K315, N315, Q315}), {K315, N315, Q315} &gt; 0)), """")"),15404.08)</f>
        <v>15404.08</v>
      </c>
      <c r="U315" s="53">
        <f>IFERROR(__xludf.DUMMYFUNCTION("(T315-(IFERROR(MIN(FILTER({K315, N315, Q315}, ISNUMBER({K315, N315, Q315}), {K315, N315, Q315} &gt; 0)), """")))/T315"),0.40119760479041916)</f>
        <v>0.4011976048</v>
      </c>
      <c r="V315" s="88">
        <f t="shared" si="40"/>
        <v>11530</v>
      </c>
      <c r="W315" s="89"/>
    </row>
    <row r="316" ht="22.5" customHeight="1">
      <c r="A316" s="30" t="s">
        <v>1072</v>
      </c>
      <c r="B316" s="137" t="s">
        <v>478</v>
      </c>
      <c r="C316" s="137" t="s">
        <v>479</v>
      </c>
      <c r="D316" s="31" t="s">
        <v>1440</v>
      </c>
      <c r="E316" s="69" t="s">
        <v>63</v>
      </c>
      <c r="F316" s="105"/>
      <c r="G316" s="139"/>
      <c r="H316" s="28" t="s">
        <v>1419</v>
      </c>
      <c r="I316" s="39"/>
      <c r="J316" s="41"/>
      <c r="K316" s="39"/>
      <c r="L316" s="42">
        <v>1000.0</v>
      </c>
      <c r="M316" s="42">
        <v>1000.0</v>
      </c>
      <c r="N316" s="42">
        <v>9780.0</v>
      </c>
      <c r="O316" s="39"/>
      <c r="P316" s="41"/>
      <c r="Q316" s="39"/>
      <c r="R316" s="46"/>
      <c r="S316" s="46">
        <v>0.67</v>
      </c>
      <c r="T316" s="50">
        <f>IFERROR(__xludf.DUMMYFUNCTION("((IFERROR(MIN(FILTER({K316, N316, Q316}, ISNUMBER({K316, N316, Q316}), {K316, N316, Q316} &gt; 0)), """"))*S316)+IFERROR(MIN(FILTER({K316, N316, Q316}, ISNUMBER({K316, N316, Q316}), {K316, N316, Q316} &gt; 0)), """")"),16332.6)</f>
        <v>16332.6</v>
      </c>
      <c r="U316" s="53">
        <f>IFERROR(__xludf.DUMMYFUNCTION("(T316-(IFERROR(MIN(FILTER({K316, N316, Q316}, ISNUMBER({K316, N316, Q316}), {K316, N316, Q316} &gt; 0)), """")))/T316"),0.40119760479041916)</f>
        <v>0.4011976048</v>
      </c>
      <c r="V316" s="88">
        <f t="shared" si="40"/>
        <v>12225</v>
      </c>
      <c r="W316" s="89"/>
    </row>
    <row r="317" ht="22.5" customHeight="1">
      <c r="A317" s="30" t="s">
        <v>412</v>
      </c>
      <c r="B317" s="137" t="s">
        <v>478</v>
      </c>
      <c r="C317" s="137" t="s">
        <v>479</v>
      </c>
      <c r="D317" s="31" t="s">
        <v>1447</v>
      </c>
      <c r="E317" s="69" t="s">
        <v>63</v>
      </c>
      <c r="F317" s="105"/>
      <c r="G317" s="139"/>
      <c r="H317" s="28" t="s">
        <v>1419</v>
      </c>
      <c r="I317" s="41"/>
      <c r="J317" s="41"/>
      <c r="K317" s="41"/>
      <c r="L317" s="42">
        <v>1000.0</v>
      </c>
      <c r="M317" s="42">
        <v>1000.0</v>
      </c>
      <c r="N317" s="42">
        <v>7413.0</v>
      </c>
      <c r="O317" s="41"/>
      <c r="P317" s="41"/>
      <c r="Q317" s="41"/>
      <c r="R317" s="46"/>
      <c r="S317" s="46">
        <v>0.67</v>
      </c>
      <c r="T317" s="50">
        <f>IFERROR(__xludf.DUMMYFUNCTION("((IFERROR(MIN(FILTER({K317, N317, Q317}, ISNUMBER({K317, N317, Q317}), {K317, N317, Q317} &gt; 0)), """"))*S317)+IFERROR(MIN(FILTER({K317, N317, Q317}, ISNUMBER({K317, N317, Q317}), {K317, N317, Q317} &gt; 0)), """")"),12379.71)</f>
        <v>12379.71</v>
      </c>
      <c r="U317" s="53">
        <f>IFERROR(__xludf.DUMMYFUNCTION("(T317-(IFERROR(MIN(FILTER({K317, N317, Q317}, ISNUMBER({K317, N317, Q317}), {K317, N317, Q317} &gt; 0)), """")))/T317"),0.4011976047904191)</f>
        <v>0.4011976048</v>
      </c>
      <c r="V317" s="88">
        <f t="shared" si="40"/>
        <v>9266.25</v>
      </c>
      <c r="W317" s="89"/>
    </row>
    <row r="318" ht="22.5" customHeight="1">
      <c r="A318" s="30" t="s">
        <v>579</v>
      </c>
      <c r="B318" s="137" t="s">
        <v>478</v>
      </c>
      <c r="C318" s="137" t="s">
        <v>479</v>
      </c>
      <c r="D318" s="31" t="s">
        <v>1449</v>
      </c>
      <c r="E318" s="69" t="s">
        <v>63</v>
      </c>
      <c r="F318" s="105"/>
      <c r="G318" s="139"/>
      <c r="H318" s="28" t="s">
        <v>1419</v>
      </c>
      <c r="I318" s="39"/>
      <c r="J318" s="41"/>
      <c r="K318" s="39"/>
      <c r="L318" s="42">
        <v>1000.0</v>
      </c>
      <c r="M318" s="42">
        <v>1000.0</v>
      </c>
      <c r="N318" s="42">
        <v>9706.0</v>
      </c>
      <c r="O318" s="39"/>
      <c r="P318" s="41"/>
      <c r="Q318" s="39"/>
      <c r="R318" s="46"/>
      <c r="S318" s="46">
        <v>0.67</v>
      </c>
      <c r="T318" s="50">
        <f>IFERROR(__xludf.DUMMYFUNCTION("((IFERROR(MIN(FILTER({K318, N318, Q318}, ISNUMBER({K318, N318, Q318}), {K318, N318, Q318} &gt; 0)), """"))*S318)+IFERROR(MIN(FILTER({K318, N318, Q318}, ISNUMBER({K318, N318, Q318}), {K318, N318, Q318} &gt; 0)), """")"),16209.02)</f>
        <v>16209.02</v>
      </c>
      <c r="U318" s="53">
        <f>IFERROR(__xludf.DUMMYFUNCTION("(T318-(IFERROR(MIN(FILTER({K318, N318, Q318}, ISNUMBER({K318, N318, Q318}), {K318, N318, Q318} &gt; 0)), """")))/T318"),0.40119760479041916)</f>
        <v>0.4011976048</v>
      </c>
      <c r="V318" s="88">
        <f t="shared" si="40"/>
        <v>12132.5</v>
      </c>
      <c r="W318" s="89"/>
    </row>
    <row r="319" ht="22.5" customHeight="1">
      <c r="A319" s="30" t="s">
        <v>552</v>
      </c>
      <c r="B319" s="137" t="s">
        <v>478</v>
      </c>
      <c r="C319" s="137" t="s">
        <v>479</v>
      </c>
      <c r="D319" s="31" t="s">
        <v>1450</v>
      </c>
      <c r="E319" s="69" t="s">
        <v>63</v>
      </c>
      <c r="F319" s="105"/>
      <c r="G319" s="139"/>
      <c r="H319" s="28" t="s">
        <v>1419</v>
      </c>
      <c r="I319" s="39"/>
      <c r="J319" s="41"/>
      <c r="K319" s="39"/>
      <c r="L319" s="42">
        <v>1000.0</v>
      </c>
      <c r="M319" s="42">
        <v>1000.0</v>
      </c>
      <c r="N319" s="42">
        <v>6214.0</v>
      </c>
      <c r="O319" s="39"/>
      <c r="P319" s="41"/>
      <c r="Q319" s="39"/>
      <c r="R319" s="46"/>
      <c r="S319" s="46">
        <v>0.67</v>
      </c>
      <c r="T319" s="50">
        <f>IFERROR(__xludf.DUMMYFUNCTION("((IFERROR(MIN(FILTER({K319, N319, Q319}, ISNUMBER({K319, N319, Q319}), {K319, N319, Q319} &gt; 0)), """"))*S319)+IFERROR(MIN(FILTER({K319, N319, Q319}, ISNUMBER({K319, N319, Q319}), {K319, N319, Q319} &gt; 0)), """")"),10377.380000000001)</f>
        <v>10377.38</v>
      </c>
      <c r="U319" s="53">
        <f>IFERROR(__xludf.DUMMYFUNCTION("(T319-(IFERROR(MIN(FILTER({K319, N319, Q319}, ISNUMBER({K319, N319, Q319}), {K319, N319, Q319} &gt; 0)), """")))/T319"),0.4011976047904192)</f>
        <v>0.4011976048</v>
      </c>
      <c r="V319" s="88">
        <f t="shared" si="40"/>
        <v>7767.5</v>
      </c>
      <c r="W319" s="89"/>
    </row>
    <row r="320" ht="22.5" customHeight="1">
      <c r="A320" s="30" t="s">
        <v>1452</v>
      </c>
      <c r="B320" s="137" t="s">
        <v>478</v>
      </c>
      <c r="C320" s="137" t="s">
        <v>479</v>
      </c>
      <c r="D320" s="31" t="s">
        <v>1453</v>
      </c>
      <c r="E320" s="69" t="s">
        <v>63</v>
      </c>
      <c r="F320" s="105"/>
      <c r="G320" s="139"/>
      <c r="H320" s="28" t="s">
        <v>1419</v>
      </c>
      <c r="I320" s="39"/>
      <c r="J320" s="41"/>
      <c r="K320" s="39"/>
      <c r="L320" s="42">
        <v>1000.0</v>
      </c>
      <c r="M320" s="42">
        <v>1000.0</v>
      </c>
      <c r="N320" s="42">
        <v>6133.0</v>
      </c>
      <c r="O320" s="39"/>
      <c r="P320" s="41"/>
      <c r="Q320" s="39"/>
      <c r="R320" s="46"/>
      <c r="S320" s="46">
        <v>0.67</v>
      </c>
      <c r="T320" s="50">
        <f>IFERROR(__xludf.DUMMYFUNCTION("((IFERROR(MIN(FILTER({K320, N320, Q320}, ISNUMBER({K320, N320, Q320}), {K320, N320, Q320} &gt; 0)), """"))*S320)+IFERROR(MIN(FILTER({K320, N320, Q320}, ISNUMBER({K320, N320, Q320}), {K320, N320, Q320} &gt; 0)), """")"),10242.11)</f>
        <v>10242.11</v>
      </c>
      <c r="U320" s="53">
        <f>IFERROR(__xludf.DUMMYFUNCTION("(T320-(IFERROR(MIN(FILTER({K320, N320, Q320}, ISNUMBER({K320, N320, Q320}), {K320, N320, Q320} &gt; 0)), """")))/T320"),0.4011976047904192)</f>
        <v>0.4011976048</v>
      </c>
      <c r="V320" s="88">
        <f t="shared" si="40"/>
        <v>7666.25</v>
      </c>
      <c r="W320" s="89"/>
    </row>
    <row r="321" ht="22.5" customHeight="1">
      <c r="A321" s="30" t="s">
        <v>1161</v>
      </c>
      <c r="B321" s="30"/>
      <c r="C321" s="30"/>
      <c r="D321" s="31" t="s">
        <v>1458</v>
      </c>
      <c r="E321" s="69" t="s">
        <v>63</v>
      </c>
      <c r="F321" s="105"/>
      <c r="G321" s="139"/>
      <c r="H321" s="28" t="s">
        <v>1419</v>
      </c>
      <c r="I321" s="39"/>
      <c r="J321" s="41"/>
      <c r="K321" s="39"/>
      <c r="L321" s="42">
        <v>1000.0</v>
      </c>
      <c r="M321" s="42">
        <v>1000.0</v>
      </c>
      <c r="N321" s="42">
        <v>5914.0</v>
      </c>
      <c r="O321" s="39"/>
      <c r="P321" s="39"/>
      <c r="Q321" s="39"/>
      <c r="R321" s="46"/>
      <c r="S321" s="46">
        <v>0.67</v>
      </c>
      <c r="T321" s="50">
        <f>IFERROR(__xludf.DUMMYFUNCTION("((IFERROR(MIN(FILTER({K321, N321, Q321}, ISNUMBER({K321, N321, Q321}), {K321, N321, Q321} &gt; 0)), """"))*S321)+IFERROR(MIN(FILTER({K321, N321, Q321}, ISNUMBER({K321, N321, Q321}), {K321, N321, Q321} &gt; 0)), """")"),9876.380000000001)</f>
        <v>9876.38</v>
      </c>
      <c r="U321" s="53">
        <f>IFERROR(__xludf.DUMMYFUNCTION("(T321-(IFERROR(MIN(FILTER({K321, N321, Q321}, ISNUMBER({K321, N321, Q321}), {K321, N321, Q321} &gt; 0)), """")))/T321"),0.4011976047904192)</f>
        <v>0.4011976048</v>
      </c>
      <c r="V321" s="88">
        <f t="shared" si="40"/>
        <v>7392.5</v>
      </c>
      <c r="W321" s="89"/>
    </row>
    <row r="322" ht="22.5" customHeight="1">
      <c r="A322" s="30"/>
      <c r="B322" s="30"/>
      <c r="C322" s="30"/>
      <c r="D322" s="31"/>
      <c r="E322" s="69"/>
      <c r="F322" s="105"/>
      <c r="G322" s="139"/>
      <c r="H322" s="28"/>
      <c r="I322" s="39"/>
      <c r="J322" s="41"/>
      <c r="K322" s="39"/>
      <c r="L322" s="42"/>
      <c r="M322" s="42"/>
      <c r="N322" s="42"/>
      <c r="O322" s="39"/>
      <c r="P322" s="41"/>
      <c r="Q322" s="39"/>
      <c r="R322" s="46"/>
      <c r="S322" s="46">
        <v>0.67</v>
      </c>
      <c r="T322" s="50">
        <f>IFERROR(__xludf.DUMMYFUNCTION("((IFERROR(MIN(FILTER({K322, N322, Q322}, ISNUMBER({K322, N322, Q322}), {K322, N322, Q322} &gt; 0)), """"))*S322)+IFERROR(MIN(FILTER({K322, N322, Q322}, ISNUMBER({K322, N322, Q322}), {K322, N322, Q322} &gt; 0)), """")"),0.0)</f>
        <v>0</v>
      </c>
      <c r="U322" s="53" t="str">
        <f>IFERROR(__xludf.DUMMYFUNCTION("(T322-(IFERROR(MIN(FILTER({K322, N322, Q322}, ISNUMBER({K322, N322, Q322}), {K322, N322, Q322} &gt; 0)), """")))/T322"),"#DIV/0!")</f>
        <v>#DIV/0!</v>
      </c>
      <c r="V322" s="88">
        <f t="shared" si="40"/>
        <v>0</v>
      </c>
      <c r="W322" s="89"/>
    </row>
    <row r="323" ht="22.5" customHeight="1">
      <c r="A323" s="30"/>
      <c r="B323" s="30"/>
      <c r="C323" s="30"/>
      <c r="D323" s="31"/>
      <c r="E323" s="69"/>
      <c r="F323" s="105"/>
      <c r="G323" s="139"/>
      <c r="H323" s="28"/>
      <c r="I323" s="39"/>
      <c r="J323" s="41"/>
      <c r="K323" s="39"/>
      <c r="L323" s="42"/>
      <c r="M323" s="42"/>
      <c r="N323" s="42"/>
      <c r="O323" s="39"/>
      <c r="P323" s="41"/>
      <c r="Q323" s="39"/>
      <c r="R323" s="46"/>
      <c r="S323" s="46">
        <v>0.67</v>
      </c>
      <c r="T323" s="50">
        <f>IFERROR(__xludf.DUMMYFUNCTION("((IFERROR(MIN(FILTER({K323, N323, Q323}, ISNUMBER({K323, N323, Q323}), {K323, N323, Q323} &gt; 0)), """"))*S323)+IFERROR(MIN(FILTER({K323, N323, Q323}, ISNUMBER({K323, N323, Q323}), {K323, N323, Q323} &gt; 0)), """")"),0.0)</f>
        <v>0</v>
      </c>
      <c r="U323" s="53" t="str">
        <f>IFERROR(__xludf.DUMMYFUNCTION("(T323-(IFERROR(MIN(FILTER({K323, N323, Q323}, ISNUMBER({K323, N323, Q323}), {K323, N323, Q323} &gt; 0)), """")))/T323"),"#DIV/0!")</f>
        <v>#DIV/0!</v>
      </c>
      <c r="V323" s="88">
        <f t="shared" si="40"/>
        <v>0</v>
      </c>
      <c r="W323" s="89"/>
    </row>
    <row r="324" ht="22.5" customHeight="1">
      <c r="A324" s="30"/>
      <c r="B324" s="30"/>
      <c r="C324" s="30"/>
      <c r="D324" s="31"/>
      <c r="E324" s="69"/>
      <c r="F324" s="105"/>
      <c r="G324" s="139"/>
      <c r="H324" s="28"/>
      <c r="I324" s="39"/>
      <c r="J324" s="41"/>
      <c r="K324" s="39"/>
      <c r="L324" s="42"/>
      <c r="M324" s="60"/>
      <c r="N324" s="42"/>
      <c r="O324" s="39"/>
      <c r="P324" s="41"/>
      <c r="Q324" s="39"/>
      <c r="R324" s="46"/>
      <c r="S324" s="46">
        <v>0.67</v>
      </c>
      <c r="T324" s="50">
        <f>IFERROR(__xludf.DUMMYFUNCTION("((IFERROR(MIN(FILTER({K324, N324, Q324}, ISNUMBER({K324, N324, Q324}), {K324, N324, Q324} &gt; 0)), """"))*S324)+IFERROR(MIN(FILTER({K324, N324, Q324}, ISNUMBER({K324, N324, Q324}), {K324, N324, Q324} &gt; 0)), """")"),0.0)</f>
        <v>0</v>
      </c>
      <c r="U324" s="53" t="str">
        <f>IFERROR(__xludf.DUMMYFUNCTION("(T324-(IFERROR(MIN(FILTER({K324, N324, Q324}, ISNUMBER({K324, N324, Q324}), {K324, N324, Q324} &gt; 0)), """")))/T324"),"#DIV/0!")</f>
        <v>#DIV/0!</v>
      </c>
      <c r="V324" s="88">
        <f t="shared" si="40"/>
        <v>0</v>
      </c>
      <c r="W324" s="89"/>
    </row>
    <row r="325" ht="22.5" customHeight="1">
      <c r="A325" s="30"/>
      <c r="B325" s="30"/>
      <c r="C325" s="30"/>
      <c r="D325" s="31"/>
      <c r="E325" s="69"/>
      <c r="F325" s="105"/>
      <c r="G325" s="139"/>
      <c r="H325" s="28"/>
      <c r="I325" s="39"/>
      <c r="J325" s="41"/>
      <c r="K325" s="39"/>
      <c r="L325" s="42"/>
      <c r="M325" s="60"/>
      <c r="N325" s="42"/>
      <c r="O325" s="39"/>
      <c r="P325" s="41"/>
      <c r="Q325" s="39"/>
      <c r="R325" s="46"/>
      <c r="S325" s="46">
        <v>0.67</v>
      </c>
      <c r="T325" s="50">
        <f>IFERROR(__xludf.DUMMYFUNCTION("((IFERROR(MIN(FILTER({K325, N325, Q325}, ISNUMBER({K325, N325, Q325}), {K325, N325, Q325} &gt; 0)), """"))*S325)+IFERROR(MIN(FILTER({K325, N325, Q325}, ISNUMBER({K325, N325, Q325}), {K325, N325, Q325} &gt; 0)), """")"),0.0)</f>
        <v>0</v>
      </c>
      <c r="U325" s="53" t="str">
        <f>IFERROR(__xludf.DUMMYFUNCTION("(T325-(IFERROR(MIN(FILTER({K325, N325, Q325}, ISNUMBER({K325, N325, Q325}), {K325, N325, Q325} &gt; 0)), """")))/T325"),"#DIV/0!")</f>
        <v>#DIV/0!</v>
      </c>
      <c r="V325" s="88">
        <f t="shared" si="40"/>
        <v>0</v>
      </c>
      <c r="W325" s="89"/>
    </row>
    <row r="326" ht="22.5" customHeight="1">
      <c r="A326" s="30"/>
      <c r="B326" s="30"/>
      <c r="C326" s="30"/>
      <c r="D326" s="31"/>
      <c r="E326" s="69"/>
      <c r="F326" s="105"/>
      <c r="G326" s="139"/>
      <c r="H326" s="28"/>
      <c r="I326" s="39"/>
      <c r="J326" s="41"/>
      <c r="K326" s="39"/>
      <c r="L326" s="42"/>
      <c r="M326" s="60"/>
      <c r="N326" s="42"/>
      <c r="O326" s="39"/>
      <c r="P326" s="41"/>
      <c r="Q326" s="39"/>
      <c r="R326" s="46"/>
      <c r="S326" s="46">
        <v>0.67</v>
      </c>
      <c r="T326" s="50">
        <f>IFERROR(__xludf.DUMMYFUNCTION("((IFERROR(MIN(FILTER({K326, N326, Q326}, ISNUMBER({K326, N326, Q326}), {K326, N326, Q326} &gt; 0)), """"))*S326)+IFERROR(MIN(FILTER({K326, N326, Q326}, ISNUMBER({K326, N326, Q326}), {K326, N326, Q326} &gt; 0)), """")"),0.0)</f>
        <v>0</v>
      </c>
      <c r="U326" s="53" t="str">
        <f>IFERROR(__xludf.DUMMYFUNCTION("(T326-(IFERROR(MIN(FILTER({K326, N326, Q326}, ISNUMBER({K326, N326, Q326}), {K326, N326, Q326} &gt; 0)), """")))/T326"),"#DIV/0!")</f>
        <v>#DIV/0!</v>
      </c>
      <c r="V326" s="88">
        <f t="shared" si="40"/>
        <v>0</v>
      </c>
      <c r="W326" s="89"/>
    </row>
    <row r="327" ht="22.5" customHeight="1">
      <c r="A327" s="30"/>
      <c r="B327" s="30"/>
      <c r="C327" s="30"/>
      <c r="D327" s="31"/>
      <c r="E327" s="69"/>
      <c r="F327" s="105"/>
      <c r="G327" s="139"/>
      <c r="H327" s="28"/>
      <c r="I327" s="39"/>
      <c r="J327" s="39"/>
      <c r="K327" s="41"/>
      <c r="L327" s="42"/>
      <c r="M327" s="42"/>
      <c r="N327" s="42"/>
      <c r="O327" s="39"/>
      <c r="P327" s="39"/>
      <c r="Q327" s="39"/>
      <c r="R327" s="46"/>
      <c r="S327" s="46">
        <v>0.67</v>
      </c>
      <c r="T327" s="50">
        <f>IFERROR(__xludf.DUMMYFUNCTION("((IFERROR(MIN(FILTER({K327, N327, Q327}, ISNUMBER({K327, N327, Q327}), {K327, N327, Q327} &gt; 0)), """"))*S327)+IFERROR(MIN(FILTER({K327, N327, Q327}, ISNUMBER({K327, N327, Q327}), {K327, N327, Q327} &gt; 0)), """")"),0.0)</f>
        <v>0</v>
      </c>
      <c r="U327" s="53" t="str">
        <f>IFERROR(__xludf.DUMMYFUNCTION("(T327-(IFERROR(MIN(FILTER({K327, N327, Q327}, ISNUMBER({K327, N327, Q327}), {K327, N327, Q327} &gt; 0)), """")))/T327"),"#DIV/0!")</f>
        <v>#DIV/0!</v>
      </c>
      <c r="V327" s="88">
        <f t="shared" si="40"/>
        <v>0</v>
      </c>
      <c r="W327" s="89"/>
    </row>
    <row r="328" ht="22.5" customHeight="1">
      <c r="A328" s="30"/>
      <c r="B328" s="30"/>
      <c r="C328" s="30"/>
      <c r="D328" s="31"/>
      <c r="E328" s="69"/>
      <c r="F328" s="105"/>
      <c r="G328" s="139"/>
      <c r="H328" s="28"/>
      <c r="I328" s="39"/>
      <c r="J328" s="39"/>
      <c r="K328" s="41"/>
      <c r="L328" s="42"/>
      <c r="M328" s="42"/>
      <c r="N328" s="42"/>
      <c r="O328" s="39"/>
      <c r="P328" s="39"/>
      <c r="Q328" s="39"/>
      <c r="R328" s="46"/>
      <c r="S328" s="46">
        <v>0.67</v>
      </c>
      <c r="T328" s="50">
        <f>IFERROR(__xludf.DUMMYFUNCTION("((IFERROR(MIN(FILTER({K328, N328, Q328}, ISNUMBER({K328, N328, Q328}), {K328, N328, Q328} &gt; 0)), """"))*S328)+IFERROR(MIN(FILTER({K328, N328, Q328}, ISNUMBER({K328, N328, Q328}), {K328, N328, Q328} &gt; 0)), """")"),0.0)</f>
        <v>0</v>
      </c>
      <c r="U328" s="53" t="str">
        <f>IFERROR(__xludf.DUMMYFUNCTION("(T328-(IFERROR(MIN(FILTER({K328, N328, Q328}, ISNUMBER({K328, N328, Q328}), {K328, N328, Q328} &gt; 0)), """")))/T328"),"#DIV/0!")</f>
        <v>#DIV/0!</v>
      </c>
      <c r="V328" s="88">
        <f t="shared" si="40"/>
        <v>0</v>
      </c>
      <c r="W328" s="89"/>
    </row>
    <row r="329" ht="22.5" customHeight="1">
      <c r="A329" s="30"/>
      <c r="B329" s="30"/>
      <c r="C329" s="30"/>
      <c r="D329" s="31"/>
      <c r="E329" s="69"/>
      <c r="F329" s="105"/>
      <c r="G329" s="139"/>
      <c r="H329" s="28"/>
      <c r="I329" s="39"/>
      <c r="J329" s="39"/>
      <c r="K329" s="41"/>
      <c r="L329" s="42"/>
      <c r="M329" s="42"/>
      <c r="N329" s="60"/>
      <c r="O329" s="39"/>
      <c r="P329" s="39"/>
      <c r="Q329" s="41"/>
      <c r="R329" s="46"/>
      <c r="S329" s="46">
        <v>0.67</v>
      </c>
      <c r="T329" s="50">
        <f>IFERROR(__xludf.DUMMYFUNCTION("((IFERROR(MIN(FILTER({K329, N329, Q329}, ISNUMBER({K329, N329, Q329}), {K329, N329, Q329} &gt; 0)), """"))*S329)+IFERROR(MIN(FILTER({K329, N329, Q329}, ISNUMBER({K329, N329, Q329}), {K329, N329, Q329} &gt; 0)), """")"),0.0)</f>
        <v>0</v>
      </c>
      <c r="U329" s="53" t="str">
        <f>IFERROR(__xludf.DUMMYFUNCTION("(T329-(IFERROR(MIN(FILTER({K329, N329, Q329}, ISNUMBER({K329, N329, Q329}), {K329, N329, Q329} &gt; 0)), """")))/T329"),"#DIV/0!")</f>
        <v>#DIV/0!</v>
      </c>
      <c r="V329" s="88">
        <f t="shared" si="40"/>
        <v>0</v>
      </c>
      <c r="W329" s="89"/>
    </row>
    <row r="330" ht="22.5" customHeight="1">
      <c r="A330" s="30"/>
      <c r="B330" s="30"/>
      <c r="C330" s="30"/>
      <c r="D330" s="31"/>
      <c r="E330" s="69"/>
      <c r="F330" s="105"/>
      <c r="G330" s="139"/>
      <c r="H330" s="28"/>
      <c r="I330" s="39"/>
      <c r="J330" s="39"/>
      <c r="K330" s="41"/>
      <c r="L330" s="42"/>
      <c r="M330" s="42"/>
      <c r="N330" s="42"/>
      <c r="O330" s="39"/>
      <c r="P330" s="39"/>
      <c r="Q330" s="39"/>
      <c r="R330" s="46"/>
      <c r="S330" s="46">
        <v>0.67</v>
      </c>
      <c r="T330" s="50">
        <f>IFERROR(__xludf.DUMMYFUNCTION("((IFERROR(MIN(FILTER({K330, N330, Q330}, ISNUMBER({K330, N330, Q330}), {K330, N330, Q330} &gt; 0)), """"))*S330)+IFERROR(MIN(FILTER({K330, N330, Q330}, ISNUMBER({K330, N330, Q330}), {K330, N330, Q330} &gt; 0)), """")"),0.0)</f>
        <v>0</v>
      </c>
      <c r="U330" s="53" t="str">
        <f>IFERROR(__xludf.DUMMYFUNCTION("(T330-(IFERROR(MIN(FILTER({K330, N330, Q330}, ISNUMBER({K330, N330, Q330}), {K330, N330, Q330} &gt; 0)), """")))/T330"),"#DIV/0!")</f>
        <v>#DIV/0!</v>
      </c>
      <c r="V330" s="88">
        <f t="shared" si="40"/>
        <v>0</v>
      </c>
      <c r="W330" s="89"/>
    </row>
    <row r="331" ht="22.5" customHeight="1">
      <c r="A331" s="30"/>
      <c r="B331" s="30"/>
      <c r="C331" s="30"/>
      <c r="D331" s="31"/>
      <c r="E331" s="69"/>
      <c r="F331" s="105"/>
      <c r="G331" s="139"/>
      <c r="H331" s="28"/>
      <c r="I331" s="39"/>
      <c r="J331" s="39"/>
      <c r="K331" s="41"/>
      <c r="L331" s="42"/>
      <c r="M331" s="42"/>
      <c r="N331" s="42"/>
      <c r="O331" s="39"/>
      <c r="P331" s="39"/>
      <c r="Q331" s="39"/>
      <c r="R331" s="46"/>
      <c r="S331" s="46">
        <v>0.67</v>
      </c>
      <c r="T331" s="50">
        <f>IFERROR(__xludf.DUMMYFUNCTION("((IFERROR(MIN(FILTER({K331, N331, Q331}, ISNUMBER({K331, N331, Q331}), {K331, N331, Q331} &gt; 0)), """"))*S331)+IFERROR(MIN(FILTER({K331, N331, Q331}, ISNUMBER({K331, N331, Q331}), {K331, N331, Q331} &gt; 0)), """")"),0.0)</f>
        <v>0</v>
      </c>
      <c r="U331" s="53" t="str">
        <f>IFERROR(__xludf.DUMMYFUNCTION("(T331-(IFERROR(MIN(FILTER({K331, N331, Q331}, ISNUMBER({K331, N331, Q331}), {K331, N331, Q331} &gt; 0)), """")))/T331"),"#DIV/0!")</f>
        <v>#DIV/0!</v>
      </c>
      <c r="V331" s="88">
        <f t="shared" si="40"/>
        <v>0</v>
      </c>
      <c r="W331" s="89"/>
    </row>
    <row r="332" ht="22.5" customHeight="1">
      <c r="A332" s="30"/>
      <c r="B332" s="30"/>
      <c r="C332" s="30"/>
      <c r="D332" s="31"/>
      <c r="E332" s="69"/>
      <c r="F332" s="105"/>
      <c r="G332" s="139"/>
      <c r="H332" s="28"/>
      <c r="I332" s="39"/>
      <c r="J332" s="39"/>
      <c r="K332" s="41"/>
      <c r="L332" s="42"/>
      <c r="M332" s="42"/>
      <c r="N332" s="42"/>
      <c r="O332" s="39"/>
      <c r="P332" s="39"/>
      <c r="Q332" s="39"/>
      <c r="R332" s="46"/>
      <c r="S332" s="46">
        <v>0.67</v>
      </c>
      <c r="T332" s="50">
        <f>IFERROR(__xludf.DUMMYFUNCTION("((IFERROR(MIN(FILTER({K332, N332, Q332}, ISNUMBER({K332, N332, Q332}), {K332, N332, Q332} &gt; 0)), """"))*S332)+IFERROR(MIN(FILTER({K332, N332, Q332}, ISNUMBER({K332, N332, Q332}), {K332, N332, Q332} &gt; 0)), """")"),0.0)</f>
        <v>0</v>
      </c>
      <c r="U332" s="53" t="str">
        <f>IFERROR(__xludf.DUMMYFUNCTION("(T332-(IFERROR(MIN(FILTER({K332, N332, Q332}, ISNUMBER({K332, N332, Q332}), {K332, N332, Q332} &gt; 0)), """")))/T332"),"#DIV/0!")</f>
        <v>#DIV/0!</v>
      </c>
      <c r="V332" s="88">
        <f t="shared" si="40"/>
        <v>0</v>
      </c>
      <c r="W332" s="89"/>
    </row>
    <row r="333" ht="22.5" customHeight="1">
      <c r="A333" s="30"/>
      <c r="B333" s="30"/>
      <c r="C333" s="30"/>
      <c r="D333" s="31"/>
      <c r="E333" s="69"/>
      <c r="F333" s="105"/>
      <c r="G333" s="139"/>
      <c r="H333" s="28"/>
      <c r="I333" s="39"/>
      <c r="J333" s="39"/>
      <c r="K333" s="41"/>
      <c r="L333" s="42"/>
      <c r="M333" s="42"/>
      <c r="N333" s="42"/>
      <c r="O333" s="39"/>
      <c r="P333" s="39"/>
      <c r="Q333" s="39"/>
      <c r="R333" s="46"/>
      <c r="S333" s="46">
        <v>0.67</v>
      </c>
      <c r="T333" s="50">
        <f>IFERROR(__xludf.DUMMYFUNCTION("((IFERROR(MIN(FILTER({K333, N333, Q333}, ISNUMBER({K333, N333, Q333}), {K333, N333, Q333} &gt; 0)), """"))*S333)+IFERROR(MIN(FILTER({K333, N333, Q333}, ISNUMBER({K333, N333, Q333}), {K333, N333, Q333} &gt; 0)), """")"),0.0)</f>
        <v>0</v>
      </c>
      <c r="U333" s="53" t="str">
        <f>IFERROR(__xludf.DUMMYFUNCTION("(T333-(IFERROR(MIN(FILTER({K333, N333, Q333}, ISNUMBER({K333, N333, Q333}), {K333, N333, Q333} &gt; 0)), """")))/T333"),"#DIV/0!")</f>
        <v>#DIV/0!</v>
      </c>
      <c r="V333" s="88">
        <f t="shared" si="40"/>
        <v>0</v>
      </c>
      <c r="W333" s="89"/>
    </row>
    <row r="334" ht="22.5" customHeight="1">
      <c r="A334" s="30"/>
      <c r="B334" s="30"/>
      <c r="C334" s="30"/>
      <c r="D334" s="31"/>
      <c r="E334" s="69"/>
      <c r="F334" s="105"/>
      <c r="G334" s="139"/>
      <c r="H334" s="28"/>
      <c r="I334" s="39"/>
      <c r="J334" s="39"/>
      <c r="K334" s="41"/>
      <c r="L334" s="42"/>
      <c r="M334" s="42"/>
      <c r="N334" s="42"/>
      <c r="O334" s="39"/>
      <c r="P334" s="39"/>
      <c r="Q334" s="39"/>
      <c r="R334" s="46"/>
      <c r="S334" s="46">
        <v>0.67</v>
      </c>
      <c r="T334" s="50">
        <f>IFERROR(__xludf.DUMMYFUNCTION("((IFERROR(MIN(FILTER({K334, N334, Q334}, ISNUMBER({K334, N334, Q334}), {K334, N334, Q334} &gt; 0)), """"))*S334)+IFERROR(MIN(FILTER({K334, N334, Q334}, ISNUMBER({K334, N334, Q334}), {K334, N334, Q334} &gt; 0)), """")"),0.0)</f>
        <v>0</v>
      </c>
      <c r="U334" s="53" t="str">
        <f>IFERROR(__xludf.DUMMYFUNCTION("(T334-(IFERROR(MIN(FILTER({K334, N334, Q334}, ISNUMBER({K334, N334, Q334}), {K334, N334, Q334} &gt; 0)), """")))/T334"),"#DIV/0!")</f>
        <v>#DIV/0!</v>
      </c>
      <c r="V334" s="88">
        <f t="shared" si="40"/>
        <v>0</v>
      </c>
      <c r="W334" s="89"/>
    </row>
    <row r="335" ht="22.5" customHeight="1">
      <c r="A335" s="30"/>
      <c r="B335" s="30"/>
      <c r="C335" s="30"/>
      <c r="D335" s="31"/>
      <c r="E335" s="69"/>
      <c r="F335" s="105"/>
      <c r="G335" s="139"/>
      <c r="H335" s="28"/>
      <c r="I335" s="39"/>
      <c r="J335" s="39"/>
      <c r="K335" s="41"/>
      <c r="L335" s="42"/>
      <c r="M335" s="42"/>
      <c r="N335" s="42"/>
      <c r="O335" s="39"/>
      <c r="P335" s="39"/>
      <c r="Q335" s="39"/>
      <c r="R335" s="46"/>
      <c r="S335" s="46">
        <v>0.67</v>
      </c>
      <c r="T335" s="50">
        <f>IFERROR(__xludf.DUMMYFUNCTION("((IFERROR(MIN(FILTER({K335, N335, Q335}, ISNUMBER({K335, N335, Q335}), {K335, N335, Q335} &gt; 0)), """"))*S335)+IFERROR(MIN(FILTER({K335, N335, Q335}, ISNUMBER({K335, N335, Q335}), {K335, N335, Q335} &gt; 0)), """")"),0.0)</f>
        <v>0</v>
      </c>
      <c r="U335" s="53" t="str">
        <f>IFERROR(__xludf.DUMMYFUNCTION("(T335-(IFERROR(MIN(FILTER({K335, N335, Q335}, ISNUMBER({K335, N335, Q335}), {K335, N335, Q335} &gt; 0)), """")))/T335"),"#DIV/0!")</f>
        <v>#DIV/0!</v>
      </c>
      <c r="V335" s="88">
        <f t="shared" si="40"/>
        <v>0</v>
      </c>
      <c r="W335" s="89"/>
    </row>
    <row r="336" ht="22.5" customHeight="1">
      <c r="A336" s="30"/>
      <c r="B336" s="30"/>
      <c r="C336" s="30"/>
      <c r="D336" s="31"/>
      <c r="E336" s="69"/>
      <c r="F336" s="105"/>
      <c r="G336" s="139"/>
      <c r="H336" s="28"/>
      <c r="I336" s="39"/>
      <c r="J336" s="39"/>
      <c r="K336" s="41"/>
      <c r="L336" s="42"/>
      <c r="M336" s="42"/>
      <c r="N336" s="42"/>
      <c r="O336" s="39"/>
      <c r="P336" s="39"/>
      <c r="Q336" s="39"/>
      <c r="R336" s="46"/>
      <c r="S336" s="46">
        <v>0.67</v>
      </c>
      <c r="T336" s="50">
        <f>IFERROR(__xludf.DUMMYFUNCTION("((IFERROR(MIN(FILTER({K336, N336, Q336}, ISNUMBER({K336, N336, Q336}), {K336, N336, Q336} &gt; 0)), """"))*S336)+IFERROR(MIN(FILTER({K336, N336, Q336}, ISNUMBER({K336, N336, Q336}), {K336, N336, Q336} &gt; 0)), """")"),0.0)</f>
        <v>0</v>
      </c>
      <c r="U336" s="53" t="str">
        <f>IFERROR(__xludf.DUMMYFUNCTION("(T336-(IFERROR(MIN(FILTER({K336, N336, Q336}, ISNUMBER({K336, N336, Q336}), {K336, N336, Q336} &gt; 0)), """")))/T336"),"#DIV/0!")</f>
        <v>#DIV/0!</v>
      </c>
      <c r="V336" s="88">
        <f t="shared" si="40"/>
        <v>0</v>
      </c>
      <c r="W336" s="89"/>
    </row>
    <row r="337" ht="22.5" customHeight="1">
      <c r="A337" s="30"/>
      <c r="B337" s="30"/>
      <c r="C337" s="30"/>
      <c r="D337" s="31"/>
      <c r="E337" s="69"/>
      <c r="F337" s="105"/>
      <c r="G337" s="139"/>
      <c r="H337" s="28"/>
      <c r="I337" s="39"/>
      <c r="J337" s="39"/>
      <c r="K337" s="41"/>
      <c r="L337" s="42"/>
      <c r="M337" s="42"/>
      <c r="N337" s="42"/>
      <c r="O337" s="39"/>
      <c r="P337" s="39"/>
      <c r="Q337" s="39"/>
      <c r="R337" s="46"/>
      <c r="S337" s="46">
        <v>0.67</v>
      </c>
      <c r="T337" s="50">
        <f>IFERROR(__xludf.DUMMYFUNCTION("((IFERROR(MIN(FILTER({K337, N337, Q337}, ISNUMBER({K337, N337, Q337}), {K337, N337, Q337} &gt; 0)), """"))*S337)+IFERROR(MIN(FILTER({K337, N337, Q337}, ISNUMBER({K337, N337, Q337}), {K337, N337, Q337} &gt; 0)), """")"),0.0)</f>
        <v>0</v>
      </c>
      <c r="U337" s="53" t="str">
        <f>IFERROR(__xludf.DUMMYFUNCTION("(T337-(IFERROR(MIN(FILTER({K337, N337, Q337}, ISNUMBER({K337, N337, Q337}), {K337, N337, Q337} &gt; 0)), """")))/T337"),"#DIV/0!")</f>
        <v>#DIV/0!</v>
      </c>
      <c r="V337" s="88">
        <f t="shared" si="40"/>
        <v>0</v>
      </c>
      <c r="W337" s="89"/>
    </row>
    <row r="338" ht="22.5" customHeight="1">
      <c r="A338" s="30"/>
      <c r="B338" s="30"/>
      <c r="C338" s="30"/>
      <c r="D338" s="31"/>
      <c r="E338" s="69"/>
      <c r="F338" s="105"/>
      <c r="G338" s="139"/>
      <c r="H338" s="28"/>
      <c r="I338" s="39"/>
      <c r="J338" s="39"/>
      <c r="K338" s="41"/>
      <c r="L338" s="42"/>
      <c r="M338" s="42"/>
      <c r="N338" s="42"/>
      <c r="O338" s="39"/>
      <c r="P338" s="39"/>
      <c r="Q338" s="39"/>
      <c r="R338" s="46"/>
      <c r="S338" s="46">
        <v>0.67</v>
      </c>
      <c r="T338" s="50">
        <f>IFERROR(__xludf.DUMMYFUNCTION("((IFERROR(MIN(FILTER({K338, N338, Q338}, ISNUMBER({K338, N338, Q338}), {K338, N338, Q338} &gt; 0)), """"))*S338)+IFERROR(MIN(FILTER({K338, N338, Q338}, ISNUMBER({K338, N338, Q338}), {K338, N338, Q338} &gt; 0)), """")"),0.0)</f>
        <v>0</v>
      </c>
      <c r="U338" s="53" t="str">
        <f>IFERROR(__xludf.DUMMYFUNCTION("(T338-(IFERROR(MIN(FILTER({K338, N338, Q338}, ISNUMBER({K338, N338, Q338}), {K338, N338, Q338} &gt; 0)), """")))/T338"),"#DIV/0!")</f>
        <v>#DIV/0!</v>
      </c>
      <c r="V338" s="88">
        <f t="shared" si="40"/>
        <v>0</v>
      </c>
      <c r="W338" s="89"/>
    </row>
    <row r="339" ht="22.5" customHeight="1">
      <c r="A339" s="30"/>
      <c r="B339" s="30"/>
      <c r="C339" s="30"/>
      <c r="D339" s="31"/>
      <c r="E339" s="69"/>
      <c r="F339" s="105"/>
      <c r="G339" s="139"/>
      <c r="H339" s="28"/>
      <c r="I339" s="39"/>
      <c r="J339" s="39"/>
      <c r="K339" s="41"/>
      <c r="L339" s="42"/>
      <c r="M339" s="42"/>
      <c r="N339" s="42"/>
      <c r="O339" s="39"/>
      <c r="P339" s="39"/>
      <c r="Q339" s="39"/>
      <c r="R339" s="46"/>
      <c r="S339" s="46">
        <v>0.67</v>
      </c>
      <c r="T339" s="50">
        <f>IFERROR(__xludf.DUMMYFUNCTION("((IFERROR(MIN(FILTER({K339, N339, Q339}, ISNUMBER({K339, N339, Q339}), {K339, N339, Q339} &gt; 0)), """"))*S339)+IFERROR(MIN(FILTER({K339, N339, Q339}, ISNUMBER({K339, N339, Q339}), {K339, N339, Q339} &gt; 0)), """")"),0.0)</f>
        <v>0</v>
      </c>
      <c r="U339" s="53" t="str">
        <f>IFERROR(__xludf.DUMMYFUNCTION("(T339-(IFERROR(MIN(FILTER({K339, N339, Q339}, ISNUMBER({K339, N339, Q339}), {K339, N339, Q339} &gt; 0)), """")))/T339"),"#DIV/0!")</f>
        <v>#DIV/0!</v>
      </c>
      <c r="V339" s="88">
        <f t="shared" si="40"/>
        <v>0</v>
      </c>
      <c r="W339" s="89"/>
    </row>
    <row r="340" ht="22.5" customHeight="1">
      <c r="A340" s="30"/>
      <c r="B340" s="30"/>
      <c r="C340" s="30"/>
      <c r="D340" s="31"/>
      <c r="E340" s="69"/>
      <c r="F340" s="105"/>
      <c r="G340" s="139"/>
      <c r="H340" s="28"/>
      <c r="I340" s="39"/>
      <c r="J340" s="39"/>
      <c r="K340" s="41"/>
      <c r="L340" s="42"/>
      <c r="M340" s="42"/>
      <c r="N340" s="42"/>
      <c r="O340" s="39"/>
      <c r="P340" s="39"/>
      <c r="Q340" s="39"/>
      <c r="R340" s="46"/>
      <c r="S340" s="46">
        <v>0.67</v>
      </c>
      <c r="T340" s="50">
        <f>IFERROR(__xludf.DUMMYFUNCTION("((IFERROR(MIN(FILTER({K340, N340, Q340}, ISNUMBER({K340, N340, Q340}), {K340, N340, Q340} &gt; 0)), """"))*S340)+IFERROR(MIN(FILTER({K340, N340, Q340}, ISNUMBER({K340, N340, Q340}), {K340, N340, Q340} &gt; 0)), """")"),0.0)</f>
        <v>0</v>
      </c>
      <c r="U340" s="53" t="str">
        <f>IFERROR(__xludf.DUMMYFUNCTION("(T340-(IFERROR(MIN(FILTER({K340, N340, Q340}, ISNUMBER({K340, N340, Q340}), {K340, N340, Q340} &gt; 0)), """")))/T340"),"#DIV/0!")</f>
        <v>#DIV/0!</v>
      </c>
      <c r="V340" s="88">
        <f t="shared" si="40"/>
        <v>0</v>
      </c>
      <c r="W340" s="89"/>
    </row>
    <row r="341" ht="22.5" customHeight="1">
      <c r="A341" s="30"/>
      <c r="B341" s="30"/>
      <c r="C341" s="30"/>
      <c r="D341" s="31"/>
      <c r="E341" s="69"/>
      <c r="F341" s="105"/>
      <c r="G341" s="139"/>
      <c r="H341" s="28"/>
      <c r="I341" s="39"/>
      <c r="J341" s="39"/>
      <c r="K341" s="41"/>
      <c r="L341" s="42"/>
      <c r="M341" s="42"/>
      <c r="N341" s="42"/>
      <c r="O341" s="39"/>
      <c r="P341" s="39"/>
      <c r="Q341" s="39"/>
      <c r="R341" s="46"/>
      <c r="S341" s="46">
        <v>0.67</v>
      </c>
      <c r="T341" s="50">
        <f>IFERROR(__xludf.DUMMYFUNCTION("((IFERROR(MIN(FILTER({K341, N341, Q341}, ISNUMBER({K341, N341, Q341}), {K341, N341, Q341} &gt; 0)), """"))*S341)+IFERROR(MIN(FILTER({K341, N341, Q341}, ISNUMBER({K341, N341, Q341}), {K341, N341, Q341} &gt; 0)), """")"),0.0)</f>
        <v>0</v>
      </c>
      <c r="U341" s="53" t="str">
        <f>IFERROR(__xludf.DUMMYFUNCTION("(T341-(IFERROR(MIN(FILTER({K341, N341, Q341}, ISNUMBER({K341, N341, Q341}), {K341, N341, Q341} &gt; 0)), """")))/T341"),"#DIV/0!")</f>
        <v>#DIV/0!</v>
      </c>
      <c r="V341" s="88">
        <f t="shared" si="40"/>
        <v>0</v>
      </c>
      <c r="W341" s="89"/>
    </row>
    <row r="342" ht="22.5" customHeight="1">
      <c r="A342" s="30"/>
      <c r="B342" s="30"/>
      <c r="C342" s="30"/>
      <c r="D342" s="31"/>
      <c r="E342" s="69"/>
      <c r="F342" s="105"/>
      <c r="G342" s="139"/>
      <c r="H342" s="28"/>
      <c r="I342" s="39"/>
      <c r="J342" s="39"/>
      <c r="K342" s="41"/>
      <c r="L342" s="42"/>
      <c r="M342" s="42"/>
      <c r="N342" s="42"/>
      <c r="O342" s="39"/>
      <c r="P342" s="39"/>
      <c r="Q342" s="39"/>
      <c r="R342" s="46"/>
      <c r="S342" s="46">
        <v>0.67</v>
      </c>
      <c r="T342" s="50">
        <f>IFERROR(__xludf.DUMMYFUNCTION("((IFERROR(MIN(FILTER({K342, N342, Q342}, ISNUMBER({K342, N342, Q342}), {K342, N342, Q342} &gt; 0)), """"))*S342)+IFERROR(MIN(FILTER({K342, N342, Q342}, ISNUMBER({K342, N342, Q342}), {K342, N342, Q342} &gt; 0)), """")"),0.0)</f>
        <v>0</v>
      </c>
      <c r="U342" s="53" t="str">
        <f>IFERROR(__xludf.DUMMYFUNCTION("(T342-(IFERROR(MIN(FILTER({K342, N342, Q342}, ISNUMBER({K342, N342, Q342}), {K342, N342, Q342} &gt; 0)), """")))/T342"),"#DIV/0!")</f>
        <v>#DIV/0!</v>
      </c>
      <c r="V342" s="88">
        <f t="shared" si="40"/>
        <v>0</v>
      </c>
      <c r="W342" s="89"/>
    </row>
    <row r="343" ht="22.5" customHeight="1">
      <c r="A343" s="30"/>
      <c r="B343" s="30"/>
      <c r="C343" s="30"/>
      <c r="D343" s="31"/>
      <c r="E343" s="69"/>
      <c r="F343" s="105"/>
      <c r="G343" s="139"/>
      <c r="H343" s="28"/>
      <c r="I343" s="39"/>
      <c r="J343" s="39"/>
      <c r="K343" s="41"/>
      <c r="L343" s="42"/>
      <c r="M343" s="42"/>
      <c r="N343" s="42"/>
      <c r="O343" s="39"/>
      <c r="P343" s="39"/>
      <c r="Q343" s="39"/>
      <c r="R343" s="46"/>
      <c r="S343" s="46">
        <v>0.67</v>
      </c>
      <c r="T343" s="50">
        <f>IFERROR(__xludf.DUMMYFUNCTION("((IFERROR(MIN(FILTER({K343, N343, Q343}, ISNUMBER({K343, N343, Q343}), {K343, N343, Q343} &gt; 0)), """"))*S343)+IFERROR(MIN(FILTER({K343, N343, Q343}, ISNUMBER({K343, N343, Q343}), {K343, N343, Q343} &gt; 0)), """")"),0.0)</f>
        <v>0</v>
      </c>
      <c r="U343" s="53" t="str">
        <f>IFERROR(__xludf.DUMMYFUNCTION("(T343-(IFERROR(MIN(FILTER({K343, N343, Q343}, ISNUMBER({K343, N343, Q343}), {K343, N343, Q343} &gt; 0)), """")))/T343"),"#DIV/0!")</f>
        <v>#DIV/0!</v>
      </c>
      <c r="V343" s="88">
        <f t="shared" si="40"/>
        <v>0</v>
      </c>
      <c r="W343" s="89"/>
    </row>
    <row r="344" ht="22.5" customHeight="1">
      <c r="A344" s="30"/>
      <c r="B344" s="30"/>
      <c r="C344" s="30"/>
      <c r="D344" s="31"/>
      <c r="E344" s="69"/>
      <c r="F344" s="105"/>
      <c r="G344" s="139"/>
      <c r="H344" s="28"/>
      <c r="I344" s="39"/>
      <c r="J344" s="39"/>
      <c r="K344" s="41"/>
      <c r="L344" s="42"/>
      <c r="M344" s="42"/>
      <c r="N344" s="42"/>
      <c r="O344" s="39"/>
      <c r="P344" s="39"/>
      <c r="Q344" s="39"/>
      <c r="R344" s="46"/>
      <c r="S344" s="46">
        <v>0.67</v>
      </c>
      <c r="T344" s="50">
        <f>IFERROR(__xludf.DUMMYFUNCTION("((IFERROR(MIN(FILTER({K344, N344, Q344}, ISNUMBER({K344, N344, Q344}), {K344, N344, Q344} &gt; 0)), """"))*S344)+IFERROR(MIN(FILTER({K344, N344, Q344}, ISNUMBER({K344, N344, Q344}), {K344, N344, Q344} &gt; 0)), """")"),0.0)</f>
        <v>0</v>
      </c>
      <c r="U344" s="53" t="str">
        <f>IFERROR(__xludf.DUMMYFUNCTION("(T344-(IFERROR(MIN(FILTER({K344, N344, Q344}, ISNUMBER({K344, N344, Q344}), {K344, N344, Q344} &gt; 0)), """")))/T344"),"#DIV/0!")</f>
        <v>#DIV/0!</v>
      </c>
      <c r="V344" s="88">
        <f t="shared" si="40"/>
        <v>0</v>
      </c>
      <c r="W344" s="89"/>
    </row>
    <row r="345" ht="22.5" customHeight="1">
      <c r="A345" s="30"/>
      <c r="B345" s="30"/>
      <c r="C345" s="30"/>
      <c r="D345" s="31"/>
      <c r="E345" s="69"/>
      <c r="F345" s="105"/>
      <c r="G345" s="139"/>
      <c r="H345" s="28"/>
      <c r="I345" s="39"/>
      <c r="J345" s="39"/>
      <c r="K345" s="41"/>
      <c r="L345" s="42"/>
      <c r="M345" s="42"/>
      <c r="N345" s="60"/>
      <c r="O345" s="39"/>
      <c r="P345" s="39"/>
      <c r="Q345" s="41"/>
      <c r="R345" s="46"/>
      <c r="S345" s="46">
        <v>0.67</v>
      </c>
      <c r="T345" s="50">
        <f>IFERROR(__xludf.DUMMYFUNCTION("((IFERROR(MIN(FILTER({K345, N345, Q345}, ISNUMBER({K345, N345, Q345}), {K345, N345, Q345} &gt; 0)), """"))*S345)+IFERROR(MIN(FILTER({K345, N345, Q345}, ISNUMBER({K345, N345, Q345}), {K345, N345, Q345} &gt; 0)), """")"),0.0)</f>
        <v>0</v>
      </c>
      <c r="U345" s="53" t="str">
        <f>IFERROR(__xludf.DUMMYFUNCTION("(T345-(IFERROR(MIN(FILTER({K345, N345, Q345}, ISNUMBER({K345, N345, Q345}), {K345, N345, Q345} &gt; 0)), """")))/T345"),"#DIV/0!")</f>
        <v>#DIV/0!</v>
      </c>
      <c r="V345" s="88">
        <f t="shared" si="40"/>
        <v>0</v>
      </c>
      <c r="W345" s="89"/>
    </row>
    <row r="346" ht="22.5" customHeight="1">
      <c r="A346" s="30"/>
      <c r="B346" s="30"/>
      <c r="C346" s="30"/>
      <c r="D346" s="31"/>
      <c r="E346" s="69"/>
      <c r="F346" s="105"/>
      <c r="G346" s="139"/>
      <c r="H346" s="28"/>
      <c r="I346" s="39"/>
      <c r="J346" s="39"/>
      <c r="K346" s="41"/>
      <c r="L346" s="42"/>
      <c r="M346" s="42"/>
      <c r="N346" s="60"/>
      <c r="O346" s="39"/>
      <c r="P346" s="39"/>
      <c r="Q346" s="41"/>
      <c r="R346" s="46"/>
      <c r="S346" s="46">
        <v>0.67</v>
      </c>
      <c r="T346" s="50">
        <f>IFERROR(__xludf.DUMMYFUNCTION("((IFERROR(MIN(FILTER({K346, N346, Q346}, ISNUMBER({K346, N346, Q346}), {K346, N346, Q346} &gt; 0)), """"))*S346)+IFERROR(MIN(FILTER({K346, N346, Q346}, ISNUMBER({K346, N346, Q346}), {K346, N346, Q346} &gt; 0)), """")"),0.0)</f>
        <v>0</v>
      </c>
      <c r="U346" s="53" t="str">
        <f>IFERROR(__xludf.DUMMYFUNCTION("(T346-(IFERROR(MIN(FILTER({K346, N346, Q346}, ISNUMBER({K346, N346, Q346}), {K346, N346, Q346} &gt; 0)), """")))/T346"),"#DIV/0!")</f>
        <v>#DIV/0!</v>
      </c>
      <c r="V346" s="88">
        <f t="shared" si="40"/>
        <v>0</v>
      </c>
      <c r="W346" s="89"/>
    </row>
    <row r="347" ht="22.5" customHeight="1">
      <c r="A347" s="30"/>
      <c r="B347" s="30"/>
      <c r="C347" s="30"/>
      <c r="D347" s="31"/>
      <c r="E347" s="69"/>
      <c r="F347" s="105"/>
      <c r="G347" s="139"/>
      <c r="H347" s="28"/>
      <c r="I347" s="39"/>
      <c r="J347" s="39"/>
      <c r="K347" s="41"/>
      <c r="L347" s="42"/>
      <c r="M347" s="42"/>
      <c r="N347" s="60"/>
      <c r="O347" s="39"/>
      <c r="P347" s="39"/>
      <c r="Q347" s="41"/>
      <c r="R347" s="46"/>
      <c r="S347" s="46">
        <v>0.67</v>
      </c>
      <c r="T347" s="50">
        <f>IFERROR(__xludf.DUMMYFUNCTION("((IFERROR(MIN(FILTER({K347, N347, Q347}, ISNUMBER({K347, N347, Q347}), {K347, N347, Q347} &gt; 0)), """"))*S347)+IFERROR(MIN(FILTER({K347, N347, Q347}, ISNUMBER({K347, N347, Q347}), {K347, N347, Q347} &gt; 0)), """")"),0.0)</f>
        <v>0</v>
      </c>
      <c r="U347" s="53" t="str">
        <f>IFERROR(__xludf.DUMMYFUNCTION("(T347-(IFERROR(MIN(FILTER({K347, N347, Q347}, ISNUMBER({K347, N347, Q347}), {K347, N347, Q347} &gt; 0)), """")))/T347"),"#DIV/0!")</f>
        <v>#DIV/0!</v>
      </c>
      <c r="V347" s="88">
        <f t="shared" si="40"/>
        <v>0</v>
      </c>
      <c r="W347" s="89"/>
    </row>
    <row r="348" ht="22.5" customHeight="1">
      <c r="A348" s="30"/>
      <c r="B348" s="30"/>
      <c r="C348" s="30"/>
      <c r="D348" s="31"/>
      <c r="E348" s="69"/>
      <c r="F348" s="105"/>
      <c r="G348" s="139"/>
      <c r="H348" s="28"/>
      <c r="I348" s="39"/>
      <c r="J348" s="39"/>
      <c r="K348" s="41"/>
      <c r="L348" s="42"/>
      <c r="M348" s="42"/>
      <c r="N348" s="60"/>
      <c r="O348" s="39"/>
      <c r="P348" s="39"/>
      <c r="Q348" s="41"/>
      <c r="R348" s="46"/>
      <c r="S348" s="46">
        <v>0.67</v>
      </c>
      <c r="T348" s="50">
        <f>IFERROR(__xludf.DUMMYFUNCTION("((IFERROR(MIN(FILTER({K348, N348, Q348}, ISNUMBER({K348, N348, Q348}), {K348, N348, Q348} &gt; 0)), """"))*S348)+IFERROR(MIN(FILTER({K348, N348, Q348}, ISNUMBER({K348, N348, Q348}), {K348, N348, Q348} &gt; 0)), """")"),0.0)</f>
        <v>0</v>
      </c>
      <c r="U348" s="53" t="str">
        <f>IFERROR(__xludf.DUMMYFUNCTION("(T348-(IFERROR(MIN(FILTER({K348, N348, Q348}, ISNUMBER({K348, N348, Q348}), {K348, N348, Q348} &gt; 0)), """")))/T348"),"#DIV/0!")</f>
        <v>#DIV/0!</v>
      </c>
      <c r="V348" s="88">
        <f t="shared" si="40"/>
        <v>0</v>
      </c>
      <c r="W348" s="89"/>
    </row>
    <row r="349" ht="22.5" customHeight="1">
      <c r="A349" s="30"/>
      <c r="B349" s="30"/>
      <c r="C349" s="30"/>
      <c r="D349" s="31"/>
      <c r="E349" s="69"/>
      <c r="F349" s="105"/>
      <c r="G349" s="139"/>
      <c r="H349" s="28"/>
      <c r="I349" s="39"/>
      <c r="J349" s="39"/>
      <c r="K349" s="41"/>
      <c r="L349" s="42"/>
      <c r="M349" s="42"/>
      <c r="N349" s="60"/>
      <c r="O349" s="39"/>
      <c r="P349" s="39"/>
      <c r="Q349" s="41"/>
      <c r="R349" s="46"/>
      <c r="S349" s="46">
        <v>0.67</v>
      </c>
      <c r="T349" s="50">
        <f>IFERROR(__xludf.DUMMYFUNCTION("((IFERROR(MIN(FILTER({K349, N349, Q349}, ISNUMBER({K349, N349, Q349}), {K349, N349, Q349} &gt; 0)), """"))*S349)+IFERROR(MIN(FILTER({K349, N349, Q349}, ISNUMBER({K349, N349, Q349}), {K349, N349, Q349} &gt; 0)), """")"),0.0)</f>
        <v>0</v>
      </c>
      <c r="U349" s="53" t="str">
        <f>IFERROR(__xludf.DUMMYFUNCTION("(T349-(IFERROR(MIN(FILTER({K349, N349, Q349}, ISNUMBER({K349, N349, Q349}), {K349, N349, Q349} &gt; 0)), """")))/T349"),"#DIV/0!")</f>
        <v>#DIV/0!</v>
      </c>
      <c r="V349" s="88">
        <f t="shared" si="40"/>
        <v>0</v>
      </c>
      <c r="W349" s="89"/>
    </row>
    <row r="350" ht="22.5" customHeight="1">
      <c r="A350" s="30"/>
      <c r="B350" s="30"/>
      <c r="C350" s="30"/>
      <c r="D350" s="31"/>
      <c r="E350" s="69"/>
      <c r="F350" s="105"/>
      <c r="G350" s="139"/>
      <c r="H350" s="28"/>
      <c r="I350" s="39"/>
      <c r="J350" s="39"/>
      <c r="K350" s="41"/>
      <c r="L350" s="42"/>
      <c r="M350" s="42"/>
      <c r="N350" s="60"/>
      <c r="O350" s="39"/>
      <c r="P350" s="39"/>
      <c r="Q350" s="41"/>
      <c r="R350" s="46"/>
      <c r="S350" s="46">
        <v>0.67</v>
      </c>
      <c r="T350" s="50">
        <f>IFERROR(__xludf.DUMMYFUNCTION("((IFERROR(MIN(FILTER({K350, N350, Q350}, ISNUMBER({K350, N350, Q350}), {K350, N350, Q350} &gt; 0)), """"))*S350)+IFERROR(MIN(FILTER({K350, N350, Q350}, ISNUMBER({K350, N350, Q350}), {K350, N350, Q350} &gt; 0)), """")"),0.0)</f>
        <v>0</v>
      </c>
      <c r="U350" s="53" t="str">
        <f>IFERROR(__xludf.DUMMYFUNCTION("(T350-(IFERROR(MIN(FILTER({K350, N350, Q350}, ISNUMBER({K350, N350, Q350}), {K350, N350, Q350} &gt; 0)), """")))/T350"),"#DIV/0!")</f>
        <v>#DIV/0!</v>
      </c>
      <c r="V350" s="88">
        <f t="shared" si="40"/>
        <v>0</v>
      </c>
      <c r="W350" s="89"/>
    </row>
    <row r="351" ht="22.5" customHeight="1">
      <c r="A351" s="30"/>
      <c r="B351" s="30"/>
      <c r="C351" s="30"/>
      <c r="D351" s="31"/>
      <c r="E351" s="69"/>
      <c r="F351" s="105"/>
      <c r="G351" s="139"/>
      <c r="H351" s="28"/>
      <c r="I351" s="39"/>
      <c r="J351" s="39"/>
      <c r="K351" s="41"/>
      <c r="L351" s="42"/>
      <c r="M351" s="42"/>
      <c r="N351" s="60"/>
      <c r="O351" s="39"/>
      <c r="P351" s="39"/>
      <c r="Q351" s="41"/>
      <c r="R351" s="46"/>
      <c r="S351" s="46">
        <v>0.67</v>
      </c>
      <c r="T351" s="50">
        <f>IFERROR(__xludf.DUMMYFUNCTION("((IFERROR(MIN(FILTER({K351, N351, Q351}, ISNUMBER({K351, N351, Q351}), {K351, N351, Q351} &gt; 0)), """"))*S351)+IFERROR(MIN(FILTER({K351, N351, Q351}, ISNUMBER({K351, N351, Q351}), {K351, N351, Q351} &gt; 0)), """")"),0.0)</f>
        <v>0</v>
      </c>
      <c r="U351" s="53" t="str">
        <f>IFERROR(__xludf.DUMMYFUNCTION("(T351-(IFERROR(MIN(FILTER({K351, N351, Q351}, ISNUMBER({K351, N351, Q351}), {K351, N351, Q351} &gt; 0)), """")))/T351"),"#DIV/0!")</f>
        <v>#DIV/0!</v>
      </c>
      <c r="V351" s="88">
        <f t="shared" si="40"/>
        <v>0</v>
      </c>
      <c r="W351" s="89"/>
    </row>
    <row r="352" ht="22.5" customHeight="1">
      <c r="A352" s="30"/>
      <c r="B352" s="30"/>
      <c r="C352" s="30"/>
      <c r="D352" s="31"/>
      <c r="E352" s="69"/>
      <c r="F352" s="105"/>
      <c r="G352" s="139"/>
      <c r="H352" s="28"/>
      <c r="I352" s="39"/>
      <c r="J352" s="39"/>
      <c r="K352" s="41"/>
      <c r="L352" s="42"/>
      <c r="M352" s="42"/>
      <c r="N352" s="60"/>
      <c r="O352" s="39"/>
      <c r="P352" s="39"/>
      <c r="Q352" s="41"/>
      <c r="R352" s="46"/>
      <c r="S352" s="46">
        <v>0.67</v>
      </c>
      <c r="T352" s="50">
        <f>IFERROR(__xludf.DUMMYFUNCTION("((IFERROR(MIN(FILTER({K352, N352, Q352}, ISNUMBER({K352, N352, Q352}), {K352, N352, Q352} &gt; 0)), """"))*S352)+IFERROR(MIN(FILTER({K352, N352, Q352}, ISNUMBER({K352, N352, Q352}), {K352, N352, Q352} &gt; 0)), """")"),0.0)</f>
        <v>0</v>
      </c>
      <c r="U352" s="53" t="str">
        <f>IFERROR(__xludf.DUMMYFUNCTION("(T352-(IFERROR(MIN(FILTER({K352, N352, Q352}, ISNUMBER({K352, N352, Q352}), {K352, N352, Q352} &gt; 0)), """")))/T352"),"#DIV/0!")</f>
        <v>#DIV/0!</v>
      </c>
      <c r="V352" s="88">
        <f t="shared" si="40"/>
        <v>0</v>
      </c>
      <c r="W352" s="89"/>
    </row>
    <row r="353" ht="22.5" customHeight="1">
      <c r="A353" s="30"/>
      <c r="B353" s="30"/>
      <c r="C353" s="30"/>
      <c r="D353" s="31"/>
      <c r="E353" s="69"/>
      <c r="F353" s="105"/>
      <c r="G353" s="139"/>
      <c r="H353" s="28"/>
      <c r="I353" s="39"/>
      <c r="J353" s="39"/>
      <c r="K353" s="41"/>
      <c r="L353" s="42"/>
      <c r="M353" s="42"/>
      <c r="N353" s="42"/>
      <c r="O353" s="39"/>
      <c r="P353" s="39"/>
      <c r="Q353" s="39"/>
      <c r="R353" s="46"/>
      <c r="S353" s="46">
        <v>0.67</v>
      </c>
      <c r="T353" s="50">
        <f>IFERROR(__xludf.DUMMYFUNCTION("((IFERROR(MIN(FILTER({K353, N353, Q353}, ISNUMBER({K353, N353, Q353}), {K353, N353, Q353} &gt; 0)), """"))*S353)+IFERROR(MIN(FILTER({K353, N353, Q353}, ISNUMBER({K353, N353, Q353}), {K353, N353, Q353} &gt; 0)), """")"),0.0)</f>
        <v>0</v>
      </c>
      <c r="U353" s="53" t="str">
        <f>IFERROR(__xludf.DUMMYFUNCTION("(T353-(IFERROR(MIN(FILTER({K353, N353, Q353}, ISNUMBER({K353, N353, Q353}), {K353, N353, Q353} &gt; 0)), """")))/T353"),"#DIV/0!")</f>
        <v>#DIV/0!</v>
      </c>
      <c r="V353" s="88">
        <f t="shared" si="40"/>
        <v>0</v>
      </c>
      <c r="W353" s="89"/>
    </row>
    <row r="354" ht="22.5" customHeight="1">
      <c r="A354" s="30"/>
      <c r="B354" s="30"/>
      <c r="C354" s="30"/>
      <c r="D354" s="31"/>
      <c r="E354" s="69"/>
      <c r="F354" s="105"/>
      <c r="G354" s="139"/>
      <c r="H354" s="28"/>
      <c r="I354" s="39"/>
      <c r="J354" s="39"/>
      <c r="K354" s="41"/>
      <c r="L354" s="42"/>
      <c r="M354" s="42"/>
      <c r="N354" s="42"/>
      <c r="O354" s="39"/>
      <c r="P354" s="39"/>
      <c r="Q354" s="39"/>
      <c r="R354" s="46"/>
      <c r="S354" s="46">
        <v>0.67</v>
      </c>
      <c r="T354" s="50">
        <f>IFERROR(__xludf.DUMMYFUNCTION("((IFERROR(MIN(FILTER({K354, N354, Q354}, ISNUMBER({K354, N354, Q354}), {K354, N354, Q354} &gt; 0)), """"))*S354)+IFERROR(MIN(FILTER({K354, N354, Q354}, ISNUMBER({K354, N354, Q354}), {K354, N354, Q354} &gt; 0)), """")"),0.0)</f>
        <v>0</v>
      </c>
      <c r="U354" s="53" t="str">
        <f>IFERROR(__xludf.DUMMYFUNCTION("(T354-(IFERROR(MIN(FILTER({K354, N354, Q354}, ISNUMBER({K354, N354, Q354}), {K354, N354, Q354} &gt; 0)), """")))/T354"),"#DIV/0!")</f>
        <v>#DIV/0!</v>
      </c>
      <c r="V354" s="88">
        <f t="shared" si="40"/>
        <v>0</v>
      </c>
      <c r="W354" s="89"/>
    </row>
    <row r="355" ht="22.5" customHeight="1">
      <c r="A355" s="30"/>
      <c r="B355" s="30"/>
      <c r="C355" s="30"/>
      <c r="D355" s="31"/>
      <c r="E355" s="69"/>
      <c r="F355" s="105"/>
      <c r="G355" s="139"/>
      <c r="H355" s="28"/>
      <c r="I355" s="39"/>
      <c r="J355" s="39"/>
      <c r="K355" s="41"/>
      <c r="L355" s="42"/>
      <c r="M355" s="42"/>
      <c r="N355" s="42"/>
      <c r="O355" s="39"/>
      <c r="P355" s="39"/>
      <c r="Q355" s="39"/>
      <c r="R355" s="46"/>
      <c r="S355" s="46">
        <v>0.67</v>
      </c>
      <c r="T355" s="50">
        <f>IFERROR(__xludf.DUMMYFUNCTION("((IFERROR(MIN(FILTER({K355, N355, Q355}, ISNUMBER({K355, N355, Q355}), {K355, N355, Q355} &gt; 0)), """"))*S355)+IFERROR(MIN(FILTER({K355, N355, Q355}, ISNUMBER({K355, N355, Q355}), {K355, N355, Q355} &gt; 0)), """")"),0.0)</f>
        <v>0</v>
      </c>
      <c r="U355" s="53" t="str">
        <f>IFERROR(__xludf.DUMMYFUNCTION("(T355-(IFERROR(MIN(FILTER({K355, N355, Q355}, ISNUMBER({K355, N355, Q355}), {K355, N355, Q355} &gt; 0)), """")))/T355"),"#DIV/0!")</f>
        <v>#DIV/0!</v>
      </c>
      <c r="V355" s="88">
        <f t="shared" si="40"/>
        <v>0</v>
      </c>
      <c r="W355" s="89"/>
    </row>
    <row r="356" ht="22.5" customHeight="1">
      <c r="A356" s="30"/>
      <c r="B356" s="30"/>
      <c r="C356" s="30"/>
      <c r="D356" s="31"/>
      <c r="E356" s="69"/>
      <c r="F356" s="105"/>
      <c r="G356" s="139"/>
      <c r="H356" s="28"/>
      <c r="I356" s="39"/>
      <c r="J356" s="39"/>
      <c r="K356" s="41"/>
      <c r="L356" s="42"/>
      <c r="M356" s="42"/>
      <c r="N356" s="42"/>
      <c r="O356" s="39"/>
      <c r="P356" s="39"/>
      <c r="Q356" s="39"/>
      <c r="R356" s="46"/>
      <c r="S356" s="46">
        <v>0.67</v>
      </c>
      <c r="T356" s="50">
        <f>IFERROR(__xludf.DUMMYFUNCTION("((IFERROR(MIN(FILTER({K356, N356, Q356}, ISNUMBER({K356, N356, Q356}), {K356, N356, Q356} &gt; 0)), """"))*S356)+IFERROR(MIN(FILTER({K356, N356, Q356}, ISNUMBER({K356, N356, Q356}), {K356, N356, Q356} &gt; 0)), """")"),0.0)</f>
        <v>0</v>
      </c>
      <c r="U356" s="53" t="str">
        <f>IFERROR(__xludf.DUMMYFUNCTION("(T356-(IFERROR(MIN(FILTER({K356, N356, Q356}, ISNUMBER({K356, N356, Q356}), {K356, N356, Q356} &gt; 0)), """")))/T356"),"#DIV/0!")</f>
        <v>#DIV/0!</v>
      </c>
      <c r="V356" s="88">
        <f t="shared" si="40"/>
        <v>0</v>
      </c>
      <c r="W356" s="89"/>
    </row>
    <row r="357" ht="22.5" customHeight="1">
      <c r="A357" s="30"/>
      <c r="B357" s="30"/>
      <c r="C357" s="30"/>
      <c r="D357" s="31"/>
      <c r="E357" s="69"/>
      <c r="F357" s="105"/>
      <c r="G357" s="139"/>
      <c r="H357" s="28"/>
      <c r="I357" s="39"/>
      <c r="J357" s="39"/>
      <c r="K357" s="41"/>
      <c r="L357" s="42"/>
      <c r="M357" s="42"/>
      <c r="N357" s="42"/>
      <c r="O357" s="39"/>
      <c r="P357" s="39"/>
      <c r="Q357" s="39"/>
      <c r="R357" s="46"/>
      <c r="S357" s="46">
        <v>0.67</v>
      </c>
      <c r="T357" s="50">
        <f>IFERROR(__xludf.DUMMYFUNCTION("((IFERROR(MIN(FILTER({K357, N357, Q357}, ISNUMBER({K357, N357, Q357}), {K357, N357, Q357} &gt; 0)), """"))*S357)+IFERROR(MIN(FILTER({K357, N357, Q357}, ISNUMBER({K357, N357, Q357}), {K357, N357, Q357} &gt; 0)), """")"),0.0)</f>
        <v>0</v>
      </c>
      <c r="U357" s="53" t="str">
        <f>IFERROR(__xludf.DUMMYFUNCTION("(T357-(IFERROR(MIN(FILTER({K357, N357, Q357}, ISNUMBER({K357, N357, Q357}), {K357, N357, Q357} &gt; 0)), """")))/T357"),"#DIV/0!")</f>
        <v>#DIV/0!</v>
      </c>
      <c r="V357" s="88">
        <f t="shared" si="40"/>
        <v>0</v>
      </c>
      <c r="W357" s="89"/>
    </row>
    <row r="358" ht="22.5" customHeight="1">
      <c r="A358" s="30"/>
      <c r="B358" s="30"/>
      <c r="C358" s="30"/>
      <c r="D358" s="31"/>
      <c r="E358" s="69"/>
      <c r="F358" s="105"/>
      <c r="G358" s="139"/>
      <c r="H358" s="28"/>
      <c r="I358" s="39"/>
      <c r="J358" s="39"/>
      <c r="K358" s="41"/>
      <c r="L358" s="42"/>
      <c r="M358" s="42"/>
      <c r="N358" s="60"/>
      <c r="O358" s="39"/>
      <c r="P358" s="39"/>
      <c r="Q358" s="41"/>
      <c r="R358" s="46"/>
      <c r="S358" s="46">
        <v>0.67</v>
      </c>
      <c r="T358" s="50">
        <f>IFERROR(__xludf.DUMMYFUNCTION("((IFERROR(MIN(FILTER({K358, N358, Q358}, ISNUMBER({K358, N358, Q358}), {K358, N358, Q358} &gt; 0)), """"))*S358)+IFERROR(MIN(FILTER({K358, N358, Q358}, ISNUMBER({K358, N358, Q358}), {K358, N358, Q358} &gt; 0)), """")"),0.0)</f>
        <v>0</v>
      </c>
      <c r="U358" s="53" t="str">
        <f>IFERROR(__xludf.DUMMYFUNCTION("(T358-(IFERROR(MIN(FILTER({K358, N358, Q358}, ISNUMBER({K358, N358, Q358}), {K358, N358, Q358} &gt; 0)), """")))/T358"),"#DIV/0!")</f>
        <v>#DIV/0!</v>
      </c>
      <c r="V358" s="88">
        <f t="shared" si="40"/>
        <v>0</v>
      </c>
      <c r="W358" s="89"/>
    </row>
    <row r="359" ht="22.5" customHeight="1">
      <c r="A359" s="30"/>
      <c r="B359" s="30"/>
      <c r="C359" s="30"/>
      <c r="D359" s="31"/>
      <c r="E359" s="69"/>
      <c r="F359" s="105"/>
      <c r="G359" s="139"/>
      <c r="H359" s="28"/>
      <c r="I359" s="39"/>
      <c r="J359" s="39"/>
      <c r="K359" s="41"/>
      <c r="L359" s="42"/>
      <c r="M359" s="42"/>
      <c r="N359" s="60"/>
      <c r="O359" s="39"/>
      <c r="P359" s="39"/>
      <c r="Q359" s="41"/>
      <c r="R359" s="46"/>
      <c r="S359" s="46">
        <v>0.67</v>
      </c>
      <c r="T359" s="50">
        <f>IFERROR(__xludf.DUMMYFUNCTION("((IFERROR(MIN(FILTER({K359, N359, Q359}, ISNUMBER({K359, N359, Q359}), {K359, N359, Q359} &gt; 0)), """"))*S359)+IFERROR(MIN(FILTER({K359, N359, Q359}, ISNUMBER({K359, N359, Q359}), {K359, N359, Q359} &gt; 0)), """")"),0.0)</f>
        <v>0</v>
      </c>
      <c r="U359" s="53" t="str">
        <f>IFERROR(__xludf.DUMMYFUNCTION("(T359-(IFERROR(MIN(FILTER({K359, N359, Q359}, ISNUMBER({K359, N359, Q359}), {K359, N359, Q359} &gt; 0)), """")))/T359"),"#DIV/0!")</f>
        <v>#DIV/0!</v>
      </c>
      <c r="V359" s="88">
        <f t="shared" si="40"/>
        <v>0</v>
      </c>
      <c r="W359" s="89"/>
    </row>
    <row r="360" ht="22.5" customHeight="1">
      <c r="A360" s="30"/>
      <c r="B360" s="30"/>
      <c r="C360" s="30"/>
      <c r="D360" s="31"/>
      <c r="E360" s="69"/>
      <c r="F360" s="105"/>
      <c r="G360" s="139"/>
      <c r="H360" s="28"/>
      <c r="I360" s="39"/>
      <c r="J360" s="39"/>
      <c r="K360" s="41"/>
      <c r="L360" s="42"/>
      <c r="M360" s="42"/>
      <c r="N360" s="60"/>
      <c r="O360" s="39"/>
      <c r="P360" s="39"/>
      <c r="Q360" s="41"/>
      <c r="R360" s="46"/>
      <c r="S360" s="46">
        <v>0.67</v>
      </c>
      <c r="T360" s="50">
        <f>IFERROR(__xludf.DUMMYFUNCTION("((IFERROR(MIN(FILTER({K360, N360, Q360}, ISNUMBER({K360, N360, Q360}), {K360, N360, Q360} &gt; 0)), """"))*S360)+IFERROR(MIN(FILTER({K360, N360, Q360}, ISNUMBER({K360, N360, Q360}), {K360, N360, Q360} &gt; 0)), """")"),0.0)</f>
        <v>0</v>
      </c>
      <c r="U360" s="53" t="str">
        <f>IFERROR(__xludf.DUMMYFUNCTION("(T360-(IFERROR(MIN(FILTER({K360, N360, Q360}, ISNUMBER({K360, N360, Q360}), {K360, N360, Q360} &gt; 0)), """")))/T360"),"#DIV/0!")</f>
        <v>#DIV/0!</v>
      </c>
      <c r="V360" s="88">
        <f t="shared" si="40"/>
        <v>0</v>
      </c>
      <c r="W360" s="89"/>
    </row>
    <row r="361" ht="22.5" customHeight="1">
      <c r="A361" s="30"/>
      <c r="B361" s="30"/>
      <c r="C361" s="30"/>
      <c r="D361" s="31"/>
      <c r="E361" s="69"/>
      <c r="F361" s="105"/>
      <c r="G361" s="139"/>
      <c r="H361" s="28"/>
      <c r="I361" s="39"/>
      <c r="J361" s="39"/>
      <c r="K361" s="41"/>
      <c r="L361" s="42"/>
      <c r="M361" s="42"/>
      <c r="N361" s="60"/>
      <c r="O361" s="39"/>
      <c r="P361" s="39"/>
      <c r="Q361" s="41"/>
      <c r="R361" s="46"/>
      <c r="S361" s="46">
        <v>0.67</v>
      </c>
      <c r="T361" s="50">
        <f>IFERROR(__xludf.DUMMYFUNCTION("((IFERROR(MIN(FILTER({K361, N361, Q361}, ISNUMBER({K361, N361, Q361}), {K361, N361, Q361} &gt; 0)), """"))*S361)+IFERROR(MIN(FILTER({K361, N361, Q361}, ISNUMBER({K361, N361, Q361}), {K361, N361, Q361} &gt; 0)), """")"),0.0)</f>
        <v>0</v>
      </c>
      <c r="U361" s="53" t="str">
        <f>IFERROR(__xludf.DUMMYFUNCTION("(T361-(IFERROR(MIN(FILTER({K361, N361, Q361}, ISNUMBER({K361, N361, Q361}), {K361, N361, Q361} &gt; 0)), """")))/T361"),"#DIV/0!")</f>
        <v>#DIV/0!</v>
      </c>
      <c r="V361" s="88">
        <f t="shared" si="40"/>
        <v>0</v>
      </c>
      <c r="W361" s="89"/>
    </row>
    <row r="362" ht="22.5" customHeight="1">
      <c r="A362" s="30"/>
      <c r="B362" s="30"/>
      <c r="C362" s="30"/>
      <c r="D362" s="31"/>
      <c r="E362" s="69"/>
      <c r="F362" s="105"/>
      <c r="G362" s="139"/>
      <c r="H362" s="28"/>
      <c r="I362" s="41"/>
      <c r="J362" s="41"/>
      <c r="K362" s="41"/>
      <c r="L362" s="60"/>
      <c r="M362" s="60"/>
      <c r="N362" s="42"/>
      <c r="O362" s="41"/>
      <c r="P362" s="41"/>
      <c r="Q362" s="39"/>
      <c r="R362" s="46"/>
      <c r="S362" s="46">
        <v>0.67</v>
      </c>
      <c r="T362" s="50">
        <f>IFERROR(__xludf.DUMMYFUNCTION("((IFERROR(MIN(FILTER({K362, N362, Q362}, ISNUMBER({K362, N362, Q362}), {K362, N362, Q362} &gt; 0)), """"))*S362)+IFERROR(MIN(FILTER({K362, N362, Q362}, ISNUMBER({K362, N362, Q362}), {K362, N362, Q362} &gt; 0)), """")"),0.0)</f>
        <v>0</v>
      </c>
      <c r="U362" s="53" t="str">
        <f>IFERROR(__xludf.DUMMYFUNCTION("(T362-(IFERROR(MIN(FILTER({K362, N362, Q362}, ISNUMBER({K362, N362, Q362}), {K362, N362, Q362} &gt; 0)), """")))/T362"),"#DIV/0!")</f>
        <v>#DIV/0!</v>
      </c>
      <c r="V362" s="88">
        <f t="shared" si="40"/>
        <v>0</v>
      </c>
      <c r="W362" s="89"/>
    </row>
    <row r="363" ht="22.5" customHeight="1">
      <c r="A363" s="30"/>
      <c r="B363" s="30"/>
      <c r="C363" s="30"/>
      <c r="D363" s="31"/>
      <c r="E363" s="69"/>
      <c r="F363" s="105"/>
      <c r="G363" s="139"/>
      <c r="H363" s="28"/>
      <c r="I363" s="41"/>
      <c r="J363" s="41"/>
      <c r="K363" s="41"/>
      <c r="L363" s="60"/>
      <c r="M363" s="60"/>
      <c r="N363" s="60"/>
      <c r="O363" s="41"/>
      <c r="P363" s="41"/>
      <c r="Q363" s="41"/>
      <c r="R363" s="46"/>
      <c r="S363" s="46">
        <v>0.67</v>
      </c>
      <c r="T363" s="50">
        <f>IFERROR(__xludf.DUMMYFUNCTION("((IFERROR(MIN(FILTER({K363, N363, Q363}, ISNUMBER({K363, N363, Q363}), {K363, N363, Q363} &gt; 0)), """"))*S363)+IFERROR(MIN(FILTER({K363, N363, Q363}, ISNUMBER({K363, N363, Q363}), {K363, N363, Q363} &gt; 0)), """")"),0.0)</f>
        <v>0</v>
      </c>
      <c r="U363" s="53" t="str">
        <f>IFERROR(__xludf.DUMMYFUNCTION("(T363-(IFERROR(MIN(FILTER({K363, N363, Q363}, ISNUMBER({K363, N363, Q363}), {K363, N363, Q363} &gt; 0)), """")))/T363"),"#DIV/0!")</f>
        <v>#DIV/0!</v>
      </c>
      <c r="V363" s="88">
        <f t="shared" si="40"/>
        <v>0</v>
      </c>
      <c r="W363" s="89"/>
    </row>
    <row r="364" ht="22.5" customHeight="1">
      <c r="A364" s="30"/>
      <c r="B364" s="30"/>
      <c r="C364" s="30"/>
      <c r="D364" s="31"/>
      <c r="E364" s="69"/>
      <c r="F364" s="105"/>
      <c r="G364" s="139"/>
      <c r="H364" s="28"/>
      <c r="I364" s="41"/>
      <c r="J364" s="41"/>
      <c r="K364" s="41"/>
      <c r="L364" s="60"/>
      <c r="M364" s="60"/>
      <c r="N364" s="60"/>
      <c r="O364" s="41"/>
      <c r="P364" s="41"/>
      <c r="Q364" s="41"/>
      <c r="R364" s="46"/>
      <c r="S364" s="46">
        <v>0.67</v>
      </c>
      <c r="T364" s="50">
        <f>IFERROR(__xludf.DUMMYFUNCTION("((IFERROR(MIN(FILTER({K364, N364, Q364}, ISNUMBER({K364, N364, Q364}), {K364, N364, Q364} &gt; 0)), """"))*S364)+IFERROR(MIN(FILTER({K364, N364, Q364}, ISNUMBER({K364, N364, Q364}), {K364, N364, Q364} &gt; 0)), """")"),0.0)</f>
        <v>0</v>
      </c>
      <c r="U364" s="53" t="str">
        <f>IFERROR(__xludf.DUMMYFUNCTION("(T364-(IFERROR(MIN(FILTER({K364, N364, Q364}, ISNUMBER({K364, N364, Q364}), {K364, N364, Q364} &gt; 0)), """")))/T364"),"#DIV/0!")</f>
        <v>#DIV/0!</v>
      </c>
      <c r="V364" s="88">
        <f t="shared" si="40"/>
        <v>0</v>
      </c>
      <c r="W364" s="89"/>
    </row>
    <row r="365" ht="22.5" customHeight="1">
      <c r="A365" s="30"/>
      <c r="B365" s="30"/>
      <c r="C365" s="30"/>
      <c r="D365" s="31"/>
      <c r="E365" s="69"/>
      <c r="F365" s="105"/>
      <c r="G365" s="139"/>
      <c r="H365" s="28"/>
      <c r="I365" s="41"/>
      <c r="J365" s="41"/>
      <c r="K365" s="41"/>
      <c r="L365" s="60"/>
      <c r="M365" s="60"/>
      <c r="N365" s="60"/>
      <c r="O365" s="41"/>
      <c r="P365" s="41"/>
      <c r="Q365" s="41"/>
      <c r="R365" s="46"/>
      <c r="S365" s="46">
        <v>0.67</v>
      </c>
      <c r="T365" s="50">
        <f>IFERROR(__xludf.DUMMYFUNCTION("((IFERROR(MIN(FILTER({K365, N365, Q365}, ISNUMBER({K365, N365, Q365}), {K365, N365, Q365} &gt; 0)), """"))*S365)+IFERROR(MIN(FILTER({K365, N365, Q365}, ISNUMBER({K365, N365, Q365}), {K365, N365, Q365} &gt; 0)), """")"),0.0)</f>
        <v>0</v>
      </c>
      <c r="U365" s="53" t="str">
        <f>IFERROR(__xludf.DUMMYFUNCTION("(T365-(IFERROR(MIN(FILTER({K365, N365, Q365}, ISNUMBER({K365, N365, Q365}), {K365, N365, Q365} &gt; 0)), """")))/T365"),"#DIV/0!")</f>
        <v>#DIV/0!</v>
      </c>
      <c r="V365" s="88">
        <f t="shared" si="40"/>
        <v>0</v>
      </c>
      <c r="W365" s="89"/>
    </row>
    <row r="366" ht="22.5" customHeight="1">
      <c r="A366" s="30"/>
      <c r="B366" s="30"/>
      <c r="C366" s="30"/>
      <c r="D366" s="31"/>
      <c r="E366" s="69"/>
      <c r="F366" s="105"/>
      <c r="G366" s="139"/>
      <c r="H366" s="28"/>
      <c r="I366" s="41"/>
      <c r="J366" s="41"/>
      <c r="K366" s="41"/>
      <c r="L366" s="60"/>
      <c r="M366" s="60"/>
      <c r="N366" s="60"/>
      <c r="O366" s="41"/>
      <c r="P366" s="41"/>
      <c r="Q366" s="41"/>
      <c r="R366" s="46"/>
      <c r="S366" s="46">
        <v>0.67</v>
      </c>
      <c r="T366" s="50">
        <f>IFERROR(__xludf.DUMMYFUNCTION("((IFERROR(MIN(FILTER({K366, N366, Q366}, ISNUMBER({K366, N366, Q366}), {K366, N366, Q366} &gt; 0)), """"))*S366)+IFERROR(MIN(FILTER({K366, N366, Q366}, ISNUMBER({K366, N366, Q366}), {K366, N366, Q366} &gt; 0)), """")"),0.0)</f>
        <v>0</v>
      </c>
      <c r="U366" s="53" t="str">
        <f>IFERROR(__xludf.DUMMYFUNCTION("(T366-(IFERROR(MIN(FILTER({K366, N366, Q366}, ISNUMBER({K366, N366, Q366}), {K366, N366, Q366} &gt; 0)), """")))/T366"),"#DIV/0!")</f>
        <v>#DIV/0!</v>
      </c>
      <c r="V366" s="88">
        <f t="shared" si="40"/>
        <v>0</v>
      </c>
      <c r="W366" s="89"/>
    </row>
    <row r="367" ht="22.5" customHeight="1">
      <c r="A367" s="30"/>
      <c r="B367" s="30"/>
      <c r="C367" s="30"/>
      <c r="D367" s="31"/>
      <c r="E367" s="69"/>
      <c r="F367" s="105"/>
      <c r="G367" s="139"/>
      <c r="H367" s="28"/>
      <c r="I367" s="39"/>
      <c r="J367" s="41"/>
      <c r="K367" s="39"/>
      <c r="L367" s="42"/>
      <c r="M367" s="42"/>
      <c r="N367" s="42"/>
      <c r="O367" s="39"/>
      <c r="P367" s="39"/>
      <c r="Q367" s="39"/>
      <c r="R367" s="46"/>
      <c r="S367" s="46">
        <v>0.67</v>
      </c>
      <c r="T367" s="50">
        <f>IFERROR(__xludf.DUMMYFUNCTION("((IFERROR(MIN(FILTER({K367, N367, Q367}, ISNUMBER({K367, N367, Q367}), {K367, N367, Q367} &gt; 0)), """"))*S367)+IFERROR(MIN(FILTER({K367, N367, Q367}, ISNUMBER({K367, N367, Q367}), {K367, N367, Q367} &gt; 0)), """")"),0.0)</f>
        <v>0</v>
      </c>
      <c r="U367" s="53" t="str">
        <f>IFERROR(__xludf.DUMMYFUNCTION("(T367-(IFERROR(MIN(FILTER({K367, N367, Q367}, ISNUMBER({K367, N367, Q367}), {K367, N367, Q367} &gt; 0)), """")))/T367"),"#DIV/0!")</f>
        <v>#DIV/0!</v>
      </c>
      <c r="V367" s="88">
        <f t="shared" si="40"/>
        <v>0</v>
      </c>
      <c r="W367" s="89"/>
    </row>
    <row r="368" ht="22.5" customHeight="1">
      <c r="A368" s="30"/>
      <c r="B368" s="30"/>
      <c r="C368" s="30"/>
      <c r="D368" s="31"/>
      <c r="E368" s="69"/>
      <c r="F368" s="105"/>
      <c r="G368" s="139"/>
      <c r="H368" s="28"/>
      <c r="I368" s="39"/>
      <c r="J368" s="41"/>
      <c r="K368" s="39"/>
      <c r="L368" s="42"/>
      <c r="M368" s="42"/>
      <c r="N368" s="42"/>
      <c r="O368" s="39"/>
      <c r="P368" s="39"/>
      <c r="Q368" s="39"/>
      <c r="R368" s="46"/>
      <c r="S368" s="46">
        <v>0.67</v>
      </c>
      <c r="T368" s="50">
        <f>IFERROR(__xludf.DUMMYFUNCTION("((IFERROR(MIN(FILTER({K368, N368, Q368}, ISNUMBER({K368, N368, Q368}), {K368, N368, Q368} &gt; 0)), """"))*S368)+IFERROR(MIN(FILTER({K368, N368, Q368}, ISNUMBER({K368, N368, Q368}), {K368, N368, Q368} &gt; 0)), """")"),0.0)</f>
        <v>0</v>
      </c>
      <c r="U368" s="53" t="str">
        <f>IFERROR(__xludf.DUMMYFUNCTION("(T368-(IFERROR(MIN(FILTER({K368, N368, Q368}, ISNUMBER({K368, N368, Q368}), {K368, N368, Q368} &gt; 0)), """")))/T368"),"#DIV/0!")</f>
        <v>#DIV/0!</v>
      </c>
      <c r="V368" s="88">
        <f t="shared" si="40"/>
        <v>0</v>
      </c>
      <c r="W368" s="89"/>
    </row>
    <row r="369">
      <c r="A369" s="159"/>
      <c r="B369" s="159"/>
      <c r="C369" s="159"/>
      <c r="D369" s="160"/>
      <c r="E369" s="161"/>
      <c r="F369" s="161"/>
      <c r="G369" s="161"/>
      <c r="H369" s="161"/>
      <c r="I369" s="118"/>
      <c r="J369" s="118"/>
      <c r="K369" s="117"/>
      <c r="L369" s="119"/>
      <c r="M369" s="119"/>
      <c r="N369" s="119"/>
      <c r="O369" s="117"/>
      <c r="P369" s="118"/>
      <c r="Q369" s="162"/>
      <c r="R369" s="163"/>
      <c r="S369" s="163"/>
      <c r="T369" s="164"/>
      <c r="U369" s="123" t="str">
        <f t="shared" ref="U369:U964" si="41">(T369-K369)/T369</f>
        <v>#DIV/0!</v>
      </c>
      <c r="V369" s="164"/>
      <c r="W369" s="165"/>
    </row>
    <row r="370">
      <c r="A370" s="161"/>
      <c r="B370" s="161"/>
      <c r="C370" s="161"/>
      <c r="D370" s="160"/>
      <c r="E370" s="161"/>
      <c r="F370" s="161"/>
      <c r="G370" s="161"/>
      <c r="H370" s="161"/>
      <c r="I370" s="117"/>
      <c r="J370" s="117"/>
      <c r="K370" s="117"/>
      <c r="L370" s="166"/>
      <c r="M370" s="166"/>
      <c r="N370" s="166"/>
      <c r="O370" s="117"/>
      <c r="P370" s="118"/>
      <c r="Q370" s="162"/>
      <c r="R370" s="163"/>
      <c r="S370" s="163"/>
      <c r="T370" s="164"/>
      <c r="U370" s="123" t="str">
        <f t="shared" si="41"/>
        <v>#DIV/0!</v>
      </c>
      <c r="V370" s="164"/>
      <c r="W370" s="165"/>
    </row>
    <row r="371">
      <c r="A371" s="161"/>
      <c r="B371" s="161"/>
      <c r="C371" s="161"/>
      <c r="D371" s="160"/>
      <c r="E371" s="161"/>
      <c r="F371" s="161"/>
      <c r="G371" s="161"/>
      <c r="H371" s="161"/>
      <c r="I371" s="117"/>
      <c r="J371" s="117"/>
      <c r="K371" s="117"/>
      <c r="L371" s="166"/>
      <c r="M371" s="166"/>
      <c r="N371" s="166"/>
      <c r="O371" s="117"/>
      <c r="P371" s="118"/>
      <c r="Q371" s="162"/>
      <c r="R371" s="163"/>
      <c r="S371" s="163"/>
      <c r="T371" s="164"/>
      <c r="U371" s="123" t="str">
        <f t="shared" si="41"/>
        <v>#DIV/0!</v>
      </c>
      <c r="V371" s="164"/>
      <c r="W371" s="165"/>
    </row>
    <row r="372">
      <c r="A372" s="161"/>
      <c r="B372" s="161"/>
      <c r="C372" s="161"/>
      <c r="D372" s="160"/>
      <c r="E372" s="161"/>
      <c r="F372" s="161"/>
      <c r="G372" s="161"/>
      <c r="H372" s="161"/>
      <c r="I372" s="117"/>
      <c r="J372" s="117"/>
      <c r="K372" s="117"/>
      <c r="L372" s="166"/>
      <c r="M372" s="166"/>
      <c r="N372" s="166"/>
      <c r="O372" s="117"/>
      <c r="P372" s="118"/>
      <c r="Q372" s="162"/>
      <c r="R372" s="163"/>
      <c r="S372" s="163"/>
      <c r="T372" s="164"/>
      <c r="U372" s="123" t="str">
        <f t="shared" si="41"/>
        <v>#DIV/0!</v>
      </c>
      <c r="V372" s="164"/>
      <c r="W372" s="165"/>
    </row>
    <row r="373">
      <c r="A373" s="161"/>
      <c r="B373" s="161"/>
      <c r="C373" s="161"/>
      <c r="D373" s="160"/>
      <c r="E373" s="161"/>
      <c r="F373" s="161"/>
      <c r="G373" s="161"/>
      <c r="H373" s="161"/>
      <c r="I373" s="117"/>
      <c r="J373" s="117"/>
      <c r="K373" s="117"/>
      <c r="L373" s="166"/>
      <c r="M373" s="166"/>
      <c r="N373" s="166"/>
      <c r="O373" s="117"/>
      <c r="P373" s="118"/>
      <c r="Q373" s="162"/>
      <c r="R373" s="163"/>
      <c r="S373" s="163"/>
      <c r="T373" s="164"/>
      <c r="U373" s="123" t="str">
        <f t="shared" si="41"/>
        <v>#DIV/0!</v>
      </c>
      <c r="V373" s="164"/>
      <c r="W373" s="165"/>
    </row>
    <row r="374">
      <c r="A374" s="161"/>
      <c r="B374" s="161"/>
      <c r="C374" s="161"/>
      <c r="D374" s="160"/>
      <c r="E374" s="161"/>
      <c r="F374" s="161"/>
      <c r="G374" s="161"/>
      <c r="H374" s="161"/>
      <c r="I374" s="117"/>
      <c r="J374" s="117"/>
      <c r="K374" s="117"/>
      <c r="L374" s="166"/>
      <c r="M374" s="166"/>
      <c r="N374" s="166"/>
      <c r="O374" s="117"/>
      <c r="P374" s="117"/>
      <c r="Q374" s="167"/>
      <c r="R374" s="163"/>
      <c r="S374" s="163"/>
      <c r="T374" s="164"/>
      <c r="U374" s="123" t="str">
        <f t="shared" si="41"/>
        <v>#DIV/0!</v>
      </c>
      <c r="V374" s="164"/>
      <c r="W374" s="165"/>
    </row>
    <row r="375">
      <c r="A375" s="161"/>
      <c r="B375" s="161"/>
      <c r="C375" s="161"/>
      <c r="D375" s="160"/>
      <c r="E375" s="161"/>
      <c r="F375" s="161"/>
      <c r="G375" s="161"/>
      <c r="H375" s="161"/>
      <c r="I375" s="117"/>
      <c r="J375" s="117"/>
      <c r="K375" s="117"/>
      <c r="L375" s="166"/>
      <c r="M375" s="166"/>
      <c r="N375" s="166"/>
      <c r="O375" s="117"/>
      <c r="P375" s="117"/>
      <c r="Q375" s="167"/>
      <c r="R375" s="163"/>
      <c r="S375" s="163"/>
      <c r="T375" s="164"/>
      <c r="U375" s="123" t="str">
        <f t="shared" si="41"/>
        <v>#DIV/0!</v>
      </c>
      <c r="V375" s="164"/>
      <c r="W375" s="165"/>
    </row>
    <row r="376">
      <c r="A376" s="161"/>
      <c r="B376" s="161"/>
      <c r="C376" s="161"/>
      <c r="D376" s="160"/>
      <c r="E376" s="161"/>
      <c r="F376" s="161"/>
      <c r="G376" s="161"/>
      <c r="H376" s="161"/>
      <c r="I376" s="117"/>
      <c r="J376" s="117"/>
      <c r="K376" s="117"/>
      <c r="L376" s="166"/>
      <c r="M376" s="166"/>
      <c r="N376" s="166"/>
      <c r="O376" s="117"/>
      <c r="P376" s="117"/>
      <c r="Q376" s="167"/>
      <c r="R376" s="163"/>
      <c r="S376" s="163"/>
      <c r="T376" s="164"/>
      <c r="U376" s="123" t="str">
        <f t="shared" si="41"/>
        <v>#DIV/0!</v>
      </c>
      <c r="V376" s="164"/>
      <c r="W376" s="165"/>
    </row>
    <row r="377">
      <c r="A377" s="161"/>
      <c r="B377" s="161"/>
      <c r="C377" s="161"/>
      <c r="D377" s="160"/>
      <c r="E377" s="161"/>
      <c r="F377" s="161"/>
      <c r="G377" s="161"/>
      <c r="H377" s="161"/>
      <c r="I377" s="118"/>
      <c r="J377" s="117"/>
      <c r="K377" s="118"/>
      <c r="L377" s="119"/>
      <c r="M377" s="166"/>
      <c r="N377" s="119"/>
      <c r="O377" s="118"/>
      <c r="P377" s="117"/>
      <c r="Q377" s="162"/>
      <c r="R377" s="163"/>
      <c r="S377" s="163"/>
      <c r="T377" s="164"/>
      <c r="U377" s="123" t="str">
        <f t="shared" si="41"/>
        <v>#DIV/0!</v>
      </c>
      <c r="V377" s="164"/>
      <c r="W377" s="165"/>
    </row>
    <row r="378">
      <c r="A378" s="161"/>
      <c r="B378" s="161"/>
      <c r="C378" s="161"/>
      <c r="D378" s="160"/>
      <c r="E378" s="161"/>
      <c r="F378" s="161"/>
      <c r="G378" s="161"/>
      <c r="H378" s="161"/>
      <c r="I378" s="117"/>
      <c r="J378" s="117"/>
      <c r="K378" s="117"/>
      <c r="L378" s="166"/>
      <c r="M378" s="166"/>
      <c r="N378" s="166"/>
      <c r="O378" s="117"/>
      <c r="P378" s="117"/>
      <c r="Q378" s="167"/>
      <c r="R378" s="163"/>
      <c r="S378" s="163"/>
      <c r="T378" s="164"/>
      <c r="U378" s="123" t="str">
        <f t="shared" si="41"/>
        <v>#DIV/0!</v>
      </c>
      <c r="V378" s="164"/>
      <c r="W378" s="165"/>
    </row>
    <row r="379">
      <c r="A379" s="161"/>
      <c r="B379" s="161"/>
      <c r="C379" s="161"/>
      <c r="D379" s="160"/>
      <c r="E379" s="161"/>
      <c r="F379" s="161"/>
      <c r="G379" s="161"/>
      <c r="H379" s="161"/>
      <c r="I379" s="118"/>
      <c r="J379" s="117"/>
      <c r="K379" s="118"/>
      <c r="L379" s="119"/>
      <c r="M379" s="166"/>
      <c r="N379" s="119"/>
      <c r="O379" s="118"/>
      <c r="P379" s="117"/>
      <c r="Q379" s="162"/>
      <c r="R379" s="163"/>
      <c r="S379" s="163"/>
      <c r="T379" s="164"/>
      <c r="U379" s="123" t="str">
        <f t="shared" si="41"/>
        <v>#DIV/0!</v>
      </c>
      <c r="V379" s="164"/>
      <c r="W379" s="165"/>
    </row>
    <row r="380">
      <c r="A380" s="161"/>
      <c r="B380" s="161"/>
      <c r="C380" s="161"/>
      <c r="D380" s="160"/>
      <c r="E380" s="161"/>
      <c r="F380" s="161"/>
      <c r="G380" s="161"/>
      <c r="H380" s="161"/>
      <c r="I380" s="118"/>
      <c r="J380" s="117"/>
      <c r="K380" s="118"/>
      <c r="L380" s="119"/>
      <c r="M380" s="166"/>
      <c r="N380" s="119"/>
      <c r="O380" s="118"/>
      <c r="P380" s="117"/>
      <c r="Q380" s="162"/>
      <c r="R380" s="163"/>
      <c r="S380" s="163"/>
      <c r="T380" s="164"/>
      <c r="U380" s="123" t="str">
        <f t="shared" si="41"/>
        <v>#DIV/0!</v>
      </c>
      <c r="V380" s="164"/>
      <c r="W380" s="165"/>
    </row>
    <row r="381">
      <c r="A381" s="161"/>
      <c r="B381" s="161"/>
      <c r="C381" s="161"/>
      <c r="D381" s="160"/>
      <c r="E381" s="161"/>
      <c r="F381" s="161"/>
      <c r="G381" s="161"/>
      <c r="H381" s="161"/>
      <c r="I381" s="117"/>
      <c r="J381" s="117"/>
      <c r="K381" s="117"/>
      <c r="L381" s="166"/>
      <c r="M381" s="166"/>
      <c r="N381" s="166"/>
      <c r="O381" s="117"/>
      <c r="P381" s="117"/>
      <c r="Q381" s="167"/>
      <c r="R381" s="163"/>
      <c r="S381" s="163"/>
      <c r="T381" s="164"/>
      <c r="U381" s="123" t="str">
        <f t="shared" si="41"/>
        <v>#DIV/0!</v>
      </c>
      <c r="V381" s="164"/>
      <c r="W381" s="165"/>
    </row>
    <row r="382">
      <c r="A382" s="161"/>
      <c r="B382" s="161"/>
      <c r="C382" s="161"/>
      <c r="D382" s="160"/>
      <c r="E382" s="161"/>
      <c r="F382" s="161"/>
      <c r="G382" s="161"/>
      <c r="H382" s="161"/>
      <c r="I382" s="118"/>
      <c r="J382" s="117"/>
      <c r="K382" s="118"/>
      <c r="L382" s="119"/>
      <c r="M382" s="119"/>
      <c r="N382" s="119"/>
      <c r="O382" s="118"/>
      <c r="P382" s="118"/>
      <c r="Q382" s="162"/>
      <c r="R382" s="163"/>
      <c r="S382" s="163"/>
      <c r="T382" s="164"/>
      <c r="U382" s="123" t="str">
        <f t="shared" si="41"/>
        <v>#DIV/0!</v>
      </c>
      <c r="V382" s="164"/>
      <c r="W382" s="165"/>
    </row>
    <row r="383">
      <c r="A383" s="161"/>
      <c r="B383" s="161"/>
      <c r="C383" s="161"/>
      <c r="D383" s="160"/>
      <c r="E383" s="161"/>
      <c r="F383" s="161"/>
      <c r="G383" s="161"/>
      <c r="H383" s="161"/>
      <c r="I383" s="118"/>
      <c r="J383" s="117"/>
      <c r="K383" s="118"/>
      <c r="L383" s="119"/>
      <c r="M383" s="119"/>
      <c r="N383" s="119"/>
      <c r="O383" s="118"/>
      <c r="P383" s="117"/>
      <c r="Q383" s="162"/>
      <c r="R383" s="163"/>
      <c r="S383" s="163"/>
      <c r="T383" s="164"/>
      <c r="U383" s="123" t="str">
        <f t="shared" si="41"/>
        <v>#DIV/0!</v>
      </c>
      <c r="V383" s="164"/>
      <c r="W383" s="165"/>
    </row>
    <row r="384">
      <c r="A384" s="161"/>
      <c r="B384" s="161"/>
      <c r="C384" s="161"/>
      <c r="D384" s="160"/>
      <c r="E384" s="161"/>
      <c r="F384" s="161"/>
      <c r="G384" s="161"/>
      <c r="H384" s="161"/>
      <c r="I384" s="118"/>
      <c r="J384" s="117"/>
      <c r="K384" s="118"/>
      <c r="L384" s="119"/>
      <c r="M384" s="119"/>
      <c r="N384" s="119"/>
      <c r="O384" s="118"/>
      <c r="P384" s="117"/>
      <c r="Q384" s="162"/>
      <c r="R384" s="163"/>
      <c r="S384" s="163"/>
      <c r="T384" s="164"/>
      <c r="U384" s="123" t="str">
        <f t="shared" si="41"/>
        <v>#DIV/0!</v>
      </c>
      <c r="V384" s="164"/>
      <c r="W384" s="165"/>
    </row>
    <row r="385">
      <c r="A385" s="161"/>
      <c r="B385" s="161"/>
      <c r="C385" s="161"/>
      <c r="D385" s="160"/>
      <c r="E385" s="161"/>
      <c r="F385" s="161"/>
      <c r="G385" s="161"/>
      <c r="H385" s="161"/>
      <c r="I385" s="118"/>
      <c r="J385" s="117"/>
      <c r="K385" s="118"/>
      <c r="L385" s="119"/>
      <c r="M385" s="166"/>
      <c r="N385" s="119"/>
      <c r="O385" s="118"/>
      <c r="P385" s="117"/>
      <c r="Q385" s="162"/>
      <c r="R385" s="163"/>
      <c r="S385" s="163"/>
      <c r="T385" s="164"/>
      <c r="U385" s="123" t="str">
        <f t="shared" si="41"/>
        <v>#DIV/0!</v>
      </c>
      <c r="V385" s="164"/>
      <c r="W385" s="165"/>
    </row>
    <row r="386">
      <c r="A386" s="161"/>
      <c r="B386" s="161"/>
      <c r="C386" s="161"/>
      <c r="D386" s="160"/>
      <c r="E386" s="161"/>
      <c r="F386" s="161"/>
      <c r="G386" s="161"/>
      <c r="H386" s="161"/>
      <c r="I386" s="118"/>
      <c r="J386" s="117"/>
      <c r="K386" s="118"/>
      <c r="L386" s="119"/>
      <c r="M386" s="166"/>
      <c r="N386" s="119"/>
      <c r="O386" s="118"/>
      <c r="P386" s="117"/>
      <c r="Q386" s="162"/>
      <c r="R386" s="163"/>
      <c r="S386" s="163"/>
      <c r="T386" s="164"/>
      <c r="U386" s="123" t="str">
        <f t="shared" si="41"/>
        <v>#DIV/0!</v>
      </c>
      <c r="V386" s="164"/>
      <c r="W386" s="165"/>
    </row>
    <row r="387">
      <c r="A387" s="161"/>
      <c r="B387" s="161"/>
      <c r="C387" s="161"/>
      <c r="D387" s="160"/>
      <c r="E387" s="161"/>
      <c r="F387" s="161"/>
      <c r="G387" s="161"/>
      <c r="H387" s="161"/>
      <c r="I387" s="118"/>
      <c r="J387" s="117"/>
      <c r="K387" s="118"/>
      <c r="L387" s="119"/>
      <c r="M387" s="166"/>
      <c r="N387" s="119"/>
      <c r="O387" s="118"/>
      <c r="P387" s="117"/>
      <c r="Q387" s="162"/>
      <c r="R387" s="163"/>
      <c r="S387" s="163"/>
      <c r="T387" s="164"/>
      <c r="U387" s="123" t="str">
        <f t="shared" si="41"/>
        <v>#DIV/0!</v>
      </c>
      <c r="V387" s="164"/>
      <c r="W387" s="165"/>
    </row>
    <row r="388">
      <c r="A388" s="161"/>
      <c r="B388" s="161"/>
      <c r="C388" s="161"/>
      <c r="D388" s="160"/>
      <c r="E388" s="161"/>
      <c r="F388" s="161"/>
      <c r="G388" s="161"/>
      <c r="H388" s="161"/>
      <c r="I388" s="118"/>
      <c r="J388" s="118"/>
      <c r="K388" s="117"/>
      <c r="L388" s="119"/>
      <c r="M388" s="119"/>
      <c r="N388" s="119"/>
      <c r="O388" s="118"/>
      <c r="P388" s="118"/>
      <c r="Q388" s="167"/>
      <c r="R388" s="163"/>
      <c r="S388" s="163"/>
      <c r="T388" s="164"/>
      <c r="U388" s="123" t="str">
        <f t="shared" si="41"/>
        <v>#DIV/0!</v>
      </c>
      <c r="V388" s="164"/>
      <c r="W388" s="165"/>
    </row>
    <row r="389">
      <c r="A389" s="161"/>
      <c r="B389" s="161"/>
      <c r="C389" s="161"/>
      <c r="D389" s="160"/>
      <c r="E389" s="161"/>
      <c r="F389" s="161"/>
      <c r="G389" s="161"/>
      <c r="H389" s="161"/>
      <c r="I389" s="118"/>
      <c r="J389" s="118"/>
      <c r="K389" s="117"/>
      <c r="L389" s="119"/>
      <c r="M389" s="119"/>
      <c r="N389" s="119"/>
      <c r="O389" s="118"/>
      <c r="P389" s="118"/>
      <c r="Q389" s="167"/>
      <c r="R389" s="163"/>
      <c r="S389" s="163"/>
      <c r="T389" s="164"/>
      <c r="U389" s="123" t="str">
        <f t="shared" si="41"/>
        <v>#DIV/0!</v>
      </c>
      <c r="V389" s="164"/>
      <c r="W389" s="165"/>
    </row>
    <row r="390">
      <c r="A390" s="161"/>
      <c r="B390" s="161"/>
      <c r="C390" s="161"/>
      <c r="D390" s="160"/>
      <c r="E390" s="161"/>
      <c r="F390" s="161"/>
      <c r="G390" s="161"/>
      <c r="H390" s="161"/>
      <c r="I390" s="118"/>
      <c r="J390" s="118"/>
      <c r="K390" s="117"/>
      <c r="L390" s="119"/>
      <c r="M390" s="119"/>
      <c r="N390" s="166"/>
      <c r="O390" s="118"/>
      <c r="P390" s="118"/>
      <c r="Q390" s="167"/>
      <c r="R390" s="163"/>
      <c r="S390" s="163"/>
      <c r="T390" s="164"/>
      <c r="U390" s="123" t="str">
        <f t="shared" si="41"/>
        <v>#DIV/0!</v>
      </c>
      <c r="V390" s="164"/>
      <c r="W390" s="165"/>
    </row>
    <row r="391">
      <c r="A391" s="161"/>
      <c r="B391" s="161"/>
      <c r="C391" s="161"/>
      <c r="D391" s="160"/>
      <c r="E391" s="161"/>
      <c r="F391" s="161"/>
      <c r="G391" s="161"/>
      <c r="H391" s="161"/>
      <c r="I391" s="118"/>
      <c r="J391" s="118"/>
      <c r="K391" s="117"/>
      <c r="L391" s="119"/>
      <c r="M391" s="119"/>
      <c r="N391" s="119"/>
      <c r="O391" s="118"/>
      <c r="P391" s="118"/>
      <c r="Q391" s="167"/>
      <c r="R391" s="163"/>
      <c r="S391" s="163"/>
      <c r="T391" s="164"/>
      <c r="U391" s="123" t="str">
        <f t="shared" si="41"/>
        <v>#DIV/0!</v>
      </c>
      <c r="V391" s="164"/>
      <c r="W391" s="165"/>
    </row>
    <row r="392">
      <c r="A392" s="161"/>
      <c r="B392" s="161"/>
      <c r="C392" s="161"/>
      <c r="D392" s="160"/>
      <c r="E392" s="161"/>
      <c r="F392" s="161"/>
      <c r="G392" s="161"/>
      <c r="H392" s="161"/>
      <c r="I392" s="118"/>
      <c r="J392" s="118"/>
      <c r="K392" s="117"/>
      <c r="L392" s="119"/>
      <c r="M392" s="119"/>
      <c r="N392" s="119"/>
      <c r="O392" s="118"/>
      <c r="P392" s="118"/>
      <c r="Q392" s="167"/>
      <c r="R392" s="163"/>
      <c r="S392" s="163"/>
      <c r="T392" s="164"/>
      <c r="U392" s="123" t="str">
        <f t="shared" si="41"/>
        <v>#DIV/0!</v>
      </c>
      <c r="V392" s="164"/>
      <c r="W392" s="165"/>
    </row>
    <row r="393">
      <c r="A393" s="161"/>
      <c r="B393" s="161"/>
      <c r="C393" s="161"/>
      <c r="D393" s="160"/>
      <c r="E393" s="161"/>
      <c r="F393" s="161"/>
      <c r="G393" s="161"/>
      <c r="H393" s="161"/>
      <c r="I393" s="118"/>
      <c r="J393" s="118"/>
      <c r="K393" s="117"/>
      <c r="L393" s="119"/>
      <c r="M393" s="119"/>
      <c r="N393" s="119"/>
      <c r="O393" s="118"/>
      <c r="P393" s="118"/>
      <c r="Q393" s="167"/>
      <c r="R393" s="163"/>
      <c r="S393" s="163"/>
      <c r="T393" s="164"/>
      <c r="U393" s="123" t="str">
        <f t="shared" si="41"/>
        <v>#DIV/0!</v>
      </c>
      <c r="V393" s="164"/>
      <c r="W393" s="165"/>
    </row>
    <row r="394">
      <c r="A394" s="161"/>
      <c r="B394" s="161"/>
      <c r="C394" s="161"/>
      <c r="D394" s="160"/>
      <c r="E394" s="161"/>
      <c r="F394" s="161"/>
      <c r="G394" s="161"/>
      <c r="H394" s="161"/>
      <c r="I394" s="118"/>
      <c r="J394" s="118"/>
      <c r="K394" s="117"/>
      <c r="L394" s="119"/>
      <c r="M394" s="119"/>
      <c r="N394" s="119"/>
      <c r="O394" s="118"/>
      <c r="P394" s="118"/>
      <c r="Q394" s="167"/>
      <c r="R394" s="163"/>
      <c r="S394" s="163"/>
      <c r="T394" s="164"/>
      <c r="U394" s="123" t="str">
        <f t="shared" si="41"/>
        <v>#DIV/0!</v>
      </c>
      <c r="V394" s="164"/>
      <c r="W394" s="165"/>
    </row>
    <row r="395">
      <c r="A395" s="161"/>
      <c r="B395" s="161"/>
      <c r="C395" s="161"/>
      <c r="D395" s="160"/>
      <c r="E395" s="161"/>
      <c r="F395" s="161"/>
      <c r="G395" s="161"/>
      <c r="H395" s="161"/>
      <c r="I395" s="118"/>
      <c r="J395" s="118"/>
      <c r="K395" s="117"/>
      <c r="L395" s="119"/>
      <c r="M395" s="119"/>
      <c r="N395" s="119"/>
      <c r="O395" s="118"/>
      <c r="P395" s="118"/>
      <c r="Q395" s="167"/>
      <c r="R395" s="163"/>
      <c r="S395" s="163"/>
      <c r="T395" s="164"/>
      <c r="U395" s="123" t="str">
        <f t="shared" si="41"/>
        <v>#DIV/0!</v>
      </c>
      <c r="V395" s="164"/>
      <c r="W395" s="165"/>
    </row>
    <row r="396">
      <c r="A396" s="161"/>
      <c r="B396" s="161"/>
      <c r="C396" s="161"/>
      <c r="D396" s="160"/>
      <c r="E396" s="161"/>
      <c r="F396" s="161"/>
      <c r="G396" s="161"/>
      <c r="H396" s="161"/>
      <c r="I396" s="118"/>
      <c r="J396" s="118"/>
      <c r="K396" s="117"/>
      <c r="L396" s="119"/>
      <c r="M396" s="119"/>
      <c r="N396" s="119"/>
      <c r="O396" s="118"/>
      <c r="P396" s="118"/>
      <c r="Q396" s="167"/>
      <c r="R396" s="163"/>
      <c r="S396" s="163"/>
      <c r="T396" s="164"/>
      <c r="U396" s="123" t="str">
        <f t="shared" si="41"/>
        <v>#DIV/0!</v>
      </c>
      <c r="V396" s="164"/>
      <c r="W396" s="165"/>
    </row>
    <row r="397">
      <c r="A397" s="161"/>
      <c r="B397" s="161"/>
      <c r="C397" s="161"/>
      <c r="D397" s="160"/>
      <c r="E397" s="161"/>
      <c r="F397" s="161"/>
      <c r="G397" s="161"/>
      <c r="H397" s="161"/>
      <c r="I397" s="118"/>
      <c r="J397" s="118"/>
      <c r="K397" s="117"/>
      <c r="L397" s="119"/>
      <c r="M397" s="119"/>
      <c r="N397" s="119"/>
      <c r="O397" s="118"/>
      <c r="P397" s="118"/>
      <c r="Q397" s="167"/>
      <c r="R397" s="163"/>
      <c r="S397" s="163"/>
      <c r="T397" s="164"/>
      <c r="U397" s="123" t="str">
        <f t="shared" si="41"/>
        <v>#DIV/0!</v>
      </c>
      <c r="V397" s="164"/>
      <c r="W397" s="165"/>
    </row>
    <row r="398">
      <c r="A398" s="161"/>
      <c r="B398" s="161"/>
      <c r="C398" s="161"/>
      <c r="D398" s="160"/>
      <c r="E398" s="161"/>
      <c r="F398" s="161"/>
      <c r="G398" s="161"/>
      <c r="H398" s="161"/>
      <c r="I398" s="118"/>
      <c r="J398" s="118"/>
      <c r="K398" s="117"/>
      <c r="L398" s="119"/>
      <c r="M398" s="119"/>
      <c r="N398" s="119"/>
      <c r="O398" s="118"/>
      <c r="P398" s="118"/>
      <c r="Q398" s="167"/>
      <c r="R398" s="163"/>
      <c r="S398" s="163"/>
      <c r="T398" s="164"/>
      <c r="U398" s="123" t="str">
        <f t="shared" si="41"/>
        <v>#DIV/0!</v>
      </c>
      <c r="V398" s="164"/>
      <c r="W398" s="165"/>
    </row>
    <row r="399">
      <c r="A399" s="161"/>
      <c r="B399" s="161"/>
      <c r="C399" s="161"/>
      <c r="D399" s="160"/>
      <c r="E399" s="161"/>
      <c r="F399" s="161"/>
      <c r="G399" s="161"/>
      <c r="H399" s="161"/>
      <c r="I399" s="118"/>
      <c r="J399" s="118"/>
      <c r="K399" s="117"/>
      <c r="L399" s="119"/>
      <c r="M399" s="119"/>
      <c r="N399" s="119"/>
      <c r="O399" s="118"/>
      <c r="P399" s="118"/>
      <c r="Q399" s="167"/>
      <c r="R399" s="163"/>
      <c r="S399" s="163"/>
      <c r="T399" s="164"/>
      <c r="U399" s="123" t="str">
        <f t="shared" si="41"/>
        <v>#DIV/0!</v>
      </c>
      <c r="V399" s="164"/>
      <c r="W399" s="165"/>
    </row>
    <row r="400">
      <c r="A400" s="161"/>
      <c r="B400" s="161"/>
      <c r="C400" s="161"/>
      <c r="D400" s="160"/>
      <c r="E400" s="161"/>
      <c r="F400" s="161"/>
      <c r="G400" s="161"/>
      <c r="H400" s="161"/>
      <c r="I400" s="118"/>
      <c r="J400" s="118"/>
      <c r="K400" s="117"/>
      <c r="L400" s="119"/>
      <c r="M400" s="119"/>
      <c r="N400" s="119"/>
      <c r="O400" s="118"/>
      <c r="P400" s="118"/>
      <c r="Q400" s="167"/>
      <c r="R400" s="163"/>
      <c r="S400" s="163"/>
      <c r="T400" s="164"/>
      <c r="U400" s="123" t="str">
        <f t="shared" si="41"/>
        <v>#DIV/0!</v>
      </c>
      <c r="V400" s="164"/>
      <c r="W400" s="165"/>
    </row>
    <row r="401">
      <c r="A401" s="161"/>
      <c r="B401" s="161"/>
      <c r="C401" s="161"/>
      <c r="D401" s="160"/>
      <c r="E401" s="161"/>
      <c r="F401" s="161"/>
      <c r="G401" s="161"/>
      <c r="H401" s="161"/>
      <c r="I401" s="118"/>
      <c r="J401" s="118"/>
      <c r="K401" s="117"/>
      <c r="L401" s="119"/>
      <c r="M401" s="119"/>
      <c r="N401" s="119"/>
      <c r="O401" s="118"/>
      <c r="P401" s="118"/>
      <c r="Q401" s="167"/>
      <c r="R401" s="163"/>
      <c r="S401" s="163"/>
      <c r="T401" s="164"/>
      <c r="U401" s="123" t="str">
        <f t="shared" si="41"/>
        <v>#DIV/0!</v>
      </c>
      <c r="V401" s="164"/>
      <c r="W401" s="165"/>
    </row>
    <row r="402">
      <c r="A402" s="161"/>
      <c r="B402" s="161"/>
      <c r="C402" s="161"/>
      <c r="D402" s="160"/>
      <c r="E402" s="161"/>
      <c r="F402" s="161"/>
      <c r="G402" s="161"/>
      <c r="H402" s="161"/>
      <c r="I402" s="118"/>
      <c r="J402" s="118"/>
      <c r="K402" s="117"/>
      <c r="L402" s="119"/>
      <c r="M402" s="119"/>
      <c r="N402" s="119"/>
      <c r="O402" s="118"/>
      <c r="P402" s="118"/>
      <c r="Q402" s="167"/>
      <c r="R402" s="163"/>
      <c r="S402" s="163"/>
      <c r="T402" s="164"/>
      <c r="U402" s="123" t="str">
        <f t="shared" si="41"/>
        <v>#DIV/0!</v>
      </c>
      <c r="V402" s="164"/>
      <c r="W402" s="165"/>
    </row>
    <row r="403">
      <c r="A403" s="161"/>
      <c r="B403" s="161"/>
      <c r="C403" s="161"/>
      <c r="D403" s="160"/>
      <c r="E403" s="161"/>
      <c r="F403" s="161"/>
      <c r="G403" s="161"/>
      <c r="H403" s="161"/>
      <c r="I403" s="118"/>
      <c r="J403" s="118"/>
      <c r="K403" s="117"/>
      <c r="L403" s="119"/>
      <c r="M403" s="119"/>
      <c r="N403" s="119"/>
      <c r="O403" s="118"/>
      <c r="P403" s="118"/>
      <c r="Q403" s="167"/>
      <c r="R403" s="163"/>
      <c r="S403" s="163"/>
      <c r="T403" s="164"/>
      <c r="U403" s="123" t="str">
        <f t="shared" si="41"/>
        <v>#DIV/0!</v>
      </c>
      <c r="V403" s="164"/>
      <c r="W403" s="165"/>
    </row>
    <row r="404">
      <c r="A404" s="161"/>
      <c r="B404" s="161"/>
      <c r="C404" s="161"/>
      <c r="D404" s="160"/>
      <c r="E404" s="161"/>
      <c r="F404" s="161"/>
      <c r="G404" s="161"/>
      <c r="H404" s="161"/>
      <c r="I404" s="118"/>
      <c r="J404" s="118"/>
      <c r="K404" s="117"/>
      <c r="L404" s="119"/>
      <c r="M404" s="119"/>
      <c r="N404" s="119"/>
      <c r="O404" s="118"/>
      <c r="P404" s="118"/>
      <c r="Q404" s="167"/>
      <c r="R404" s="163"/>
      <c r="S404" s="163"/>
      <c r="T404" s="164"/>
      <c r="U404" s="123" t="str">
        <f t="shared" si="41"/>
        <v>#DIV/0!</v>
      </c>
      <c r="V404" s="164"/>
      <c r="W404" s="165"/>
    </row>
    <row r="405">
      <c r="A405" s="161"/>
      <c r="B405" s="161"/>
      <c r="C405" s="161"/>
      <c r="D405" s="160"/>
      <c r="E405" s="161"/>
      <c r="F405" s="161"/>
      <c r="G405" s="161"/>
      <c r="H405" s="161"/>
      <c r="I405" s="118"/>
      <c r="J405" s="118"/>
      <c r="K405" s="117"/>
      <c r="L405" s="119"/>
      <c r="M405" s="119"/>
      <c r="N405" s="119"/>
      <c r="O405" s="118"/>
      <c r="P405" s="118"/>
      <c r="Q405" s="167"/>
      <c r="R405" s="163"/>
      <c r="S405" s="163"/>
      <c r="T405" s="164"/>
      <c r="U405" s="123" t="str">
        <f t="shared" si="41"/>
        <v>#DIV/0!</v>
      </c>
      <c r="V405" s="164"/>
      <c r="W405" s="165"/>
    </row>
    <row r="406">
      <c r="A406" s="161"/>
      <c r="B406" s="161"/>
      <c r="C406" s="161"/>
      <c r="D406" s="160"/>
      <c r="E406" s="161"/>
      <c r="F406" s="161"/>
      <c r="G406" s="161"/>
      <c r="H406" s="161"/>
      <c r="I406" s="118"/>
      <c r="J406" s="118"/>
      <c r="K406" s="117"/>
      <c r="L406" s="119"/>
      <c r="M406" s="119"/>
      <c r="N406" s="166"/>
      <c r="O406" s="118"/>
      <c r="P406" s="118"/>
      <c r="Q406" s="167"/>
      <c r="R406" s="163"/>
      <c r="S406" s="163"/>
      <c r="T406" s="164"/>
      <c r="U406" s="123" t="str">
        <f t="shared" si="41"/>
        <v>#DIV/0!</v>
      </c>
      <c r="V406" s="164"/>
      <c r="W406" s="165"/>
    </row>
    <row r="407">
      <c r="A407" s="161"/>
      <c r="B407" s="161"/>
      <c r="C407" s="161"/>
      <c r="D407" s="160"/>
      <c r="E407" s="161"/>
      <c r="F407" s="161"/>
      <c r="G407" s="161"/>
      <c r="H407" s="161"/>
      <c r="I407" s="118"/>
      <c r="J407" s="118"/>
      <c r="K407" s="117"/>
      <c r="L407" s="119"/>
      <c r="M407" s="119"/>
      <c r="N407" s="166"/>
      <c r="O407" s="118"/>
      <c r="P407" s="118"/>
      <c r="Q407" s="167"/>
      <c r="R407" s="163"/>
      <c r="S407" s="163"/>
      <c r="T407" s="164"/>
      <c r="U407" s="123" t="str">
        <f t="shared" si="41"/>
        <v>#DIV/0!</v>
      </c>
      <c r="V407" s="164"/>
      <c r="W407" s="165"/>
    </row>
    <row r="408">
      <c r="A408" s="161"/>
      <c r="B408" s="161"/>
      <c r="C408" s="161"/>
      <c r="D408" s="160"/>
      <c r="E408" s="161"/>
      <c r="F408" s="161"/>
      <c r="G408" s="161"/>
      <c r="H408" s="161"/>
      <c r="I408" s="118"/>
      <c r="J408" s="118"/>
      <c r="K408" s="117"/>
      <c r="L408" s="119"/>
      <c r="M408" s="119"/>
      <c r="N408" s="166"/>
      <c r="O408" s="118"/>
      <c r="P408" s="118"/>
      <c r="Q408" s="167"/>
      <c r="R408" s="163"/>
      <c r="S408" s="163"/>
      <c r="T408" s="164"/>
      <c r="U408" s="123" t="str">
        <f t="shared" si="41"/>
        <v>#DIV/0!</v>
      </c>
      <c r="V408" s="164"/>
      <c r="W408" s="165"/>
    </row>
    <row r="409">
      <c r="A409" s="161"/>
      <c r="B409" s="161"/>
      <c r="C409" s="161"/>
      <c r="D409" s="160"/>
      <c r="E409" s="161"/>
      <c r="F409" s="161"/>
      <c r="G409" s="161"/>
      <c r="H409" s="161"/>
      <c r="I409" s="118"/>
      <c r="J409" s="118"/>
      <c r="K409" s="117"/>
      <c r="L409" s="119"/>
      <c r="M409" s="119"/>
      <c r="N409" s="166"/>
      <c r="O409" s="118"/>
      <c r="P409" s="118"/>
      <c r="Q409" s="167"/>
      <c r="R409" s="163"/>
      <c r="S409" s="163"/>
      <c r="T409" s="164"/>
      <c r="U409" s="123" t="str">
        <f t="shared" si="41"/>
        <v>#DIV/0!</v>
      </c>
      <c r="V409" s="164"/>
      <c r="W409" s="165"/>
    </row>
    <row r="410">
      <c r="A410" s="161"/>
      <c r="B410" s="161"/>
      <c r="C410" s="161"/>
      <c r="D410" s="160"/>
      <c r="E410" s="161"/>
      <c r="F410" s="161"/>
      <c r="G410" s="161"/>
      <c r="H410" s="161"/>
      <c r="I410" s="118"/>
      <c r="J410" s="118"/>
      <c r="K410" s="117"/>
      <c r="L410" s="119"/>
      <c r="M410" s="119"/>
      <c r="N410" s="166"/>
      <c r="O410" s="118"/>
      <c r="P410" s="118"/>
      <c r="Q410" s="167"/>
      <c r="R410" s="163"/>
      <c r="S410" s="163"/>
      <c r="T410" s="164"/>
      <c r="U410" s="123" t="str">
        <f t="shared" si="41"/>
        <v>#DIV/0!</v>
      </c>
      <c r="V410" s="164"/>
      <c r="W410" s="165"/>
    </row>
    <row r="411">
      <c r="A411" s="161"/>
      <c r="B411" s="161"/>
      <c r="C411" s="161"/>
      <c r="D411" s="160"/>
      <c r="E411" s="161"/>
      <c r="F411" s="161"/>
      <c r="G411" s="161"/>
      <c r="H411" s="161"/>
      <c r="I411" s="118"/>
      <c r="J411" s="118"/>
      <c r="K411" s="117"/>
      <c r="L411" s="119"/>
      <c r="M411" s="119"/>
      <c r="N411" s="166"/>
      <c r="O411" s="118"/>
      <c r="P411" s="118"/>
      <c r="Q411" s="167"/>
      <c r="R411" s="163"/>
      <c r="S411" s="163"/>
      <c r="T411" s="164"/>
      <c r="U411" s="123" t="str">
        <f t="shared" si="41"/>
        <v>#DIV/0!</v>
      </c>
      <c r="V411" s="164"/>
      <c r="W411" s="165"/>
    </row>
    <row r="412">
      <c r="A412" s="161"/>
      <c r="B412" s="161"/>
      <c r="C412" s="161"/>
      <c r="D412" s="160"/>
      <c r="E412" s="161"/>
      <c r="F412" s="161"/>
      <c r="G412" s="161"/>
      <c r="H412" s="161"/>
      <c r="I412" s="118"/>
      <c r="J412" s="118"/>
      <c r="K412" s="117"/>
      <c r="L412" s="119"/>
      <c r="M412" s="119"/>
      <c r="N412" s="166"/>
      <c r="O412" s="118"/>
      <c r="P412" s="118"/>
      <c r="Q412" s="167"/>
      <c r="R412" s="163"/>
      <c r="S412" s="163"/>
      <c r="T412" s="164"/>
      <c r="U412" s="123" t="str">
        <f t="shared" si="41"/>
        <v>#DIV/0!</v>
      </c>
      <c r="V412" s="164"/>
      <c r="W412" s="165"/>
    </row>
    <row r="413">
      <c r="A413" s="161"/>
      <c r="B413" s="161"/>
      <c r="C413" s="161"/>
      <c r="D413" s="160"/>
      <c r="E413" s="161"/>
      <c r="F413" s="161"/>
      <c r="G413" s="161"/>
      <c r="H413" s="161"/>
      <c r="I413" s="118"/>
      <c r="J413" s="118"/>
      <c r="K413" s="117"/>
      <c r="L413" s="119"/>
      <c r="M413" s="119"/>
      <c r="N413" s="166"/>
      <c r="O413" s="118"/>
      <c r="P413" s="118"/>
      <c r="Q413" s="167"/>
      <c r="R413" s="163"/>
      <c r="S413" s="163"/>
      <c r="T413" s="164"/>
      <c r="U413" s="123" t="str">
        <f t="shared" si="41"/>
        <v>#DIV/0!</v>
      </c>
      <c r="V413" s="164"/>
      <c r="W413" s="165"/>
    </row>
    <row r="414">
      <c r="A414" s="161"/>
      <c r="B414" s="161"/>
      <c r="C414" s="161"/>
      <c r="D414" s="160"/>
      <c r="E414" s="161"/>
      <c r="F414" s="161"/>
      <c r="G414" s="161"/>
      <c r="H414" s="161"/>
      <c r="I414" s="118"/>
      <c r="J414" s="118"/>
      <c r="K414" s="117"/>
      <c r="L414" s="119"/>
      <c r="M414" s="119"/>
      <c r="N414" s="119"/>
      <c r="O414" s="118"/>
      <c r="P414" s="118"/>
      <c r="Q414" s="167"/>
      <c r="R414" s="163"/>
      <c r="S414" s="163"/>
      <c r="T414" s="164"/>
      <c r="U414" s="123" t="str">
        <f t="shared" si="41"/>
        <v>#DIV/0!</v>
      </c>
      <c r="V414" s="164"/>
      <c r="W414" s="165"/>
    </row>
    <row r="415">
      <c r="A415" s="161"/>
      <c r="B415" s="161"/>
      <c r="C415" s="161"/>
      <c r="D415" s="160"/>
      <c r="E415" s="161"/>
      <c r="F415" s="161"/>
      <c r="G415" s="161"/>
      <c r="H415" s="161"/>
      <c r="I415" s="118"/>
      <c r="J415" s="118"/>
      <c r="K415" s="117"/>
      <c r="L415" s="119"/>
      <c r="M415" s="119"/>
      <c r="N415" s="119"/>
      <c r="O415" s="118"/>
      <c r="P415" s="118"/>
      <c r="Q415" s="167"/>
      <c r="R415" s="163"/>
      <c r="S415" s="163"/>
      <c r="T415" s="164"/>
      <c r="U415" s="123" t="str">
        <f t="shared" si="41"/>
        <v>#DIV/0!</v>
      </c>
      <c r="V415" s="164"/>
      <c r="W415" s="165"/>
    </row>
    <row r="416">
      <c r="A416" s="161"/>
      <c r="B416" s="161"/>
      <c r="C416" s="161"/>
      <c r="D416" s="160"/>
      <c r="E416" s="161"/>
      <c r="F416" s="161"/>
      <c r="G416" s="161"/>
      <c r="H416" s="161"/>
      <c r="I416" s="118"/>
      <c r="J416" s="118"/>
      <c r="K416" s="117"/>
      <c r="L416" s="119"/>
      <c r="M416" s="119"/>
      <c r="N416" s="119"/>
      <c r="O416" s="118"/>
      <c r="P416" s="118"/>
      <c r="Q416" s="167"/>
      <c r="R416" s="163"/>
      <c r="S416" s="163"/>
      <c r="T416" s="164"/>
      <c r="U416" s="123" t="str">
        <f t="shared" si="41"/>
        <v>#DIV/0!</v>
      </c>
      <c r="V416" s="164"/>
      <c r="W416" s="165"/>
    </row>
    <row r="417">
      <c r="A417" s="161"/>
      <c r="B417" s="161"/>
      <c r="C417" s="161"/>
      <c r="D417" s="160"/>
      <c r="E417" s="161"/>
      <c r="F417" s="161"/>
      <c r="G417" s="161"/>
      <c r="H417" s="161"/>
      <c r="I417" s="118"/>
      <c r="J417" s="118"/>
      <c r="K417" s="117"/>
      <c r="L417" s="119"/>
      <c r="M417" s="119"/>
      <c r="N417" s="119"/>
      <c r="O417" s="118"/>
      <c r="P417" s="118"/>
      <c r="Q417" s="167"/>
      <c r="R417" s="163"/>
      <c r="S417" s="163"/>
      <c r="T417" s="164"/>
      <c r="U417" s="123" t="str">
        <f t="shared" si="41"/>
        <v>#DIV/0!</v>
      </c>
      <c r="V417" s="164"/>
      <c r="W417" s="165"/>
    </row>
    <row r="418">
      <c r="A418" s="161"/>
      <c r="B418" s="161"/>
      <c r="C418" s="161"/>
      <c r="D418" s="160"/>
      <c r="E418" s="161"/>
      <c r="F418" s="161"/>
      <c r="G418" s="161"/>
      <c r="H418" s="161"/>
      <c r="I418" s="118"/>
      <c r="J418" s="118"/>
      <c r="K418" s="117"/>
      <c r="L418" s="119"/>
      <c r="M418" s="119"/>
      <c r="N418" s="119"/>
      <c r="O418" s="118"/>
      <c r="P418" s="118"/>
      <c r="Q418" s="167"/>
      <c r="R418" s="163"/>
      <c r="S418" s="163"/>
      <c r="T418" s="164"/>
      <c r="U418" s="123" t="str">
        <f t="shared" si="41"/>
        <v>#DIV/0!</v>
      </c>
      <c r="V418" s="164"/>
      <c r="W418" s="165"/>
    </row>
    <row r="419">
      <c r="A419" s="161"/>
      <c r="B419" s="161"/>
      <c r="C419" s="161"/>
      <c r="D419" s="160"/>
      <c r="E419" s="161"/>
      <c r="F419" s="161"/>
      <c r="G419" s="161"/>
      <c r="H419" s="161"/>
      <c r="I419" s="118"/>
      <c r="J419" s="118"/>
      <c r="K419" s="117"/>
      <c r="L419" s="119"/>
      <c r="M419" s="119"/>
      <c r="N419" s="166"/>
      <c r="O419" s="118"/>
      <c r="P419" s="118"/>
      <c r="Q419" s="167"/>
      <c r="R419" s="163"/>
      <c r="S419" s="163"/>
      <c r="T419" s="164"/>
      <c r="U419" s="123" t="str">
        <f t="shared" si="41"/>
        <v>#DIV/0!</v>
      </c>
      <c r="V419" s="164"/>
      <c r="W419" s="165"/>
    </row>
    <row r="420">
      <c r="A420" s="161"/>
      <c r="B420" s="161"/>
      <c r="C420" s="161"/>
      <c r="D420" s="160"/>
      <c r="E420" s="161"/>
      <c r="F420" s="161"/>
      <c r="G420" s="161"/>
      <c r="H420" s="161"/>
      <c r="I420" s="118"/>
      <c r="J420" s="118"/>
      <c r="K420" s="117"/>
      <c r="L420" s="119"/>
      <c r="M420" s="119"/>
      <c r="N420" s="166"/>
      <c r="O420" s="118"/>
      <c r="P420" s="118"/>
      <c r="Q420" s="167"/>
      <c r="R420" s="163"/>
      <c r="S420" s="163"/>
      <c r="T420" s="164"/>
      <c r="U420" s="123" t="str">
        <f t="shared" si="41"/>
        <v>#DIV/0!</v>
      </c>
      <c r="V420" s="164"/>
      <c r="W420" s="165"/>
    </row>
    <row r="421">
      <c r="A421" s="161"/>
      <c r="B421" s="161"/>
      <c r="C421" s="161"/>
      <c r="D421" s="160"/>
      <c r="E421" s="161"/>
      <c r="F421" s="161"/>
      <c r="G421" s="161"/>
      <c r="H421" s="161"/>
      <c r="I421" s="118"/>
      <c r="J421" s="118"/>
      <c r="K421" s="117"/>
      <c r="L421" s="119"/>
      <c r="M421" s="119"/>
      <c r="N421" s="166"/>
      <c r="O421" s="118"/>
      <c r="P421" s="118"/>
      <c r="Q421" s="167"/>
      <c r="R421" s="163"/>
      <c r="S421" s="163"/>
      <c r="T421" s="164"/>
      <c r="U421" s="123" t="str">
        <f t="shared" si="41"/>
        <v>#DIV/0!</v>
      </c>
      <c r="V421" s="164"/>
      <c r="W421" s="165"/>
    </row>
    <row r="422">
      <c r="A422" s="161"/>
      <c r="B422" s="161"/>
      <c r="C422" s="161"/>
      <c r="D422" s="160"/>
      <c r="E422" s="161"/>
      <c r="F422" s="161"/>
      <c r="G422" s="161"/>
      <c r="H422" s="161"/>
      <c r="I422" s="118"/>
      <c r="J422" s="118"/>
      <c r="K422" s="117"/>
      <c r="L422" s="119"/>
      <c r="M422" s="119"/>
      <c r="N422" s="166"/>
      <c r="O422" s="118"/>
      <c r="P422" s="118"/>
      <c r="Q422" s="167"/>
      <c r="R422" s="163"/>
      <c r="S422" s="163"/>
      <c r="T422" s="164"/>
      <c r="U422" s="123" t="str">
        <f t="shared" si="41"/>
        <v>#DIV/0!</v>
      </c>
      <c r="V422" s="164"/>
      <c r="W422" s="165"/>
    </row>
    <row r="423">
      <c r="A423" s="161"/>
      <c r="B423" s="161"/>
      <c r="C423" s="161"/>
      <c r="D423" s="160"/>
      <c r="E423" s="161"/>
      <c r="F423" s="161"/>
      <c r="G423" s="161"/>
      <c r="H423" s="161"/>
      <c r="I423" s="117"/>
      <c r="J423" s="117"/>
      <c r="K423" s="117"/>
      <c r="L423" s="166"/>
      <c r="M423" s="166"/>
      <c r="N423" s="119"/>
      <c r="O423" s="117"/>
      <c r="P423" s="117"/>
      <c r="Q423" s="167"/>
      <c r="R423" s="163"/>
      <c r="S423" s="163"/>
      <c r="T423" s="164"/>
      <c r="U423" s="123" t="str">
        <f t="shared" si="41"/>
        <v>#DIV/0!</v>
      </c>
      <c r="V423" s="164"/>
      <c r="W423" s="165"/>
    </row>
    <row r="424">
      <c r="A424" s="161"/>
      <c r="B424" s="161"/>
      <c r="C424" s="161"/>
      <c r="D424" s="160"/>
      <c r="E424" s="161"/>
      <c r="F424" s="161"/>
      <c r="G424" s="161"/>
      <c r="H424" s="161"/>
      <c r="I424" s="117"/>
      <c r="J424" s="117"/>
      <c r="K424" s="117"/>
      <c r="L424" s="166"/>
      <c r="M424" s="166"/>
      <c r="N424" s="166"/>
      <c r="O424" s="117"/>
      <c r="P424" s="117"/>
      <c r="Q424" s="162"/>
      <c r="R424" s="163"/>
      <c r="S424" s="163"/>
      <c r="T424" s="164"/>
      <c r="U424" s="123" t="str">
        <f t="shared" si="41"/>
        <v>#DIV/0!</v>
      </c>
      <c r="V424" s="164"/>
      <c r="W424" s="165"/>
    </row>
    <row r="425">
      <c r="A425" s="161"/>
      <c r="B425" s="161"/>
      <c r="C425" s="161"/>
      <c r="D425" s="160"/>
      <c r="E425" s="161"/>
      <c r="F425" s="161"/>
      <c r="G425" s="161"/>
      <c r="H425" s="161"/>
      <c r="I425" s="117"/>
      <c r="J425" s="117"/>
      <c r="K425" s="117"/>
      <c r="L425" s="166"/>
      <c r="M425" s="166"/>
      <c r="N425" s="166"/>
      <c r="O425" s="117"/>
      <c r="P425" s="117"/>
      <c r="Q425" s="162"/>
      <c r="R425" s="163"/>
      <c r="S425" s="163"/>
      <c r="T425" s="164"/>
      <c r="U425" s="123" t="str">
        <f t="shared" si="41"/>
        <v>#DIV/0!</v>
      </c>
      <c r="V425" s="164"/>
      <c r="W425" s="165"/>
    </row>
    <row r="426">
      <c r="A426" s="161"/>
      <c r="B426" s="161"/>
      <c r="C426" s="161"/>
      <c r="D426" s="160"/>
      <c r="E426" s="161"/>
      <c r="F426" s="161"/>
      <c r="G426" s="161"/>
      <c r="H426" s="161"/>
      <c r="I426" s="117"/>
      <c r="J426" s="117"/>
      <c r="K426" s="117"/>
      <c r="L426" s="166"/>
      <c r="M426" s="166"/>
      <c r="N426" s="166"/>
      <c r="O426" s="117"/>
      <c r="P426" s="117"/>
      <c r="Q426" s="162"/>
      <c r="R426" s="163"/>
      <c r="S426" s="163"/>
      <c r="T426" s="164"/>
      <c r="U426" s="123" t="str">
        <f t="shared" si="41"/>
        <v>#DIV/0!</v>
      </c>
      <c r="V426" s="164"/>
      <c r="W426" s="165"/>
    </row>
    <row r="427">
      <c r="A427" s="161"/>
      <c r="B427" s="161"/>
      <c r="C427" s="161"/>
      <c r="D427" s="160"/>
      <c r="E427" s="161"/>
      <c r="F427" s="161"/>
      <c r="G427" s="161"/>
      <c r="H427" s="161"/>
      <c r="I427" s="117"/>
      <c r="J427" s="117"/>
      <c r="K427" s="117"/>
      <c r="L427" s="166"/>
      <c r="M427" s="166"/>
      <c r="N427" s="166"/>
      <c r="O427" s="117"/>
      <c r="P427" s="117"/>
      <c r="Q427" s="167"/>
      <c r="R427" s="163"/>
      <c r="S427" s="163"/>
      <c r="T427" s="164"/>
      <c r="U427" s="123" t="str">
        <f t="shared" si="41"/>
        <v>#DIV/0!</v>
      </c>
      <c r="V427" s="164"/>
      <c r="W427" s="165"/>
    </row>
    <row r="428">
      <c r="A428" s="161"/>
      <c r="B428" s="161"/>
      <c r="C428" s="161"/>
      <c r="D428" s="160"/>
      <c r="E428" s="161"/>
      <c r="F428" s="161"/>
      <c r="G428" s="161"/>
      <c r="H428" s="161"/>
      <c r="I428" s="118"/>
      <c r="J428" s="117"/>
      <c r="K428" s="118"/>
      <c r="L428" s="119"/>
      <c r="M428" s="119"/>
      <c r="N428" s="119"/>
      <c r="O428" s="118"/>
      <c r="P428" s="118"/>
      <c r="Q428" s="162"/>
      <c r="R428" s="163"/>
      <c r="S428" s="163"/>
      <c r="T428" s="164"/>
      <c r="U428" s="123" t="str">
        <f t="shared" si="41"/>
        <v>#DIV/0!</v>
      </c>
      <c r="V428" s="164"/>
      <c r="W428" s="165"/>
    </row>
    <row r="429">
      <c r="A429" s="161"/>
      <c r="B429" s="161"/>
      <c r="C429" s="161"/>
      <c r="D429" s="160"/>
      <c r="E429" s="161"/>
      <c r="F429" s="161"/>
      <c r="G429" s="161"/>
      <c r="H429" s="161"/>
      <c r="I429" s="118"/>
      <c r="J429" s="117"/>
      <c r="K429" s="118"/>
      <c r="L429" s="119"/>
      <c r="M429" s="119"/>
      <c r="N429" s="119"/>
      <c r="O429" s="118"/>
      <c r="P429" s="118"/>
      <c r="Q429" s="162"/>
      <c r="R429" s="163"/>
      <c r="S429" s="163"/>
      <c r="T429" s="164"/>
      <c r="U429" s="123" t="str">
        <f t="shared" si="41"/>
        <v>#DIV/0!</v>
      </c>
      <c r="V429" s="164"/>
      <c r="W429" s="165"/>
    </row>
    <row r="430">
      <c r="A430" s="161"/>
      <c r="B430" s="161"/>
      <c r="C430" s="161"/>
      <c r="D430" s="160"/>
      <c r="E430" s="161"/>
      <c r="F430" s="161"/>
      <c r="G430" s="161"/>
      <c r="H430" s="161"/>
      <c r="I430" s="118"/>
      <c r="J430" s="118"/>
      <c r="K430" s="117"/>
      <c r="L430" s="119"/>
      <c r="M430" s="119"/>
      <c r="N430" s="119"/>
      <c r="O430" s="117"/>
      <c r="P430" s="118"/>
      <c r="Q430" s="162"/>
      <c r="R430" s="163"/>
      <c r="S430" s="163"/>
      <c r="T430" s="164"/>
      <c r="U430" s="123" t="str">
        <f t="shared" si="41"/>
        <v>#DIV/0!</v>
      </c>
      <c r="V430" s="164"/>
      <c r="W430" s="165"/>
    </row>
    <row r="431">
      <c r="A431" s="161"/>
      <c r="B431" s="161"/>
      <c r="C431" s="161"/>
      <c r="D431" s="160"/>
      <c r="E431" s="161"/>
      <c r="F431" s="161"/>
      <c r="G431" s="161"/>
      <c r="H431" s="161"/>
      <c r="I431" s="117"/>
      <c r="J431" s="117"/>
      <c r="K431" s="117"/>
      <c r="L431" s="166"/>
      <c r="M431" s="166"/>
      <c r="N431" s="166"/>
      <c r="O431" s="117"/>
      <c r="P431" s="118"/>
      <c r="Q431" s="162"/>
      <c r="R431" s="163"/>
      <c r="S431" s="163"/>
      <c r="T431" s="164"/>
      <c r="U431" s="123" t="str">
        <f t="shared" si="41"/>
        <v>#DIV/0!</v>
      </c>
      <c r="V431" s="164"/>
      <c r="W431" s="165"/>
    </row>
    <row r="432">
      <c r="A432" s="161"/>
      <c r="B432" s="161"/>
      <c r="C432" s="161"/>
      <c r="D432" s="160"/>
      <c r="E432" s="161"/>
      <c r="F432" s="161"/>
      <c r="G432" s="161"/>
      <c r="H432" s="161"/>
      <c r="I432" s="117"/>
      <c r="J432" s="117"/>
      <c r="K432" s="117"/>
      <c r="L432" s="166"/>
      <c r="M432" s="166"/>
      <c r="N432" s="166"/>
      <c r="O432" s="117"/>
      <c r="P432" s="118"/>
      <c r="Q432" s="162"/>
      <c r="R432" s="163"/>
      <c r="S432" s="163"/>
      <c r="T432" s="164"/>
      <c r="U432" s="123" t="str">
        <f t="shared" si="41"/>
        <v>#DIV/0!</v>
      </c>
      <c r="V432" s="164"/>
      <c r="W432" s="165"/>
    </row>
    <row r="433">
      <c r="A433" s="161"/>
      <c r="B433" s="161"/>
      <c r="C433" s="161"/>
      <c r="D433" s="160"/>
      <c r="E433" s="161"/>
      <c r="F433" s="161"/>
      <c r="G433" s="161"/>
      <c r="H433" s="161"/>
      <c r="I433" s="117"/>
      <c r="J433" s="117"/>
      <c r="K433" s="117"/>
      <c r="L433" s="166"/>
      <c r="M433" s="166"/>
      <c r="N433" s="166"/>
      <c r="O433" s="117"/>
      <c r="P433" s="118"/>
      <c r="Q433" s="162"/>
      <c r="R433" s="163"/>
      <c r="S433" s="163"/>
      <c r="T433" s="164"/>
      <c r="U433" s="123" t="str">
        <f t="shared" si="41"/>
        <v>#DIV/0!</v>
      </c>
      <c r="V433" s="164"/>
      <c r="W433" s="165"/>
    </row>
    <row r="434">
      <c r="A434" s="161"/>
      <c r="B434" s="161"/>
      <c r="C434" s="161"/>
      <c r="D434" s="160"/>
      <c r="E434" s="161"/>
      <c r="F434" s="161"/>
      <c r="G434" s="161"/>
      <c r="H434" s="161"/>
      <c r="I434" s="117"/>
      <c r="J434" s="117"/>
      <c r="K434" s="117"/>
      <c r="L434" s="166"/>
      <c r="M434" s="166"/>
      <c r="N434" s="166"/>
      <c r="O434" s="117"/>
      <c r="P434" s="118"/>
      <c r="Q434" s="162"/>
      <c r="R434" s="163"/>
      <c r="S434" s="163"/>
      <c r="T434" s="164"/>
      <c r="U434" s="123" t="str">
        <f t="shared" si="41"/>
        <v>#DIV/0!</v>
      </c>
      <c r="V434" s="164"/>
      <c r="W434" s="165"/>
    </row>
    <row r="435">
      <c r="A435" s="161"/>
      <c r="B435" s="161"/>
      <c r="C435" s="161"/>
      <c r="D435" s="160"/>
      <c r="E435" s="161"/>
      <c r="F435" s="161"/>
      <c r="G435" s="161"/>
      <c r="H435" s="161"/>
      <c r="I435" s="117"/>
      <c r="J435" s="117"/>
      <c r="K435" s="117"/>
      <c r="L435" s="166"/>
      <c r="M435" s="166"/>
      <c r="N435" s="166"/>
      <c r="O435" s="117"/>
      <c r="P435" s="117"/>
      <c r="Q435" s="167"/>
      <c r="R435" s="163"/>
      <c r="S435" s="163"/>
      <c r="T435" s="164"/>
      <c r="U435" s="123" t="str">
        <f t="shared" si="41"/>
        <v>#DIV/0!</v>
      </c>
      <c r="V435" s="164"/>
      <c r="W435" s="165"/>
    </row>
    <row r="436">
      <c r="A436" s="161"/>
      <c r="B436" s="161"/>
      <c r="C436" s="161"/>
      <c r="D436" s="160"/>
      <c r="E436" s="161"/>
      <c r="F436" s="161"/>
      <c r="G436" s="161"/>
      <c r="H436" s="161"/>
      <c r="I436" s="117"/>
      <c r="J436" s="117"/>
      <c r="K436" s="117"/>
      <c r="L436" s="166"/>
      <c r="M436" s="166"/>
      <c r="N436" s="166"/>
      <c r="O436" s="117"/>
      <c r="P436" s="117"/>
      <c r="Q436" s="167"/>
      <c r="R436" s="163"/>
      <c r="S436" s="163"/>
      <c r="T436" s="164"/>
      <c r="U436" s="123" t="str">
        <f t="shared" si="41"/>
        <v>#DIV/0!</v>
      </c>
      <c r="V436" s="164"/>
      <c r="W436" s="165"/>
    </row>
    <row r="437">
      <c r="A437" s="161"/>
      <c r="B437" s="161"/>
      <c r="C437" s="161"/>
      <c r="D437" s="160"/>
      <c r="E437" s="161"/>
      <c r="F437" s="161"/>
      <c r="G437" s="161"/>
      <c r="H437" s="161"/>
      <c r="I437" s="117"/>
      <c r="J437" s="117"/>
      <c r="K437" s="117"/>
      <c r="L437" s="166"/>
      <c r="M437" s="166"/>
      <c r="N437" s="166"/>
      <c r="O437" s="117"/>
      <c r="P437" s="117"/>
      <c r="Q437" s="167"/>
      <c r="R437" s="163"/>
      <c r="S437" s="163"/>
      <c r="T437" s="164"/>
      <c r="U437" s="123" t="str">
        <f t="shared" si="41"/>
        <v>#DIV/0!</v>
      </c>
      <c r="V437" s="164"/>
      <c r="W437" s="165"/>
    </row>
    <row r="438">
      <c r="A438" s="161"/>
      <c r="B438" s="161"/>
      <c r="C438" s="161"/>
      <c r="D438" s="160"/>
      <c r="E438" s="161"/>
      <c r="F438" s="161"/>
      <c r="G438" s="161"/>
      <c r="H438" s="161"/>
      <c r="I438" s="118"/>
      <c r="J438" s="117"/>
      <c r="K438" s="118"/>
      <c r="L438" s="119"/>
      <c r="M438" s="166"/>
      <c r="N438" s="119"/>
      <c r="O438" s="118"/>
      <c r="P438" s="117"/>
      <c r="Q438" s="162"/>
      <c r="R438" s="163"/>
      <c r="S438" s="163"/>
      <c r="T438" s="164"/>
      <c r="U438" s="123" t="str">
        <f t="shared" si="41"/>
        <v>#DIV/0!</v>
      </c>
      <c r="V438" s="164"/>
      <c r="W438" s="165"/>
    </row>
    <row r="439">
      <c r="A439" s="161"/>
      <c r="B439" s="161"/>
      <c r="C439" s="161"/>
      <c r="D439" s="160" t="str">
        <f>IFERROR(__xludf.DUMMYFUNCTION("SUBSTITUTE(REGEXEXTRACT(#REF!, ""[^-]+$""), ""x"", "" x "")"),"#REF!")</f>
        <v>#REF!</v>
      </c>
      <c r="E439" s="161"/>
      <c r="F439" s="161"/>
      <c r="G439" s="161"/>
      <c r="H439" s="161"/>
      <c r="I439" s="117"/>
      <c r="J439" s="117"/>
      <c r="K439" s="117"/>
      <c r="L439" s="166"/>
      <c r="M439" s="166"/>
      <c r="N439" s="166"/>
      <c r="O439" s="117"/>
      <c r="P439" s="117"/>
      <c r="Q439" s="167"/>
      <c r="R439" s="163"/>
      <c r="S439" s="163"/>
      <c r="T439" s="164"/>
      <c r="U439" s="123" t="str">
        <f t="shared" si="41"/>
        <v>#DIV/0!</v>
      </c>
      <c r="V439" s="164"/>
      <c r="W439" s="165"/>
    </row>
    <row r="440">
      <c r="A440" s="161"/>
      <c r="B440" s="161"/>
      <c r="C440" s="161"/>
      <c r="D440" s="160" t="str">
        <f>IFERROR(__xludf.DUMMYFUNCTION("SUBSTITUTE(REGEXEXTRACT(#REF!, ""[^-]+$""), ""x"", "" x "")"),"#REF!")</f>
        <v>#REF!</v>
      </c>
      <c r="E440" s="161"/>
      <c r="F440" s="161"/>
      <c r="G440" s="161"/>
      <c r="H440" s="161"/>
      <c r="I440" s="118"/>
      <c r="J440" s="117"/>
      <c r="K440" s="118"/>
      <c r="L440" s="119"/>
      <c r="M440" s="166"/>
      <c r="N440" s="119"/>
      <c r="O440" s="118"/>
      <c r="P440" s="117"/>
      <c r="Q440" s="162"/>
      <c r="R440" s="163"/>
      <c r="S440" s="163"/>
      <c r="T440" s="164"/>
      <c r="U440" s="123" t="str">
        <f t="shared" si="41"/>
        <v>#DIV/0!</v>
      </c>
      <c r="V440" s="164"/>
      <c r="W440" s="165"/>
    </row>
    <row r="441">
      <c r="A441" s="161"/>
      <c r="B441" s="161"/>
      <c r="C441" s="161"/>
      <c r="D441" s="160" t="str">
        <f>IFERROR(__xludf.DUMMYFUNCTION("SUBSTITUTE(REGEXEXTRACT(#REF!, ""[^-]+$""), ""x"", "" x "")"),"#REF!")</f>
        <v>#REF!</v>
      </c>
      <c r="E441" s="161"/>
      <c r="F441" s="161"/>
      <c r="G441" s="161"/>
      <c r="H441" s="161"/>
      <c r="I441" s="118"/>
      <c r="J441" s="117"/>
      <c r="K441" s="118"/>
      <c r="L441" s="119"/>
      <c r="M441" s="166"/>
      <c r="N441" s="119"/>
      <c r="O441" s="118"/>
      <c r="P441" s="117"/>
      <c r="Q441" s="162"/>
      <c r="R441" s="163"/>
      <c r="S441" s="163"/>
      <c r="T441" s="164"/>
      <c r="U441" s="123" t="str">
        <f t="shared" si="41"/>
        <v>#DIV/0!</v>
      </c>
      <c r="V441" s="164"/>
      <c r="W441" s="165"/>
    </row>
    <row r="442">
      <c r="A442" s="161"/>
      <c r="B442" s="161"/>
      <c r="C442" s="161"/>
      <c r="D442" s="160" t="str">
        <f>IFERROR(__xludf.DUMMYFUNCTION("SUBSTITUTE(REGEXEXTRACT(#REF!, ""[^-]+$""), ""x"", "" x "")"),"#REF!")</f>
        <v>#REF!</v>
      </c>
      <c r="E442" s="161"/>
      <c r="F442" s="161"/>
      <c r="G442" s="161"/>
      <c r="H442" s="161"/>
      <c r="I442" s="117"/>
      <c r="J442" s="117"/>
      <c r="K442" s="117"/>
      <c r="L442" s="166"/>
      <c r="M442" s="166"/>
      <c r="N442" s="166"/>
      <c r="O442" s="117"/>
      <c r="P442" s="117"/>
      <c r="Q442" s="167"/>
      <c r="R442" s="163"/>
      <c r="S442" s="163"/>
      <c r="T442" s="164"/>
      <c r="U442" s="123" t="str">
        <f t="shared" si="41"/>
        <v>#DIV/0!</v>
      </c>
      <c r="V442" s="164"/>
      <c r="W442" s="165"/>
    </row>
    <row r="443">
      <c r="A443" s="161"/>
      <c r="B443" s="161"/>
      <c r="C443" s="161"/>
      <c r="D443" s="160" t="str">
        <f>IFERROR(__xludf.DUMMYFUNCTION("SUBSTITUTE(REGEXEXTRACT(#REF!, ""[^-]+$""), ""x"", "" x "")"),"#REF!")</f>
        <v>#REF!</v>
      </c>
      <c r="E443" s="161"/>
      <c r="F443" s="161"/>
      <c r="G443" s="161"/>
      <c r="H443" s="161"/>
      <c r="I443" s="118"/>
      <c r="J443" s="117"/>
      <c r="K443" s="118"/>
      <c r="L443" s="119"/>
      <c r="M443" s="119"/>
      <c r="N443" s="119"/>
      <c r="O443" s="118"/>
      <c r="P443" s="118"/>
      <c r="Q443" s="162"/>
      <c r="R443" s="163"/>
      <c r="S443" s="163"/>
      <c r="T443" s="164"/>
      <c r="U443" s="123" t="str">
        <f t="shared" si="41"/>
        <v>#DIV/0!</v>
      </c>
      <c r="V443" s="164"/>
      <c r="W443" s="165"/>
    </row>
    <row r="444">
      <c r="A444" s="161"/>
      <c r="B444" s="161"/>
      <c r="C444" s="161"/>
      <c r="D444" s="160" t="str">
        <f>IFERROR(__xludf.DUMMYFUNCTION("SUBSTITUTE(REGEXEXTRACT(#REF!, ""[^-]+$""), ""x"", "" x "")"),"#REF!")</f>
        <v>#REF!</v>
      </c>
      <c r="E444" s="161"/>
      <c r="F444" s="161"/>
      <c r="G444" s="161"/>
      <c r="H444" s="161"/>
      <c r="I444" s="118"/>
      <c r="J444" s="117"/>
      <c r="K444" s="118"/>
      <c r="L444" s="119"/>
      <c r="M444" s="119"/>
      <c r="N444" s="119"/>
      <c r="O444" s="118"/>
      <c r="P444" s="117"/>
      <c r="Q444" s="162"/>
      <c r="R444" s="163"/>
      <c r="S444" s="163"/>
      <c r="T444" s="164"/>
      <c r="U444" s="123" t="str">
        <f t="shared" si="41"/>
        <v>#DIV/0!</v>
      </c>
      <c r="V444" s="164"/>
      <c r="W444" s="165"/>
    </row>
    <row r="445">
      <c r="A445" s="161"/>
      <c r="B445" s="161"/>
      <c r="C445" s="161"/>
      <c r="D445" s="160" t="str">
        <f>IFERROR(__xludf.DUMMYFUNCTION("SUBSTITUTE(REGEXEXTRACT(#REF!, ""[^-]+$""), ""x"", "" x "")"),"#REF!")</f>
        <v>#REF!</v>
      </c>
      <c r="E445" s="161"/>
      <c r="F445" s="161"/>
      <c r="G445" s="161"/>
      <c r="H445" s="161"/>
      <c r="I445" s="118"/>
      <c r="J445" s="117"/>
      <c r="K445" s="118"/>
      <c r="L445" s="119"/>
      <c r="M445" s="119"/>
      <c r="N445" s="119"/>
      <c r="O445" s="118"/>
      <c r="P445" s="117"/>
      <c r="Q445" s="162"/>
      <c r="R445" s="163"/>
      <c r="S445" s="163"/>
      <c r="T445" s="164"/>
      <c r="U445" s="123" t="str">
        <f t="shared" si="41"/>
        <v>#DIV/0!</v>
      </c>
      <c r="V445" s="164"/>
      <c r="W445" s="165"/>
    </row>
    <row r="446">
      <c r="A446" s="161"/>
      <c r="B446" s="161"/>
      <c r="C446" s="161"/>
      <c r="D446" s="160" t="str">
        <f>IFERROR(__xludf.DUMMYFUNCTION("SUBSTITUTE(REGEXEXTRACT(#REF!, ""[^-]+$""), ""x"", "" x "")"),"#REF!")</f>
        <v>#REF!</v>
      </c>
      <c r="E446" s="161"/>
      <c r="F446" s="161"/>
      <c r="G446" s="161"/>
      <c r="H446" s="161"/>
      <c r="I446" s="118"/>
      <c r="J446" s="117"/>
      <c r="K446" s="118"/>
      <c r="L446" s="119"/>
      <c r="M446" s="166"/>
      <c r="N446" s="119"/>
      <c r="O446" s="118"/>
      <c r="P446" s="117"/>
      <c r="Q446" s="162"/>
      <c r="R446" s="163"/>
      <c r="S446" s="163"/>
      <c r="T446" s="164"/>
      <c r="U446" s="123" t="str">
        <f t="shared" si="41"/>
        <v>#DIV/0!</v>
      </c>
      <c r="V446" s="164"/>
      <c r="W446" s="165"/>
    </row>
    <row r="447">
      <c r="A447" s="161"/>
      <c r="B447" s="161"/>
      <c r="C447" s="161"/>
      <c r="D447" s="160" t="str">
        <f>IFERROR(__xludf.DUMMYFUNCTION("SUBSTITUTE(REGEXEXTRACT(#REF!, ""[^-]+$""), ""x"", "" x "")"),"#REF!")</f>
        <v>#REF!</v>
      </c>
      <c r="E447" s="161"/>
      <c r="F447" s="161"/>
      <c r="G447" s="161"/>
      <c r="H447" s="161"/>
      <c r="I447" s="118"/>
      <c r="J447" s="117"/>
      <c r="K447" s="118"/>
      <c r="L447" s="119"/>
      <c r="M447" s="166"/>
      <c r="N447" s="119"/>
      <c r="O447" s="118"/>
      <c r="P447" s="117"/>
      <c r="Q447" s="162"/>
      <c r="R447" s="163"/>
      <c r="S447" s="163"/>
      <c r="T447" s="164"/>
      <c r="U447" s="123" t="str">
        <f t="shared" si="41"/>
        <v>#DIV/0!</v>
      </c>
      <c r="V447" s="164"/>
      <c r="W447" s="165"/>
    </row>
    <row r="448">
      <c r="A448" s="161"/>
      <c r="B448" s="161"/>
      <c r="C448" s="161"/>
      <c r="D448" s="160" t="str">
        <f>IFERROR(__xludf.DUMMYFUNCTION("SUBSTITUTE(REGEXEXTRACT(#REF!, ""[^-]+$""), ""x"", "" x "")"),"#REF!")</f>
        <v>#REF!</v>
      </c>
      <c r="E448" s="161"/>
      <c r="F448" s="161"/>
      <c r="G448" s="161"/>
      <c r="H448" s="161"/>
      <c r="I448" s="118"/>
      <c r="J448" s="117"/>
      <c r="K448" s="118"/>
      <c r="L448" s="119"/>
      <c r="M448" s="166"/>
      <c r="N448" s="119"/>
      <c r="O448" s="118"/>
      <c r="P448" s="117"/>
      <c r="Q448" s="162"/>
      <c r="R448" s="163"/>
      <c r="S448" s="163"/>
      <c r="T448" s="164"/>
      <c r="U448" s="123" t="str">
        <f t="shared" si="41"/>
        <v>#DIV/0!</v>
      </c>
      <c r="V448" s="164"/>
      <c r="W448" s="165"/>
    </row>
    <row r="449">
      <c r="A449" s="161"/>
      <c r="B449" s="161"/>
      <c r="C449" s="161"/>
      <c r="D449" s="160" t="str">
        <f>IFERROR(__xludf.DUMMYFUNCTION("SUBSTITUTE(REGEXEXTRACT(#REF!, ""[^-]+$""), ""x"", "" x "")"),"#REF!")</f>
        <v>#REF!</v>
      </c>
      <c r="E449" s="161"/>
      <c r="F449" s="161"/>
      <c r="G449" s="161"/>
      <c r="H449" s="161"/>
      <c r="I449" s="118"/>
      <c r="J449" s="118"/>
      <c r="K449" s="117"/>
      <c r="L449" s="119"/>
      <c r="M449" s="119"/>
      <c r="N449" s="119"/>
      <c r="O449" s="118"/>
      <c r="P449" s="118"/>
      <c r="Q449" s="167"/>
      <c r="R449" s="163"/>
      <c r="S449" s="163"/>
      <c r="T449" s="164"/>
      <c r="U449" s="123" t="str">
        <f t="shared" si="41"/>
        <v>#DIV/0!</v>
      </c>
      <c r="V449" s="164"/>
      <c r="W449" s="165"/>
    </row>
    <row r="450">
      <c r="A450" s="161"/>
      <c r="B450" s="161"/>
      <c r="C450" s="161"/>
      <c r="D450" s="160" t="str">
        <f>IFERROR(__xludf.DUMMYFUNCTION("SUBSTITUTE(REGEXEXTRACT(#REF!, ""[^-]+$""), ""x"", "" x "")"),"#REF!")</f>
        <v>#REF!</v>
      </c>
      <c r="E450" s="161"/>
      <c r="F450" s="161"/>
      <c r="G450" s="161"/>
      <c r="H450" s="161"/>
      <c r="I450" s="118"/>
      <c r="J450" s="118"/>
      <c r="K450" s="117"/>
      <c r="L450" s="119"/>
      <c r="M450" s="119"/>
      <c r="N450" s="119"/>
      <c r="O450" s="118"/>
      <c r="P450" s="118"/>
      <c r="Q450" s="167"/>
      <c r="R450" s="163"/>
      <c r="S450" s="163"/>
      <c r="T450" s="164"/>
      <c r="U450" s="123" t="str">
        <f t="shared" si="41"/>
        <v>#DIV/0!</v>
      </c>
      <c r="V450" s="164"/>
      <c r="W450" s="165"/>
    </row>
    <row r="451">
      <c r="A451" s="161"/>
      <c r="B451" s="161"/>
      <c r="C451" s="161"/>
      <c r="D451" s="160" t="str">
        <f>IFERROR(__xludf.DUMMYFUNCTION("SUBSTITUTE(REGEXEXTRACT(#REF!, ""[^-]+$""), ""x"", "" x "")"),"#REF!")</f>
        <v>#REF!</v>
      </c>
      <c r="E451" s="161"/>
      <c r="F451" s="161"/>
      <c r="G451" s="161"/>
      <c r="H451" s="161"/>
      <c r="I451" s="118"/>
      <c r="J451" s="118"/>
      <c r="K451" s="117"/>
      <c r="L451" s="119"/>
      <c r="M451" s="119"/>
      <c r="N451" s="166"/>
      <c r="O451" s="118"/>
      <c r="P451" s="118"/>
      <c r="Q451" s="167"/>
      <c r="R451" s="163"/>
      <c r="S451" s="163"/>
      <c r="T451" s="164"/>
      <c r="U451" s="123" t="str">
        <f t="shared" si="41"/>
        <v>#DIV/0!</v>
      </c>
      <c r="V451" s="164"/>
      <c r="W451" s="165"/>
    </row>
    <row r="452">
      <c r="A452" s="161"/>
      <c r="B452" s="161"/>
      <c r="C452" s="161"/>
      <c r="D452" s="160" t="str">
        <f>IFERROR(__xludf.DUMMYFUNCTION("SUBSTITUTE(REGEXEXTRACT(#REF!, ""[^-]+$""), ""x"", "" x "")"),"#REF!")</f>
        <v>#REF!</v>
      </c>
      <c r="E452" s="161"/>
      <c r="F452" s="161"/>
      <c r="G452" s="161"/>
      <c r="H452" s="161"/>
      <c r="I452" s="118"/>
      <c r="J452" s="118"/>
      <c r="K452" s="117"/>
      <c r="L452" s="119"/>
      <c r="M452" s="119"/>
      <c r="N452" s="119"/>
      <c r="O452" s="118"/>
      <c r="P452" s="118"/>
      <c r="Q452" s="167"/>
      <c r="R452" s="163"/>
      <c r="S452" s="163"/>
      <c r="T452" s="164"/>
      <c r="U452" s="123" t="str">
        <f t="shared" si="41"/>
        <v>#DIV/0!</v>
      </c>
      <c r="V452" s="164"/>
      <c r="W452" s="165"/>
    </row>
    <row r="453">
      <c r="A453" s="161"/>
      <c r="B453" s="161"/>
      <c r="C453" s="161"/>
      <c r="D453" s="160" t="str">
        <f>IFERROR(__xludf.DUMMYFUNCTION("SUBSTITUTE(REGEXEXTRACT(#REF!, ""[^-]+$""), ""x"", "" x "")"),"#REF!")</f>
        <v>#REF!</v>
      </c>
      <c r="E453" s="161"/>
      <c r="F453" s="161"/>
      <c r="G453" s="161"/>
      <c r="H453" s="161"/>
      <c r="I453" s="118"/>
      <c r="J453" s="118"/>
      <c r="K453" s="117"/>
      <c r="L453" s="119"/>
      <c r="M453" s="119"/>
      <c r="N453" s="119"/>
      <c r="O453" s="118"/>
      <c r="P453" s="118"/>
      <c r="Q453" s="167"/>
      <c r="R453" s="163"/>
      <c r="S453" s="163"/>
      <c r="T453" s="164"/>
      <c r="U453" s="123" t="str">
        <f t="shared" si="41"/>
        <v>#DIV/0!</v>
      </c>
      <c r="V453" s="164"/>
      <c r="W453" s="165"/>
    </row>
    <row r="454">
      <c r="A454" s="161"/>
      <c r="B454" s="161"/>
      <c r="C454" s="161"/>
      <c r="D454" s="160" t="str">
        <f>IFERROR(__xludf.DUMMYFUNCTION("SUBSTITUTE(REGEXEXTRACT(#REF!, ""[^-]+$""), ""x"", "" x "")"),"#REF!")</f>
        <v>#REF!</v>
      </c>
      <c r="E454" s="161"/>
      <c r="F454" s="161"/>
      <c r="G454" s="161"/>
      <c r="H454" s="161"/>
      <c r="I454" s="118"/>
      <c r="J454" s="118"/>
      <c r="K454" s="117"/>
      <c r="L454" s="119"/>
      <c r="M454" s="119"/>
      <c r="N454" s="119"/>
      <c r="O454" s="118"/>
      <c r="P454" s="118"/>
      <c r="Q454" s="167"/>
      <c r="R454" s="163"/>
      <c r="S454" s="163"/>
      <c r="T454" s="164"/>
      <c r="U454" s="123" t="str">
        <f t="shared" si="41"/>
        <v>#DIV/0!</v>
      </c>
      <c r="V454" s="164"/>
      <c r="W454" s="165"/>
    </row>
    <row r="455">
      <c r="A455" s="161"/>
      <c r="B455" s="161"/>
      <c r="C455" s="161"/>
      <c r="D455" s="160" t="str">
        <f>IFERROR(__xludf.DUMMYFUNCTION("SUBSTITUTE(REGEXEXTRACT(#REF!, ""[^-]+$""), ""x"", "" x "")"),"#REF!")</f>
        <v>#REF!</v>
      </c>
      <c r="E455" s="161"/>
      <c r="F455" s="161"/>
      <c r="G455" s="161"/>
      <c r="H455" s="161"/>
      <c r="I455" s="118"/>
      <c r="J455" s="118"/>
      <c r="K455" s="117"/>
      <c r="L455" s="119"/>
      <c r="M455" s="119"/>
      <c r="N455" s="119"/>
      <c r="O455" s="118"/>
      <c r="P455" s="118"/>
      <c r="Q455" s="167"/>
      <c r="R455" s="163"/>
      <c r="S455" s="163"/>
      <c r="T455" s="164"/>
      <c r="U455" s="123" t="str">
        <f t="shared" si="41"/>
        <v>#DIV/0!</v>
      </c>
      <c r="V455" s="164"/>
      <c r="W455" s="165"/>
    </row>
    <row r="456">
      <c r="A456" s="161"/>
      <c r="B456" s="161"/>
      <c r="C456" s="161"/>
      <c r="D456" s="160" t="str">
        <f>IFERROR(__xludf.DUMMYFUNCTION("SUBSTITUTE(REGEXEXTRACT(#REF!, ""[^-]+$""), ""x"", "" x "")"),"#REF!")</f>
        <v>#REF!</v>
      </c>
      <c r="E456" s="161"/>
      <c r="F456" s="161"/>
      <c r="G456" s="161"/>
      <c r="H456" s="161"/>
      <c r="I456" s="118"/>
      <c r="J456" s="118"/>
      <c r="K456" s="117"/>
      <c r="L456" s="119"/>
      <c r="M456" s="119"/>
      <c r="N456" s="119"/>
      <c r="O456" s="118"/>
      <c r="P456" s="118"/>
      <c r="Q456" s="167"/>
      <c r="R456" s="163"/>
      <c r="S456" s="163"/>
      <c r="T456" s="164"/>
      <c r="U456" s="123" t="str">
        <f t="shared" si="41"/>
        <v>#DIV/0!</v>
      </c>
      <c r="V456" s="164"/>
      <c r="W456" s="165"/>
    </row>
    <row r="457">
      <c r="A457" s="161"/>
      <c r="B457" s="161"/>
      <c r="C457" s="161"/>
      <c r="D457" s="160" t="str">
        <f>IFERROR(__xludf.DUMMYFUNCTION("SUBSTITUTE(REGEXEXTRACT(#REF!, ""[^-]+$""), ""x"", "" x "")"),"#REF!")</f>
        <v>#REF!</v>
      </c>
      <c r="E457" s="161"/>
      <c r="F457" s="161"/>
      <c r="G457" s="161"/>
      <c r="H457" s="161"/>
      <c r="I457" s="118"/>
      <c r="J457" s="118"/>
      <c r="K457" s="117"/>
      <c r="L457" s="119"/>
      <c r="M457" s="119"/>
      <c r="N457" s="119"/>
      <c r="O457" s="118"/>
      <c r="P457" s="118"/>
      <c r="Q457" s="167"/>
      <c r="R457" s="163"/>
      <c r="S457" s="163"/>
      <c r="T457" s="164"/>
      <c r="U457" s="123" t="str">
        <f t="shared" si="41"/>
        <v>#DIV/0!</v>
      </c>
      <c r="V457" s="164"/>
      <c r="W457" s="165"/>
    </row>
    <row r="458">
      <c r="A458" s="161"/>
      <c r="B458" s="161"/>
      <c r="C458" s="161"/>
      <c r="D458" s="160" t="str">
        <f>IFERROR(__xludf.DUMMYFUNCTION("SUBSTITUTE(REGEXEXTRACT(#REF!, ""[^-]+$""), ""x"", "" x "")"),"#REF!")</f>
        <v>#REF!</v>
      </c>
      <c r="E458" s="161"/>
      <c r="F458" s="161"/>
      <c r="G458" s="161"/>
      <c r="H458" s="161"/>
      <c r="I458" s="118"/>
      <c r="J458" s="118"/>
      <c r="K458" s="117"/>
      <c r="L458" s="119"/>
      <c r="M458" s="119"/>
      <c r="N458" s="119"/>
      <c r="O458" s="118"/>
      <c r="P458" s="118"/>
      <c r="Q458" s="167"/>
      <c r="R458" s="163"/>
      <c r="S458" s="163"/>
      <c r="T458" s="164"/>
      <c r="U458" s="123" t="str">
        <f t="shared" si="41"/>
        <v>#DIV/0!</v>
      </c>
      <c r="V458" s="164"/>
      <c r="W458" s="165"/>
    </row>
    <row r="459">
      <c r="A459" s="161"/>
      <c r="B459" s="161"/>
      <c r="C459" s="161"/>
      <c r="D459" s="160" t="str">
        <f>IFERROR(__xludf.DUMMYFUNCTION("SUBSTITUTE(REGEXEXTRACT(#REF!, ""[^-]+$""), ""x"", "" x "")"),"#REF!")</f>
        <v>#REF!</v>
      </c>
      <c r="E459" s="161"/>
      <c r="F459" s="161"/>
      <c r="G459" s="161"/>
      <c r="H459" s="161"/>
      <c r="I459" s="118"/>
      <c r="J459" s="118"/>
      <c r="K459" s="117"/>
      <c r="L459" s="119"/>
      <c r="M459" s="119"/>
      <c r="N459" s="119"/>
      <c r="O459" s="118"/>
      <c r="P459" s="118"/>
      <c r="Q459" s="167"/>
      <c r="R459" s="163"/>
      <c r="S459" s="163"/>
      <c r="T459" s="164"/>
      <c r="U459" s="123" t="str">
        <f t="shared" si="41"/>
        <v>#DIV/0!</v>
      </c>
      <c r="V459" s="164"/>
      <c r="W459" s="165"/>
    </row>
    <row r="460">
      <c r="A460" s="161"/>
      <c r="B460" s="161"/>
      <c r="C460" s="161"/>
      <c r="D460" s="160" t="str">
        <f>IFERROR(__xludf.DUMMYFUNCTION("SUBSTITUTE(REGEXEXTRACT(#REF!, ""[^-]+$""), ""x"", "" x "")"),"#REF!")</f>
        <v>#REF!</v>
      </c>
      <c r="E460" s="161"/>
      <c r="F460" s="161"/>
      <c r="G460" s="161"/>
      <c r="H460" s="161"/>
      <c r="I460" s="118"/>
      <c r="J460" s="118"/>
      <c r="K460" s="117"/>
      <c r="L460" s="119"/>
      <c r="M460" s="119"/>
      <c r="N460" s="119"/>
      <c r="O460" s="118"/>
      <c r="P460" s="118"/>
      <c r="Q460" s="167"/>
      <c r="R460" s="163"/>
      <c r="S460" s="163"/>
      <c r="T460" s="164"/>
      <c r="U460" s="123" t="str">
        <f t="shared" si="41"/>
        <v>#DIV/0!</v>
      </c>
      <c r="V460" s="164"/>
      <c r="W460" s="165"/>
    </row>
    <row r="461">
      <c r="A461" s="161"/>
      <c r="B461" s="161"/>
      <c r="C461" s="161"/>
      <c r="D461" s="160" t="str">
        <f>IFERROR(__xludf.DUMMYFUNCTION("SUBSTITUTE(REGEXEXTRACT(#REF!, ""[^-]+$""), ""x"", "" x "")"),"#REF!")</f>
        <v>#REF!</v>
      </c>
      <c r="E461" s="161"/>
      <c r="F461" s="161"/>
      <c r="G461" s="161"/>
      <c r="H461" s="161"/>
      <c r="I461" s="118"/>
      <c r="J461" s="118"/>
      <c r="K461" s="117"/>
      <c r="L461" s="119"/>
      <c r="M461" s="119"/>
      <c r="N461" s="119"/>
      <c r="O461" s="118"/>
      <c r="P461" s="118"/>
      <c r="Q461" s="167"/>
      <c r="R461" s="163"/>
      <c r="S461" s="163"/>
      <c r="T461" s="164"/>
      <c r="U461" s="123" t="str">
        <f t="shared" si="41"/>
        <v>#DIV/0!</v>
      </c>
      <c r="V461" s="164"/>
      <c r="W461" s="165"/>
    </row>
    <row r="462">
      <c r="A462" s="161"/>
      <c r="B462" s="161"/>
      <c r="C462" s="161"/>
      <c r="D462" s="160" t="str">
        <f>IFERROR(__xludf.DUMMYFUNCTION("SUBSTITUTE(REGEXEXTRACT(#REF!, ""[^-]+$""), ""x"", "" x "")"),"#REF!")</f>
        <v>#REF!</v>
      </c>
      <c r="E462" s="161"/>
      <c r="F462" s="161"/>
      <c r="G462" s="161"/>
      <c r="H462" s="161"/>
      <c r="I462" s="118"/>
      <c r="J462" s="118"/>
      <c r="K462" s="117"/>
      <c r="L462" s="119"/>
      <c r="M462" s="119"/>
      <c r="N462" s="119"/>
      <c r="O462" s="118"/>
      <c r="P462" s="118"/>
      <c r="Q462" s="167"/>
      <c r="R462" s="163"/>
      <c r="S462" s="163"/>
      <c r="T462" s="168"/>
      <c r="U462" s="123" t="str">
        <f t="shared" si="41"/>
        <v>#DIV/0!</v>
      </c>
      <c r="V462" s="168"/>
      <c r="W462" s="169"/>
    </row>
    <row r="463">
      <c r="A463" s="161"/>
      <c r="B463" s="161"/>
      <c r="C463" s="161"/>
      <c r="D463" s="160" t="str">
        <f>IFERROR(__xludf.DUMMYFUNCTION("SUBSTITUTE(REGEXEXTRACT(#REF!, ""[^-]+$""), ""x"", "" x "")"),"#REF!")</f>
        <v>#REF!</v>
      </c>
      <c r="E463" s="161"/>
      <c r="F463" s="161"/>
      <c r="G463" s="161"/>
      <c r="H463" s="161"/>
      <c r="I463" s="118"/>
      <c r="J463" s="118"/>
      <c r="K463" s="117"/>
      <c r="L463" s="119"/>
      <c r="M463" s="119"/>
      <c r="N463" s="119"/>
      <c r="O463" s="118"/>
      <c r="P463" s="118"/>
      <c r="Q463" s="167"/>
      <c r="R463" s="163"/>
      <c r="S463" s="163"/>
      <c r="T463" s="168"/>
      <c r="U463" s="123" t="str">
        <f t="shared" si="41"/>
        <v>#DIV/0!</v>
      </c>
      <c r="V463" s="168"/>
      <c r="W463" s="169"/>
    </row>
    <row r="464">
      <c r="A464" s="161"/>
      <c r="B464" s="161"/>
      <c r="C464" s="161"/>
      <c r="D464" s="160" t="str">
        <f>IFERROR(__xludf.DUMMYFUNCTION("SUBSTITUTE(REGEXEXTRACT(#REF!, ""[^-]+$""), ""x"", "" x "")"),"#REF!")</f>
        <v>#REF!</v>
      </c>
      <c r="E464" s="161"/>
      <c r="F464" s="161"/>
      <c r="G464" s="161"/>
      <c r="H464" s="161"/>
      <c r="I464" s="118"/>
      <c r="J464" s="118"/>
      <c r="K464" s="117"/>
      <c r="L464" s="119"/>
      <c r="M464" s="119"/>
      <c r="N464" s="119"/>
      <c r="O464" s="118"/>
      <c r="P464" s="118"/>
      <c r="Q464" s="167"/>
      <c r="R464" s="163"/>
      <c r="S464" s="163"/>
      <c r="T464" s="168"/>
      <c r="U464" s="123" t="str">
        <f t="shared" si="41"/>
        <v>#DIV/0!</v>
      </c>
      <c r="V464" s="168"/>
      <c r="W464" s="169"/>
    </row>
    <row r="465">
      <c r="A465" s="161"/>
      <c r="B465" s="161"/>
      <c r="C465" s="161"/>
      <c r="D465" s="160" t="str">
        <f>IFERROR(__xludf.DUMMYFUNCTION("SUBSTITUTE(REGEXEXTRACT(#REF!, ""[^-]+$""), ""x"", "" x "")"),"#REF!")</f>
        <v>#REF!</v>
      </c>
      <c r="E465" s="161"/>
      <c r="F465" s="161"/>
      <c r="G465" s="161"/>
      <c r="H465" s="161"/>
      <c r="I465" s="118"/>
      <c r="J465" s="118"/>
      <c r="K465" s="117"/>
      <c r="L465" s="119"/>
      <c r="M465" s="119"/>
      <c r="N465" s="119"/>
      <c r="O465" s="118"/>
      <c r="P465" s="118"/>
      <c r="Q465" s="167"/>
      <c r="R465" s="163"/>
      <c r="S465" s="163"/>
      <c r="T465" s="168"/>
      <c r="U465" s="123" t="str">
        <f t="shared" si="41"/>
        <v>#DIV/0!</v>
      </c>
      <c r="V465" s="168"/>
      <c r="W465" s="169"/>
    </row>
    <row r="466">
      <c r="A466" s="161"/>
      <c r="B466" s="161"/>
      <c r="C466" s="161"/>
      <c r="D466" s="160" t="str">
        <f>IFERROR(__xludf.DUMMYFUNCTION("SUBSTITUTE(REGEXEXTRACT(#REF!, ""[^-]+$""), ""x"", "" x "")"),"#REF!")</f>
        <v>#REF!</v>
      </c>
      <c r="E466" s="161"/>
      <c r="F466" s="161"/>
      <c r="G466" s="161"/>
      <c r="H466" s="161"/>
      <c r="I466" s="118"/>
      <c r="J466" s="118"/>
      <c r="K466" s="117"/>
      <c r="L466" s="119"/>
      <c r="M466" s="119"/>
      <c r="N466" s="119"/>
      <c r="O466" s="118"/>
      <c r="P466" s="118"/>
      <c r="Q466" s="167"/>
      <c r="R466" s="163"/>
      <c r="S466" s="163"/>
      <c r="T466" s="168"/>
      <c r="U466" s="123" t="str">
        <f t="shared" si="41"/>
        <v>#DIV/0!</v>
      </c>
      <c r="V466" s="168"/>
      <c r="W466" s="169"/>
    </row>
    <row r="467">
      <c r="A467" s="161"/>
      <c r="B467" s="161"/>
      <c r="C467" s="161"/>
      <c r="D467" s="160" t="str">
        <f>IFERROR(__xludf.DUMMYFUNCTION("SUBSTITUTE(REGEXEXTRACT(#REF!, ""[^-]+$""), ""x"", "" x "")"),"#REF!")</f>
        <v>#REF!</v>
      </c>
      <c r="E467" s="161"/>
      <c r="F467" s="161"/>
      <c r="G467" s="161"/>
      <c r="H467" s="161"/>
      <c r="I467" s="118"/>
      <c r="J467" s="118"/>
      <c r="K467" s="117"/>
      <c r="L467" s="119"/>
      <c r="M467" s="119"/>
      <c r="N467" s="166"/>
      <c r="O467" s="118"/>
      <c r="P467" s="118"/>
      <c r="Q467" s="167"/>
      <c r="R467" s="163"/>
      <c r="S467" s="163"/>
      <c r="T467" s="168"/>
      <c r="U467" s="123" t="str">
        <f t="shared" si="41"/>
        <v>#DIV/0!</v>
      </c>
      <c r="V467" s="168"/>
      <c r="W467" s="169"/>
    </row>
    <row r="468">
      <c r="A468" s="161"/>
      <c r="B468" s="161"/>
      <c r="C468" s="161"/>
      <c r="D468" s="160" t="str">
        <f>IFERROR(__xludf.DUMMYFUNCTION("SUBSTITUTE(REGEXEXTRACT(#REF!, ""[^-]+$""), ""x"", "" x "")"),"#REF!")</f>
        <v>#REF!</v>
      </c>
      <c r="E468" s="161"/>
      <c r="F468" s="161"/>
      <c r="G468" s="161"/>
      <c r="H468" s="161"/>
      <c r="I468" s="118"/>
      <c r="J468" s="118"/>
      <c r="K468" s="117"/>
      <c r="L468" s="119"/>
      <c r="M468" s="119"/>
      <c r="N468" s="166"/>
      <c r="O468" s="118"/>
      <c r="P468" s="118"/>
      <c r="Q468" s="167"/>
      <c r="R468" s="163"/>
      <c r="S468" s="163"/>
      <c r="T468" s="168"/>
      <c r="U468" s="123" t="str">
        <f t="shared" si="41"/>
        <v>#DIV/0!</v>
      </c>
      <c r="V468" s="168"/>
      <c r="W468" s="169"/>
    </row>
    <row r="469">
      <c r="A469" s="161"/>
      <c r="B469" s="161"/>
      <c r="C469" s="161"/>
      <c r="D469" s="160" t="str">
        <f>IFERROR(__xludf.DUMMYFUNCTION("SUBSTITUTE(REGEXEXTRACT(#REF!, ""[^-]+$""), ""x"", "" x "")"),"#REF!")</f>
        <v>#REF!</v>
      </c>
      <c r="E469" s="161"/>
      <c r="F469" s="161"/>
      <c r="G469" s="161"/>
      <c r="H469" s="161"/>
      <c r="I469" s="118"/>
      <c r="J469" s="118"/>
      <c r="K469" s="117"/>
      <c r="L469" s="119"/>
      <c r="M469" s="119"/>
      <c r="N469" s="166"/>
      <c r="O469" s="118"/>
      <c r="P469" s="118"/>
      <c r="Q469" s="167"/>
      <c r="R469" s="163"/>
      <c r="S469" s="163"/>
      <c r="T469" s="168"/>
      <c r="U469" s="123" t="str">
        <f t="shared" si="41"/>
        <v>#DIV/0!</v>
      </c>
      <c r="V469" s="168"/>
      <c r="W469" s="169"/>
    </row>
    <row r="470">
      <c r="A470" s="161"/>
      <c r="B470" s="161"/>
      <c r="C470" s="161"/>
      <c r="D470" s="160" t="str">
        <f>IFERROR(__xludf.DUMMYFUNCTION("SUBSTITUTE(REGEXEXTRACT(#REF!, ""[^-]+$""), ""x"", "" x "")"),"#REF!")</f>
        <v>#REF!</v>
      </c>
      <c r="E470" s="161"/>
      <c r="F470" s="161"/>
      <c r="G470" s="161"/>
      <c r="H470" s="161"/>
      <c r="I470" s="118"/>
      <c r="J470" s="118"/>
      <c r="K470" s="117"/>
      <c r="L470" s="119"/>
      <c r="M470" s="119"/>
      <c r="N470" s="166"/>
      <c r="O470" s="118"/>
      <c r="P470" s="118"/>
      <c r="Q470" s="167"/>
      <c r="R470" s="163"/>
      <c r="S470" s="163"/>
      <c r="T470" s="168"/>
      <c r="U470" s="123" t="str">
        <f t="shared" si="41"/>
        <v>#DIV/0!</v>
      </c>
      <c r="V470" s="168"/>
      <c r="W470" s="169"/>
    </row>
    <row r="471">
      <c r="A471" s="161"/>
      <c r="B471" s="161"/>
      <c r="C471" s="161"/>
      <c r="D471" s="160" t="str">
        <f>IFERROR(__xludf.DUMMYFUNCTION("SUBSTITUTE(REGEXEXTRACT(#REF!, ""[^-]+$""), ""x"", "" x "")"),"#REF!")</f>
        <v>#REF!</v>
      </c>
      <c r="E471" s="161"/>
      <c r="F471" s="161"/>
      <c r="G471" s="161"/>
      <c r="H471" s="161"/>
      <c r="I471" s="118"/>
      <c r="J471" s="118"/>
      <c r="K471" s="117"/>
      <c r="L471" s="119"/>
      <c r="M471" s="119"/>
      <c r="N471" s="166"/>
      <c r="O471" s="118"/>
      <c r="P471" s="118"/>
      <c r="Q471" s="167"/>
      <c r="R471" s="163"/>
      <c r="S471" s="163"/>
      <c r="T471" s="168"/>
      <c r="U471" s="123" t="str">
        <f t="shared" si="41"/>
        <v>#DIV/0!</v>
      </c>
      <c r="V471" s="168"/>
      <c r="W471" s="169"/>
    </row>
    <row r="472">
      <c r="A472" s="161"/>
      <c r="B472" s="161"/>
      <c r="C472" s="161"/>
      <c r="D472" s="160" t="str">
        <f>IFERROR(__xludf.DUMMYFUNCTION("SUBSTITUTE(REGEXEXTRACT(#REF!, ""[^-]+$""), ""x"", "" x "")"),"#REF!")</f>
        <v>#REF!</v>
      </c>
      <c r="E472" s="161"/>
      <c r="F472" s="161"/>
      <c r="G472" s="161"/>
      <c r="H472" s="161"/>
      <c r="I472" s="118"/>
      <c r="J472" s="118"/>
      <c r="K472" s="117"/>
      <c r="L472" s="119"/>
      <c r="M472" s="119"/>
      <c r="N472" s="166"/>
      <c r="O472" s="118"/>
      <c r="P472" s="118"/>
      <c r="Q472" s="167"/>
      <c r="R472" s="163"/>
      <c r="S472" s="163"/>
      <c r="T472" s="168"/>
      <c r="U472" s="123" t="str">
        <f t="shared" si="41"/>
        <v>#DIV/0!</v>
      </c>
      <c r="V472" s="168"/>
      <c r="W472" s="169"/>
    </row>
    <row r="473">
      <c r="A473" s="161"/>
      <c r="B473" s="161"/>
      <c r="C473" s="161"/>
      <c r="D473" s="160" t="str">
        <f>IFERROR(__xludf.DUMMYFUNCTION("SUBSTITUTE(REGEXEXTRACT(#REF!, ""[^-]+$""), ""x"", "" x "")"),"#REF!")</f>
        <v>#REF!</v>
      </c>
      <c r="E473" s="161"/>
      <c r="F473" s="161"/>
      <c r="G473" s="161"/>
      <c r="H473" s="161"/>
      <c r="I473" s="118"/>
      <c r="J473" s="118"/>
      <c r="K473" s="117"/>
      <c r="L473" s="119"/>
      <c r="M473" s="119"/>
      <c r="N473" s="166"/>
      <c r="O473" s="118"/>
      <c r="P473" s="118"/>
      <c r="Q473" s="167"/>
      <c r="R473" s="163"/>
      <c r="S473" s="163"/>
      <c r="T473" s="168"/>
      <c r="U473" s="123" t="str">
        <f t="shared" si="41"/>
        <v>#DIV/0!</v>
      </c>
      <c r="V473" s="168"/>
      <c r="W473" s="169"/>
    </row>
    <row r="474">
      <c r="A474" s="161"/>
      <c r="B474" s="161"/>
      <c r="C474" s="161"/>
      <c r="D474" s="160" t="str">
        <f>IFERROR(__xludf.DUMMYFUNCTION("SUBSTITUTE(REGEXEXTRACT(#REF!, ""[^-]+$""), ""x"", "" x "")"),"#REF!")</f>
        <v>#REF!</v>
      </c>
      <c r="E474" s="161"/>
      <c r="F474" s="161"/>
      <c r="G474" s="161"/>
      <c r="H474" s="161"/>
      <c r="I474" s="118"/>
      <c r="J474" s="118"/>
      <c r="K474" s="117"/>
      <c r="L474" s="119"/>
      <c r="M474" s="119"/>
      <c r="N474" s="166"/>
      <c r="O474" s="118"/>
      <c r="P474" s="118"/>
      <c r="Q474" s="167"/>
      <c r="R474" s="163"/>
      <c r="S474" s="163"/>
      <c r="T474" s="168"/>
      <c r="U474" s="123" t="str">
        <f t="shared" si="41"/>
        <v>#DIV/0!</v>
      </c>
      <c r="V474" s="168"/>
      <c r="W474" s="169"/>
    </row>
    <row r="475">
      <c r="A475" s="161"/>
      <c r="B475" s="161"/>
      <c r="C475" s="161"/>
      <c r="D475" s="160" t="str">
        <f>IFERROR(__xludf.DUMMYFUNCTION("SUBSTITUTE(REGEXEXTRACT(#REF!, ""[^-]+$""), ""x"", "" x "")"),"#REF!")</f>
        <v>#REF!</v>
      </c>
      <c r="E475" s="161"/>
      <c r="F475" s="161"/>
      <c r="G475" s="161"/>
      <c r="H475" s="161"/>
      <c r="I475" s="118"/>
      <c r="J475" s="118"/>
      <c r="K475" s="117"/>
      <c r="L475" s="119"/>
      <c r="M475" s="119"/>
      <c r="N475" s="119"/>
      <c r="O475" s="118"/>
      <c r="P475" s="118"/>
      <c r="Q475" s="167"/>
      <c r="R475" s="163"/>
      <c r="S475" s="163"/>
      <c r="T475" s="168"/>
      <c r="U475" s="123" t="str">
        <f t="shared" si="41"/>
        <v>#DIV/0!</v>
      </c>
      <c r="V475" s="168"/>
      <c r="W475" s="169"/>
    </row>
    <row r="476">
      <c r="A476" s="161"/>
      <c r="B476" s="161"/>
      <c r="C476" s="161"/>
      <c r="D476" s="160" t="str">
        <f>IFERROR(__xludf.DUMMYFUNCTION("SUBSTITUTE(REGEXEXTRACT(#REF!, ""[^-]+$""), ""x"", "" x "")"),"#REF!")</f>
        <v>#REF!</v>
      </c>
      <c r="E476" s="161"/>
      <c r="F476" s="161"/>
      <c r="G476" s="161"/>
      <c r="H476" s="161"/>
      <c r="I476" s="118"/>
      <c r="J476" s="118"/>
      <c r="K476" s="117"/>
      <c r="L476" s="119"/>
      <c r="M476" s="119"/>
      <c r="N476" s="119"/>
      <c r="O476" s="118"/>
      <c r="P476" s="118"/>
      <c r="Q476" s="167"/>
      <c r="R476" s="163"/>
      <c r="S476" s="163"/>
      <c r="T476" s="168"/>
      <c r="U476" s="123" t="str">
        <f t="shared" si="41"/>
        <v>#DIV/0!</v>
      </c>
      <c r="V476" s="168"/>
      <c r="W476" s="169"/>
    </row>
    <row r="477">
      <c r="A477" s="161"/>
      <c r="B477" s="161"/>
      <c r="C477" s="161"/>
      <c r="D477" s="160" t="str">
        <f>IFERROR(__xludf.DUMMYFUNCTION("SUBSTITUTE(REGEXEXTRACT(#REF!, ""[^-]+$""), ""x"", "" x "")"),"#REF!")</f>
        <v>#REF!</v>
      </c>
      <c r="E477" s="161"/>
      <c r="F477" s="161"/>
      <c r="G477" s="161"/>
      <c r="H477" s="161"/>
      <c r="I477" s="118"/>
      <c r="J477" s="118"/>
      <c r="K477" s="117"/>
      <c r="L477" s="119"/>
      <c r="M477" s="119"/>
      <c r="N477" s="119"/>
      <c r="O477" s="118"/>
      <c r="P477" s="118"/>
      <c r="Q477" s="167"/>
      <c r="R477" s="163"/>
      <c r="S477" s="163"/>
      <c r="T477" s="168"/>
      <c r="U477" s="123" t="str">
        <f t="shared" si="41"/>
        <v>#DIV/0!</v>
      </c>
      <c r="V477" s="168"/>
      <c r="W477" s="169"/>
    </row>
    <row r="478">
      <c r="A478" s="161"/>
      <c r="B478" s="161"/>
      <c r="C478" s="161"/>
      <c r="D478" s="160" t="str">
        <f>IFERROR(__xludf.DUMMYFUNCTION("SUBSTITUTE(REGEXEXTRACT(#REF!, ""[^-]+$""), ""x"", "" x "")"),"#REF!")</f>
        <v>#REF!</v>
      </c>
      <c r="E478" s="161"/>
      <c r="F478" s="161"/>
      <c r="G478" s="161"/>
      <c r="H478" s="161"/>
      <c r="I478" s="118"/>
      <c r="J478" s="118"/>
      <c r="K478" s="117"/>
      <c r="L478" s="119"/>
      <c r="M478" s="119"/>
      <c r="N478" s="119"/>
      <c r="O478" s="118"/>
      <c r="P478" s="118"/>
      <c r="Q478" s="167"/>
      <c r="R478" s="163"/>
      <c r="S478" s="163"/>
      <c r="T478" s="168"/>
      <c r="U478" s="123" t="str">
        <f t="shared" si="41"/>
        <v>#DIV/0!</v>
      </c>
      <c r="V478" s="168"/>
      <c r="W478" s="169"/>
    </row>
    <row r="479">
      <c r="A479" s="161"/>
      <c r="B479" s="161"/>
      <c r="C479" s="161"/>
      <c r="D479" s="160" t="str">
        <f>IFERROR(__xludf.DUMMYFUNCTION("SUBSTITUTE(REGEXEXTRACT(#REF!, ""[^-]+$""), ""x"", "" x "")"),"#REF!")</f>
        <v>#REF!</v>
      </c>
      <c r="E479" s="161"/>
      <c r="F479" s="161"/>
      <c r="G479" s="161"/>
      <c r="H479" s="161"/>
      <c r="I479" s="118"/>
      <c r="J479" s="118"/>
      <c r="K479" s="117"/>
      <c r="L479" s="119"/>
      <c r="M479" s="119"/>
      <c r="N479" s="119"/>
      <c r="O479" s="118"/>
      <c r="P479" s="118"/>
      <c r="Q479" s="167"/>
      <c r="R479" s="163"/>
      <c r="S479" s="163"/>
      <c r="T479" s="168"/>
      <c r="U479" s="123" t="str">
        <f t="shared" si="41"/>
        <v>#DIV/0!</v>
      </c>
      <c r="V479" s="168"/>
      <c r="W479" s="169"/>
    </row>
    <row r="480">
      <c r="A480" s="161"/>
      <c r="B480" s="161"/>
      <c r="C480" s="161"/>
      <c r="D480" s="160" t="str">
        <f>IFERROR(__xludf.DUMMYFUNCTION("SUBSTITUTE(REGEXEXTRACT(#REF!, ""[^-]+$""), ""x"", "" x "")"),"#REF!")</f>
        <v>#REF!</v>
      </c>
      <c r="E480" s="161"/>
      <c r="F480" s="161"/>
      <c r="G480" s="161"/>
      <c r="H480" s="161"/>
      <c r="I480" s="118"/>
      <c r="J480" s="118"/>
      <c r="K480" s="117"/>
      <c r="L480" s="119"/>
      <c r="M480" s="119"/>
      <c r="N480" s="166"/>
      <c r="O480" s="118"/>
      <c r="P480" s="118"/>
      <c r="Q480" s="167"/>
      <c r="R480" s="163"/>
      <c r="S480" s="163"/>
      <c r="T480" s="168"/>
      <c r="U480" s="123" t="str">
        <f t="shared" si="41"/>
        <v>#DIV/0!</v>
      </c>
      <c r="V480" s="168"/>
      <c r="W480" s="169"/>
    </row>
    <row r="481">
      <c r="A481" s="161"/>
      <c r="B481" s="161"/>
      <c r="C481" s="161"/>
      <c r="D481" s="160" t="str">
        <f>IFERROR(__xludf.DUMMYFUNCTION("SUBSTITUTE(REGEXEXTRACT(#REF!, ""[^-]+$""), ""x"", "" x "")"),"#REF!")</f>
        <v>#REF!</v>
      </c>
      <c r="E481" s="161"/>
      <c r="F481" s="161"/>
      <c r="G481" s="161"/>
      <c r="H481" s="161"/>
      <c r="I481" s="118"/>
      <c r="J481" s="118"/>
      <c r="K481" s="117"/>
      <c r="L481" s="119"/>
      <c r="M481" s="119"/>
      <c r="N481" s="166"/>
      <c r="O481" s="118"/>
      <c r="P481" s="118"/>
      <c r="Q481" s="167"/>
      <c r="R481" s="163"/>
      <c r="S481" s="163"/>
      <c r="T481" s="168"/>
      <c r="U481" s="123" t="str">
        <f t="shared" si="41"/>
        <v>#DIV/0!</v>
      </c>
      <c r="V481" s="168"/>
      <c r="W481" s="169"/>
    </row>
    <row r="482">
      <c r="A482" s="161"/>
      <c r="B482" s="161"/>
      <c r="C482" s="161"/>
      <c r="D482" s="160" t="str">
        <f>IFERROR(__xludf.DUMMYFUNCTION("SUBSTITUTE(REGEXEXTRACT(#REF!, ""[^-]+$""), ""x"", "" x "")"),"#REF!")</f>
        <v>#REF!</v>
      </c>
      <c r="E482" s="161"/>
      <c r="F482" s="161"/>
      <c r="G482" s="161"/>
      <c r="H482" s="161"/>
      <c r="I482" s="118"/>
      <c r="J482" s="118"/>
      <c r="K482" s="117"/>
      <c r="L482" s="119"/>
      <c r="M482" s="119"/>
      <c r="N482" s="166"/>
      <c r="O482" s="118"/>
      <c r="P482" s="118"/>
      <c r="Q482" s="167"/>
      <c r="R482" s="163"/>
      <c r="S482" s="163"/>
      <c r="T482" s="168"/>
      <c r="U482" s="123" t="str">
        <f t="shared" si="41"/>
        <v>#DIV/0!</v>
      </c>
      <c r="V482" s="168"/>
      <c r="W482" s="169"/>
    </row>
    <row r="483">
      <c r="A483" s="161"/>
      <c r="B483" s="161"/>
      <c r="C483" s="161"/>
      <c r="D483" s="160" t="str">
        <f>IFERROR(__xludf.DUMMYFUNCTION("SUBSTITUTE(REGEXEXTRACT(#REF!, ""[^-]+$""), ""x"", "" x "")"),"#REF!")</f>
        <v>#REF!</v>
      </c>
      <c r="E483" s="161"/>
      <c r="F483" s="161"/>
      <c r="G483" s="161"/>
      <c r="H483" s="161"/>
      <c r="I483" s="118"/>
      <c r="J483" s="118"/>
      <c r="K483" s="117"/>
      <c r="L483" s="119"/>
      <c r="M483" s="119"/>
      <c r="N483" s="166"/>
      <c r="O483" s="118"/>
      <c r="P483" s="118"/>
      <c r="Q483" s="167"/>
      <c r="R483" s="163"/>
      <c r="S483" s="163"/>
      <c r="T483" s="168"/>
      <c r="U483" s="123" t="str">
        <f t="shared" si="41"/>
        <v>#DIV/0!</v>
      </c>
      <c r="V483" s="168"/>
      <c r="W483" s="169"/>
    </row>
    <row r="484">
      <c r="A484" s="161"/>
      <c r="B484" s="161"/>
      <c r="C484" s="161"/>
      <c r="D484" s="160" t="str">
        <f>IFERROR(__xludf.DUMMYFUNCTION("SUBSTITUTE(REGEXEXTRACT(#REF!, ""[^-]+$""), ""x"", "" x "")"),"#REF!")</f>
        <v>#REF!</v>
      </c>
      <c r="E484" s="161"/>
      <c r="F484" s="161"/>
      <c r="G484" s="161"/>
      <c r="H484" s="161"/>
      <c r="I484" s="117"/>
      <c r="J484" s="117"/>
      <c r="K484" s="117"/>
      <c r="L484" s="166"/>
      <c r="M484" s="166"/>
      <c r="N484" s="119"/>
      <c r="O484" s="117"/>
      <c r="P484" s="117"/>
      <c r="Q484" s="167"/>
      <c r="R484" s="163"/>
      <c r="S484" s="163"/>
      <c r="T484" s="168"/>
      <c r="U484" s="123" t="str">
        <f t="shared" si="41"/>
        <v>#DIV/0!</v>
      </c>
      <c r="V484" s="168"/>
      <c r="W484" s="169"/>
    </row>
    <row r="485">
      <c r="A485" s="161"/>
      <c r="B485" s="161"/>
      <c r="C485" s="161"/>
      <c r="D485" s="160" t="str">
        <f>IFERROR(__xludf.DUMMYFUNCTION("SUBSTITUTE(REGEXEXTRACT(#REF!, ""[^-]+$""), ""x"", "" x "")"),"#REF!")</f>
        <v>#REF!</v>
      </c>
      <c r="E485" s="161"/>
      <c r="F485" s="161"/>
      <c r="G485" s="161"/>
      <c r="H485" s="161"/>
      <c r="I485" s="117"/>
      <c r="J485" s="117"/>
      <c r="K485" s="117"/>
      <c r="L485" s="166"/>
      <c r="M485" s="166"/>
      <c r="N485" s="166"/>
      <c r="O485" s="117"/>
      <c r="P485" s="117"/>
      <c r="Q485" s="162"/>
      <c r="R485" s="163"/>
      <c r="S485" s="163"/>
      <c r="T485" s="168"/>
      <c r="U485" s="123" t="str">
        <f t="shared" si="41"/>
        <v>#DIV/0!</v>
      </c>
      <c r="V485" s="168"/>
      <c r="W485" s="169"/>
    </row>
    <row r="486">
      <c r="A486" s="161"/>
      <c r="B486" s="161"/>
      <c r="C486" s="161"/>
      <c r="D486" s="160" t="str">
        <f>IFERROR(__xludf.DUMMYFUNCTION("SUBSTITUTE(REGEXEXTRACT(#REF!, ""[^-]+$""), ""x"", "" x "")"),"#REF!")</f>
        <v>#REF!</v>
      </c>
      <c r="E486" s="161"/>
      <c r="F486" s="161"/>
      <c r="G486" s="161"/>
      <c r="H486" s="161"/>
      <c r="I486" s="117"/>
      <c r="J486" s="117"/>
      <c r="K486" s="117"/>
      <c r="L486" s="166"/>
      <c r="M486" s="166"/>
      <c r="N486" s="166"/>
      <c r="O486" s="117"/>
      <c r="P486" s="117"/>
      <c r="Q486" s="162"/>
      <c r="R486" s="163"/>
      <c r="S486" s="163"/>
      <c r="T486" s="168"/>
      <c r="U486" s="123" t="str">
        <f t="shared" si="41"/>
        <v>#DIV/0!</v>
      </c>
      <c r="V486" s="168"/>
      <c r="W486" s="169"/>
    </row>
    <row r="487">
      <c r="A487" s="161"/>
      <c r="B487" s="161"/>
      <c r="C487" s="161"/>
      <c r="D487" s="160" t="str">
        <f>IFERROR(__xludf.DUMMYFUNCTION("SUBSTITUTE(REGEXEXTRACT(#REF!, ""[^-]+$""), ""x"", "" x "")"),"#REF!")</f>
        <v>#REF!</v>
      </c>
      <c r="E487" s="161"/>
      <c r="F487" s="161"/>
      <c r="G487" s="161"/>
      <c r="H487" s="161"/>
      <c r="I487" s="117"/>
      <c r="J487" s="117"/>
      <c r="K487" s="117"/>
      <c r="L487" s="166"/>
      <c r="M487" s="166"/>
      <c r="N487" s="166"/>
      <c r="O487" s="117"/>
      <c r="P487" s="117"/>
      <c r="Q487" s="162"/>
      <c r="R487" s="163"/>
      <c r="S487" s="163"/>
      <c r="T487" s="168"/>
      <c r="U487" s="123" t="str">
        <f t="shared" si="41"/>
        <v>#DIV/0!</v>
      </c>
      <c r="V487" s="168"/>
      <c r="W487" s="169"/>
    </row>
    <row r="488">
      <c r="A488" s="161"/>
      <c r="B488" s="161"/>
      <c r="C488" s="161"/>
      <c r="D488" s="160" t="str">
        <f>IFERROR(__xludf.DUMMYFUNCTION("SUBSTITUTE(REGEXEXTRACT(#REF!, ""[^-]+$""), ""x"", "" x "")"),"#REF!")</f>
        <v>#REF!</v>
      </c>
      <c r="E488" s="161"/>
      <c r="F488" s="161"/>
      <c r="G488" s="161"/>
      <c r="H488" s="161"/>
      <c r="I488" s="117"/>
      <c r="J488" s="117"/>
      <c r="K488" s="117"/>
      <c r="L488" s="166"/>
      <c r="M488" s="166"/>
      <c r="N488" s="166"/>
      <c r="O488" s="117"/>
      <c r="P488" s="117"/>
      <c r="Q488" s="167"/>
      <c r="R488" s="163"/>
      <c r="S488" s="163"/>
      <c r="T488" s="168"/>
      <c r="U488" s="123" t="str">
        <f t="shared" si="41"/>
        <v>#DIV/0!</v>
      </c>
      <c r="V488" s="168"/>
      <c r="W488" s="169"/>
    </row>
    <row r="489">
      <c r="A489" s="161"/>
      <c r="B489" s="161"/>
      <c r="C489" s="161"/>
      <c r="D489" s="160" t="str">
        <f>IFERROR(__xludf.DUMMYFUNCTION("SUBSTITUTE(REGEXEXTRACT(#REF!, ""[^-]+$""), ""x"", "" x "")"),"#REF!")</f>
        <v>#REF!</v>
      </c>
      <c r="E489" s="161"/>
      <c r="F489" s="161"/>
      <c r="G489" s="161"/>
      <c r="H489" s="161"/>
      <c r="I489" s="118"/>
      <c r="J489" s="117"/>
      <c r="K489" s="118"/>
      <c r="L489" s="119"/>
      <c r="M489" s="119"/>
      <c r="N489" s="119"/>
      <c r="O489" s="118"/>
      <c r="P489" s="118"/>
      <c r="Q489" s="162"/>
      <c r="R489" s="163"/>
      <c r="S489" s="163"/>
      <c r="T489" s="168"/>
      <c r="U489" s="123" t="str">
        <f t="shared" si="41"/>
        <v>#DIV/0!</v>
      </c>
      <c r="V489" s="168"/>
      <c r="W489" s="169"/>
    </row>
    <row r="490">
      <c r="A490" s="161"/>
      <c r="B490" s="161"/>
      <c r="C490" s="161"/>
      <c r="D490" s="160" t="str">
        <f>IFERROR(__xludf.DUMMYFUNCTION("SUBSTITUTE(REGEXEXTRACT(#REF!, ""[^-]+$""), ""x"", "" x "")"),"#REF!")</f>
        <v>#REF!</v>
      </c>
      <c r="E490" s="161"/>
      <c r="F490" s="161"/>
      <c r="G490" s="161"/>
      <c r="H490" s="161"/>
      <c r="I490" s="118"/>
      <c r="J490" s="117"/>
      <c r="K490" s="118"/>
      <c r="L490" s="119"/>
      <c r="M490" s="119"/>
      <c r="N490" s="119"/>
      <c r="O490" s="118"/>
      <c r="P490" s="118"/>
      <c r="Q490" s="162"/>
      <c r="R490" s="163"/>
      <c r="S490" s="163"/>
      <c r="T490" s="168"/>
      <c r="U490" s="123" t="str">
        <f t="shared" si="41"/>
        <v>#DIV/0!</v>
      </c>
      <c r="V490" s="168"/>
      <c r="W490" s="169"/>
    </row>
    <row r="491">
      <c r="A491" s="161"/>
      <c r="B491" s="161"/>
      <c r="C491" s="161"/>
      <c r="D491" s="160" t="str">
        <f>IFERROR(__xludf.DUMMYFUNCTION("SUBSTITUTE(REGEXEXTRACT(#REF!, ""[^-]+$""), ""x"", "" x "")"),"#REF!")</f>
        <v>#REF!</v>
      </c>
      <c r="E491" s="161"/>
      <c r="F491" s="161"/>
      <c r="G491" s="161"/>
      <c r="H491" s="161"/>
      <c r="I491" s="118"/>
      <c r="J491" s="118"/>
      <c r="K491" s="117"/>
      <c r="L491" s="119"/>
      <c r="M491" s="119"/>
      <c r="N491" s="119"/>
      <c r="O491" s="117"/>
      <c r="P491" s="118"/>
      <c r="Q491" s="162"/>
      <c r="R491" s="163"/>
      <c r="S491" s="163"/>
      <c r="T491" s="168"/>
      <c r="U491" s="123" t="str">
        <f t="shared" si="41"/>
        <v>#DIV/0!</v>
      </c>
      <c r="V491" s="168"/>
      <c r="W491" s="169"/>
    </row>
    <row r="492">
      <c r="A492" s="161"/>
      <c r="B492" s="161"/>
      <c r="C492" s="161"/>
      <c r="D492" s="160" t="str">
        <f>IFERROR(__xludf.DUMMYFUNCTION("SUBSTITUTE(REGEXEXTRACT(#REF!, ""[^-]+$""), ""x"", "" x "")"),"#REF!")</f>
        <v>#REF!</v>
      </c>
      <c r="E492" s="161"/>
      <c r="F492" s="161"/>
      <c r="G492" s="161"/>
      <c r="H492" s="161"/>
      <c r="I492" s="117"/>
      <c r="J492" s="117"/>
      <c r="K492" s="117"/>
      <c r="L492" s="166"/>
      <c r="M492" s="166"/>
      <c r="N492" s="166"/>
      <c r="O492" s="117"/>
      <c r="P492" s="118"/>
      <c r="Q492" s="162"/>
      <c r="R492" s="163"/>
      <c r="S492" s="163"/>
      <c r="T492" s="168"/>
      <c r="U492" s="123" t="str">
        <f t="shared" si="41"/>
        <v>#DIV/0!</v>
      </c>
      <c r="V492" s="168"/>
      <c r="W492" s="169"/>
    </row>
    <row r="493">
      <c r="A493" s="161"/>
      <c r="B493" s="161"/>
      <c r="C493" s="161"/>
      <c r="D493" s="160" t="str">
        <f>IFERROR(__xludf.DUMMYFUNCTION("SUBSTITUTE(REGEXEXTRACT(#REF!, ""[^-]+$""), ""x"", "" x "")"),"#REF!")</f>
        <v>#REF!</v>
      </c>
      <c r="E493" s="161"/>
      <c r="F493" s="161"/>
      <c r="G493" s="161"/>
      <c r="H493" s="161"/>
      <c r="I493" s="117"/>
      <c r="J493" s="117"/>
      <c r="K493" s="117"/>
      <c r="L493" s="166"/>
      <c r="M493" s="166"/>
      <c r="N493" s="166"/>
      <c r="O493" s="117"/>
      <c r="P493" s="118"/>
      <c r="Q493" s="162"/>
      <c r="R493" s="163"/>
      <c r="S493" s="163"/>
      <c r="T493" s="168"/>
      <c r="U493" s="123" t="str">
        <f t="shared" si="41"/>
        <v>#DIV/0!</v>
      </c>
      <c r="V493" s="168"/>
      <c r="W493" s="169"/>
    </row>
    <row r="494">
      <c r="A494" s="161"/>
      <c r="B494" s="161"/>
      <c r="C494" s="161"/>
      <c r="D494" s="160" t="str">
        <f>IFERROR(__xludf.DUMMYFUNCTION("SUBSTITUTE(REGEXEXTRACT(#REF!, ""[^-]+$""), ""x"", "" x "")"),"#REF!")</f>
        <v>#REF!</v>
      </c>
      <c r="E494" s="161"/>
      <c r="F494" s="161"/>
      <c r="G494" s="161"/>
      <c r="H494" s="161"/>
      <c r="I494" s="117"/>
      <c r="J494" s="117"/>
      <c r="K494" s="117"/>
      <c r="L494" s="166"/>
      <c r="M494" s="166"/>
      <c r="N494" s="166"/>
      <c r="O494" s="117"/>
      <c r="P494" s="118"/>
      <c r="Q494" s="162"/>
      <c r="R494" s="163"/>
      <c r="S494" s="163"/>
      <c r="T494" s="168"/>
      <c r="U494" s="123" t="str">
        <f t="shared" si="41"/>
        <v>#DIV/0!</v>
      </c>
      <c r="V494" s="168"/>
      <c r="W494" s="169"/>
    </row>
    <row r="495">
      <c r="A495" s="161"/>
      <c r="B495" s="161"/>
      <c r="C495" s="161"/>
      <c r="D495" s="160" t="str">
        <f>IFERROR(__xludf.DUMMYFUNCTION("SUBSTITUTE(REGEXEXTRACT(#REF!, ""[^-]+$""), ""x"", "" x "")"),"#REF!")</f>
        <v>#REF!</v>
      </c>
      <c r="E495" s="161"/>
      <c r="F495" s="161"/>
      <c r="G495" s="161"/>
      <c r="H495" s="161"/>
      <c r="I495" s="117"/>
      <c r="J495" s="117"/>
      <c r="K495" s="117"/>
      <c r="L495" s="166"/>
      <c r="M495" s="166"/>
      <c r="N495" s="166"/>
      <c r="O495" s="117"/>
      <c r="P495" s="118"/>
      <c r="Q495" s="162"/>
      <c r="R495" s="163"/>
      <c r="S495" s="163"/>
      <c r="T495" s="168"/>
      <c r="U495" s="123" t="str">
        <f t="shared" si="41"/>
        <v>#DIV/0!</v>
      </c>
      <c r="V495" s="168"/>
      <c r="W495" s="169"/>
    </row>
    <row r="496">
      <c r="A496" s="161"/>
      <c r="B496" s="161"/>
      <c r="C496" s="161"/>
      <c r="D496" s="160" t="str">
        <f>IFERROR(__xludf.DUMMYFUNCTION("SUBSTITUTE(REGEXEXTRACT(#REF!, ""[^-]+$""), ""x"", "" x "")"),"#REF!")</f>
        <v>#REF!</v>
      </c>
      <c r="E496" s="161"/>
      <c r="F496" s="161"/>
      <c r="G496" s="161"/>
      <c r="H496" s="161"/>
      <c r="I496" s="117"/>
      <c r="J496" s="117"/>
      <c r="K496" s="117"/>
      <c r="L496" s="166"/>
      <c r="M496" s="166"/>
      <c r="N496" s="166"/>
      <c r="O496" s="117"/>
      <c r="P496" s="117"/>
      <c r="Q496" s="167"/>
      <c r="R496" s="163"/>
      <c r="S496" s="163"/>
      <c r="T496" s="168"/>
      <c r="U496" s="123" t="str">
        <f t="shared" si="41"/>
        <v>#DIV/0!</v>
      </c>
      <c r="V496" s="168"/>
      <c r="W496" s="169"/>
    </row>
    <row r="497">
      <c r="A497" s="161"/>
      <c r="B497" s="161"/>
      <c r="C497" s="161"/>
      <c r="D497" s="160" t="str">
        <f>IFERROR(__xludf.DUMMYFUNCTION("SUBSTITUTE(REGEXEXTRACT(#REF!, ""[^-]+$""), ""x"", "" x "")"),"#REF!")</f>
        <v>#REF!</v>
      </c>
      <c r="E497" s="161"/>
      <c r="F497" s="161"/>
      <c r="G497" s="161"/>
      <c r="H497" s="161"/>
      <c r="I497" s="117"/>
      <c r="J497" s="117"/>
      <c r="K497" s="117"/>
      <c r="L497" s="166"/>
      <c r="M497" s="166"/>
      <c r="N497" s="166"/>
      <c r="O497" s="117"/>
      <c r="P497" s="117"/>
      <c r="Q497" s="167"/>
      <c r="R497" s="163"/>
      <c r="S497" s="163"/>
      <c r="T497" s="168"/>
      <c r="U497" s="123" t="str">
        <f t="shared" si="41"/>
        <v>#DIV/0!</v>
      </c>
      <c r="V497" s="168"/>
      <c r="W497" s="169"/>
    </row>
    <row r="498">
      <c r="A498" s="161"/>
      <c r="B498" s="161"/>
      <c r="C498" s="161"/>
      <c r="D498" s="160" t="str">
        <f>IFERROR(__xludf.DUMMYFUNCTION("SUBSTITUTE(REGEXEXTRACT(#REF!, ""[^-]+$""), ""x"", "" x "")"),"#REF!")</f>
        <v>#REF!</v>
      </c>
      <c r="E498" s="161"/>
      <c r="F498" s="161"/>
      <c r="G498" s="161"/>
      <c r="H498" s="161"/>
      <c r="I498" s="117"/>
      <c r="J498" s="117"/>
      <c r="K498" s="117"/>
      <c r="L498" s="166"/>
      <c r="M498" s="166"/>
      <c r="N498" s="166"/>
      <c r="O498" s="117"/>
      <c r="P498" s="117"/>
      <c r="Q498" s="167"/>
      <c r="R498" s="163"/>
      <c r="S498" s="163"/>
      <c r="T498" s="168"/>
      <c r="U498" s="123" t="str">
        <f t="shared" si="41"/>
        <v>#DIV/0!</v>
      </c>
      <c r="V498" s="168"/>
      <c r="W498" s="169"/>
    </row>
    <row r="499">
      <c r="A499" s="161"/>
      <c r="B499" s="161"/>
      <c r="C499" s="161"/>
      <c r="D499" s="160" t="str">
        <f>IFERROR(__xludf.DUMMYFUNCTION("SUBSTITUTE(REGEXEXTRACT(#REF!, ""[^-]+$""), ""x"", "" x "")"),"#REF!")</f>
        <v>#REF!</v>
      </c>
      <c r="E499" s="161"/>
      <c r="F499" s="161"/>
      <c r="G499" s="161"/>
      <c r="H499" s="161"/>
      <c r="I499" s="118"/>
      <c r="J499" s="117"/>
      <c r="K499" s="118"/>
      <c r="L499" s="119"/>
      <c r="M499" s="166"/>
      <c r="N499" s="119"/>
      <c r="O499" s="118"/>
      <c r="P499" s="117"/>
      <c r="Q499" s="162"/>
      <c r="R499" s="163"/>
      <c r="S499" s="163"/>
      <c r="T499" s="168"/>
      <c r="U499" s="123" t="str">
        <f t="shared" si="41"/>
        <v>#DIV/0!</v>
      </c>
      <c r="V499" s="168"/>
      <c r="W499" s="169"/>
    </row>
    <row r="500">
      <c r="A500" s="161"/>
      <c r="B500" s="161"/>
      <c r="C500" s="161"/>
      <c r="D500" s="160" t="str">
        <f>IFERROR(__xludf.DUMMYFUNCTION("SUBSTITUTE(REGEXEXTRACT(#REF!, ""[^-]+$""), ""x"", "" x "")"),"#REF!")</f>
        <v>#REF!</v>
      </c>
      <c r="E500" s="161"/>
      <c r="F500" s="161"/>
      <c r="G500" s="161"/>
      <c r="H500" s="161"/>
      <c r="I500" s="117"/>
      <c r="J500" s="117"/>
      <c r="K500" s="117"/>
      <c r="L500" s="166"/>
      <c r="M500" s="166"/>
      <c r="N500" s="166"/>
      <c r="O500" s="117"/>
      <c r="P500" s="117"/>
      <c r="Q500" s="167"/>
      <c r="R500" s="163"/>
      <c r="S500" s="163"/>
      <c r="T500" s="168"/>
      <c r="U500" s="123" t="str">
        <f t="shared" si="41"/>
        <v>#DIV/0!</v>
      </c>
      <c r="V500" s="168"/>
      <c r="W500" s="169"/>
    </row>
    <row r="501">
      <c r="A501" s="161"/>
      <c r="B501" s="161"/>
      <c r="C501" s="161"/>
      <c r="D501" s="160" t="str">
        <f>IFERROR(__xludf.DUMMYFUNCTION("SUBSTITUTE(REGEXEXTRACT(#REF!, ""[^-]+$""), ""x"", "" x "")"),"#REF!")</f>
        <v>#REF!</v>
      </c>
      <c r="E501" s="161"/>
      <c r="F501" s="161"/>
      <c r="G501" s="161"/>
      <c r="H501" s="161"/>
      <c r="I501" s="118"/>
      <c r="J501" s="117"/>
      <c r="K501" s="118"/>
      <c r="L501" s="119"/>
      <c r="M501" s="166"/>
      <c r="N501" s="119"/>
      <c r="O501" s="118"/>
      <c r="P501" s="117"/>
      <c r="Q501" s="162"/>
      <c r="R501" s="163"/>
      <c r="S501" s="163"/>
      <c r="T501" s="168"/>
      <c r="U501" s="123" t="str">
        <f t="shared" si="41"/>
        <v>#DIV/0!</v>
      </c>
      <c r="V501" s="168"/>
      <c r="W501" s="169"/>
    </row>
    <row r="502">
      <c r="A502" s="161"/>
      <c r="B502" s="161"/>
      <c r="C502" s="161"/>
      <c r="D502" s="160" t="str">
        <f>IFERROR(__xludf.DUMMYFUNCTION("SUBSTITUTE(REGEXEXTRACT(#REF!, ""[^-]+$""), ""x"", "" x "")"),"#REF!")</f>
        <v>#REF!</v>
      </c>
      <c r="E502" s="161"/>
      <c r="F502" s="161"/>
      <c r="G502" s="161"/>
      <c r="H502" s="161"/>
      <c r="I502" s="118"/>
      <c r="J502" s="117"/>
      <c r="K502" s="118"/>
      <c r="L502" s="119"/>
      <c r="M502" s="166"/>
      <c r="N502" s="119"/>
      <c r="O502" s="118"/>
      <c r="P502" s="117"/>
      <c r="Q502" s="162"/>
      <c r="R502" s="163"/>
      <c r="S502" s="163"/>
      <c r="T502" s="168"/>
      <c r="U502" s="123" t="str">
        <f t="shared" si="41"/>
        <v>#DIV/0!</v>
      </c>
      <c r="V502" s="168"/>
      <c r="W502" s="169"/>
    </row>
    <row r="503">
      <c r="A503" s="161"/>
      <c r="B503" s="161"/>
      <c r="C503" s="161"/>
      <c r="D503" s="160" t="str">
        <f>IFERROR(__xludf.DUMMYFUNCTION("SUBSTITUTE(REGEXEXTRACT(#REF!, ""[^-]+$""), ""x"", "" x "")"),"#REF!")</f>
        <v>#REF!</v>
      </c>
      <c r="E503" s="161"/>
      <c r="F503" s="161"/>
      <c r="G503" s="161"/>
      <c r="H503" s="161"/>
      <c r="I503" s="117"/>
      <c r="J503" s="117"/>
      <c r="K503" s="117"/>
      <c r="L503" s="166"/>
      <c r="M503" s="166"/>
      <c r="N503" s="166"/>
      <c r="O503" s="117"/>
      <c r="P503" s="117"/>
      <c r="Q503" s="167"/>
      <c r="R503" s="163"/>
      <c r="S503" s="163"/>
      <c r="T503" s="168"/>
      <c r="U503" s="123" t="str">
        <f t="shared" si="41"/>
        <v>#DIV/0!</v>
      </c>
      <c r="V503" s="168"/>
      <c r="W503" s="169"/>
    </row>
    <row r="504">
      <c r="A504" s="161"/>
      <c r="B504" s="161"/>
      <c r="C504" s="161"/>
      <c r="D504" s="160" t="str">
        <f>IFERROR(__xludf.DUMMYFUNCTION("SUBSTITUTE(REGEXEXTRACT(#REF!, ""[^-]+$""), ""x"", "" x "")"),"#REF!")</f>
        <v>#REF!</v>
      </c>
      <c r="E504" s="161"/>
      <c r="F504" s="161"/>
      <c r="G504" s="161"/>
      <c r="H504" s="161"/>
      <c r="I504" s="118"/>
      <c r="J504" s="117"/>
      <c r="K504" s="118"/>
      <c r="L504" s="119"/>
      <c r="M504" s="119"/>
      <c r="N504" s="119"/>
      <c r="O504" s="118"/>
      <c r="P504" s="118"/>
      <c r="Q504" s="162"/>
      <c r="R504" s="163"/>
      <c r="S504" s="163"/>
      <c r="T504" s="168"/>
      <c r="U504" s="123" t="str">
        <f t="shared" si="41"/>
        <v>#DIV/0!</v>
      </c>
      <c r="V504" s="168"/>
      <c r="W504" s="169"/>
    </row>
    <row r="505">
      <c r="A505" s="161"/>
      <c r="B505" s="161"/>
      <c r="C505" s="161"/>
      <c r="D505" s="160" t="str">
        <f>IFERROR(__xludf.DUMMYFUNCTION("SUBSTITUTE(REGEXEXTRACT(#REF!, ""[^-]+$""), ""x"", "" x "")"),"#REF!")</f>
        <v>#REF!</v>
      </c>
      <c r="E505" s="161"/>
      <c r="F505" s="161"/>
      <c r="G505" s="161"/>
      <c r="H505" s="161"/>
      <c r="I505" s="118"/>
      <c r="J505" s="117"/>
      <c r="K505" s="118"/>
      <c r="L505" s="119"/>
      <c r="M505" s="119"/>
      <c r="N505" s="119"/>
      <c r="O505" s="118"/>
      <c r="P505" s="117"/>
      <c r="Q505" s="162"/>
      <c r="R505" s="163"/>
      <c r="S505" s="163"/>
      <c r="T505" s="168"/>
      <c r="U505" s="123" t="str">
        <f t="shared" si="41"/>
        <v>#DIV/0!</v>
      </c>
      <c r="V505" s="168"/>
      <c r="W505" s="169"/>
    </row>
    <row r="506">
      <c r="A506" s="161"/>
      <c r="B506" s="161"/>
      <c r="C506" s="161"/>
      <c r="D506" s="160" t="str">
        <f>IFERROR(__xludf.DUMMYFUNCTION("SUBSTITUTE(REGEXEXTRACT(#REF!, ""[^-]+$""), ""x"", "" x "")"),"#REF!")</f>
        <v>#REF!</v>
      </c>
      <c r="E506" s="161"/>
      <c r="F506" s="161"/>
      <c r="G506" s="161"/>
      <c r="H506" s="161"/>
      <c r="I506" s="118"/>
      <c r="J506" s="117"/>
      <c r="K506" s="118"/>
      <c r="L506" s="119"/>
      <c r="M506" s="119"/>
      <c r="N506" s="119"/>
      <c r="O506" s="118"/>
      <c r="P506" s="117"/>
      <c r="Q506" s="162"/>
      <c r="R506" s="163"/>
      <c r="S506" s="163"/>
      <c r="T506" s="168"/>
      <c r="U506" s="123" t="str">
        <f t="shared" si="41"/>
        <v>#DIV/0!</v>
      </c>
      <c r="V506" s="168"/>
      <c r="W506" s="169"/>
    </row>
    <row r="507">
      <c r="A507" s="161"/>
      <c r="B507" s="161"/>
      <c r="C507" s="161"/>
      <c r="D507" s="160" t="str">
        <f>IFERROR(__xludf.DUMMYFUNCTION("SUBSTITUTE(REGEXEXTRACT(#REF!, ""[^-]+$""), ""x"", "" x "")"),"#REF!")</f>
        <v>#REF!</v>
      </c>
      <c r="E507" s="161"/>
      <c r="F507" s="161"/>
      <c r="G507" s="161"/>
      <c r="H507" s="161"/>
      <c r="I507" s="118"/>
      <c r="J507" s="117"/>
      <c r="K507" s="118"/>
      <c r="L507" s="119"/>
      <c r="M507" s="166"/>
      <c r="N507" s="119"/>
      <c r="O507" s="118"/>
      <c r="P507" s="117"/>
      <c r="Q507" s="162"/>
      <c r="R507" s="163"/>
      <c r="S507" s="163"/>
      <c r="T507" s="168"/>
      <c r="U507" s="123" t="str">
        <f t="shared" si="41"/>
        <v>#DIV/0!</v>
      </c>
      <c r="V507" s="168"/>
      <c r="W507" s="169"/>
    </row>
    <row r="508">
      <c r="A508" s="161"/>
      <c r="B508" s="161"/>
      <c r="C508" s="161"/>
      <c r="D508" s="160" t="str">
        <f>IFERROR(__xludf.DUMMYFUNCTION("SUBSTITUTE(REGEXEXTRACT(#REF!, ""[^-]+$""), ""x"", "" x "")"),"#REF!")</f>
        <v>#REF!</v>
      </c>
      <c r="E508" s="161"/>
      <c r="F508" s="161"/>
      <c r="G508" s="161"/>
      <c r="H508" s="161"/>
      <c r="I508" s="118"/>
      <c r="J508" s="117"/>
      <c r="K508" s="118"/>
      <c r="L508" s="119"/>
      <c r="M508" s="166"/>
      <c r="N508" s="119"/>
      <c r="O508" s="118"/>
      <c r="P508" s="117"/>
      <c r="Q508" s="162"/>
      <c r="R508" s="163"/>
      <c r="S508" s="163"/>
      <c r="T508" s="168"/>
      <c r="U508" s="123" t="str">
        <f t="shared" si="41"/>
        <v>#DIV/0!</v>
      </c>
      <c r="V508" s="168"/>
      <c r="W508" s="169"/>
    </row>
    <row r="509">
      <c r="A509" s="161"/>
      <c r="B509" s="161"/>
      <c r="C509" s="161"/>
      <c r="D509" s="160" t="str">
        <f>IFERROR(__xludf.DUMMYFUNCTION("SUBSTITUTE(REGEXEXTRACT(#REF!, ""[^-]+$""), ""x"", "" x "")"),"#REF!")</f>
        <v>#REF!</v>
      </c>
      <c r="E509" s="161"/>
      <c r="F509" s="161"/>
      <c r="G509" s="161"/>
      <c r="H509" s="161"/>
      <c r="I509" s="118"/>
      <c r="J509" s="117"/>
      <c r="K509" s="118"/>
      <c r="L509" s="119"/>
      <c r="M509" s="166"/>
      <c r="N509" s="119"/>
      <c r="O509" s="118"/>
      <c r="P509" s="117"/>
      <c r="Q509" s="162"/>
      <c r="R509" s="163"/>
      <c r="S509" s="163"/>
      <c r="T509" s="168"/>
      <c r="U509" s="123" t="str">
        <f t="shared" si="41"/>
        <v>#DIV/0!</v>
      </c>
      <c r="V509" s="168"/>
      <c r="W509" s="169"/>
    </row>
    <row r="510">
      <c r="A510" s="161"/>
      <c r="B510" s="161"/>
      <c r="C510" s="161"/>
      <c r="D510" s="160" t="str">
        <f>IFERROR(__xludf.DUMMYFUNCTION("SUBSTITUTE(REGEXEXTRACT(#REF!, ""[^-]+$""), ""x"", "" x "")"),"#REF!")</f>
        <v>#REF!</v>
      </c>
      <c r="E510" s="161"/>
      <c r="F510" s="161"/>
      <c r="G510" s="161"/>
      <c r="H510" s="161"/>
      <c r="I510" s="118"/>
      <c r="J510" s="118"/>
      <c r="K510" s="117"/>
      <c r="L510" s="119"/>
      <c r="M510" s="119"/>
      <c r="N510" s="119"/>
      <c r="O510" s="118"/>
      <c r="P510" s="118"/>
      <c r="Q510" s="167"/>
      <c r="R510" s="163"/>
      <c r="S510" s="163"/>
      <c r="T510" s="168"/>
      <c r="U510" s="123" t="str">
        <f t="shared" si="41"/>
        <v>#DIV/0!</v>
      </c>
      <c r="V510" s="168"/>
      <c r="W510" s="169"/>
    </row>
    <row r="511">
      <c r="A511" s="161"/>
      <c r="B511" s="161"/>
      <c r="C511" s="161"/>
      <c r="D511" s="160" t="str">
        <f>IFERROR(__xludf.DUMMYFUNCTION("SUBSTITUTE(REGEXEXTRACT(#REF!, ""[^-]+$""), ""x"", "" x "")"),"#REF!")</f>
        <v>#REF!</v>
      </c>
      <c r="E511" s="161"/>
      <c r="F511" s="161"/>
      <c r="G511" s="161"/>
      <c r="H511" s="161"/>
      <c r="I511" s="118"/>
      <c r="J511" s="118"/>
      <c r="K511" s="117"/>
      <c r="L511" s="119"/>
      <c r="M511" s="119"/>
      <c r="N511" s="119"/>
      <c r="O511" s="118"/>
      <c r="P511" s="118"/>
      <c r="Q511" s="167"/>
      <c r="R511" s="163"/>
      <c r="S511" s="163"/>
      <c r="T511" s="168"/>
      <c r="U511" s="123" t="str">
        <f t="shared" si="41"/>
        <v>#DIV/0!</v>
      </c>
      <c r="V511" s="168"/>
      <c r="W511" s="169"/>
    </row>
    <row r="512">
      <c r="A512" s="161"/>
      <c r="B512" s="161"/>
      <c r="C512" s="161"/>
      <c r="D512" s="160" t="str">
        <f>IFERROR(__xludf.DUMMYFUNCTION("SUBSTITUTE(REGEXEXTRACT(#REF!, ""[^-]+$""), ""x"", "" x "")"),"#REF!")</f>
        <v>#REF!</v>
      </c>
      <c r="E512" s="161"/>
      <c r="F512" s="161"/>
      <c r="G512" s="161"/>
      <c r="H512" s="161"/>
      <c r="I512" s="118"/>
      <c r="J512" s="118"/>
      <c r="K512" s="117"/>
      <c r="L512" s="119"/>
      <c r="M512" s="119"/>
      <c r="N512" s="166"/>
      <c r="O512" s="118"/>
      <c r="P512" s="118"/>
      <c r="Q512" s="167"/>
      <c r="R512" s="163"/>
      <c r="S512" s="163"/>
      <c r="T512" s="168"/>
      <c r="U512" s="123" t="str">
        <f t="shared" si="41"/>
        <v>#DIV/0!</v>
      </c>
      <c r="V512" s="168"/>
      <c r="W512" s="169"/>
    </row>
    <row r="513">
      <c r="A513" s="161"/>
      <c r="B513" s="161"/>
      <c r="C513" s="161"/>
      <c r="D513" s="160" t="str">
        <f>IFERROR(__xludf.DUMMYFUNCTION("SUBSTITUTE(REGEXEXTRACT(#REF!, ""[^-]+$""), ""x"", "" x "")"),"#REF!")</f>
        <v>#REF!</v>
      </c>
      <c r="E513" s="161"/>
      <c r="F513" s="161"/>
      <c r="G513" s="161"/>
      <c r="H513" s="161"/>
      <c r="I513" s="118"/>
      <c r="J513" s="118"/>
      <c r="K513" s="117"/>
      <c r="L513" s="119"/>
      <c r="M513" s="119"/>
      <c r="N513" s="119"/>
      <c r="O513" s="118"/>
      <c r="P513" s="118"/>
      <c r="Q513" s="167"/>
      <c r="R513" s="163"/>
      <c r="S513" s="163"/>
      <c r="T513" s="168"/>
      <c r="U513" s="123" t="str">
        <f t="shared" si="41"/>
        <v>#DIV/0!</v>
      </c>
      <c r="V513" s="168"/>
      <c r="W513" s="169"/>
    </row>
    <row r="514">
      <c r="A514" s="161"/>
      <c r="B514" s="161"/>
      <c r="C514" s="161"/>
      <c r="D514" s="160" t="str">
        <f>IFERROR(__xludf.DUMMYFUNCTION("SUBSTITUTE(REGEXEXTRACT(#REF!, ""[^-]+$""), ""x"", "" x "")"),"#REF!")</f>
        <v>#REF!</v>
      </c>
      <c r="E514" s="161"/>
      <c r="F514" s="161"/>
      <c r="G514" s="161"/>
      <c r="H514" s="161"/>
      <c r="I514" s="118"/>
      <c r="J514" s="118"/>
      <c r="K514" s="117"/>
      <c r="L514" s="119"/>
      <c r="M514" s="119"/>
      <c r="N514" s="119"/>
      <c r="O514" s="118"/>
      <c r="P514" s="118"/>
      <c r="Q514" s="167"/>
      <c r="R514" s="163"/>
      <c r="S514" s="163"/>
      <c r="T514" s="168"/>
      <c r="U514" s="123" t="str">
        <f t="shared" si="41"/>
        <v>#DIV/0!</v>
      </c>
      <c r="V514" s="168"/>
      <c r="W514" s="169"/>
    </row>
    <row r="515">
      <c r="A515" s="161"/>
      <c r="B515" s="161"/>
      <c r="C515" s="161"/>
      <c r="D515" s="160" t="str">
        <f>IFERROR(__xludf.DUMMYFUNCTION("SUBSTITUTE(REGEXEXTRACT(#REF!, ""[^-]+$""), ""x"", "" x "")"),"#REF!")</f>
        <v>#REF!</v>
      </c>
      <c r="E515" s="161"/>
      <c r="F515" s="161"/>
      <c r="G515" s="161"/>
      <c r="H515" s="161"/>
      <c r="I515" s="118"/>
      <c r="J515" s="118"/>
      <c r="K515" s="117"/>
      <c r="L515" s="119"/>
      <c r="M515" s="119"/>
      <c r="N515" s="119"/>
      <c r="O515" s="118"/>
      <c r="P515" s="118"/>
      <c r="Q515" s="167"/>
      <c r="R515" s="163"/>
      <c r="S515" s="163"/>
      <c r="T515" s="168"/>
      <c r="U515" s="123" t="str">
        <f t="shared" si="41"/>
        <v>#DIV/0!</v>
      </c>
      <c r="V515" s="168"/>
      <c r="W515" s="169"/>
    </row>
    <row r="516">
      <c r="A516" s="161"/>
      <c r="B516" s="161"/>
      <c r="C516" s="161"/>
      <c r="D516" s="160" t="str">
        <f>IFERROR(__xludf.DUMMYFUNCTION("SUBSTITUTE(REGEXEXTRACT(#REF!, ""[^-]+$""), ""x"", "" x "")"),"#REF!")</f>
        <v>#REF!</v>
      </c>
      <c r="E516" s="161"/>
      <c r="F516" s="161"/>
      <c r="G516" s="161"/>
      <c r="H516" s="161"/>
      <c r="I516" s="118"/>
      <c r="J516" s="118"/>
      <c r="K516" s="117"/>
      <c r="L516" s="119"/>
      <c r="M516" s="119"/>
      <c r="N516" s="119"/>
      <c r="O516" s="118"/>
      <c r="P516" s="118"/>
      <c r="Q516" s="167"/>
      <c r="R516" s="163"/>
      <c r="S516" s="163"/>
      <c r="T516" s="168"/>
      <c r="U516" s="123" t="str">
        <f t="shared" si="41"/>
        <v>#DIV/0!</v>
      </c>
      <c r="V516" s="168"/>
      <c r="W516" s="169"/>
    </row>
    <row r="517">
      <c r="A517" s="161"/>
      <c r="B517" s="161"/>
      <c r="C517" s="161"/>
      <c r="D517" s="160" t="str">
        <f>IFERROR(__xludf.DUMMYFUNCTION("SUBSTITUTE(REGEXEXTRACT(#REF!, ""[^-]+$""), ""x"", "" x "")"),"#REF!")</f>
        <v>#REF!</v>
      </c>
      <c r="E517" s="161"/>
      <c r="F517" s="161"/>
      <c r="G517" s="161"/>
      <c r="H517" s="161"/>
      <c r="I517" s="118"/>
      <c r="J517" s="118"/>
      <c r="K517" s="117"/>
      <c r="L517" s="119"/>
      <c r="M517" s="119"/>
      <c r="N517" s="119"/>
      <c r="O517" s="118"/>
      <c r="P517" s="118"/>
      <c r="Q517" s="167"/>
      <c r="R517" s="163"/>
      <c r="S517" s="163"/>
      <c r="T517" s="168"/>
      <c r="U517" s="123" t="str">
        <f t="shared" si="41"/>
        <v>#DIV/0!</v>
      </c>
      <c r="V517" s="168"/>
      <c r="W517" s="169"/>
    </row>
    <row r="518">
      <c r="A518" s="161"/>
      <c r="B518" s="161"/>
      <c r="C518" s="161"/>
      <c r="D518" s="160" t="str">
        <f>IFERROR(__xludf.DUMMYFUNCTION("SUBSTITUTE(REGEXEXTRACT(#REF!, ""[^-]+$""), ""x"", "" x "")"),"#REF!")</f>
        <v>#REF!</v>
      </c>
      <c r="E518" s="161"/>
      <c r="F518" s="161"/>
      <c r="G518" s="161"/>
      <c r="H518" s="161"/>
      <c r="I518" s="118"/>
      <c r="J518" s="118"/>
      <c r="K518" s="117"/>
      <c r="L518" s="119"/>
      <c r="M518" s="119"/>
      <c r="N518" s="119"/>
      <c r="O518" s="118"/>
      <c r="P518" s="118"/>
      <c r="Q518" s="167"/>
      <c r="R518" s="163"/>
      <c r="S518" s="163"/>
      <c r="T518" s="168"/>
      <c r="U518" s="123" t="str">
        <f t="shared" si="41"/>
        <v>#DIV/0!</v>
      </c>
      <c r="V518" s="168"/>
      <c r="W518" s="169"/>
    </row>
    <row r="519">
      <c r="A519" s="161"/>
      <c r="B519" s="161"/>
      <c r="C519" s="161"/>
      <c r="D519" s="160" t="str">
        <f>IFERROR(__xludf.DUMMYFUNCTION("SUBSTITUTE(REGEXEXTRACT(#REF!, ""[^-]+$""), ""x"", "" x "")"),"#REF!")</f>
        <v>#REF!</v>
      </c>
      <c r="E519" s="161"/>
      <c r="F519" s="161"/>
      <c r="G519" s="161"/>
      <c r="H519" s="161"/>
      <c r="I519" s="118"/>
      <c r="J519" s="118"/>
      <c r="K519" s="117"/>
      <c r="L519" s="119"/>
      <c r="M519" s="119"/>
      <c r="N519" s="119"/>
      <c r="O519" s="118"/>
      <c r="P519" s="118"/>
      <c r="Q519" s="167"/>
      <c r="R519" s="163"/>
      <c r="S519" s="163"/>
      <c r="T519" s="168"/>
      <c r="U519" s="123" t="str">
        <f t="shared" si="41"/>
        <v>#DIV/0!</v>
      </c>
      <c r="V519" s="168"/>
      <c r="W519" s="169"/>
    </row>
    <row r="520">
      <c r="A520" s="161"/>
      <c r="B520" s="161"/>
      <c r="C520" s="161"/>
      <c r="D520" s="160" t="str">
        <f>IFERROR(__xludf.DUMMYFUNCTION("SUBSTITUTE(REGEXEXTRACT(#REF!, ""[^-]+$""), ""x"", "" x "")"),"#REF!")</f>
        <v>#REF!</v>
      </c>
      <c r="E520" s="161"/>
      <c r="F520" s="161"/>
      <c r="G520" s="161"/>
      <c r="H520" s="161"/>
      <c r="I520" s="118"/>
      <c r="J520" s="118"/>
      <c r="K520" s="117"/>
      <c r="L520" s="119"/>
      <c r="M520" s="119"/>
      <c r="N520" s="119"/>
      <c r="O520" s="118"/>
      <c r="P520" s="118"/>
      <c r="Q520" s="167"/>
      <c r="R520" s="163"/>
      <c r="S520" s="163"/>
      <c r="T520" s="168"/>
      <c r="U520" s="123" t="str">
        <f t="shared" si="41"/>
        <v>#DIV/0!</v>
      </c>
      <c r="V520" s="168"/>
      <c r="W520" s="169"/>
    </row>
    <row r="521">
      <c r="A521" s="161"/>
      <c r="B521" s="161"/>
      <c r="C521" s="161"/>
      <c r="D521" s="160" t="str">
        <f>IFERROR(__xludf.DUMMYFUNCTION("SUBSTITUTE(REGEXEXTRACT(#REF!, ""[^-]+$""), ""x"", "" x "")"),"#REF!")</f>
        <v>#REF!</v>
      </c>
      <c r="E521" s="161"/>
      <c r="F521" s="161"/>
      <c r="G521" s="161"/>
      <c r="H521" s="161"/>
      <c r="I521" s="118"/>
      <c r="J521" s="118"/>
      <c r="K521" s="117"/>
      <c r="L521" s="119"/>
      <c r="M521" s="119"/>
      <c r="N521" s="119"/>
      <c r="O521" s="118"/>
      <c r="P521" s="118"/>
      <c r="Q521" s="167"/>
      <c r="R521" s="163"/>
      <c r="S521" s="163"/>
      <c r="T521" s="168"/>
      <c r="U521" s="123" t="str">
        <f t="shared" si="41"/>
        <v>#DIV/0!</v>
      </c>
      <c r="V521" s="168"/>
      <c r="W521" s="169"/>
    </row>
    <row r="522">
      <c r="A522" s="161"/>
      <c r="B522" s="161"/>
      <c r="C522" s="161"/>
      <c r="D522" s="160" t="str">
        <f>IFERROR(__xludf.DUMMYFUNCTION("SUBSTITUTE(REGEXEXTRACT(#REF!, ""[^-]+$""), ""x"", "" x "")"),"#REF!")</f>
        <v>#REF!</v>
      </c>
      <c r="E522" s="161"/>
      <c r="F522" s="161"/>
      <c r="G522" s="161"/>
      <c r="H522" s="161"/>
      <c r="I522" s="118"/>
      <c r="J522" s="118"/>
      <c r="K522" s="117"/>
      <c r="L522" s="119"/>
      <c r="M522" s="119"/>
      <c r="N522" s="119"/>
      <c r="O522" s="118"/>
      <c r="P522" s="118"/>
      <c r="Q522" s="167"/>
      <c r="R522" s="163"/>
      <c r="S522" s="163"/>
      <c r="T522" s="168"/>
      <c r="U522" s="123" t="str">
        <f t="shared" si="41"/>
        <v>#DIV/0!</v>
      </c>
      <c r="V522" s="168"/>
      <c r="W522" s="169"/>
    </row>
    <row r="523">
      <c r="A523" s="161"/>
      <c r="B523" s="161"/>
      <c r="C523" s="161"/>
      <c r="D523" s="160" t="str">
        <f>IFERROR(__xludf.DUMMYFUNCTION("SUBSTITUTE(REGEXEXTRACT(#REF!, ""[^-]+$""), ""x"", "" x "")"),"#REF!")</f>
        <v>#REF!</v>
      </c>
      <c r="E523" s="161"/>
      <c r="F523" s="161"/>
      <c r="G523" s="161"/>
      <c r="H523" s="161"/>
      <c r="I523" s="118"/>
      <c r="J523" s="118"/>
      <c r="K523" s="117"/>
      <c r="L523" s="119"/>
      <c r="M523" s="119"/>
      <c r="N523" s="119"/>
      <c r="O523" s="118"/>
      <c r="P523" s="118"/>
      <c r="Q523" s="167"/>
      <c r="R523" s="163"/>
      <c r="S523" s="163"/>
      <c r="T523" s="168"/>
      <c r="U523" s="123" t="str">
        <f t="shared" si="41"/>
        <v>#DIV/0!</v>
      </c>
      <c r="V523" s="168"/>
      <c r="W523" s="169"/>
    </row>
    <row r="524">
      <c r="A524" s="161"/>
      <c r="B524" s="161"/>
      <c r="C524" s="161"/>
      <c r="D524" s="160" t="str">
        <f>IFERROR(__xludf.DUMMYFUNCTION("SUBSTITUTE(REGEXEXTRACT(#REF!, ""[^-]+$""), ""x"", "" x "")"),"#REF!")</f>
        <v>#REF!</v>
      </c>
      <c r="E524" s="161"/>
      <c r="F524" s="161"/>
      <c r="G524" s="161"/>
      <c r="H524" s="161"/>
      <c r="I524" s="118"/>
      <c r="J524" s="118"/>
      <c r="K524" s="117"/>
      <c r="L524" s="119"/>
      <c r="M524" s="119"/>
      <c r="N524" s="119"/>
      <c r="O524" s="118"/>
      <c r="P524" s="118"/>
      <c r="Q524" s="167"/>
      <c r="R524" s="163"/>
      <c r="S524" s="163"/>
      <c r="T524" s="168"/>
      <c r="U524" s="123" t="str">
        <f t="shared" si="41"/>
        <v>#DIV/0!</v>
      </c>
      <c r="V524" s="168"/>
      <c r="W524" s="169"/>
    </row>
    <row r="525">
      <c r="A525" s="161"/>
      <c r="B525" s="161"/>
      <c r="C525" s="161"/>
      <c r="D525" s="160" t="str">
        <f>IFERROR(__xludf.DUMMYFUNCTION("SUBSTITUTE(REGEXEXTRACT(#REF!, ""[^-]+$""), ""x"", "" x "")"),"#REF!")</f>
        <v>#REF!</v>
      </c>
      <c r="E525" s="161"/>
      <c r="F525" s="161"/>
      <c r="G525" s="161"/>
      <c r="H525" s="161"/>
      <c r="I525" s="118"/>
      <c r="J525" s="118"/>
      <c r="K525" s="117"/>
      <c r="L525" s="119"/>
      <c r="M525" s="119"/>
      <c r="N525" s="119"/>
      <c r="O525" s="118"/>
      <c r="P525" s="118"/>
      <c r="Q525" s="167"/>
      <c r="R525" s="163"/>
      <c r="S525" s="163"/>
      <c r="T525" s="168"/>
      <c r="U525" s="123" t="str">
        <f t="shared" si="41"/>
        <v>#DIV/0!</v>
      </c>
      <c r="V525" s="168"/>
      <c r="W525" s="169"/>
    </row>
    <row r="526">
      <c r="A526" s="161"/>
      <c r="B526" s="161"/>
      <c r="C526" s="161"/>
      <c r="D526" s="160" t="str">
        <f>IFERROR(__xludf.DUMMYFUNCTION("SUBSTITUTE(REGEXEXTRACT(#REF!, ""[^-]+$""), ""x"", "" x "")"),"#REF!")</f>
        <v>#REF!</v>
      </c>
      <c r="E526" s="161"/>
      <c r="F526" s="161"/>
      <c r="G526" s="161"/>
      <c r="H526" s="161"/>
      <c r="I526" s="118"/>
      <c r="J526" s="118"/>
      <c r="K526" s="117"/>
      <c r="L526" s="119"/>
      <c r="M526" s="119"/>
      <c r="N526" s="119"/>
      <c r="O526" s="118"/>
      <c r="P526" s="118"/>
      <c r="Q526" s="167"/>
      <c r="R526" s="163"/>
      <c r="S526" s="163"/>
      <c r="T526" s="168"/>
      <c r="U526" s="123" t="str">
        <f t="shared" si="41"/>
        <v>#DIV/0!</v>
      </c>
      <c r="V526" s="168"/>
      <c r="W526" s="169"/>
    </row>
    <row r="527">
      <c r="A527" s="161"/>
      <c r="B527" s="161"/>
      <c r="C527" s="161"/>
      <c r="D527" s="160" t="str">
        <f>IFERROR(__xludf.DUMMYFUNCTION("SUBSTITUTE(REGEXEXTRACT(#REF!, ""[^-]+$""), ""x"", "" x "")"),"#REF!")</f>
        <v>#REF!</v>
      </c>
      <c r="E527" s="161"/>
      <c r="F527" s="161"/>
      <c r="G527" s="161"/>
      <c r="H527" s="161"/>
      <c r="I527" s="118"/>
      <c r="J527" s="118"/>
      <c r="K527" s="117"/>
      <c r="L527" s="119"/>
      <c r="M527" s="119"/>
      <c r="N527" s="119"/>
      <c r="O527" s="118"/>
      <c r="P527" s="118"/>
      <c r="Q527" s="167"/>
      <c r="R527" s="163"/>
      <c r="S527" s="163"/>
      <c r="T527" s="168"/>
      <c r="U527" s="123" t="str">
        <f t="shared" si="41"/>
        <v>#DIV/0!</v>
      </c>
      <c r="V527" s="168"/>
      <c r="W527" s="169"/>
    </row>
    <row r="528">
      <c r="A528" s="161"/>
      <c r="B528" s="161"/>
      <c r="C528" s="161"/>
      <c r="D528" s="160" t="str">
        <f>IFERROR(__xludf.DUMMYFUNCTION("SUBSTITUTE(REGEXEXTRACT(#REF!, ""[^-]+$""), ""x"", "" x "")"),"#REF!")</f>
        <v>#REF!</v>
      </c>
      <c r="E528" s="161"/>
      <c r="F528" s="161"/>
      <c r="G528" s="161"/>
      <c r="H528" s="161"/>
      <c r="I528" s="118"/>
      <c r="J528" s="118"/>
      <c r="K528" s="117"/>
      <c r="L528" s="119"/>
      <c r="M528" s="119"/>
      <c r="N528" s="166"/>
      <c r="O528" s="118"/>
      <c r="P528" s="118"/>
      <c r="Q528" s="167"/>
      <c r="R528" s="163"/>
      <c r="S528" s="163"/>
      <c r="T528" s="168"/>
      <c r="U528" s="123" t="str">
        <f t="shared" si="41"/>
        <v>#DIV/0!</v>
      </c>
      <c r="V528" s="168"/>
      <c r="W528" s="169"/>
    </row>
    <row r="529">
      <c r="A529" s="161"/>
      <c r="B529" s="161"/>
      <c r="C529" s="161"/>
      <c r="D529" s="160" t="str">
        <f>IFERROR(__xludf.DUMMYFUNCTION("SUBSTITUTE(REGEXEXTRACT(#REF!, ""[^-]+$""), ""x"", "" x "")"),"#REF!")</f>
        <v>#REF!</v>
      </c>
      <c r="E529" s="161"/>
      <c r="F529" s="161"/>
      <c r="G529" s="161"/>
      <c r="H529" s="161"/>
      <c r="I529" s="118"/>
      <c r="J529" s="118"/>
      <c r="K529" s="117"/>
      <c r="L529" s="119"/>
      <c r="M529" s="119"/>
      <c r="N529" s="166"/>
      <c r="O529" s="118"/>
      <c r="P529" s="118"/>
      <c r="Q529" s="167"/>
      <c r="R529" s="163"/>
      <c r="S529" s="163"/>
      <c r="T529" s="168"/>
      <c r="U529" s="123" t="str">
        <f t="shared" si="41"/>
        <v>#DIV/0!</v>
      </c>
      <c r="V529" s="168"/>
      <c r="W529" s="169"/>
    </row>
    <row r="530">
      <c r="A530" s="161"/>
      <c r="B530" s="161"/>
      <c r="C530" s="161"/>
      <c r="D530" s="160" t="str">
        <f>IFERROR(__xludf.DUMMYFUNCTION("SUBSTITUTE(REGEXEXTRACT(#REF!, ""[^-]+$""), ""x"", "" x "")"),"#REF!")</f>
        <v>#REF!</v>
      </c>
      <c r="E530" s="161"/>
      <c r="F530" s="161"/>
      <c r="G530" s="161"/>
      <c r="H530" s="161"/>
      <c r="I530" s="118"/>
      <c r="J530" s="118"/>
      <c r="K530" s="117"/>
      <c r="L530" s="119"/>
      <c r="M530" s="119"/>
      <c r="N530" s="166"/>
      <c r="O530" s="118"/>
      <c r="P530" s="118"/>
      <c r="Q530" s="167"/>
      <c r="R530" s="163"/>
      <c r="S530" s="163"/>
      <c r="T530" s="168"/>
      <c r="U530" s="123" t="str">
        <f t="shared" si="41"/>
        <v>#DIV/0!</v>
      </c>
      <c r="V530" s="168"/>
      <c r="W530" s="169"/>
    </row>
    <row r="531">
      <c r="A531" s="161"/>
      <c r="B531" s="161"/>
      <c r="C531" s="161"/>
      <c r="D531" s="160" t="str">
        <f>IFERROR(__xludf.DUMMYFUNCTION("SUBSTITUTE(REGEXEXTRACT(#REF!, ""[^-]+$""), ""x"", "" x "")"),"#REF!")</f>
        <v>#REF!</v>
      </c>
      <c r="E531" s="161"/>
      <c r="F531" s="161"/>
      <c r="G531" s="161"/>
      <c r="H531" s="161"/>
      <c r="I531" s="118"/>
      <c r="J531" s="118"/>
      <c r="K531" s="117"/>
      <c r="L531" s="119"/>
      <c r="M531" s="119"/>
      <c r="N531" s="166"/>
      <c r="O531" s="118"/>
      <c r="P531" s="118"/>
      <c r="Q531" s="167"/>
      <c r="R531" s="163"/>
      <c r="S531" s="163"/>
      <c r="T531" s="168"/>
      <c r="U531" s="123" t="str">
        <f t="shared" si="41"/>
        <v>#DIV/0!</v>
      </c>
      <c r="V531" s="168"/>
      <c r="W531" s="169"/>
    </row>
    <row r="532">
      <c r="A532" s="161"/>
      <c r="B532" s="161"/>
      <c r="C532" s="161"/>
      <c r="D532" s="160" t="str">
        <f>IFERROR(__xludf.DUMMYFUNCTION("SUBSTITUTE(REGEXEXTRACT(#REF!, ""[^-]+$""), ""x"", "" x "")"),"#REF!")</f>
        <v>#REF!</v>
      </c>
      <c r="E532" s="161"/>
      <c r="F532" s="161"/>
      <c r="G532" s="161"/>
      <c r="H532" s="161"/>
      <c r="I532" s="118"/>
      <c r="J532" s="118"/>
      <c r="K532" s="117"/>
      <c r="L532" s="119"/>
      <c r="M532" s="119"/>
      <c r="N532" s="166"/>
      <c r="O532" s="118"/>
      <c r="P532" s="118"/>
      <c r="Q532" s="167"/>
      <c r="R532" s="163"/>
      <c r="S532" s="163"/>
      <c r="T532" s="168"/>
      <c r="U532" s="123" t="str">
        <f t="shared" si="41"/>
        <v>#DIV/0!</v>
      </c>
      <c r="V532" s="168"/>
      <c r="W532" s="169"/>
    </row>
    <row r="533">
      <c r="A533" s="161"/>
      <c r="B533" s="161"/>
      <c r="C533" s="161"/>
      <c r="D533" s="160" t="str">
        <f>IFERROR(__xludf.DUMMYFUNCTION("SUBSTITUTE(REGEXEXTRACT(#REF!, ""[^-]+$""), ""x"", "" x "")"),"#REF!")</f>
        <v>#REF!</v>
      </c>
      <c r="E533" s="161"/>
      <c r="F533" s="161"/>
      <c r="G533" s="161"/>
      <c r="H533" s="161"/>
      <c r="I533" s="118"/>
      <c r="J533" s="118"/>
      <c r="K533" s="117"/>
      <c r="L533" s="119"/>
      <c r="M533" s="119"/>
      <c r="N533" s="166"/>
      <c r="O533" s="118"/>
      <c r="P533" s="118"/>
      <c r="Q533" s="167"/>
      <c r="R533" s="163"/>
      <c r="S533" s="163"/>
      <c r="T533" s="168"/>
      <c r="U533" s="123" t="str">
        <f t="shared" si="41"/>
        <v>#DIV/0!</v>
      </c>
      <c r="V533" s="168"/>
      <c r="W533" s="169"/>
    </row>
    <row r="534">
      <c r="A534" s="161"/>
      <c r="B534" s="161"/>
      <c r="C534" s="161"/>
      <c r="D534" s="160" t="str">
        <f>IFERROR(__xludf.DUMMYFUNCTION("SUBSTITUTE(REGEXEXTRACT(#REF!, ""[^-]+$""), ""x"", "" x "")"),"#REF!")</f>
        <v>#REF!</v>
      </c>
      <c r="E534" s="161"/>
      <c r="F534" s="161"/>
      <c r="G534" s="161"/>
      <c r="H534" s="161"/>
      <c r="I534" s="118"/>
      <c r="J534" s="118"/>
      <c r="K534" s="117"/>
      <c r="L534" s="119"/>
      <c r="M534" s="119"/>
      <c r="N534" s="166"/>
      <c r="O534" s="118"/>
      <c r="P534" s="118"/>
      <c r="Q534" s="167"/>
      <c r="R534" s="163"/>
      <c r="S534" s="163"/>
      <c r="T534" s="168"/>
      <c r="U534" s="123" t="str">
        <f t="shared" si="41"/>
        <v>#DIV/0!</v>
      </c>
      <c r="V534" s="168"/>
      <c r="W534" s="169"/>
    </row>
    <row r="535">
      <c r="A535" s="161"/>
      <c r="B535" s="161"/>
      <c r="C535" s="161"/>
      <c r="D535" s="160" t="str">
        <f>IFERROR(__xludf.DUMMYFUNCTION("SUBSTITUTE(REGEXEXTRACT(#REF!, ""[^-]+$""), ""x"", "" x "")"),"#REF!")</f>
        <v>#REF!</v>
      </c>
      <c r="E535" s="161"/>
      <c r="F535" s="161"/>
      <c r="G535" s="161"/>
      <c r="H535" s="161"/>
      <c r="I535" s="118"/>
      <c r="J535" s="118"/>
      <c r="K535" s="117"/>
      <c r="L535" s="119"/>
      <c r="M535" s="119"/>
      <c r="N535" s="166"/>
      <c r="O535" s="118"/>
      <c r="P535" s="118"/>
      <c r="Q535" s="167"/>
      <c r="R535" s="163"/>
      <c r="S535" s="163"/>
      <c r="T535" s="168"/>
      <c r="U535" s="123" t="str">
        <f t="shared" si="41"/>
        <v>#DIV/0!</v>
      </c>
      <c r="V535" s="168"/>
      <c r="W535" s="169"/>
    </row>
    <row r="536">
      <c r="A536" s="161"/>
      <c r="B536" s="161"/>
      <c r="C536" s="161"/>
      <c r="D536" s="160" t="str">
        <f>IFERROR(__xludf.DUMMYFUNCTION("SUBSTITUTE(REGEXEXTRACT(#REF!, ""[^-]+$""), ""x"", "" x "")"),"#REF!")</f>
        <v>#REF!</v>
      </c>
      <c r="E536" s="161"/>
      <c r="F536" s="161"/>
      <c r="G536" s="161"/>
      <c r="H536" s="161"/>
      <c r="I536" s="118"/>
      <c r="J536" s="118"/>
      <c r="K536" s="117"/>
      <c r="L536" s="119"/>
      <c r="M536" s="119"/>
      <c r="N536" s="119"/>
      <c r="O536" s="118"/>
      <c r="P536" s="118"/>
      <c r="Q536" s="167"/>
      <c r="R536" s="163"/>
      <c r="S536" s="163"/>
      <c r="T536" s="168"/>
      <c r="U536" s="123" t="str">
        <f t="shared" si="41"/>
        <v>#DIV/0!</v>
      </c>
      <c r="V536" s="168"/>
      <c r="W536" s="169"/>
    </row>
    <row r="537">
      <c r="A537" s="161"/>
      <c r="B537" s="161"/>
      <c r="C537" s="161"/>
      <c r="D537" s="160" t="str">
        <f>IFERROR(__xludf.DUMMYFUNCTION("SUBSTITUTE(REGEXEXTRACT(#REF!, ""[^-]+$""), ""x"", "" x "")"),"#REF!")</f>
        <v>#REF!</v>
      </c>
      <c r="E537" s="161"/>
      <c r="F537" s="161"/>
      <c r="G537" s="161"/>
      <c r="H537" s="161"/>
      <c r="I537" s="118"/>
      <c r="J537" s="118"/>
      <c r="K537" s="117"/>
      <c r="L537" s="119"/>
      <c r="M537" s="119"/>
      <c r="N537" s="119"/>
      <c r="O537" s="118"/>
      <c r="P537" s="118"/>
      <c r="Q537" s="167"/>
      <c r="R537" s="163"/>
      <c r="S537" s="163"/>
      <c r="T537" s="168"/>
      <c r="U537" s="123" t="str">
        <f t="shared" si="41"/>
        <v>#DIV/0!</v>
      </c>
      <c r="V537" s="168"/>
      <c r="W537" s="169"/>
    </row>
    <row r="538">
      <c r="A538" s="161"/>
      <c r="B538" s="161"/>
      <c r="C538" s="161"/>
      <c r="D538" s="160" t="str">
        <f>IFERROR(__xludf.DUMMYFUNCTION("SUBSTITUTE(REGEXEXTRACT(#REF!, ""[^-]+$""), ""x"", "" x "")"),"#REF!")</f>
        <v>#REF!</v>
      </c>
      <c r="E538" s="161"/>
      <c r="F538" s="161"/>
      <c r="G538" s="161"/>
      <c r="H538" s="161"/>
      <c r="I538" s="118"/>
      <c r="J538" s="118"/>
      <c r="K538" s="117"/>
      <c r="L538" s="119"/>
      <c r="M538" s="119"/>
      <c r="N538" s="119"/>
      <c r="O538" s="118"/>
      <c r="P538" s="118"/>
      <c r="Q538" s="167"/>
      <c r="R538" s="163"/>
      <c r="S538" s="163"/>
      <c r="T538" s="168"/>
      <c r="U538" s="123" t="str">
        <f t="shared" si="41"/>
        <v>#DIV/0!</v>
      </c>
      <c r="V538" s="168"/>
      <c r="W538" s="169"/>
    </row>
    <row r="539">
      <c r="A539" s="161"/>
      <c r="B539" s="161"/>
      <c r="C539" s="161"/>
      <c r="D539" s="160" t="str">
        <f>IFERROR(__xludf.DUMMYFUNCTION("SUBSTITUTE(REGEXEXTRACT(#REF!, ""[^-]+$""), ""x"", "" x "")"),"#REF!")</f>
        <v>#REF!</v>
      </c>
      <c r="E539" s="161"/>
      <c r="F539" s="161"/>
      <c r="G539" s="161"/>
      <c r="H539" s="161"/>
      <c r="I539" s="118"/>
      <c r="J539" s="118"/>
      <c r="K539" s="117"/>
      <c r="L539" s="119"/>
      <c r="M539" s="119"/>
      <c r="N539" s="119"/>
      <c r="O539" s="118"/>
      <c r="P539" s="118"/>
      <c r="Q539" s="167"/>
      <c r="R539" s="163"/>
      <c r="S539" s="163"/>
      <c r="T539" s="168"/>
      <c r="U539" s="123" t="str">
        <f t="shared" si="41"/>
        <v>#DIV/0!</v>
      </c>
      <c r="V539" s="168"/>
      <c r="W539" s="169"/>
    </row>
    <row r="540">
      <c r="A540" s="161"/>
      <c r="B540" s="161"/>
      <c r="C540" s="161"/>
      <c r="D540" s="160" t="str">
        <f>IFERROR(__xludf.DUMMYFUNCTION("SUBSTITUTE(REGEXEXTRACT(#REF!, ""[^-]+$""), ""x"", "" x "")"),"#REF!")</f>
        <v>#REF!</v>
      </c>
      <c r="E540" s="161"/>
      <c r="F540" s="161"/>
      <c r="G540" s="161"/>
      <c r="H540" s="161"/>
      <c r="I540" s="118"/>
      <c r="J540" s="118"/>
      <c r="K540" s="117"/>
      <c r="L540" s="119"/>
      <c r="M540" s="119"/>
      <c r="N540" s="119"/>
      <c r="O540" s="118"/>
      <c r="P540" s="118"/>
      <c r="Q540" s="167"/>
      <c r="R540" s="163"/>
      <c r="S540" s="163"/>
      <c r="T540" s="168"/>
      <c r="U540" s="123" t="str">
        <f t="shared" si="41"/>
        <v>#DIV/0!</v>
      </c>
      <c r="V540" s="168"/>
      <c r="W540" s="169"/>
    </row>
    <row r="541">
      <c r="A541" s="161"/>
      <c r="B541" s="161"/>
      <c r="C541" s="161"/>
      <c r="D541" s="160" t="str">
        <f>IFERROR(__xludf.DUMMYFUNCTION("SUBSTITUTE(REGEXEXTRACT(#REF!, ""[^-]+$""), ""x"", "" x "")"),"#REF!")</f>
        <v>#REF!</v>
      </c>
      <c r="E541" s="161"/>
      <c r="F541" s="161"/>
      <c r="G541" s="161"/>
      <c r="H541" s="161"/>
      <c r="I541" s="118"/>
      <c r="J541" s="118"/>
      <c r="K541" s="117"/>
      <c r="L541" s="119"/>
      <c r="M541" s="119"/>
      <c r="N541" s="166"/>
      <c r="O541" s="118"/>
      <c r="P541" s="118"/>
      <c r="Q541" s="167"/>
      <c r="R541" s="163"/>
      <c r="S541" s="163"/>
      <c r="T541" s="168"/>
      <c r="U541" s="123" t="str">
        <f t="shared" si="41"/>
        <v>#DIV/0!</v>
      </c>
      <c r="V541" s="168"/>
      <c r="W541" s="169"/>
    </row>
    <row r="542">
      <c r="A542" s="161"/>
      <c r="B542" s="161"/>
      <c r="C542" s="161"/>
      <c r="D542" s="160" t="str">
        <f>IFERROR(__xludf.DUMMYFUNCTION("SUBSTITUTE(REGEXEXTRACT(#REF!, ""[^-]+$""), ""x"", "" x "")"),"#REF!")</f>
        <v>#REF!</v>
      </c>
      <c r="E542" s="161"/>
      <c r="F542" s="161"/>
      <c r="G542" s="161"/>
      <c r="H542" s="161"/>
      <c r="I542" s="118"/>
      <c r="J542" s="118"/>
      <c r="K542" s="117"/>
      <c r="L542" s="119"/>
      <c r="M542" s="119"/>
      <c r="N542" s="166"/>
      <c r="O542" s="118"/>
      <c r="P542" s="118"/>
      <c r="Q542" s="167"/>
      <c r="R542" s="163"/>
      <c r="S542" s="163"/>
      <c r="T542" s="168"/>
      <c r="U542" s="123" t="str">
        <f t="shared" si="41"/>
        <v>#DIV/0!</v>
      </c>
      <c r="V542" s="168"/>
      <c r="W542" s="169"/>
    </row>
    <row r="543">
      <c r="A543" s="161"/>
      <c r="B543" s="161"/>
      <c r="C543" s="161"/>
      <c r="D543" s="160" t="str">
        <f>IFERROR(__xludf.DUMMYFUNCTION("SUBSTITUTE(REGEXEXTRACT(#REF!, ""[^-]+$""), ""x"", "" x "")"),"#REF!")</f>
        <v>#REF!</v>
      </c>
      <c r="E543" s="161"/>
      <c r="F543" s="161"/>
      <c r="G543" s="161"/>
      <c r="H543" s="161"/>
      <c r="I543" s="118"/>
      <c r="J543" s="118"/>
      <c r="K543" s="117"/>
      <c r="L543" s="119"/>
      <c r="M543" s="119"/>
      <c r="N543" s="166"/>
      <c r="O543" s="118"/>
      <c r="P543" s="118"/>
      <c r="Q543" s="167"/>
      <c r="R543" s="163"/>
      <c r="S543" s="163"/>
      <c r="T543" s="168"/>
      <c r="U543" s="123" t="str">
        <f t="shared" si="41"/>
        <v>#DIV/0!</v>
      </c>
      <c r="V543" s="168"/>
      <c r="W543" s="169"/>
    </row>
    <row r="544">
      <c r="A544" s="161"/>
      <c r="B544" s="161"/>
      <c r="C544" s="161"/>
      <c r="D544" s="160" t="str">
        <f>IFERROR(__xludf.DUMMYFUNCTION("SUBSTITUTE(REGEXEXTRACT(#REF!, ""[^-]+$""), ""x"", "" x "")"),"#REF!")</f>
        <v>#REF!</v>
      </c>
      <c r="E544" s="161"/>
      <c r="F544" s="161"/>
      <c r="G544" s="161"/>
      <c r="H544" s="161"/>
      <c r="I544" s="118"/>
      <c r="J544" s="118"/>
      <c r="K544" s="117"/>
      <c r="L544" s="119"/>
      <c r="M544" s="119"/>
      <c r="N544" s="166"/>
      <c r="O544" s="118"/>
      <c r="P544" s="118"/>
      <c r="Q544" s="167"/>
      <c r="R544" s="163"/>
      <c r="S544" s="163"/>
      <c r="T544" s="168"/>
      <c r="U544" s="123" t="str">
        <f t="shared" si="41"/>
        <v>#DIV/0!</v>
      </c>
      <c r="V544" s="168"/>
      <c r="W544" s="169"/>
    </row>
    <row r="545">
      <c r="A545" s="161"/>
      <c r="B545" s="161"/>
      <c r="C545" s="161"/>
      <c r="D545" s="160" t="str">
        <f>IFERROR(__xludf.DUMMYFUNCTION("SUBSTITUTE(REGEXEXTRACT(#REF!, ""[^-]+$""), ""x"", "" x "")"),"#REF!")</f>
        <v>#REF!</v>
      </c>
      <c r="E545" s="161"/>
      <c r="F545" s="161"/>
      <c r="G545" s="161"/>
      <c r="H545" s="161"/>
      <c r="I545" s="117"/>
      <c r="J545" s="117"/>
      <c r="K545" s="117"/>
      <c r="L545" s="166"/>
      <c r="M545" s="166"/>
      <c r="N545" s="119"/>
      <c r="O545" s="117"/>
      <c r="P545" s="117"/>
      <c r="Q545" s="167"/>
      <c r="R545" s="163"/>
      <c r="S545" s="163"/>
      <c r="T545" s="168"/>
      <c r="U545" s="123" t="str">
        <f t="shared" si="41"/>
        <v>#DIV/0!</v>
      </c>
      <c r="V545" s="168"/>
      <c r="W545" s="169"/>
    </row>
    <row r="546">
      <c r="A546" s="161"/>
      <c r="B546" s="161"/>
      <c r="C546" s="161"/>
      <c r="D546" s="160" t="str">
        <f>IFERROR(__xludf.DUMMYFUNCTION("SUBSTITUTE(REGEXEXTRACT(#REF!, ""[^-]+$""), ""x"", "" x "")"),"#REF!")</f>
        <v>#REF!</v>
      </c>
      <c r="E546" s="161"/>
      <c r="F546" s="161"/>
      <c r="G546" s="161"/>
      <c r="H546" s="161"/>
      <c r="I546" s="117"/>
      <c r="J546" s="117"/>
      <c r="K546" s="117"/>
      <c r="L546" s="166"/>
      <c r="M546" s="166"/>
      <c r="N546" s="166"/>
      <c r="O546" s="117"/>
      <c r="P546" s="117"/>
      <c r="Q546" s="162"/>
      <c r="R546" s="163"/>
      <c r="S546" s="163"/>
      <c r="T546" s="168"/>
      <c r="U546" s="123" t="str">
        <f t="shared" si="41"/>
        <v>#DIV/0!</v>
      </c>
      <c r="V546" s="168"/>
      <c r="W546" s="169"/>
    </row>
    <row r="547">
      <c r="A547" s="161"/>
      <c r="B547" s="161"/>
      <c r="C547" s="161"/>
      <c r="D547" s="160" t="str">
        <f>IFERROR(__xludf.DUMMYFUNCTION("SUBSTITUTE(REGEXEXTRACT(#REF!, ""[^-]+$""), ""x"", "" x "")"),"#REF!")</f>
        <v>#REF!</v>
      </c>
      <c r="E547" s="161"/>
      <c r="F547" s="161"/>
      <c r="G547" s="161"/>
      <c r="H547" s="161"/>
      <c r="I547" s="117"/>
      <c r="J547" s="117"/>
      <c r="K547" s="117"/>
      <c r="L547" s="166"/>
      <c r="M547" s="166"/>
      <c r="N547" s="166"/>
      <c r="O547" s="117"/>
      <c r="P547" s="117"/>
      <c r="Q547" s="162"/>
      <c r="R547" s="163"/>
      <c r="S547" s="163"/>
      <c r="T547" s="168"/>
      <c r="U547" s="123" t="str">
        <f t="shared" si="41"/>
        <v>#DIV/0!</v>
      </c>
      <c r="V547" s="168"/>
      <c r="W547" s="169"/>
    </row>
    <row r="548">
      <c r="A548" s="161"/>
      <c r="B548" s="161"/>
      <c r="C548" s="161"/>
      <c r="D548" s="160" t="str">
        <f>IFERROR(__xludf.DUMMYFUNCTION("SUBSTITUTE(REGEXEXTRACT(#REF!, ""[^-]+$""), ""x"", "" x "")"),"#REF!")</f>
        <v>#REF!</v>
      </c>
      <c r="E548" s="161"/>
      <c r="F548" s="161"/>
      <c r="G548" s="161"/>
      <c r="H548" s="161"/>
      <c r="I548" s="117"/>
      <c r="J548" s="117"/>
      <c r="K548" s="117"/>
      <c r="L548" s="166"/>
      <c r="M548" s="166"/>
      <c r="N548" s="166"/>
      <c r="O548" s="117"/>
      <c r="P548" s="117"/>
      <c r="Q548" s="162"/>
      <c r="R548" s="163"/>
      <c r="S548" s="163"/>
      <c r="T548" s="168"/>
      <c r="U548" s="123" t="str">
        <f t="shared" si="41"/>
        <v>#DIV/0!</v>
      </c>
      <c r="V548" s="168"/>
      <c r="W548" s="169"/>
    </row>
    <row r="549">
      <c r="A549" s="161"/>
      <c r="B549" s="161"/>
      <c r="C549" s="161"/>
      <c r="D549" s="160" t="str">
        <f>IFERROR(__xludf.DUMMYFUNCTION("SUBSTITUTE(REGEXEXTRACT(#REF!, ""[^-]+$""), ""x"", "" x "")"),"#REF!")</f>
        <v>#REF!</v>
      </c>
      <c r="E549" s="161"/>
      <c r="F549" s="161"/>
      <c r="G549" s="161"/>
      <c r="H549" s="161"/>
      <c r="I549" s="117"/>
      <c r="J549" s="117"/>
      <c r="K549" s="117"/>
      <c r="L549" s="166"/>
      <c r="M549" s="166"/>
      <c r="N549" s="166"/>
      <c r="O549" s="117"/>
      <c r="P549" s="117"/>
      <c r="Q549" s="167"/>
      <c r="R549" s="163"/>
      <c r="S549" s="163"/>
      <c r="T549" s="168"/>
      <c r="U549" s="123" t="str">
        <f t="shared" si="41"/>
        <v>#DIV/0!</v>
      </c>
      <c r="V549" s="168"/>
      <c r="W549" s="169"/>
    </row>
    <row r="550">
      <c r="A550" s="161"/>
      <c r="B550" s="161"/>
      <c r="C550" s="161"/>
      <c r="D550" s="160" t="str">
        <f>IFERROR(__xludf.DUMMYFUNCTION("SUBSTITUTE(REGEXEXTRACT(#REF!, ""[^-]+$""), ""x"", "" x "")"),"#REF!")</f>
        <v>#REF!</v>
      </c>
      <c r="E550" s="161"/>
      <c r="F550" s="161"/>
      <c r="G550" s="161"/>
      <c r="H550" s="161"/>
      <c r="I550" s="118"/>
      <c r="J550" s="117"/>
      <c r="K550" s="118"/>
      <c r="L550" s="119"/>
      <c r="M550" s="119"/>
      <c r="N550" s="119"/>
      <c r="O550" s="118"/>
      <c r="P550" s="118"/>
      <c r="Q550" s="162"/>
      <c r="R550" s="163"/>
      <c r="S550" s="163"/>
      <c r="T550" s="168"/>
      <c r="U550" s="123" t="str">
        <f t="shared" si="41"/>
        <v>#DIV/0!</v>
      </c>
      <c r="V550" s="168"/>
      <c r="W550" s="169"/>
    </row>
    <row r="551">
      <c r="A551" s="161"/>
      <c r="B551" s="161"/>
      <c r="C551" s="161"/>
      <c r="D551" s="160" t="str">
        <f>IFERROR(__xludf.DUMMYFUNCTION("SUBSTITUTE(REGEXEXTRACT(#REF!, ""[^-]+$""), ""x"", "" x "")"),"#REF!")</f>
        <v>#REF!</v>
      </c>
      <c r="E551" s="161"/>
      <c r="F551" s="161"/>
      <c r="G551" s="161"/>
      <c r="H551" s="161"/>
      <c r="I551" s="118"/>
      <c r="J551" s="117"/>
      <c r="K551" s="118"/>
      <c r="L551" s="119"/>
      <c r="M551" s="119"/>
      <c r="N551" s="119"/>
      <c r="O551" s="118"/>
      <c r="P551" s="118"/>
      <c r="Q551" s="162"/>
      <c r="R551" s="163"/>
      <c r="S551" s="163"/>
      <c r="T551" s="168"/>
      <c r="U551" s="123" t="str">
        <f t="shared" si="41"/>
        <v>#DIV/0!</v>
      </c>
      <c r="V551" s="168"/>
      <c r="W551" s="169"/>
    </row>
    <row r="552">
      <c r="A552" s="161"/>
      <c r="B552" s="161"/>
      <c r="C552" s="161"/>
      <c r="D552" s="160" t="str">
        <f>IFERROR(__xludf.DUMMYFUNCTION("SUBSTITUTE(REGEXEXTRACT(#REF!, ""[^-]+$""), ""x"", "" x "")"),"#REF!")</f>
        <v>#REF!</v>
      </c>
      <c r="E552" s="161"/>
      <c r="F552" s="161"/>
      <c r="G552" s="161"/>
      <c r="H552" s="161"/>
      <c r="I552" s="118"/>
      <c r="J552" s="118"/>
      <c r="K552" s="117"/>
      <c r="L552" s="119"/>
      <c r="M552" s="119"/>
      <c r="N552" s="119"/>
      <c r="O552" s="117"/>
      <c r="P552" s="118"/>
      <c r="Q552" s="162"/>
      <c r="R552" s="163"/>
      <c r="S552" s="163"/>
      <c r="T552" s="168"/>
      <c r="U552" s="123" t="str">
        <f t="shared" si="41"/>
        <v>#DIV/0!</v>
      </c>
      <c r="V552" s="168"/>
      <c r="W552" s="169"/>
    </row>
    <row r="553">
      <c r="A553" s="161"/>
      <c r="B553" s="161"/>
      <c r="C553" s="161"/>
      <c r="D553" s="160" t="str">
        <f>IFERROR(__xludf.DUMMYFUNCTION("SUBSTITUTE(REGEXEXTRACT(#REF!, ""[^-]+$""), ""x"", "" x "")"),"#REF!")</f>
        <v>#REF!</v>
      </c>
      <c r="E553" s="161"/>
      <c r="F553" s="161"/>
      <c r="G553" s="161"/>
      <c r="H553" s="161"/>
      <c r="I553" s="117"/>
      <c r="J553" s="117"/>
      <c r="K553" s="117"/>
      <c r="L553" s="166"/>
      <c r="M553" s="166"/>
      <c r="N553" s="166"/>
      <c r="O553" s="117"/>
      <c r="P553" s="118"/>
      <c r="Q553" s="162"/>
      <c r="R553" s="163"/>
      <c r="S553" s="163"/>
      <c r="T553" s="168"/>
      <c r="U553" s="123" t="str">
        <f t="shared" si="41"/>
        <v>#DIV/0!</v>
      </c>
      <c r="V553" s="168"/>
      <c r="W553" s="169"/>
    </row>
    <row r="554">
      <c r="A554" s="161"/>
      <c r="B554" s="161"/>
      <c r="C554" s="161"/>
      <c r="D554" s="160" t="str">
        <f>IFERROR(__xludf.DUMMYFUNCTION("SUBSTITUTE(REGEXEXTRACT(#REF!, ""[^-]+$""), ""x"", "" x "")"),"#REF!")</f>
        <v>#REF!</v>
      </c>
      <c r="E554" s="161"/>
      <c r="F554" s="161"/>
      <c r="G554" s="161"/>
      <c r="H554" s="161"/>
      <c r="I554" s="117"/>
      <c r="J554" s="117"/>
      <c r="K554" s="117"/>
      <c r="L554" s="166"/>
      <c r="M554" s="166"/>
      <c r="N554" s="166"/>
      <c r="O554" s="117"/>
      <c r="P554" s="118"/>
      <c r="Q554" s="162"/>
      <c r="R554" s="163"/>
      <c r="S554" s="163"/>
      <c r="T554" s="168"/>
      <c r="U554" s="123" t="str">
        <f t="shared" si="41"/>
        <v>#DIV/0!</v>
      </c>
      <c r="V554" s="168"/>
      <c r="W554" s="169"/>
    </row>
    <row r="555">
      <c r="A555" s="161"/>
      <c r="B555" s="161"/>
      <c r="C555" s="161"/>
      <c r="D555" s="160" t="str">
        <f>IFERROR(__xludf.DUMMYFUNCTION("SUBSTITUTE(REGEXEXTRACT(#REF!, ""[^-]+$""), ""x"", "" x "")"),"#REF!")</f>
        <v>#REF!</v>
      </c>
      <c r="E555" s="161"/>
      <c r="F555" s="161"/>
      <c r="G555" s="161"/>
      <c r="H555" s="161"/>
      <c r="I555" s="117"/>
      <c r="J555" s="117"/>
      <c r="K555" s="117"/>
      <c r="L555" s="166"/>
      <c r="M555" s="166"/>
      <c r="N555" s="166"/>
      <c r="O555" s="117"/>
      <c r="P555" s="118"/>
      <c r="Q555" s="162"/>
      <c r="R555" s="163"/>
      <c r="S555" s="163"/>
      <c r="T555" s="168"/>
      <c r="U555" s="123" t="str">
        <f t="shared" si="41"/>
        <v>#DIV/0!</v>
      </c>
      <c r="V555" s="168"/>
      <c r="W555" s="169"/>
    </row>
    <row r="556">
      <c r="A556" s="161"/>
      <c r="B556" s="161"/>
      <c r="C556" s="161"/>
      <c r="D556" s="160" t="str">
        <f>IFERROR(__xludf.DUMMYFUNCTION("SUBSTITUTE(REGEXEXTRACT(#REF!, ""[^-]+$""), ""x"", "" x "")"),"#REF!")</f>
        <v>#REF!</v>
      </c>
      <c r="E556" s="161"/>
      <c r="F556" s="161"/>
      <c r="G556" s="161"/>
      <c r="H556" s="161"/>
      <c r="I556" s="117"/>
      <c r="J556" s="117"/>
      <c r="K556" s="117"/>
      <c r="L556" s="166"/>
      <c r="M556" s="166"/>
      <c r="N556" s="166"/>
      <c r="O556" s="117"/>
      <c r="P556" s="118"/>
      <c r="Q556" s="162"/>
      <c r="R556" s="163"/>
      <c r="S556" s="163"/>
      <c r="T556" s="168"/>
      <c r="U556" s="123" t="str">
        <f t="shared" si="41"/>
        <v>#DIV/0!</v>
      </c>
      <c r="V556" s="168"/>
      <c r="W556" s="169"/>
    </row>
    <row r="557">
      <c r="A557" s="161"/>
      <c r="B557" s="161"/>
      <c r="C557" s="161"/>
      <c r="D557" s="160" t="str">
        <f>IFERROR(__xludf.DUMMYFUNCTION("SUBSTITUTE(REGEXEXTRACT(#REF!, ""[^-]+$""), ""x"", "" x "")"),"#REF!")</f>
        <v>#REF!</v>
      </c>
      <c r="E557" s="161"/>
      <c r="F557" s="161"/>
      <c r="G557" s="161"/>
      <c r="H557" s="161"/>
      <c r="I557" s="117"/>
      <c r="J557" s="117"/>
      <c r="K557" s="117"/>
      <c r="L557" s="166"/>
      <c r="M557" s="166"/>
      <c r="N557" s="166"/>
      <c r="O557" s="117"/>
      <c r="P557" s="117"/>
      <c r="Q557" s="167"/>
      <c r="R557" s="163"/>
      <c r="S557" s="163"/>
      <c r="T557" s="168"/>
      <c r="U557" s="123" t="str">
        <f t="shared" si="41"/>
        <v>#DIV/0!</v>
      </c>
      <c r="V557" s="168"/>
      <c r="W557" s="169"/>
    </row>
    <row r="558">
      <c r="A558" s="161"/>
      <c r="B558" s="161"/>
      <c r="C558" s="161"/>
      <c r="D558" s="160" t="str">
        <f>IFERROR(__xludf.DUMMYFUNCTION("SUBSTITUTE(REGEXEXTRACT(#REF!, ""[^-]+$""), ""x"", "" x "")"),"#REF!")</f>
        <v>#REF!</v>
      </c>
      <c r="E558" s="161"/>
      <c r="F558" s="161"/>
      <c r="G558" s="161"/>
      <c r="H558" s="161"/>
      <c r="I558" s="117"/>
      <c r="J558" s="117"/>
      <c r="K558" s="117"/>
      <c r="L558" s="166"/>
      <c r="M558" s="166"/>
      <c r="N558" s="166"/>
      <c r="O558" s="117"/>
      <c r="P558" s="117"/>
      <c r="Q558" s="167"/>
      <c r="R558" s="163"/>
      <c r="S558" s="163"/>
      <c r="T558" s="168"/>
      <c r="U558" s="123" t="str">
        <f t="shared" si="41"/>
        <v>#DIV/0!</v>
      </c>
      <c r="V558" s="168"/>
      <c r="W558" s="169"/>
    </row>
    <row r="559">
      <c r="A559" s="161"/>
      <c r="B559" s="161"/>
      <c r="C559" s="161"/>
      <c r="D559" s="160" t="str">
        <f>IFERROR(__xludf.DUMMYFUNCTION("SUBSTITUTE(REGEXEXTRACT(#REF!, ""[^-]+$""), ""x"", "" x "")"),"#REF!")</f>
        <v>#REF!</v>
      </c>
      <c r="E559" s="161"/>
      <c r="F559" s="161"/>
      <c r="G559" s="161"/>
      <c r="H559" s="161"/>
      <c r="I559" s="117"/>
      <c r="J559" s="117"/>
      <c r="K559" s="117"/>
      <c r="L559" s="166"/>
      <c r="M559" s="166"/>
      <c r="N559" s="166"/>
      <c r="O559" s="117"/>
      <c r="P559" s="117"/>
      <c r="Q559" s="167"/>
      <c r="R559" s="163"/>
      <c r="S559" s="163"/>
      <c r="T559" s="168"/>
      <c r="U559" s="123" t="str">
        <f t="shared" si="41"/>
        <v>#DIV/0!</v>
      </c>
      <c r="V559" s="168"/>
      <c r="W559" s="169"/>
    </row>
    <row r="560">
      <c r="A560" s="161"/>
      <c r="B560" s="161"/>
      <c r="C560" s="161"/>
      <c r="D560" s="160" t="str">
        <f>IFERROR(__xludf.DUMMYFUNCTION("SUBSTITUTE(REGEXEXTRACT(#REF!, ""[^-]+$""), ""x"", "" x "")"),"#REF!")</f>
        <v>#REF!</v>
      </c>
      <c r="E560" s="161"/>
      <c r="F560" s="161"/>
      <c r="G560" s="161"/>
      <c r="H560" s="161"/>
      <c r="I560" s="118"/>
      <c r="J560" s="117"/>
      <c r="K560" s="118"/>
      <c r="L560" s="119"/>
      <c r="M560" s="166"/>
      <c r="N560" s="119"/>
      <c r="O560" s="118"/>
      <c r="P560" s="117"/>
      <c r="Q560" s="162"/>
      <c r="R560" s="163"/>
      <c r="S560" s="163"/>
      <c r="T560" s="168"/>
      <c r="U560" s="123" t="str">
        <f t="shared" si="41"/>
        <v>#DIV/0!</v>
      </c>
      <c r="V560" s="168"/>
      <c r="W560" s="169"/>
    </row>
    <row r="561">
      <c r="A561" s="161"/>
      <c r="B561" s="161"/>
      <c r="C561" s="161"/>
      <c r="D561" s="160" t="str">
        <f>IFERROR(__xludf.DUMMYFUNCTION("SUBSTITUTE(REGEXEXTRACT(#REF!, ""[^-]+$""), ""x"", "" x "")"),"#REF!")</f>
        <v>#REF!</v>
      </c>
      <c r="E561" s="161"/>
      <c r="F561" s="161"/>
      <c r="G561" s="161"/>
      <c r="H561" s="161"/>
      <c r="I561" s="117"/>
      <c r="J561" s="117"/>
      <c r="K561" s="117"/>
      <c r="L561" s="166"/>
      <c r="M561" s="166"/>
      <c r="N561" s="166"/>
      <c r="O561" s="117"/>
      <c r="P561" s="117"/>
      <c r="Q561" s="167"/>
      <c r="R561" s="163"/>
      <c r="S561" s="163"/>
      <c r="T561" s="168"/>
      <c r="U561" s="123" t="str">
        <f t="shared" si="41"/>
        <v>#DIV/0!</v>
      </c>
      <c r="V561" s="168"/>
      <c r="W561" s="169"/>
    </row>
    <row r="562">
      <c r="A562" s="161"/>
      <c r="B562" s="161"/>
      <c r="C562" s="161"/>
      <c r="D562" s="160" t="str">
        <f>IFERROR(__xludf.DUMMYFUNCTION("SUBSTITUTE(REGEXEXTRACT(#REF!, ""[^-]+$""), ""x"", "" x "")"),"#REF!")</f>
        <v>#REF!</v>
      </c>
      <c r="E562" s="161"/>
      <c r="F562" s="161"/>
      <c r="G562" s="161"/>
      <c r="H562" s="161"/>
      <c r="I562" s="118"/>
      <c r="J562" s="117"/>
      <c r="K562" s="118"/>
      <c r="L562" s="119"/>
      <c r="M562" s="166"/>
      <c r="N562" s="119"/>
      <c r="O562" s="118"/>
      <c r="P562" s="117"/>
      <c r="Q562" s="162"/>
      <c r="R562" s="163"/>
      <c r="S562" s="163"/>
      <c r="T562" s="168"/>
      <c r="U562" s="123" t="str">
        <f t="shared" si="41"/>
        <v>#DIV/0!</v>
      </c>
      <c r="V562" s="168"/>
      <c r="W562" s="169"/>
    </row>
    <row r="563">
      <c r="A563" s="161"/>
      <c r="B563" s="161"/>
      <c r="C563" s="161"/>
      <c r="D563" s="160" t="str">
        <f>IFERROR(__xludf.DUMMYFUNCTION("SUBSTITUTE(REGEXEXTRACT(#REF!, ""[^-]+$""), ""x"", "" x "")"),"#REF!")</f>
        <v>#REF!</v>
      </c>
      <c r="E563" s="161"/>
      <c r="F563" s="161"/>
      <c r="G563" s="161"/>
      <c r="H563" s="161"/>
      <c r="I563" s="118"/>
      <c r="J563" s="117"/>
      <c r="K563" s="118"/>
      <c r="L563" s="119"/>
      <c r="M563" s="166"/>
      <c r="N563" s="119"/>
      <c r="O563" s="118"/>
      <c r="P563" s="117"/>
      <c r="Q563" s="162"/>
      <c r="R563" s="163"/>
      <c r="S563" s="163"/>
      <c r="T563" s="168"/>
      <c r="U563" s="123" t="str">
        <f t="shared" si="41"/>
        <v>#DIV/0!</v>
      </c>
      <c r="V563" s="168"/>
      <c r="W563" s="169"/>
    </row>
    <row r="564">
      <c r="A564" s="161"/>
      <c r="B564" s="161"/>
      <c r="C564" s="161"/>
      <c r="D564" s="160" t="str">
        <f>IFERROR(__xludf.DUMMYFUNCTION("SUBSTITUTE(REGEXEXTRACT(#REF!, ""[^-]+$""), ""x"", "" x "")"),"#REF!")</f>
        <v>#REF!</v>
      </c>
      <c r="E564" s="161"/>
      <c r="F564" s="161"/>
      <c r="G564" s="161"/>
      <c r="H564" s="161"/>
      <c r="I564" s="117"/>
      <c r="J564" s="117"/>
      <c r="K564" s="117"/>
      <c r="L564" s="166"/>
      <c r="M564" s="166"/>
      <c r="N564" s="166"/>
      <c r="O564" s="117"/>
      <c r="P564" s="117"/>
      <c r="Q564" s="167"/>
      <c r="R564" s="163"/>
      <c r="S564" s="163"/>
      <c r="T564" s="168"/>
      <c r="U564" s="123" t="str">
        <f t="shared" si="41"/>
        <v>#DIV/0!</v>
      </c>
      <c r="V564" s="168"/>
      <c r="W564" s="169"/>
    </row>
    <row r="565">
      <c r="A565" s="161"/>
      <c r="B565" s="161"/>
      <c r="C565" s="161"/>
      <c r="D565" s="160" t="str">
        <f>IFERROR(__xludf.DUMMYFUNCTION("SUBSTITUTE(REGEXEXTRACT(#REF!, ""[^-]+$""), ""x"", "" x "")"),"#REF!")</f>
        <v>#REF!</v>
      </c>
      <c r="E565" s="161"/>
      <c r="F565" s="161"/>
      <c r="G565" s="161"/>
      <c r="H565" s="161"/>
      <c r="I565" s="118"/>
      <c r="J565" s="117"/>
      <c r="K565" s="118"/>
      <c r="L565" s="119"/>
      <c r="M565" s="119"/>
      <c r="N565" s="119"/>
      <c r="O565" s="118"/>
      <c r="P565" s="118"/>
      <c r="Q565" s="162"/>
      <c r="R565" s="163"/>
      <c r="S565" s="163"/>
      <c r="T565" s="168"/>
      <c r="U565" s="123" t="str">
        <f t="shared" si="41"/>
        <v>#DIV/0!</v>
      </c>
      <c r="V565" s="168"/>
      <c r="W565" s="169"/>
    </row>
    <row r="566">
      <c r="A566" s="161"/>
      <c r="B566" s="161"/>
      <c r="C566" s="161"/>
      <c r="D566" s="160" t="str">
        <f>IFERROR(__xludf.DUMMYFUNCTION("SUBSTITUTE(REGEXEXTRACT(#REF!, ""[^-]+$""), ""x"", "" x "")"),"#REF!")</f>
        <v>#REF!</v>
      </c>
      <c r="E566" s="161"/>
      <c r="F566" s="161"/>
      <c r="G566" s="161"/>
      <c r="H566" s="161"/>
      <c r="I566" s="118"/>
      <c r="J566" s="117"/>
      <c r="K566" s="118"/>
      <c r="L566" s="119"/>
      <c r="M566" s="119"/>
      <c r="N566" s="119"/>
      <c r="O566" s="118"/>
      <c r="P566" s="117"/>
      <c r="Q566" s="162"/>
      <c r="R566" s="163"/>
      <c r="S566" s="163"/>
      <c r="T566" s="168"/>
      <c r="U566" s="123" t="str">
        <f t="shared" si="41"/>
        <v>#DIV/0!</v>
      </c>
      <c r="V566" s="168"/>
      <c r="W566" s="169"/>
    </row>
    <row r="567">
      <c r="A567" s="161"/>
      <c r="B567" s="161"/>
      <c r="C567" s="161"/>
      <c r="D567" s="160" t="str">
        <f>IFERROR(__xludf.DUMMYFUNCTION("SUBSTITUTE(REGEXEXTRACT(#REF!, ""[^-]+$""), ""x"", "" x "")"),"#REF!")</f>
        <v>#REF!</v>
      </c>
      <c r="E567" s="161"/>
      <c r="F567" s="161"/>
      <c r="G567" s="161"/>
      <c r="H567" s="161"/>
      <c r="I567" s="118"/>
      <c r="J567" s="117"/>
      <c r="K567" s="118"/>
      <c r="L567" s="119"/>
      <c r="M567" s="119"/>
      <c r="N567" s="119"/>
      <c r="O567" s="118"/>
      <c r="P567" s="117"/>
      <c r="Q567" s="162"/>
      <c r="R567" s="163"/>
      <c r="S567" s="163"/>
      <c r="T567" s="168"/>
      <c r="U567" s="123" t="str">
        <f t="shared" si="41"/>
        <v>#DIV/0!</v>
      </c>
      <c r="V567" s="168"/>
      <c r="W567" s="169"/>
    </row>
    <row r="568">
      <c r="A568" s="161"/>
      <c r="B568" s="161"/>
      <c r="C568" s="161"/>
      <c r="D568" s="160" t="str">
        <f>IFERROR(__xludf.DUMMYFUNCTION("SUBSTITUTE(REGEXEXTRACT(#REF!, ""[^-]+$""), ""x"", "" x "")"),"#REF!")</f>
        <v>#REF!</v>
      </c>
      <c r="E568" s="161"/>
      <c r="F568" s="161"/>
      <c r="G568" s="161"/>
      <c r="H568" s="161"/>
      <c r="I568" s="118"/>
      <c r="J568" s="117"/>
      <c r="K568" s="118"/>
      <c r="L568" s="119"/>
      <c r="M568" s="166"/>
      <c r="N568" s="119"/>
      <c r="O568" s="118"/>
      <c r="P568" s="117"/>
      <c r="Q568" s="162"/>
      <c r="R568" s="163"/>
      <c r="S568" s="163"/>
      <c r="T568" s="168"/>
      <c r="U568" s="123" t="str">
        <f t="shared" si="41"/>
        <v>#DIV/0!</v>
      </c>
      <c r="V568" s="168"/>
      <c r="W568" s="169"/>
    </row>
    <row r="569">
      <c r="A569" s="161"/>
      <c r="B569" s="161"/>
      <c r="C569" s="161"/>
      <c r="D569" s="160" t="str">
        <f>IFERROR(__xludf.DUMMYFUNCTION("SUBSTITUTE(REGEXEXTRACT(#REF!, ""[^-]+$""), ""x"", "" x "")"),"#REF!")</f>
        <v>#REF!</v>
      </c>
      <c r="E569" s="161"/>
      <c r="F569" s="161"/>
      <c r="G569" s="161"/>
      <c r="H569" s="161"/>
      <c r="I569" s="118"/>
      <c r="J569" s="117"/>
      <c r="K569" s="118"/>
      <c r="L569" s="119"/>
      <c r="M569" s="166"/>
      <c r="N569" s="119"/>
      <c r="O569" s="118"/>
      <c r="P569" s="117"/>
      <c r="Q569" s="162"/>
      <c r="R569" s="163"/>
      <c r="S569" s="163"/>
      <c r="T569" s="168"/>
      <c r="U569" s="123" t="str">
        <f t="shared" si="41"/>
        <v>#DIV/0!</v>
      </c>
      <c r="V569" s="168"/>
      <c r="W569" s="169"/>
    </row>
    <row r="570">
      <c r="A570" s="161"/>
      <c r="B570" s="161"/>
      <c r="C570" s="161"/>
      <c r="D570" s="160" t="str">
        <f>IFERROR(__xludf.DUMMYFUNCTION("SUBSTITUTE(REGEXEXTRACT(#REF!, ""[^-]+$""), ""x"", "" x "")"),"#REF!")</f>
        <v>#REF!</v>
      </c>
      <c r="E570" s="161"/>
      <c r="F570" s="161"/>
      <c r="G570" s="161"/>
      <c r="H570" s="161"/>
      <c r="I570" s="118"/>
      <c r="J570" s="117"/>
      <c r="K570" s="118"/>
      <c r="L570" s="119"/>
      <c r="M570" s="166"/>
      <c r="N570" s="119"/>
      <c r="O570" s="118"/>
      <c r="P570" s="117"/>
      <c r="Q570" s="162"/>
      <c r="R570" s="163"/>
      <c r="S570" s="163"/>
      <c r="T570" s="168"/>
      <c r="U570" s="123" t="str">
        <f t="shared" si="41"/>
        <v>#DIV/0!</v>
      </c>
      <c r="V570" s="168"/>
      <c r="W570" s="169"/>
    </row>
    <row r="571">
      <c r="A571" s="161"/>
      <c r="B571" s="161"/>
      <c r="C571" s="161"/>
      <c r="D571" s="160" t="str">
        <f>IFERROR(__xludf.DUMMYFUNCTION("SUBSTITUTE(REGEXEXTRACT(#REF!, ""[^-]+$""), ""x"", "" x "")"),"#REF!")</f>
        <v>#REF!</v>
      </c>
      <c r="E571" s="161"/>
      <c r="F571" s="161"/>
      <c r="G571" s="161"/>
      <c r="H571" s="161"/>
      <c r="I571" s="118"/>
      <c r="J571" s="118"/>
      <c r="K571" s="117"/>
      <c r="L571" s="119"/>
      <c r="M571" s="119"/>
      <c r="N571" s="119"/>
      <c r="O571" s="118"/>
      <c r="P571" s="118"/>
      <c r="Q571" s="167"/>
      <c r="R571" s="163"/>
      <c r="S571" s="163"/>
      <c r="T571" s="168"/>
      <c r="U571" s="123" t="str">
        <f t="shared" si="41"/>
        <v>#DIV/0!</v>
      </c>
      <c r="V571" s="168"/>
      <c r="W571" s="169"/>
    </row>
    <row r="572">
      <c r="A572" s="161"/>
      <c r="B572" s="161"/>
      <c r="C572" s="161"/>
      <c r="D572" s="160" t="str">
        <f>IFERROR(__xludf.DUMMYFUNCTION("SUBSTITUTE(REGEXEXTRACT(#REF!, ""[^-]+$""), ""x"", "" x "")"),"#REF!")</f>
        <v>#REF!</v>
      </c>
      <c r="E572" s="161"/>
      <c r="F572" s="161"/>
      <c r="G572" s="161"/>
      <c r="H572" s="161"/>
      <c r="I572" s="118"/>
      <c r="J572" s="118"/>
      <c r="K572" s="117"/>
      <c r="L572" s="119"/>
      <c r="M572" s="119"/>
      <c r="N572" s="119"/>
      <c r="O572" s="118"/>
      <c r="P572" s="118"/>
      <c r="Q572" s="167"/>
      <c r="R572" s="163"/>
      <c r="S572" s="163"/>
      <c r="T572" s="168"/>
      <c r="U572" s="123" t="str">
        <f t="shared" si="41"/>
        <v>#DIV/0!</v>
      </c>
      <c r="V572" s="168"/>
      <c r="W572" s="169"/>
    </row>
    <row r="573">
      <c r="A573" s="161"/>
      <c r="B573" s="161"/>
      <c r="C573" s="161"/>
      <c r="D573" s="160" t="str">
        <f>IFERROR(__xludf.DUMMYFUNCTION("SUBSTITUTE(REGEXEXTRACT(#REF!, ""[^-]+$""), ""x"", "" x "")"),"#REF!")</f>
        <v>#REF!</v>
      </c>
      <c r="E573" s="161"/>
      <c r="F573" s="161"/>
      <c r="G573" s="161"/>
      <c r="H573" s="161"/>
      <c r="I573" s="118"/>
      <c r="J573" s="118"/>
      <c r="K573" s="117"/>
      <c r="L573" s="119"/>
      <c r="M573" s="119"/>
      <c r="N573" s="166"/>
      <c r="O573" s="118"/>
      <c r="P573" s="118"/>
      <c r="Q573" s="167"/>
      <c r="R573" s="163"/>
      <c r="S573" s="163"/>
      <c r="T573" s="168"/>
      <c r="U573" s="123" t="str">
        <f t="shared" si="41"/>
        <v>#DIV/0!</v>
      </c>
      <c r="V573" s="168"/>
      <c r="W573" s="169"/>
    </row>
    <row r="574">
      <c r="A574" s="161"/>
      <c r="B574" s="161"/>
      <c r="C574" s="161"/>
      <c r="D574" s="160" t="str">
        <f>IFERROR(__xludf.DUMMYFUNCTION("SUBSTITUTE(REGEXEXTRACT(#REF!, ""[^-]+$""), ""x"", "" x "")"),"#REF!")</f>
        <v>#REF!</v>
      </c>
      <c r="E574" s="161"/>
      <c r="F574" s="161"/>
      <c r="G574" s="161"/>
      <c r="H574" s="161"/>
      <c r="I574" s="118"/>
      <c r="J574" s="118"/>
      <c r="K574" s="117"/>
      <c r="L574" s="119"/>
      <c r="M574" s="119"/>
      <c r="N574" s="119"/>
      <c r="O574" s="118"/>
      <c r="P574" s="118"/>
      <c r="Q574" s="167"/>
      <c r="R574" s="163"/>
      <c r="S574" s="163"/>
      <c r="T574" s="168"/>
      <c r="U574" s="123" t="str">
        <f t="shared" si="41"/>
        <v>#DIV/0!</v>
      </c>
      <c r="V574" s="168"/>
      <c r="W574" s="169"/>
    </row>
    <row r="575">
      <c r="A575" s="161"/>
      <c r="B575" s="161"/>
      <c r="C575" s="161"/>
      <c r="D575" s="160" t="str">
        <f>IFERROR(__xludf.DUMMYFUNCTION("SUBSTITUTE(REGEXEXTRACT(#REF!, ""[^-]+$""), ""x"", "" x "")"),"#REF!")</f>
        <v>#REF!</v>
      </c>
      <c r="E575" s="161"/>
      <c r="F575" s="161"/>
      <c r="G575" s="161"/>
      <c r="H575" s="161"/>
      <c r="I575" s="118"/>
      <c r="J575" s="118"/>
      <c r="K575" s="117"/>
      <c r="L575" s="119"/>
      <c r="M575" s="119"/>
      <c r="N575" s="119"/>
      <c r="O575" s="118"/>
      <c r="P575" s="118"/>
      <c r="Q575" s="167"/>
      <c r="R575" s="163"/>
      <c r="S575" s="163"/>
      <c r="T575" s="168"/>
      <c r="U575" s="123" t="str">
        <f t="shared" si="41"/>
        <v>#DIV/0!</v>
      </c>
      <c r="V575" s="168"/>
      <c r="W575" s="169"/>
    </row>
    <row r="576">
      <c r="A576" s="161"/>
      <c r="B576" s="161"/>
      <c r="C576" s="161"/>
      <c r="D576" s="160" t="str">
        <f>IFERROR(__xludf.DUMMYFUNCTION("SUBSTITUTE(REGEXEXTRACT(#REF!, ""[^-]+$""), ""x"", "" x "")"),"#REF!")</f>
        <v>#REF!</v>
      </c>
      <c r="E576" s="161"/>
      <c r="F576" s="161"/>
      <c r="G576" s="161"/>
      <c r="H576" s="161"/>
      <c r="I576" s="118"/>
      <c r="J576" s="118"/>
      <c r="K576" s="117"/>
      <c r="L576" s="119"/>
      <c r="M576" s="119"/>
      <c r="N576" s="119"/>
      <c r="O576" s="118"/>
      <c r="P576" s="118"/>
      <c r="Q576" s="167"/>
      <c r="R576" s="163"/>
      <c r="S576" s="163"/>
      <c r="T576" s="168"/>
      <c r="U576" s="123" t="str">
        <f t="shared" si="41"/>
        <v>#DIV/0!</v>
      </c>
      <c r="V576" s="168"/>
      <c r="W576" s="169"/>
    </row>
    <row r="577">
      <c r="A577" s="161"/>
      <c r="B577" s="161"/>
      <c r="C577" s="161"/>
      <c r="D577" s="160" t="str">
        <f>IFERROR(__xludf.DUMMYFUNCTION("SUBSTITUTE(REGEXEXTRACT(#REF!, ""[^-]+$""), ""x"", "" x "")"),"#REF!")</f>
        <v>#REF!</v>
      </c>
      <c r="E577" s="161"/>
      <c r="F577" s="161"/>
      <c r="G577" s="161"/>
      <c r="H577" s="161"/>
      <c r="I577" s="118"/>
      <c r="J577" s="118"/>
      <c r="K577" s="117"/>
      <c r="L577" s="119"/>
      <c r="M577" s="119"/>
      <c r="N577" s="119"/>
      <c r="O577" s="118"/>
      <c r="P577" s="118"/>
      <c r="Q577" s="167"/>
      <c r="R577" s="163"/>
      <c r="S577" s="163"/>
      <c r="T577" s="168"/>
      <c r="U577" s="123" t="str">
        <f t="shared" si="41"/>
        <v>#DIV/0!</v>
      </c>
      <c r="V577" s="168"/>
      <c r="W577" s="169"/>
    </row>
    <row r="578">
      <c r="A578" s="161"/>
      <c r="B578" s="161"/>
      <c r="C578" s="161"/>
      <c r="D578" s="160" t="str">
        <f>IFERROR(__xludf.DUMMYFUNCTION("SUBSTITUTE(REGEXEXTRACT(#REF!, ""[^-]+$""), ""x"", "" x "")"),"#REF!")</f>
        <v>#REF!</v>
      </c>
      <c r="E578" s="161"/>
      <c r="F578" s="161"/>
      <c r="G578" s="161"/>
      <c r="H578" s="161"/>
      <c r="I578" s="118"/>
      <c r="J578" s="118"/>
      <c r="K578" s="117"/>
      <c r="L578" s="119"/>
      <c r="M578" s="119"/>
      <c r="N578" s="119"/>
      <c r="O578" s="118"/>
      <c r="P578" s="118"/>
      <c r="Q578" s="167"/>
      <c r="R578" s="163"/>
      <c r="S578" s="163"/>
      <c r="T578" s="168"/>
      <c r="U578" s="123" t="str">
        <f t="shared" si="41"/>
        <v>#DIV/0!</v>
      </c>
      <c r="V578" s="168"/>
      <c r="W578" s="169"/>
    </row>
    <row r="579">
      <c r="A579" s="161"/>
      <c r="B579" s="161"/>
      <c r="C579" s="161"/>
      <c r="D579" s="160" t="str">
        <f>IFERROR(__xludf.DUMMYFUNCTION("SUBSTITUTE(REGEXEXTRACT(#REF!, ""[^-]+$""), ""x"", "" x "")"),"#REF!")</f>
        <v>#REF!</v>
      </c>
      <c r="E579" s="161"/>
      <c r="F579" s="161"/>
      <c r="G579" s="161"/>
      <c r="H579" s="161"/>
      <c r="I579" s="118"/>
      <c r="J579" s="118"/>
      <c r="K579" s="117"/>
      <c r="L579" s="119"/>
      <c r="M579" s="119"/>
      <c r="N579" s="119"/>
      <c r="O579" s="118"/>
      <c r="P579" s="118"/>
      <c r="Q579" s="167"/>
      <c r="R579" s="163"/>
      <c r="S579" s="163"/>
      <c r="T579" s="168"/>
      <c r="U579" s="123" t="str">
        <f t="shared" si="41"/>
        <v>#DIV/0!</v>
      </c>
      <c r="V579" s="168"/>
      <c r="W579" s="169"/>
    </row>
    <row r="580">
      <c r="A580" s="161"/>
      <c r="B580" s="161"/>
      <c r="C580" s="161"/>
      <c r="D580" s="160" t="str">
        <f>IFERROR(__xludf.DUMMYFUNCTION("SUBSTITUTE(REGEXEXTRACT(#REF!, ""[^-]+$""), ""x"", "" x "")"),"#REF!")</f>
        <v>#REF!</v>
      </c>
      <c r="E580" s="161"/>
      <c r="F580" s="161"/>
      <c r="G580" s="161"/>
      <c r="H580" s="161"/>
      <c r="I580" s="118"/>
      <c r="J580" s="118"/>
      <c r="K580" s="117"/>
      <c r="L580" s="119"/>
      <c r="M580" s="119"/>
      <c r="N580" s="119"/>
      <c r="O580" s="118"/>
      <c r="P580" s="118"/>
      <c r="Q580" s="167"/>
      <c r="R580" s="163"/>
      <c r="S580" s="163"/>
      <c r="T580" s="168"/>
      <c r="U580" s="123" t="str">
        <f t="shared" si="41"/>
        <v>#DIV/0!</v>
      </c>
      <c r="V580" s="168"/>
      <c r="W580" s="169"/>
    </row>
    <row r="581">
      <c r="A581" s="161"/>
      <c r="B581" s="161"/>
      <c r="C581" s="161"/>
      <c r="D581" s="160" t="str">
        <f>IFERROR(__xludf.DUMMYFUNCTION("SUBSTITUTE(REGEXEXTRACT(#REF!, ""[^-]+$""), ""x"", "" x "")"),"#REF!")</f>
        <v>#REF!</v>
      </c>
      <c r="E581" s="161"/>
      <c r="F581" s="161"/>
      <c r="G581" s="161"/>
      <c r="H581" s="161"/>
      <c r="I581" s="118"/>
      <c r="J581" s="118"/>
      <c r="K581" s="117"/>
      <c r="L581" s="119"/>
      <c r="M581" s="119"/>
      <c r="N581" s="119"/>
      <c r="O581" s="118"/>
      <c r="P581" s="118"/>
      <c r="Q581" s="167"/>
      <c r="R581" s="163"/>
      <c r="S581" s="163"/>
      <c r="T581" s="168"/>
      <c r="U581" s="123" t="str">
        <f t="shared" si="41"/>
        <v>#DIV/0!</v>
      </c>
      <c r="V581" s="168"/>
      <c r="W581" s="169"/>
    </row>
    <row r="582">
      <c r="A582" s="161"/>
      <c r="B582" s="161"/>
      <c r="C582" s="161"/>
      <c r="D582" s="160" t="str">
        <f>IFERROR(__xludf.DUMMYFUNCTION("SUBSTITUTE(REGEXEXTRACT(#REF!, ""[^-]+$""), ""x"", "" x "")"),"#REF!")</f>
        <v>#REF!</v>
      </c>
      <c r="E582" s="161"/>
      <c r="F582" s="161"/>
      <c r="G582" s="161"/>
      <c r="H582" s="161"/>
      <c r="I582" s="118"/>
      <c r="J582" s="118"/>
      <c r="K582" s="117"/>
      <c r="L582" s="119"/>
      <c r="M582" s="119"/>
      <c r="N582" s="119"/>
      <c r="O582" s="118"/>
      <c r="P582" s="118"/>
      <c r="Q582" s="167"/>
      <c r="R582" s="163"/>
      <c r="S582" s="163"/>
      <c r="T582" s="168"/>
      <c r="U582" s="123" t="str">
        <f t="shared" si="41"/>
        <v>#DIV/0!</v>
      </c>
      <c r="V582" s="168"/>
      <c r="W582" s="169"/>
    </row>
    <row r="583">
      <c r="A583" s="161"/>
      <c r="B583" s="161"/>
      <c r="C583" s="161"/>
      <c r="D583" s="160" t="str">
        <f>IFERROR(__xludf.DUMMYFUNCTION("SUBSTITUTE(REGEXEXTRACT(#REF!, ""[^-]+$""), ""x"", "" x "")"),"#REF!")</f>
        <v>#REF!</v>
      </c>
      <c r="E583" s="161"/>
      <c r="F583" s="161"/>
      <c r="G583" s="161"/>
      <c r="H583" s="161"/>
      <c r="I583" s="118"/>
      <c r="J583" s="118"/>
      <c r="K583" s="117"/>
      <c r="L583" s="119"/>
      <c r="M583" s="119"/>
      <c r="N583" s="119"/>
      <c r="O583" s="118"/>
      <c r="P583" s="118"/>
      <c r="Q583" s="167"/>
      <c r="R583" s="163"/>
      <c r="S583" s="163"/>
      <c r="T583" s="168"/>
      <c r="U583" s="123" t="str">
        <f t="shared" si="41"/>
        <v>#DIV/0!</v>
      </c>
      <c r="V583" s="168"/>
      <c r="W583" s="169"/>
    </row>
    <row r="584">
      <c r="A584" s="161"/>
      <c r="B584" s="161"/>
      <c r="C584" s="161"/>
      <c r="D584" s="160" t="str">
        <f>IFERROR(__xludf.DUMMYFUNCTION("SUBSTITUTE(REGEXEXTRACT(#REF!, ""[^-]+$""), ""x"", "" x "")"),"#REF!")</f>
        <v>#REF!</v>
      </c>
      <c r="E584" s="161"/>
      <c r="F584" s="161"/>
      <c r="G584" s="161"/>
      <c r="H584" s="161"/>
      <c r="I584" s="118"/>
      <c r="J584" s="118"/>
      <c r="K584" s="117"/>
      <c r="L584" s="119"/>
      <c r="M584" s="119"/>
      <c r="N584" s="119"/>
      <c r="O584" s="118"/>
      <c r="P584" s="118"/>
      <c r="Q584" s="167"/>
      <c r="R584" s="163"/>
      <c r="S584" s="163"/>
      <c r="T584" s="168"/>
      <c r="U584" s="123" t="str">
        <f t="shared" si="41"/>
        <v>#DIV/0!</v>
      </c>
      <c r="V584" s="168"/>
      <c r="W584" s="169"/>
    </row>
    <row r="585">
      <c r="A585" s="161"/>
      <c r="B585" s="161"/>
      <c r="C585" s="161"/>
      <c r="D585" s="160" t="str">
        <f>IFERROR(__xludf.DUMMYFUNCTION("SUBSTITUTE(REGEXEXTRACT(#REF!, ""[^-]+$""), ""x"", "" x "")"),"#REF!")</f>
        <v>#REF!</v>
      </c>
      <c r="E585" s="161"/>
      <c r="F585" s="161"/>
      <c r="G585" s="161"/>
      <c r="H585" s="161"/>
      <c r="I585" s="118"/>
      <c r="J585" s="118"/>
      <c r="K585" s="117"/>
      <c r="L585" s="119"/>
      <c r="M585" s="119"/>
      <c r="N585" s="119"/>
      <c r="O585" s="118"/>
      <c r="P585" s="118"/>
      <c r="Q585" s="167"/>
      <c r="R585" s="163"/>
      <c r="S585" s="163"/>
      <c r="T585" s="168"/>
      <c r="U585" s="123" t="str">
        <f t="shared" si="41"/>
        <v>#DIV/0!</v>
      </c>
      <c r="V585" s="168"/>
      <c r="W585" s="169"/>
    </row>
    <row r="586">
      <c r="A586" s="161"/>
      <c r="B586" s="161"/>
      <c r="C586" s="161"/>
      <c r="D586" s="160" t="str">
        <f>IFERROR(__xludf.DUMMYFUNCTION("SUBSTITUTE(REGEXEXTRACT(#REF!, ""[^-]+$""), ""x"", "" x "")"),"#REF!")</f>
        <v>#REF!</v>
      </c>
      <c r="E586" s="161"/>
      <c r="F586" s="161"/>
      <c r="G586" s="161"/>
      <c r="H586" s="161"/>
      <c r="I586" s="118"/>
      <c r="J586" s="118"/>
      <c r="K586" s="117"/>
      <c r="L586" s="119"/>
      <c r="M586" s="119"/>
      <c r="N586" s="119"/>
      <c r="O586" s="118"/>
      <c r="P586" s="118"/>
      <c r="Q586" s="167"/>
      <c r="R586" s="163"/>
      <c r="S586" s="163"/>
      <c r="T586" s="168"/>
      <c r="U586" s="123" t="str">
        <f t="shared" si="41"/>
        <v>#DIV/0!</v>
      </c>
      <c r="V586" s="168"/>
      <c r="W586" s="169"/>
    </row>
    <row r="587">
      <c r="A587" s="161"/>
      <c r="B587" s="161"/>
      <c r="C587" s="161"/>
      <c r="D587" s="160" t="str">
        <f>IFERROR(__xludf.DUMMYFUNCTION("SUBSTITUTE(REGEXEXTRACT(#REF!, ""[^-]+$""), ""x"", "" x "")"),"#REF!")</f>
        <v>#REF!</v>
      </c>
      <c r="E587" s="161"/>
      <c r="F587" s="161"/>
      <c r="G587" s="161"/>
      <c r="H587" s="161"/>
      <c r="I587" s="118"/>
      <c r="J587" s="118"/>
      <c r="K587" s="117"/>
      <c r="L587" s="119"/>
      <c r="M587" s="119"/>
      <c r="N587" s="119"/>
      <c r="O587" s="118"/>
      <c r="P587" s="118"/>
      <c r="Q587" s="167"/>
      <c r="R587" s="163"/>
      <c r="S587" s="163"/>
      <c r="T587" s="168"/>
      <c r="U587" s="123" t="str">
        <f t="shared" si="41"/>
        <v>#DIV/0!</v>
      </c>
      <c r="V587" s="168"/>
      <c r="W587" s="169"/>
    </row>
    <row r="588">
      <c r="A588" s="161"/>
      <c r="B588" s="161"/>
      <c r="C588" s="161"/>
      <c r="D588" s="160" t="str">
        <f>IFERROR(__xludf.DUMMYFUNCTION("SUBSTITUTE(REGEXEXTRACT(#REF!, ""[^-]+$""), ""x"", "" x "")"),"#REF!")</f>
        <v>#REF!</v>
      </c>
      <c r="E588" s="161"/>
      <c r="F588" s="161"/>
      <c r="G588" s="161"/>
      <c r="H588" s="161"/>
      <c r="I588" s="118"/>
      <c r="J588" s="118"/>
      <c r="K588" s="117"/>
      <c r="L588" s="119"/>
      <c r="M588" s="119"/>
      <c r="N588" s="119"/>
      <c r="O588" s="118"/>
      <c r="P588" s="118"/>
      <c r="Q588" s="167"/>
      <c r="R588" s="163"/>
      <c r="S588" s="163"/>
      <c r="T588" s="168"/>
      <c r="U588" s="123" t="str">
        <f t="shared" si="41"/>
        <v>#DIV/0!</v>
      </c>
      <c r="V588" s="168"/>
      <c r="W588" s="169"/>
    </row>
    <row r="589">
      <c r="A589" s="161"/>
      <c r="B589" s="161"/>
      <c r="C589" s="161"/>
      <c r="D589" s="160" t="str">
        <f>IFERROR(__xludf.DUMMYFUNCTION("SUBSTITUTE(REGEXEXTRACT(#REF!, ""[^-]+$""), ""x"", "" x "")"),"#REF!")</f>
        <v>#REF!</v>
      </c>
      <c r="E589" s="161"/>
      <c r="F589" s="161"/>
      <c r="G589" s="161"/>
      <c r="H589" s="161"/>
      <c r="I589" s="118"/>
      <c r="J589" s="118"/>
      <c r="K589" s="117"/>
      <c r="L589" s="119"/>
      <c r="M589" s="119"/>
      <c r="N589" s="166"/>
      <c r="O589" s="118"/>
      <c r="P589" s="118"/>
      <c r="Q589" s="167"/>
      <c r="R589" s="163"/>
      <c r="S589" s="163"/>
      <c r="T589" s="168"/>
      <c r="U589" s="123" t="str">
        <f t="shared" si="41"/>
        <v>#DIV/0!</v>
      </c>
      <c r="V589" s="168"/>
      <c r="W589" s="169"/>
    </row>
    <row r="590">
      <c r="A590" s="161"/>
      <c r="B590" s="161"/>
      <c r="C590" s="161"/>
      <c r="D590" s="160" t="str">
        <f>IFERROR(__xludf.DUMMYFUNCTION("SUBSTITUTE(REGEXEXTRACT(#REF!, ""[^-]+$""), ""x"", "" x "")"),"#REF!")</f>
        <v>#REF!</v>
      </c>
      <c r="E590" s="161"/>
      <c r="F590" s="161"/>
      <c r="G590" s="161"/>
      <c r="H590" s="161"/>
      <c r="I590" s="118"/>
      <c r="J590" s="118"/>
      <c r="K590" s="117"/>
      <c r="L590" s="119"/>
      <c r="M590" s="119"/>
      <c r="N590" s="166"/>
      <c r="O590" s="118"/>
      <c r="P590" s="118"/>
      <c r="Q590" s="167"/>
      <c r="R590" s="163"/>
      <c r="S590" s="163"/>
      <c r="T590" s="168"/>
      <c r="U590" s="123" t="str">
        <f t="shared" si="41"/>
        <v>#DIV/0!</v>
      </c>
      <c r="V590" s="168"/>
      <c r="W590" s="169"/>
    </row>
    <row r="591">
      <c r="A591" s="161"/>
      <c r="B591" s="161"/>
      <c r="C591" s="161"/>
      <c r="D591" s="160" t="str">
        <f>IFERROR(__xludf.DUMMYFUNCTION("SUBSTITUTE(REGEXEXTRACT(#REF!, ""[^-]+$""), ""x"", "" x "")"),"#REF!")</f>
        <v>#REF!</v>
      </c>
      <c r="E591" s="161"/>
      <c r="F591" s="161"/>
      <c r="G591" s="161"/>
      <c r="H591" s="161"/>
      <c r="I591" s="118"/>
      <c r="J591" s="118"/>
      <c r="K591" s="117"/>
      <c r="L591" s="119"/>
      <c r="M591" s="119"/>
      <c r="N591" s="166"/>
      <c r="O591" s="118"/>
      <c r="P591" s="118"/>
      <c r="Q591" s="167"/>
      <c r="R591" s="163"/>
      <c r="S591" s="163"/>
      <c r="T591" s="168"/>
      <c r="U591" s="123" t="str">
        <f t="shared" si="41"/>
        <v>#DIV/0!</v>
      </c>
      <c r="V591" s="168"/>
      <c r="W591" s="169"/>
    </row>
    <row r="592">
      <c r="A592" s="161"/>
      <c r="B592" s="161"/>
      <c r="C592" s="161"/>
      <c r="D592" s="160" t="str">
        <f>IFERROR(__xludf.DUMMYFUNCTION("SUBSTITUTE(REGEXEXTRACT(#REF!, ""[^-]+$""), ""x"", "" x "")"),"#REF!")</f>
        <v>#REF!</v>
      </c>
      <c r="E592" s="161"/>
      <c r="F592" s="161"/>
      <c r="G592" s="161"/>
      <c r="H592" s="161"/>
      <c r="I592" s="118"/>
      <c r="J592" s="118"/>
      <c r="K592" s="117"/>
      <c r="L592" s="119"/>
      <c r="M592" s="119"/>
      <c r="N592" s="166"/>
      <c r="O592" s="118"/>
      <c r="P592" s="118"/>
      <c r="Q592" s="167"/>
      <c r="R592" s="163"/>
      <c r="S592" s="163"/>
      <c r="T592" s="168"/>
      <c r="U592" s="123" t="str">
        <f t="shared" si="41"/>
        <v>#DIV/0!</v>
      </c>
      <c r="V592" s="168"/>
      <c r="W592" s="169"/>
    </row>
    <row r="593">
      <c r="A593" s="161"/>
      <c r="B593" s="161"/>
      <c r="C593" s="161"/>
      <c r="D593" s="160" t="str">
        <f>IFERROR(__xludf.DUMMYFUNCTION("SUBSTITUTE(REGEXEXTRACT(#REF!, ""[^-]+$""), ""x"", "" x "")"),"#REF!")</f>
        <v>#REF!</v>
      </c>
      <c r="E593" s="161"/>
      <c r="F593" s="161"/>
      <c r="G593" s="161"/>
      <c r="H593" s="161"/>
      <c r="I593" s="118"/>
      <c r="J593" s="118"/>
      <c r="K593" s="117"/>
      <c r="L593" s="119"/>
      <c r="M593" s="119"/>
      <c r="N593" s="166"/>
      <c r="O593" s="118"/>
      <c r="P593" s="118"/>
      <c r="Q593" s="167"/>
      <c r="R593" s="163"/>
      <c r="S593" s="163"/>
      <c r="T593" s="168"/>
      <c r="U593" s="123" t="str">
        <f t="shared" si="41"/>
        <v>#DIV/0!</v>
      </c>
      <c r="V593" s="168"/>
      <c r="W593" s="169"/>
    </row>
    <row r="594">
      <c r="A594" s="161"/>
      <c r="B594" s="161"/>
      <c r="C594" s="161"/>
      <c r="D594" s="160" t="str">
        <f>IFERROR(__xludf.DUMMYFUNCTION("SUBSTITUTE(REGEXEXTRACT(#REF!, ""[^-]+$""), ""x"", "" x "")"),"#REF!")</f>
        <v>#REF!</v>
      </c>
      <c r="E594" s="161"/>
      <c r="F594" s="161"/>
      <c r="G594" s="161"/>
      <c r="H594" s="161"/>
      <c r="I594" s="118"/>
      <c r="J594" s="118"/>
      <c r="K594" s="117"/>
      <c r="L594" s="119"/>
      <c r="M594" s="119"/>
      <c r="N594" s="166"/>
      <c r="O594" s="118"/>
      <c r="P594" s="118"/>
      <c r="Q594" s="167"/>
      <c r="R594" s="163"/>
      <c r="S594" s="163"/>
      <c r="T594" s="168"/>
      <c r="U594" s="123" t="str">
        <f t="shared" si="41"/>
        <v>#DIV/0!</v>
      </c>
      <c r="V594" s="168"/>
      <c r="W594" s="169"/>
    </row>
    <row r="595">
      <c r="A595" s="161"/>
      <c r="B595" s="161"/>
      <c r="C595" s="161"/>
      <c r="D595" s="160" t="str">
        <f>IFERROR(__xludf.DUMMYFUNCTION("SUBSTITUTE(REGEXEXTRACT(#REF!, ""[^-]+$""), ""x"", "" x "")"),"#REF!")</f>
        <v>#REF!</v>
      </c>
      <c r="E595" s="161"/>
      <c r="F595" s="161"/>
      <c r="G595" s="161"/>
      <c r="H595" s="161"/>
      <c r="I595" s="118"/>
      <c r="J595" s="118"/>
      <c r="K595" s="117"/>
      <c r="L595" s="119"/>
      <c r="M595" s="119"/>
      <c r="N595" s="166"/>
      <c r="O595" s="118"/>
      <c r="P595" s="118"/>
      <c r="Q595" s="167"/>
      <c r="R595" s="163"/>
      <c r="S595" s="163"/>
      <c r="T595" s="168"/>
      <c r="U595" s="123" t="str">
        <f t="shared" si="41"/>
        <v>#DIV/0!</v>
      </c>
      <c r="V595" s="168"/>
      <c r="W595" s="169"/>
    </row>
    <row r="596">
      <c r="A596" s="161"/>
      <c r="B596" s="161"/>
      <c r="C596" s="161"/>
      <c r="D596" s="160" t="str">
        <f>IFERROR(__xludf.DUMMYFUNCTION("SUBSTITUTE(REGEXEXTRACT(#REF!, ""[^-]+$""), ""x"", "" x "")"),"#REF!")</f>
        <v>#REF!</v>
      </c>
      <c r="E596" s="161"/>
      <c r="F596" s="161"/>
      <c r="G596" s="161"/>
      <c r="H596" s="161"/>
      <c r="I596" s="118"/>
      <c r="J596" s="118"/>
      <c r="K596" s="117"/>
      <c r="L596" s="119"/>
      <c r="M596" s="119"/>
      <c r="N596" s="166"/>
      <c r="O596" s="118"/>
      <c r="P596" s="118"/>
      <c r="Q596" s="167"/>
      <c r="R596" s="163"/>
      <c r="S596" s="163"/>
      <c r="T596" s="168"/>
      <c r="U596" s="123" t="str">
        <f t="shared" si="41"/>
        <v>#DIV/0!</v>
      </c>
      <c r="V596" s="168"/>
      <c r="W596" s="169"/>
    </row>
    <row r="597">
      <c r="A597" s="161"/>
      <c r="B597" s="161"/>
      <c r="C597" s="161"/>
      <c r="D597" s="160" t="str">
        <f>IFERROR(__xludf.DUMMYFUNCTION("SUBSTITUTE(REGEXEXTRACT(#REF!, ""[^-]+$""), ""x"", "" x "")"),"#REF!")</f>
        <v>#REF!</v>
      </c>
      <c r="E597" s="161"/>
      <c r="F597" s="161"/>
      <c r="G597" s="161"/>
      <c r="H597" s="161"/>
      <c r="I597" s="118"/>
      <c r="J597" s="118"/>
      <c r="K597" s="117"/>
      <c r="L597" s="119"/>
      <c r="M597" s="119"/>
      <c r="N597" s="119"/>
      <c r="O597" s="118"/>
      <c r="P597" s="118"/>
      <c r="Q597" s="167"/>
      <c r="R597" s="163"/>
      <c r="S597" s="163"/>
      <c r="T597" s="168"/>
      <c r="U597" s="123" t="str">
        <f t="shared" si="41"/>
        <v>#DIV/0!</v>
      </c>
      <c r="V597" s="168"/>
      <c r="W597" s="169"/>
    </row>
    <row r="598">
      <c r="A598" s="161"/>
      <c r="B598" s="161"/>
      <c r="C598" s="161"/>
      <c r="D598" s="160" t="str">
        <f>IFERROR(__xludf.DUMMYFUNCTION("SUBSTITUTE(REGEXEXTRACT(#REF!, ""[^-]+$""), ""x"", "" x "")"),"#REF!")</f>
        <v>#REF!</v>
      </c>
      <c r="E598" s="161"/>
      <c r="F598" s="161"/>
      <c r="G598" s="161"/>
      <c r="H598" s="161"/>
      <c r="I598" s="118"/>
      <c r="J598" s="118"/>
      <c r="K598" s="117"/>
      <c r="L598" s="119"/>
      <c r="M598" s="119"/>
      <c r="N598" s="119"/>
      <c r="O598" s="118"/>
      <c r="P598" s="118"/>
      <c r="Q598" s="167"/>
      <c r="R598" s="163"/>
      <c r="S598" s="163"/>
      <c r="T598" s="168"/>
      <c r="U598" s="123" t="str">
        <f t="shared" si="41"/>
        <v>#DIV/0!</v>
      </c>
      <c r="V598" s="168"/>
      <c r="W598" s="169"/>
    </row>
    <row r="599">
      <c r="A599" s="161"/>
      <c r="B599" s="161"/>
      <c r="C599" s="161"/>
      <c r="D599" s="160" t="str">
        <f>IFERROR(__xludf.DUMMYFUNCTION("SUBSTITUTE(REGEXEXTRACT(#REF!, ""[^-]+$""), ""x"", "" x "")"),"#REF!")</f>
        <v>#REF!</v>
      </c>
      <c r="E599" s="161"/>
      <c r="F599" s="161"/>
      <c r="G599" s="161"/>
      <c r="H599" s="161"/>
      <c r="I599" s="118"/>
      <c r="J599" s="118"/>
      <c r="K599" s="117"/>
      <c r="L599" s="119"/>
      <c r="M599" s="119"/>
      <c r="N599" s="119"/>
      <c r="O599" s="118"/>
      <c r="P599" s="118"/>
      <c r="Q599" s="167"/>
      <c r="R599" s="163"/>
      <c r="S599" s="163"/>
      <c r="T599" s="168"/>
      <c r="U599" s="123" t="str">
        <f t="shared" si="41"/>
        <v>#DIV/0!</v>
      </c>
      <c r="V599" s="168"/>
      <c r="W599" s="169"/>
    </row>
    <row r="600">
      <c r="A600" s="161"/>
      <c r="B600" s="161"/>
      <c r="C600" s="161"/>
      <c r="D600" s="160" t="str">
        <f>IFERROR(__xludf.DUMMYFUNCTION("SUBSTITUTE(REGEXEXTRACT(#REF!, ""[^-]+$""), ""x"", "" x "")"),"#REF!")</f>
        <v>#REF!</v>
      </c>
      <c r="E600" s="161"/>
      <c r="F600" s="161"/>
      <c r="G600" s="161"/>
      <c r="H600" s="161"/>
      <c r="I600" s="118"/>
      <c r="J600" s="118"/>
      <c r="K600" s="117"/>
      <c r="L600" s="119"/>
      <c r="M600" s="119"/>
      <c r="N600" s="119"/>
      <c r="O600" s="118"/>
      <c r="P600" s="118"/>
      <c r="Q600" s="167"/>
      <c r="R600" s="163"/>
      <c r="S600" s="163"/>
      <c r="T600" s="168"/>
      <c r="U600" s="123" t="str">
        <f t="shared" si="41"/>
        <v>#DIV/0!</v>
      </c>
      <c r="V600" s="168"/>
      <c r="W600" s="169"/>
    </row>
    <row r="601">
      <c r="A601" s="161"/>
      <c r="B601" s="161"/>
      <c r="C601" s="161"/>
      <c r="D601" s="160" t="str">
        <f>IFERROR(__xludf.DUMMYFUNCTION("SUBSTITUTE(REGEXEXTRACT(#REF!, ""[^-]+$""), ""x"", "" x "")"),"#REF!")</f>
        <v>#REF!</v>
      </c>
      <c r="E601" s="161"/>
      <c r="F601" s="161"/>
      <c r="G601" s="161"/>
      <c r="H601" s="161"/>
      <c r="I601" s="118"/>
      <c r="J601" s="118"/>
      <c r="K601" s="117"/>
      <c r="L601" s="119"/>
      <c r="M601" s="119"/>
      <c r="N601" s="119"/>
      <c r="O601" s="118"/>
      <c r="P601" s="118"/>
      <c r="Q601" s="167"/>
      <c r="R601" s="163"/>
      <c r="S601" s="163"/>
      <c r="T601" s="168"/>
      <c r="U601" s="123" t="str">
        <f t="shared" si="41"/>
        <v>#DIV/0!</v>
      </c>
      <c r="V601" s="168"/>
      <c r="W601" s="169"/>
    </row>
    <row r="602">
      <c r="A602" s="161"/>
      <c r="B602" s="161"/>
      <c r="C602" s="161"/>
      <c r="D602" s="160" t="str">
        <f>IFERROR(__xludf.DUMMYFUNCTION("SUBSTITUTE(REGEXEXTRACT(#REF!, ""[^-]+$""), ""x"", "" x "")"),"#REF!")</f>
        <v>#REF!</v>
      </c>
      <c r="E602" s="161"/>
      <c r="F602" s="161"/>
      <c r="G602" s="161"/>
      <c r="H602" s="161"/>
      <c r="I602" s="118"/>
      <c r="J602" s="118"/>
      <c r="K602" s="117"/>
      <c r="L602" s="119"/>
      <c r="M602" s="119"/>
      <c r="N602" s="166"/>
      <c r="O602" s="118"/>
      <c r="P602" s="118"/>
      <c r="Q602" s="167"/>
      <c r="R602" s="163"/>
      <c r="S602" s="163"/>
      <c r="T602" s="168"/>
      <c r="U602" s="123" t="str">
        <f t="shared" si="41"/>
        <v>#DIV/0!</v>
      </c>
      <c r="V602" s="168"/>
      <c r="W602" s="169"/>
    </row>
    <row r="603">
      <c r="A603" s="161"/>
      <c r="B603" s="161"/>
      <c r="C603" s="161"/>
      <c r="D603" s="160" t="str">
        <f>IFERROR(__xludf.DUMMYFUNCTION("SUBSTITUTE(REGEXEXTRACT(#REF!, ""[^-]+$""), ""x"", "" x "")"),"#REF!")</f>
        <v>#REF!</v>
      </c>
      <c r="E603" s="161"/>
      <c r="F603" s="161"/>
      <c r="G603" s="161"/>
      <c r="H603" s="161"/>
      <c r="I603" s="118"/>
      <c r="J603" s="118"/>
      <c r="K603" s="117"/>
      <c r="L603" s="119"/>
      <c r="M603" s="119"/>
      <c r="N603" s="166"/>
      <c r="O603" s="118"/>
      <c r="P603" s="118"/>
      <c r="Q603" s="167"/>
      <c r="R603" s="163"/>
      <c r="S603" s="163"/>
      <c r="T603" s="168"/>
      <c r="U603" s="123" t="str">
        <f t="shared" si="41"/>
        <v>#DIV/0!</v>
      </c>
      <c r="V603" s="168"/>
      <c r="W603" s="169"/>
    </row>
    <row r="604">
      <c r="A604" s="161"/>
      <c r="B604" s="161"/>
      <c r="C604" s="161"/>
      <c r="D604" s="160" t="str">
        <f>IFERROR(__xludf.DUMMYFUNCTION("SUBSTITUTE(REGEXEXTRACT(#REF!, ""[^-]+$""), ""x"", "" x "")"),"#REF!")</f>
        <v>#REF!</v>
      </c>
      <c r="E604" s="161"/>
      <c r="F604" s="161"/>
      <c r="G604" s="161"/>
      <c r="H604" s="161"/>
      <c r="I604" s="118"/>
      <c r="J604" s="118"/>
      <c r="K604" s="117"/>
      <c r="L604" s="119"/>
      <c r="M604" s="119"/>
      <c r="N604" s="166"/>
      <c r="O604" s="118"/>
      <c r="P604" s="118"/>
      <c r="Q604" s="167"/>
      <c r="R604" s="163"/>
      <c r="S604" s="163"/>
      <c r="T604" s="168"/>
      <c r="U604" s="123" t="str">
        <f t="shared" si="41"/>
        <v>#DIV/0!</v>
      </c>
      <c r="V604" s="168"/>
      <c r="W604" s="169"/>
    </row>
    <row r="605">
      <c r="A605" s="161"/>
      <c r="B605" s="161"/>
      <c r="C605" s="161"/>
      <c r="D605" s="160" t="str">
        <f>IFERROR(__xludf.DUMMYFUNCTION("SUBSTITUTE(REGEXEXTRACT(#REF!, ""[^-]+$""), ""x"", "" x "")"),"#REF!")</f>
        <v>#REF!</v>
      </c>
      <c r="E605" s="161"/>
      <c r="F605" s="161"/>
      <c r="G605" s="161"/>
      <c r="H605" s="161"/>
      <c r="I605" s="118"/>
      <c r="J605" s="118"/>
      <c r="K605" s="117"/>
      <c r="L605" s="119"/>
      <c r="M605" s="119"/>
      <c r="N605" s="166"/>
      <c r="O605" s="118"/>
      <c r="P605" s="118"/>
      <c r="Q605" s="167"/>
      <c r="R605" s="163"/>
      <c r="S605" s="163"/>
      <c r="T605" s="168"/>
      <c r="U605" s="123" t="str">
        <f t="shared" si="41"/>
        <v>#DIV/0!</v>
      </c>
      <c r="V605" s="168"/>
      <c r="W605" s="169"/>
    </row>
    <row r="606">
      <c r="A606" s="161"/>
      <c r="B606" s="161"/>
      <c r="C606" s="161"/>
      <c r="D606" s="160" t="str">
        <f>IFERROR(__xludf.DUMMYFUNCTION("SUBSTITUTE(REGEXEXTRACT(#REF!, ""[^-]+$""), ""x"", "" x "")"),"#REF!")</f>
        <v>#REF!</v>
      </c>
      <c r="E606" s="161"/>
      <c r="F606" s="161"/>
      <c r="G606" s="161"/>
      <c r="H606" s="161"/>
      <c r="I606" s="117"/>
      <c r="J606" s="117"/>
      <c r="K606" s="117"/>
      <c r="L606" s="166"/>
      <c r="M606" s="166"/>
      <c r="N606" s="119"/>
      <c r="O606" s="117"/>
      <c r="P606" s="117"/>
      <c r="Q606" s="167"/>
      <c r="R606" s="163"/>
      <c r="S606" s="163"/>
      <c r="T606" s="168"/>
      <c r="U606" s="123" t="str">
        <f t="shared" si="41"/>
        <v>#DIV/0!</v>
      </c>
      <c r="V606" s="168"/>
      <c r="W606" s="169"/>
    </row>
    <row r="607">
      <c r="A607" s="161"/>
      <c r="B607" s="161"/>
      <c r="C607" s="161"/>
      <c r="D607" s="160" t="str">
        <f>IFERROR(__xludf.DUMMYFUNCTION("SUBSTITUTE(REGEXEXTRACT(#REF!, ""[^-]+$""), ""x"", "" x "")"),"#REF!")</f>
        <v>#REF!</v>
      </c>
      <c r="E607" s="161"/>
      <c r="F607" s="161"/>
      <c r="G607" s="161"/>
      <c r="H607" s="161"/>
      <c r="I607" s="117"/>
      <c r="J607" s="117"/>
      <c r="K607" s="117"/>
      <c r="L607" s="166"/>
      <c r="M607" s="166"/>
      <c r="N607" s="166"/>
      <c r="O607" s="117"/>
      <c r="P607" s="117"/>
      <c r="Q607" s="162"/>
      <c r="R607" s="163"/>
      <c r="S607" s="163"/>
      <c r="T607" s="168"/>
      <c r="U607" s="123" t="str">
        <f t="shared" si="41"/>
        <v>#DIV/0!</v>
      </c>
      <c r="V607" s="168"/>
      <c r="W607" s="169"/>
    </row>
    <row r="608">
      <c r="A608" s="161"/>
      <c r="B608" s="161"/>
      <c r="C608" s="161"/>
      <c r="D608" s="160" t="str">
        <f>IFERROR(__xludf.DUMMYFUNCTION("SUBSTITUTE(REGEXEXTRACT(#REF!, ""[^-]+$""), ""x"", "" x "")"),"#REF!")</f>
        <v>#REF!</v>
      </c>
      <c r="E608" s="161"/>
      <c r="F608" s="161"/>
      <c r="G608" s="161"/>
      <c r="H608" s="161"/>
      <c r="I608" s="117"/>
      <c r="J608" s="117"/>
      <c r="K608" s="117"/>
      <c r="L608" s="166"/>
      <c r="M608" s="166"/>
      <c r="N608" s="166"/>
      <c r="O608" s="117"/>
      <c r="P608" s="117"/>
      <c r="Q608" s="162"/>
      <c r="R608" s="163"/>
      <c r="S608" s="163"/>
      <c r="T608" s="168"/>
      <c r="U608" s="123" t="str">
        <f t="shared" si="41"/>
        <v>#DIV/0!</v>
      </c>
      <c r="V608" s="168"/>
      <c r="W608" s="169"/>
    </row>
    <row r="609">
      <c r="A609" s="161"/>
      <c r="B609" s="161"/>
      <c r="C609" s="161"/>
      <c r="D609" s="160" t="str">
        <f>IFERROR(__xludf.DUMMYFUNCTION("SUBSTITUTE(REGEXEXTRACT(#REF!, ""[^-]+$""), ""x"", "" x "")"),"#REF!")</f>
        <v>#REF!</v>
      </c>
      <c r="E609" s="161"/>
      <c r="F609" s="161"/>
      <c r="G609" s="161"/>
      <c r="H609" s="161"/>
      <c r="I609" s="117"/>
      <c r="J609" s="117"/>
      <c r="K609" s="117"/>
      <c r="L609" s="166"/>
      <c r="M609" s="166"/>
      <c r="N609" s="166"/>
      <c r="O609" s="117"/>
      <c r="P609" s="117"/>
      <c r="Q609" s="162"/>
      <c r="R609" s="163"/>
      <c r="S609" s="163"/>
      <c r="T609" s="168"/>
      <c r="U609" s="123" t="str">
        <f t="shared" si="41"/>
        <v>#DIV/0!</v>
      </c>
      <c r="V609" s="168"/>
      <c r="W609" s="169"/>
    </row>
    <row r="610">
      <c r="A610" s="161"/>
      <c r="B610" s="161"/>
      <c r="C610" s="161"/>
      <c r="D610" s="160" t="str">
        <f>IFERROR(__xludf.DUMMYFUNCTION("SUBSTITUTE(REGEXEXTRACT(#REF!, ""[^-]+$""), ""x"", "" x "")"),"#REF!")</f>
        <v>#REF!</v>
      </c>
      <c r="E610" s="161"/>
      <c r="F610" s="161"/>
      <c r="G610" s="161"/>
      <c r="H610" s="161"/>
      <c r="I610" s="117"/>
      <c r="J610" s="117"/>
      <c r="K610" s="117"/>
      <c r="L610" s="166"/>
      <c r="M610" s="166"/>
      <c r="N610" s="166"/>
      <c r="O610" s="117"/>
      <c r="P610" s="117"/>
      <c r="Q610" s="167"/>
      <c r="R610" s="163"/>
      <c r="S610" s="163"/>
      <c r="T610" s="168"/>
      <c r="U610" s="123" t="str">
        <f t="shared" si="41"/>
        <v>#DIV/0!</v>
      </c>
      <c r="V610" s="168"/>
      <c r="W610" s="169"/>
    </row>
    <row r="611">
      <c r="A611" s="161"/>
      <c r="B611" s="161"/>
      <c r="C611" s="161"/>
      <c r="D611" s="160" t="str">
        <f>IFERROR(__xludf.DUMMYFUNCTION("SUBSTITUTE(REGEXEXTRACT(#REF!, ""[^-]+$""), ""x"", "" x "")"),"#REF!")</f>
        <v>#REF!</v>
      </c>
      <c r="E611" s="161"/>
      <c r="F611" s="161"/>
      <c r="G611" s="161"/>
      <c r="H611" s="161"/>
      <c r="I611" s="118"/>
      <c r="J611" s="117"/>
      <c r="K611" s="118"/>
      <c r="L611" s="119"/>
      <c r="M611" s="119"/>
      <c r="N611" s="119"/>
      <c r="O611" s="118"/>
      <c r="P611" s="118"/>
      <c r="Q611" s="162"/>
      <c r="R611" s="163"/>
      <c r="S611" s="163"/>
      <c r="T611" s="168"/>
      <c r="U611" s="123" t="str">
        <f t="shared" si="41"/>
        <v>#DIV/0!</v>
      </c>
      <c r="V611" s="168"/>
      <c r="W611" s="169"/>
    </row>
    <row r="612">
      <c r="A612" s="161"/>
      <c r="B612" s="161"/>
      <c r="C612" s="161"/>
      <c r="D612" s="160" t="str">
        <f>IFERROR(__xludf.DUMMYFUNCTION("SUBSTITUTE(REGEXEXTRACT(#REF!, ""[^-]+$""), ""x"", "" x "")"),"#REF!")</f>
        <v>#REF!</v>
      </c>
      <c r="E612" s="161"/>
      <c r="F612" s="161"/>
      <c r="G612" s="161"/>
      <c r="H612" s="161"/>
      <c r="I612" s="118"/>
      <c r="J612" s="117"/>
      <c r="K612" s="118"/>
      <c r="L612" s="119"/>
      <c r="M612" s="119"/>
      <c r="N612" s="119"/>
      <c r="O612" s="118"/>
      <c r="P612" s="118"/>
      <c r="Q612" s="162"/>
      <c r="R612" s="163"/>
      <c r="S612" s="163"/>
      <c r="T612" s="168"/>
      <c r="U612" s="123" t="str">
        <f t="shared" si="41"/>
        <v>#DIV/0!</v>
      </c>
      <c r="V612" s="168"/>
      <c r="W612" s="169"/>
    </row>
    <row r="613">
      <c r="A613" s="161"/>
      <c r="B613" s="161"/>
      <c r="C613" s="161"/>
      <c r="D613" s="160" t="str">
        <f>IFERROR(__xludf.DUMMYFUNCTION("SUBSTITUTE(REGEXEXTRACT(#REF!, ""[^-]+$""), ""x"", "" x "")"),"#REF!")</f>
        <v>#REF!</v>
      </c>
      <c r="E613" s="161"/>
      <c r="F613" s="161"/>
      <c r="G613" s="161"/>
      <c r="H613" s="161"/>
      <c r="I613" s="118"/>
      <c r="J613" s="118"/>
      <c r="K613" s="117"/>
      <c r="L613" s="119"/>
      <c r="M613" s="119"/>
      <c r="N613" s="119"/>
      <c r="O613" s="117"/>
      <c r="P613" s="118"/>
      <c r="Q613" s="162"/>
      <c r="R613" s="163"/>
      <c r="S613" s="163"/>
      <c r="T613" s="168"/>
      <c r="U613" s="123" t="str">
        <f t="shared" si="41"/>
        <v>#DIV/0!</v>
      </c>
      <c r="V613" s="168"/>
      <c r="W613" s="169"/>
    </row>
    <row r="614">
      <c r="A614" s="161"/>
      <c r="B614" s="161"/>
      <c r="C614" s="161"/>
      <c r="D614" s="160" t="str">
        <f>IFERROR(__xludf.DUMMYFUNCTION("SUBSTITUTE(REGEXEXTRACT(#REF!, ""[^-]+$""), ""x"", "" x "")"),"#REF!")</f>
        <v>#REF!</v>
      </c>
      <c r="E614" s="161"/>
      <c r="F614" s="161"/>
      <c r="G614" s="161"/>
      <c r="H614" s="161"/>
      <c r="I614" s="117"/>
      <c r="J614" s="117"/>
      <c r="K614" s="117"/>
      <c r="L614" s="166"/>
      <c r="M614" s="166"/>
      <c r="N614" s="166"/>
      <c r="O614" s="117"/>
      <c r="P614" s="118"/>
      <c r="Q614" s="162"/>
      <c r="R614" s="163"/>
      <c r="S614" s="163"/>
      <c r="T614" s="168"/>
      <c r="U614" s="123" t="str">
        <f t="shared" si="41"/>
        <v>#DIV/0!</v>
      </c>
      <c r="V614" s="168"/>
      <c r="W614" s="169"/>
    </row>
    <row r="615">
      <c r="A615" s="161"/>
      <c r="B615" s="161"/>
      <c r="C615" s="161"/>
      <c r="D615" s="160" t="str">
        <f>IFERROR(__xludf.DUMMYFUNCTION("SUBSTITUTE(REGEXEXTRACT(#REF!, ""[^-]+$""), ""x"", "" x "")"),"#REF!")</f>
        <v>#REF!</v>
      </c>
      <c r="E615" s="161"/>
      <c r="F615" s="161"/>
      <c r="G615" s="161"/>
      <c r="H615" s="161"/>
      <c r="I615" s="117"/>
      <c r="J615" s="117"/>
      <c r="K615" s="117"/>
      <c r="L615" s="166"/>
      <c r="M615" s="166"/>
      <c r="N615" s="166"/>
      <c r="O615" s="117"/>
      <c r="P615" s="118"/>
      <c r="Q615" s="162"/>
      <c r="R615" s="163"/>
      <c r="S615" s="163"/>
      <c r="T615" s="168"/>
      <c r="U615" s="123" t="str">
        <f t="shared" si="41"/>
        <v>#DIV/0!</v>
      </c>
      <c r="V615" s="168"/>
      <c r="W615" s="169"/>
    </row>
    <row r="616">
      <c r="A616" s="161"/>
      <c r="B616" s="161"/>
      <c r="C616" s="161"/>
      <c r="D616" s="160" t="str">
        <f>IFERROR(__xludf.DUMMYFUNCTION("SUBSTITUTE(REGEXEXTRACT(#REF!, ""[^-]+$""), ""x"", "" x "")"),"#REF!")</f>
        <v>#REF!</v>
      </c>
      <c r="E616" s="161"/>
      <c r="F616" s="161"/>
      <c r="G616" s="161"/>
      <c r="H616" s="161"/>
      <c r="I616" s="117"/>
      <c r="J616" s="117"/>
      <c r="K616" s="117"/>
      <c r="L616" s="166"/>
      <c r="M616" s="166"/>
      <c r="N616" s="166"/>
      <c r="O616" s="117"/>
      <c r="P616" s="118"/>
      <c r="Q616" s="162"/>
      <c r="R616" s="163"/>
      <c r="S616" s="163"/>
      <c r="T616" s="168"/>
      <c r="U616" s="123" t="str">
        <f t="shared" si="41"/>
        <v>#DIV/0!</v>
      </c>
      <c r="V616" s="168"/>
      <c r="W616" s="169"/>
    </row>
    <row r="617">
      <c r="A617" s="161"/>
      <c r="B617" s="161"/>
      <c r="C617" s="161"/>
      <c r="D617" s="160" t="str">
        <f>IFERROR(__xludf.DUMMYFUNCTION("SUBSTITUTE(REGEXEXTRACT(#REF!, ""[^-]+$""), ""x"", "" x "")"),"#REF!")</f>
        <v>#REF!</v>
      </c>
      <c r="E617" s="161"/>
      <c r="F617" s="161"/>
      <c r="G617" s="161"/>
      <c r="H617" s="161"/>
      <c r="I617" s="117"/>
      <c r="J617" s="117"/>
      <c r="K617" s="117"/>
      <c r="L617" s="166"/>
      <c r="M617" s="166"/>
      <c r="N617" s="166"/>
      <c r="O617" s="117"/>
      <c r="P617" s="118"/>
      <c r="Q617" s="162"/>
      <c r="R617" s="163"/>
      <c r="S617" s="163"/>
      <c r="T617" s="168"/>
      <c r="U617" s="123" t="str">
        <f t="shared" si="41"/>
        <v>#DIV/0!</v>
      </c>
      <c r="V617" s="168"/>
      <c r="W617" s="169"/>
    </row>
    <row r="618">
      <c r="A618" s="161"/>
      <c r="B618" s="161"/>
      <c r="C618" s="161"/>
      <c r="D618" s="160" t="str">
        <f>IFERROR(__xludf.DUMMYFUNCTION("SUBSTITUTE(REGEXEXTRACT(#REF!, ""[^-]+$""), ""x"", "" x "")"),"#REF!")</f>
        <v>#REF!</v>
      </c>
      <c r="E618" s="161"/>
      <c r="F618" s="161"/>
      <c r="G618" s="161"/>
      <c r="H618" s="161"/>
      <c r="I618" s="117"/>
      <c r="J618" s="117"/>
      <c r="K618" s="117"/>
      <c r="L618" s="166"/>
      <c r="M618" s="166"/>
      <c r="N618" s="166"/>
      <c r="O618" s="117"/>
      <c r="P618" s="117"/>
      <c r="Q618" s="167"/>
      <c r="R618" s="163"/>
      <c r="S618" s="163"/>
      <c r="T618" s="168"/>
      <c r="U618" s="123" t="str">
        <f t="shared" si="41"/>
        <v>#DIV/0!</v>
      </c>
      <c r="V618" s="168"/>
      <c r="W618" s="169"/>
    </row>
    <row r="619">
      <c r="A619" s="161"/>
      <c r="B619" s="161"/>
      <c r="C619" s="161"/>
      <c r="D619" s="160" t="str">
        <f>IFERROR(__xludf.DUMMYFUNCTION("SUBSTITUTE(REGEXEXTRACT(#REF!, ""[^-]+$""), ""x"", "" x "")"),"#REF!")</f>
        <v>#REF!</v>
      </c>
      <c r="E619" s="161"/>
      <c r="F619" s="161"/>
      <c r="G619" s="161"/>
      <c r="H619" s="161"/>
      <c r="I619" s="117"/>
      <c r="J619" s="117"/>
      <c r="K619" s="117"/>
      <c r="L619" s="166"/>
      <c r="M619" s="166"/>
      <c r="N619" s="166"/>
      <c r="O619" s="117"/>
      <c r="P619" s="117"/>
      <c r="Q619" s="167"/>
      <c r="R619" s="163"/>
      <c r="S619" s="163"/>
      <c r="T619" s="168"/>
      <c r="U619" s="123" t="str">
        <f t="shared" si="41"/>
        <v>#DIV/0!</v>
      </c>
      <c r="V619" s="168"/>
      <c r="W619" s="169"/>
    </row>
    <row r="620">
      <c r="A620" s="161"/>
      <c r="B620" s="161"/>
      <c r="C620" s="161"/>
      <c r="D620" s="160" t="str">
        <f>IFERROR(__xludf.DUMMYFUNCTION("SUBSTITUTE(REGEXEXTRACT(#REF!, ""[^-]+$""), ""x"", "" x "")"),"#REF!")</f>
        <v>#REF!</v>
      </c>
      <c r="E620" s="161"/>
      <c r="F620" s="161"/>
      <c r="G620" s="161"/>
      <c r="H620" s="161"/>
      <c r="I620" s="117"/>
      <c r="J620" s="117"/>
      <c r="K620" s="117"/>
      <c r="L620" s="166"/>
      <c r="M620" s="166"/>
      <c r="N620" s="166"/>
      <c r="O620" s="117"/>
      <c r="P620" s="117"/>
      <c r="Q620" s="167"/>
      <c r="R620" s="163"/>
      <c r="S620" s="163"/>
      <c r="T620" s="168"/>
      <c r="U620" s="123" t="str">
        <f t="shared" si="41"/>
        <v>#DIV/0!</v>
      </c>
      <c r="V620" s="168"/>
      <c r="W620" s="169"/>
    </row>
    <row r="621">
      <c r="A621" s="161"/>
      <c r="B621" s="161"/>
      <c r="C621" s="161"/>
      <c r="D621" s="160" t="str">
        <f>IFERROR(__xludf.DUMMYFUNCTION("SUBSTITUTE(REGEXEXTRACT(#REF!, ""[^-]+$""), ""x"", "" x "")"),"#REF!")</f>
        <v>#REF!</v>
      </c>
      <c r="E621" s="161"/>
      <c r="F621" s="161"/>
      <c r="G621" s="161"/>
      <c r="H621" s="161"/>
      <c r="I621" s="118"/>
      <c r="J621" s="117"/>
      <c r="K621" s="118"/>
      <c r="L621" s="119"/>
      <c r="M621" s="166"/>
      <c r="N621" s="119"/>
      <c r="O621" s="118"/>
      <c r="P621" s="117"/>
      <c r="Q621" s="162"/>
      <c r="R621" s="163"/>
      <c r="S621" s="163"/>
      <c r="T621" s="168"/>
      <c r="U621" s="123" t="str">
        <f t="shared" si="41"/>
        <v>#DIV/0!</v>
      </c>
      <c r="V621" s="168"/>
      <c r="W621" s="169"/>
    </row>
    <row r="622">
      <c r="A622" s="161"/>
      <c r="B622" s="161"/>
      <c r="C622" s="161"/>
      <c r="D622" s="160" t="str">
        <f>IFERROR(__xludf.DUMMYFUNCTION("SUBSTITUTE(REGEXEXTRACT(#REF!, ""[^-]+$""), ""x"", "" x "")"),"#REF!")</f>
        <v>#REF!</v>
      </c>
      <c r="E622" s="161"/>
      <c r="F622" s="161"/>
      <c r="G622" s="161"/>
      <c r="H622" s="161"/>
      <c r="I622" s="117"/>
      <c r="J622" s="117"/>
      <c r="K622" s="117"/>
      <c r="L622" s="166"/>
      <c r="M622" s="166"/>
      <c r="N622" s="166"/>
      <c r="O622" s="117"/>
      <c r="P622" s="117"/>
      <c r="Q622" s="167"/>
      <c r="R622" s="163"/>
      <c r="S622" s="163"/>
      <c r="T622" s="168"/>
      <c r="U622" s="123" t="str">
        <f t="shared" si="41"/>
        <v>#DIV/0!</v>
      </c>
      <c r="V622" s="168"/>
      <c r="W622" s="169"/>
    </row>
    <row r="623">
      <c r="A623" s="161"/>
      <c r="B623" s="161"/>
      <c r="C623" s="161"/>
      <c r="D623" s="160" t="str">
        <f>IFERROR(__xludf.DUMMYFUNCTION("SUBSTITUTE(REGEXEXTRACT(#REF!, ""[^-]+$""), ""x"", "" x "")"),"#REF!")</f>
        <v>#REF!</v>
      </c>
      <c r="E623" s="161"/>
      <c r="F623" s="161"/>
      <c r="G623" s="161"/>
      <c r="H623" s="161"/>
      <c r="I623" s="118"/>
      <c r="J623" s="117"/>
      <c r="K623" s="118"/>
      <c r="L623" s="119"/>
      <c r="M623" s="166"/>
      <c r="N623" s="119"/>
      <c r="O623" s="118"/>
      <c r="P623" s="117"/>
      <c r="Q623" s="162"/>
      <c r="R623" s="163"/>
      <c r="S623" s="163"/>
      <c r="T623" s="168"/>
      <c r="U623" s="123" t="str">
        <f t="shared" si="41"/>
        <v>#DIV/0!</v>
      </c>
      <c r="V623" s="168"/>
      <c r="W623" s="169"/>
    </row>
    <row r="624">
      <c r="A624" s="161"/>
      <c r="B624" s="161"/>
      <c r="C624" s="161"/>
      <c r="D624" s="160" t="str">
        <f>IFERROR(__xludf.DUMMYFUNCTION("SUBSTITUTE(REGEXEXTRACT(#REF!, ""[^-]+$""), ""x"", "" x "")"),"#REF!")</f>
        <v>#REF!</v>
      </c>
      <c r="E624" s="161"/>
      <c r="F624" s="161"/>
      <c r="G624" s="161"/>
      <c r="H624" s="161"/>
      <c r="I624" s="118"/>
      <c r="J624" s="117"/>
      <c r="K624" s="118"/>
      <c r="L624" s="119"/>
      <c r="M624" s="166"/>
      <c r="N624" s="119"/>
      <c r="O624" s="118"/>
      <c r="P624" s="117"/>
      <c r="Q624" s="162"/>
      <c r="R624" s="163"/>
      <c r="S624" s="163"/>
      <c r="T624" s="168"/>
      <c r="U624" s="123" t="str">
        <f t="shared" si="41"/>
        <v>#DIV/0!</v>
      </c>
      <c r="V624" s="168"/>
      <c r="W624" s="169"/>
    </row>
    <row r="625">
      <c r="A625" s="161"/>
      <c r="B625" s="161"/>
      <c r="C625" s="161"/>
      <c r="D625" s="160" t="str">
        <f>IFERROR(__xludf.DUMMYFUNCTION("SUBSTITUTE(REGEXEXTRACT(#REF!, ""[^-]+$""), ""x"", "" x "")"),"#REF!")</f>
        <v>#REF!</v>
      </c>
      <c r="E625" s="161"/>
      <c r="F625" s="161"/>
      <c r="G625" s="161"/>
      <c r="H625" s="161"/>
      <c r="I625" s="117"/>
      <c r="J625" s="117"/>
      <c r="K625" s="117"/>
      <c r="L625" s="166"/>
      <c r="M625" s="166"/>
      <c r="N625" s="166"/>
      <c r="O625" s="117"/>
      <c r="P625" s="117"/>
      <c r="Q625" s="167"/>
      <c r="R625" s="163"/>
      <c r="S625" s="163"/>
      <c r="T625" s="168"/>
      <c r="U625" s="123" t="str">
        <f t="shared" si="41"/>
        <v>#DIV/0!</v>
      </c>
      <c r="V625" s="168"/>
      <c r="W625" s="169"/>
    </row>
    <row r="626">
      <c r="A626" s="161"/>
      <c r="B626" s="161"/>
      <c r="C626" s="161"/>
      <c r="D626" s="160" t="str">
        <f>IFERROR(__xludf.DUMMYFUNCTION("SUBSTITUTE(REGEXEXTRACT(#REF!, ""[^-]+$""), ""x"", "" x "")"),"#REF!")</f>
        <v>#REF!</v>
      </c>
      <c r="E626" s="161"/>
      <c r="F626" s="161"/>
      <c r="G626" s="161"/>
      <c r="H626" s="161"/>
      <c r="I626" s="118"/>
      <c r="J626" s="117"/>
      <c r="K626" s="118"/>
      <c r="L626" s="119"/>
      <c r="M626" s="119"/>
      <c r="N626" s="119"/>
      <c r="O626" s="118"/>
      <c r="P626" s="118"/>
      <c r="Q626" s="162"/>
      <c r="R626" s="163"/>
      <c r="S626" s="163"/>
      <c r="T626" s="168"/>
      <c r="U626" s="123" t="str">
        <f t="shared" si="41"/>
        <v>#DIV/0!</v>
      </c>
      <c r="V626" s="168"/>
      <c r="W626" s="169"/>
    </row>
    <row r="627">
      <c r="A627" s="161"/>
      <c r="B627" s="161"/>
      <c r="C627" s="161"/>
      <c r="D627" s="160" t="str">
        <f>IFERROR(__xludf.DUMMYFUNCTION("SUBSTITUTE(REGEXEXTRACT(#REF!, ""[^-]+$""), ""x"", "" x "")"),"#REF!")</f>
        <v>#REF!</v>
      </c>
      <c r="E627" s="161"/>
      <c r="F627" s="161"/>
      <c r="G627" s="161"/>
      <c r="H627" s="161"/>
      <c r="I627" s="118"/>
      <c r="J627" s="117"/>
      <c r="K627" s="118"/>
      <c r="L627" s="119"/>
      <c r="M627" s="119"/>
      <c r="N627" s="119"/>
      <c r="O627" s="118"/>
      <c r="P627" s="117"/>
      <c r="Q627" s="162"/>
      <c r="R627" s="163"/>
      <c r="S627" s="163"/>
      <c r="T627" s="168"/>
      <c r="U627" s="123" t="str">
        <f t="shared" si="41"/>
        <v>#DIV/0!</v>
      </c>
      <c r="V627" s="168"/>
      <c r="W627" s="169"/>
    </row>
    <row r="628">
      <c r="A628" s="161"/>
      <c r="B628" s="161"/>
      <c r="C628" s="161"/>
      <c r="D628" s="160" t="str">
        <f>IFERROR(__xludf.DUMMYFUNCTION("SUBSTITUTE(REGEXEXTRACT(#REF!, ""[^-]+$""), ""x"", "" x "")"),"#REF!")</f>
        <v>#REF!</v>
      </c>
      <c r="E628" s="161"/>
      <c r="F628" s="161"/>
      <c r="G628" s="161"/>
      <c r="H628" s="161"/>
      <c r="I628" s="118"/>
      <c r="J628" s="117"/>
      <c r="K628" s="118"/>
      <c r="L628" s="119"/>
      <c r="M628" s="119"/>
      <c r="N628" s="119"/>
      <c r="O628" s="118"/>
      <c r="P628" s="117"/>
      <c r="Q628" s="162"/>
      <c r="R628" s="163"/>
      <c r="S628" s="163"/>
      <c r="T628" s="168"/>
      <c r="U628" s="123" t="str">
        <f t="shared" si="41"/>
        <v>#DIV/0!</v>
      </c>
      <c r="V628" s="168"/>
      <c r="W628" s="169"/>
    </row>
    <row r="629">
      <c r="A629" s="161"/>
      <c r="B629" s="161"/>
      <c r="C629" s="161"/>
      <c r="D629" s="160" t="str">
        <f>IFERROR(__xludf.DUMMYFUNCTION("SUBSTITUTE(REGEXEXTRACT(#REF!, ""[^-]+$""), ""x"", "" x "")"),"#REF!")</f>
        <v>#REF!</v>
      </c>
      <c r="E629" s="161"/>
      <c r="F629" s="161"/>
      <c r="G629" s="161"/>
      <c r="H629" s="161"/>
      <c r="I629" s="118"/>
      <c r="J629" s="117"/>
      <c r="K629" s="118"/>
      <c r="L629" s="119"/>
      <c r="M629" s="166"/>
      <c r="N629" s="119"/>
      <c r="O629" s="118"/>
      <c r="P629" s="117"/>
      <c r="Q629" s="162"/>
      <c r="R629" s="163"/>
      <c r="S629" s="163"/>
      <c r="T629" s="168"/>
      <c r="U629" s="123" t="str">
        <f t="shared" si="41"/>
        <v>#DIV/0!</v>
      </c>
      <c r="V629" s="168"/>
      <c r="W629" s="169"/>
    </row>
    <row r="630">
      <c r="A630" s="161"/>
      <c r="B630" s="161"/>
      <c r="C630" s="161"/>
      <c r="D630" s="160" t="str">
        <f>IFERROR(__xludf.DUMMYFUNCTION("SUBSTITUTE(REGEXEXTRACT(#REF!, ""[^-]+$""), ""x"", "" x "")"),"#REF!")</f>
        <v>#REF!</v>
      </c>
      <c r="E630" s="161"/>
      <c r="F630" s="161"/>
      <c r="G630" s="161"/>
      <c r="H630" s="161"/>
      <c r="I630" s="118"/>
      <c r="J630" s="117"/>
      <c r="K630" s="118"/>
      <c r="L630" s="119"/>
      <c r="M630" s="166"/>
      <c r="N630" s="119"/>
      <c r="O630" s="118"/>
      <c r="P630" s="117"/>
      <c r="Q630" s="162"/>
      <c r="R630" s="163"/>
      <c r="S630" s="163"/>
      <c r="T630" s="168"/>
      <c r="U630" s="123" t="str">
        <f t="shared" si="41"/>
        <v>#DIV/0!</v>
      </c>
      <c r="V630" s="168"/>
      <c r="W630" s="169"/>
    </row>
    <row r="631">
      <c r="A631" s="161"/>
      <c r="B631" s="161"/>
      <c r="C631" s="161"/>
      <c r="D631" s="160" t="str">
        <f>IFERROR(__xludf.DUMMYFUNCTION("SUBSTITUTE(REGEXEXTRACT(#REF!, ""[^-]+$""), ""x"", "" x "")"),"#REF!")</f>
        <v>#REF!</v>
      </c>
      <c r="E631" s="161"/>
      <c r="F631" s="161"/>
      <c r="G631" s="161"/>
      <c r="H631" s="161"/>
      <c r="I631" s="118"/>
      <c r="J631" s="117"/>
      <c r="K631" s="118"/>
      <c r="L631" s="119"/>
      <c r="M631" s="166"/>
      <c r="N631" s="119"/>
      <c r="O631" s="118"/>
      <c r="P631" s="117"/>
      <c r="Q631" s="162"/>
      <c r="R631" s="163"/>
      <c r="S631" s="163"/>
      <c r="T631" s="168"/>
      <c r="U631" s="123" t="str">
        <f t="shared" si="41"/>
        <v>#DIV/0!</v>
      </c>
      <c r="V631" s="168"/>
      <c r="W631" s="169"/>
    </row>
    <row r="632">
      <c r="A632" s="161"/>
      <c r="B632" s="161"/>
      <c r="C632" s="161"/>
      <c r="D632" s="160" t="str">
        <f>IFERROR(__xludf.DUMMYFUNCTION("SUBSTITUTE(REGEXEXTRACT(#REF!, ""[^-]+$""), ""x"", "" x "")"),"#REF!")</f>
        <v>#REF!</v>
      </c>
      <c r="E632" s="161"/>
      <c r="F632" s="161"/>
      <c r="G632" s="161"/>
      <c r="H632" s="161"/>
      <c r="I632" s="118"/>
      <c r="J632" s="118"/>
      <c r="K632" s="117"/>
      <c r="L632" s="119"/>
      <c r="M632" s="119"/>
      <c r="N632" s="119"/>
      <c r="O632" s="118"/>
      <c r="P632" s="118"/>
      <c r="Q632" s="167"/>
      <c r="R632" s="163"/>
      <c r="S632" s="163"/>
      <c r="T632" s="168"/>
      <c r="U632" s="123" t="str">
        <f t="shared" si="41"/>
        <v>#DIV/0!</v>
      </c>
      <c r="V632" s="168"/>
      <c r="W632" s="169"/>
    </row>
    <row r="633">
      <c r="A633" s="161"/>
      <c r="B633" s="161"/>
      <c r="C633" s="161"/>
      <c r="D633" s="160" t="str">
        <f>IFERROR(__xludf.DUMMYFUNCTION("SUBSTITUTE(REGEXEXTRACT(#REF!, ""[^-]+$""), ""x"", "" x "")"),"#REF!")</f>
        <v>#REF!</v>
      </c>
      <c r="E633" s="161"/>
      <c r="F633" s="161"/>
      <c r="G633" s="161"/>
      <c r="H633" s="161"/>
      <c r="I633" s="118"/>
      <c r="J633" s="118"/>
      <c r="K633" s="117"/>
      <c r="L633" s="119"/>
      <c r="M633" s="119"/>
      <c r="N633" s="119"/>
      <c r="O633" s="118"/>
      <c r="P633" s="118"/>
      <c r="Q633" s="167"/>
      <c r="R633" s="163"/>
      <c r="S633" s="163"/>
      <c r="T633" s="168"/>
      <c r="U633" s="123" t="str">
        <f t="shared" si="41"/>
        <v>#DIV/0!</v>
      </c>
      <c r="V633" s="168"/>
      <c r="W633" s="169"/>
    </row>
    <row r="634">
      <c r="A634" s="161"/>
      <c r="B634" s="161"/>
      <c r="C634" s="161"/>
      <c r="D634" s="160" t="str">
        <f>IFERROR(__xludf.DUMMYFUNCTION("SUBSTITUTE(REGEXEXTRACT(#REF!, ""[^-]+$""), ""x"", "" x "")"),"#REF!")</f>
        <v>#REF!</v>
      </c>
      <c r="E634" s="161"/>
      <c r="F634" s="161"/>
      <c r="G634" s="161"/>
      <c r="H634" s="161"/>
      <c r="I634" s="118"/>
      <c r="J634" s="118"/>
      <c r="K634" s="117"/>
      <c r="L634" s="119"/>
      <c r="M634" s="119"/>
      <c r="N634" s="166"/>
      <c r="O634" s="118"/>
      <c r="P634" s="118"/>
      <c r="Q634" s="167"/>
      <c r="R634" s="163"/>
      <c r="S634" s="163"/>
      <c r="T634" s="168"/>
      <c r="U634" s="123" t="str">
        <f t="shared" si="41"/>
        <v>#DIV/0!</v>
      </c>
      <c r="V634" s="168"/>
      <c r="W634" s="169"/>
    </row>
    <row r="635">
      <c r="A635" s="161"/>
      <c r="B635" s="161"/>
      <c r="C635" s="161"/>
      <c r="D635" s="160" t="str">
        <f>IFERROR(__xludf.DUMMYFUNCTION("SUBSTITUTE(REGEXEXTRACT(#REF!, ""[^-]+$""), ""x"", "" x "")"),"#REF!")</f>
        <v>#REF!</v>
      </c>
      <c r="E635" s="161"/>
      <c r="F635" s="161"/>
      <c r="G635" s="161"/>
      <c r="H635" s="161"/>
      <c r="I635" s="118"/>
      <c r="J635" s="118"/>
      <c r="K635" s="117"/>
      <c r="L635" s="119"/>
      <c r="M635" s="119"/>
      <c r="N635" s="119"/>
      <c r="O635" s="118"/>
      <c r="P635" s="118"/>
      <c r="Q635" s="167"/>
      <c r="R635" s="163"/>
      <c r="S635" s="163"/>
      <c r="T635" s="168"/>
      <c r="U635" s="123" t="str">
        <f t="shared" si="41"/>
        <v>#DIV/0!</v>
      </c>
      <c r="V635" s="168"/>
      <c r="W635" s="169"/>
    </row>
    <row r="636">
      <c r="A636" s="161"/>
      <c r="B636" s="161"/>
      <c r="C636" s="161"/>
      <c r="D636" s="160" t="str">
        <f>IFERROR(__xludf.DUMMYFUNCTION("SUBSTITUTE(REGEXEXTRACT(#REF!, ""[^-]+$""), ""x"", "" x "")"),"#REF!")</f>
        <v>#REF!</v>
      </c>
      <c r="E636" s="161"/>
      <c r="F636" s="161"/>
      <c r="G636" s="161"/>
      <c r="H636" s="161"/>
      <c r="I636" s="118"/>
      <c r="J636" s="118"/>
      <c r="K636" s="117"/>
      <c r="L636" s="119"/>
      <c r="M636" s="119"/>
      <c r="N636" s="119"/>
      <c r="O636" s="118"/>
      <c r="P636" s="118"/>
      <c r="Q636" s="167"/>
      <c r="R636" s="163"/>
      <c r="S636" s="163"/>
      <c r="T636" s="168"/>
      <c r="U636" s="123" t="str">
        <f t="shared" si="41"/>
        <v>#DIV/0!</v>
      </c>
      <c r="V636" s="168"/>
      <c r="W636" s="169"/>
    </row>
    <row r="637">
      <c r="A637" s="161"/>
      <c r="B637" s="161"/>
      <c r="C637" s="161"/>
      <c r="D637" s="160" t="str">
        <f>IFERROR(__xludf.DUMMYFUNCTION("SUBSTITUTE(REGEXEXTRACT(#REF!, ""[^-]+$""), ""x"", "" x "")"),"#REF!")</f>
        <v>#REF!</v>
      </c>
      <c r="E637" s="161"/>
      <c r="F637" s="161"/>
      <c r="G637" s="161"/>
      <c r="H637" s="161"/>
      <c r="I637" s="118"/>
      <c r="J637" s="118"/>
      <c r="K637" s="117"/>
      <c r="L637" s="119"/>
      <c r="M637" s="119"/>
      <c r="N637" s="119"/>
      <c r="O637" s="118"/>
      <c r="P637" s="118"/>
      <c r="Q637" s="167"/>
      <c r="R637" s="163"/>
      <c r="S637" s="163"/>
      <c r="T637" s="168"/>
      <c r="U637" s="123" t="str">
        <f t="shared" si="41"/>
        <v>#DIV/0!</v>
      </c>
      <c r="V637" s="168"/>
      <c r="W637" s="169"/>
    </row>
    <row r="638">
      <c r="A638" s="161"/>
      <c r="B638" s="161"/>
      <c r="C638" s="161"/>
      <c r="D638" s="160" t="str">
        <f>IFERROR(__xludf.DUMMYFUNCTION("SUBSTITUTE(REGEXEXTRACT(#REF!, ""[^-]+$""), ""x"", "" x "")"),"#REF!")</f>
        <v>#REF!</v>
      </c>
      <c r="E638" s="161"/>
      <c r="F638" s="161"/>
      <c r="G638" s="161"/>
      <c r="H638" s="161"/>
      <c r="I638" s="118"/>
      <c r="J638" s="118"/>
      <c r="K638" s="117"/>
      <c r="L638" s="119"/>
      <c r="M638" s="119"/>
      <c r="N638" s="119"/>
      <c r="O638" s="118"/>
      <c r="P638" s="118"/>
      <c r="Q638" s="167"/>
      <c r="R638" s="163"/>
      <c r="S638" s="163"/>
      <c r="T638" s="168"/>
      <c r="U638" s="123" t="str">
        <f t="shared" si="41"/>
        <v>#DIV/0!</v>
      </c>
      <c r="V638" s="168"/>
      <c r="W638" s="169"/>
    </row>
    <row r="639">
      <c r="A639" s="161"/>
      <c r="B639" s="161"/>
      <c r="C639" s="161"/>
      <c r="D639" s="160" t="str">
        <f>IFERROR(__xludf.DUMMYFUNCTION("SUBSTITUTE(REGEXEXTRACT(#REF!, ""[^-]+$""), ""x"", "" x "")"),"#REF!")</f>
        <v>#REF!</v>
      </c>
      <c r="E639" s="161"/>
      <c r="F639" s="161"/>
      <c r="G639" s="161"/>
      <c r="H639" s="161"/>
      <c r="I639" s="118"/>
      <c r="J639" s="118"/>
      <c r="K639" s="117"/>
      <c r="L639" s="119"/>
      <c r="M639" s="119"/>
      <c r="N639" s="119"/>
      <c r="O639" s="118"/>
      <c r="P639" s="118"/>
      <c r="Q639" s="167"/>
      <c r="R639" s="163"/>
      <c r="S639" s="163"/>
      <c r="T639" s="168"/>
      <c r="U639" s="123" t="str">
        <f t="shared" si="41"/>
        <v>#DIV/0!</v>
      </c>
      <c r="V639" s="168"/>
      <c r="W639" s="169"/>
    </row>
    <row r="640">
      <c r="A640" s="161"/>
      <c r="B640" s="161"/>
      <c r="C640" s="161"/>
      <c r="D640" s="160" t="str">
        <f>IFERROR(__xludf.DUMMYFUNCTION("SUBSTITUTE(REGEXEXTRACT(#REF!, ""[^-]+$""), ""x"", "" x "")"),"#REF!")</f>
        <v>#REF!</v>
      </c>
      <c r="E640" s="161"/>
      <c r="F640" s="161"/>
      <c r="G640" s="161"/>
      <c r="H640" s="161"/>
      <c r="I640" s="118"/>
      <c r="J640" s="118"/>
      <c r="K640" s="117"/>
      <c r="L640" s="119"/>
      <c r="M640" s="119"/>
      <c r="N640" s="119"/>
      <c r="O640" s="118"/>
      <c r="P640" s="118"/>
      <c r="Q640" s="167"/>
      <c r="R640" s="163"/>
      <c r="S640" s="163"/>
      <c r="T640" s="168"/>
      <c r="U640" s="123" t="str">
        <f t="shared" si="41"/>
        <v>#DIV/0!</v>
      </c>
      <c r="V640" s="168"/>
      <c r="W640" s="169"/>
    </row>
    <row r="641">
      <c r="A641" s="161"/>
      <c r="B641" s="161"/>
      <c r="C641" s="161"/>
      <c r="D641" s="160" t="str">
        <f>IFERROR(__xludf.DUMMYFUNCTION("SUBSTITUTE(REGEXEXTRACT(#REF!, ""[^-]+$""), ""x"", "" x "")"),"#REF!")</f>
        <v>#REF!</v>
      </c>
      <c r="E641" s="161"/>
      <c r="F641" s="161"/>
      <c r="G641" s="161"/>
      <c r="H641" s="161"/>
      <c r="I641" s="118"/>
      <c r="J641" s="118"/>
      <c r="K641" s="117"/>
      <c r="L641" s="119"/>
      <c r="M641" s="119"/>
      <c r="N641" s="119"/>
      <c r="O641" s="118"/>
      <c r="P641" s="118"/>
      <c r="Q641" s="167"/>
      <c r="R641" s="163"/>
      <c r="S641" s="163"/>
      <c r="T641" s="168"/>
      <c r="U641" s="123" t="str">
        <f t="shared" si="41"/>
        <v>#DIV/0!</v>
      </c>
      <c r="V641" s="168"/>
      <c r="W641" s="169"/>
    </row>
    <row r="642">
      <c r="A642" s="161"/>
      <c r="B642" s="161"/>
      <c r="C642" s="161"/>
      <c r="D642" s="160" t="str">
        <f>IFERROR(__xludf.DUMMYFUNCTION("SUBSTITUTE(REGEXEXTRACT(#REF!, ""[^-]+$""), ""x"", "" x "")"),"#REF!")</f>
        <v>#REF!</v>
      </c>
      <c r="E642" s="161"/>
      <c r="F642" s="161"/>
      <c r="G642" s="161"/>
      <c r="H642" s="161"/>
      <c r="I642" s="118"/>
      <c r="J642" s="118"/>
      <c r="K642" s="117"/>
      <c r="L642" s="119"/>
      <c r="M642" s="119"/>
      <c r="N642" s="119"/>
      <c r="O642" s="118"/>
      <c r="P642" s="118"/>
      <c r="Q642" s="167"/>
      <c r="R642" s="163"/>
      <c r="S642" s="163"/>
      <c r="T642" s="168"/>
      <c r="U642" s="123" t="str">
        <f t="shared" si="41"/>
        <v>#DIV/0!</v>
      </c>
      <c r="V642" s="168"/>
      <c r="W642" s="169"/>
    </row>
    <row r="643">
      <c r="A643" s="161"/>
      <c r="B643" s="161"/>
      <c r="C643" s="161"/>
      <c r="D643" s="160" t="str">
        <f>IFERROR(__xludf.DUMMYFUNCTION("SUBSTITUTE(REGEXEXTRACT(#REF!, ""[^-]+$""), ""x"", "" x "")"),"#REF!")</f>
        <v>#REF!</v>
      </c>
      <c r="E643" s="161"/>
      <c r="F643" s="161"/>
      <c r="G643" s="161"/>
      <c r="H643" s="161"/>
      <c r="I643" s="118"/>
      <c r="J643" s="118"/>
      <c r="K643" s="117"/>
      <c r="L643" s="119"/>
      <c r="M643" s="119"/>
      <c r="N643" s="119"/>
      <c r="O643" s="118"/>
      <c r="P643" s="118"/>
      <c r="Q643" s="167"/>
      <c r="R643" s="163"/>
      <c r="S643" s="163"/>
      <c r="T643" s="168"/>
      <c r="U643" s="123" t="str">
        <f t="shared" si="41"/>
        <v>#DIV/0!</v>
      </c>
      <c r="V643" s="168"/>
      <c r="W643" s="169"/>
    </row>
    <row r="644">
      <c r="A644" s="161"/>
      <c r="B644" s="161"/>
      <c r="C644" s="161"/>
      <c r="D644" s="160" t="str">
        <f>IFERROR(__xludf.DUMMYFUNCTION("SUBSTITUTE(REGEXEXTRACT(#REF!, ""[^-]+$""), ""x"", "" x "")"),"#REF!")</f>
        <v>#REF!</v>
      </c>
      <c r="E644" s="161"/>
      <c r="F644" s="161"/>
      <c r="G644" s="161"/>
      <c r="H644" s="161"/>
      <c r="I644" s="118"/>
      <c r="J644" s="118"/>
      <c r="K644" s="117"/>
      <c r="L644" s="119"/>
      <c r="M644" s="119"/>
      <c r="N644" s="119"/>
      <c r="O644" s="118"/>
      <c r="P644" s="118"/>
      <c r="Q644" s="167"/>
      <c r="R644" s="163"/>
      <c r="S644" s="163"/>
      <c r="T644" s="168"/>
      <c r="U644" s="123" t="str">
        <f t="shared" si="41"/>
        <v>#DIV/0!</v>
      </c>
      <c r="V644" s="168"/>
      <c r="W644" s="169"/>
    </row>
    <row r="645">
      <c r="A645" s="161"/>
      <c r="B645" s="161"/>
      <c r="C645" s="161"/>
      <c r="D645" s="160" t="str">
        <f>IFERROR(__xludf.DUMMYFUNCTION("SUBSTITUTE(REGEXEXTRACT(#REF!, ""[^-]+$""), ""x"", "" x "")"),"#REF!")</f>
        <v>#REF!</v>
      </c>
      <c r="E645" s="161"/>
      <c r="F645" s="161"/>
      <c r="G645" s="161"/>
      <c r="H645" s="161"/>
      <c r="I645" s="118"/>
      <c r="J645" s="118"/>
      <c r="K645" s="117"/>
      <c r="L645" s="119"/>
      <c r="M645" s="119"/>
      <c r="N645" s="119"/>
      <c r="O645" s="118"/>
      <c r="P645" s="118"/>
      <c r="Q645" s="167"/>
      <c r="R645" s="163"/>
      <c r="S645" s="163"/>
      <c r="T645" s="168"/>
      <c r="U645" s="123" t="str">
        <f t="shared" si="41"/>
        <v>#DIV/0!</v>
      </c>
      <c r="V645" s="168"/>
      <c r="W645" s="169"/>
    </row>
    <row r="646">
      <c r="A646" s="161"/>
      <c r="B646" s="161"/>
      <c r="C646" s="161"/>
      <c r="D646" s="160" t="str">
        <f>IFERROR(__xludf.DUMMYFUNCTION("SUBSTITUTE(REGEXEXTRACT(#REF!, ""[^-]+$""), ""x"", "" x "")"),"#REF!")</f>
        <v>#REF!</v>
      </c>
      <c r="E646" s="161"/>
      <c r="F646" s="161"/>
      <c r="G646" s="161"/>
      <c r="H646" s="161"/>
      <c r="I646" s="118"/>
      <c r="J646" s="118"/>
      <c r="K646" s="117"/>
      <c r="L646" s="119"/>
      <c r="M646" s="119"/>
      <c r="N646" s="119"/>
      <c r="O646" s="118"/>
      <c r="P646" s="118"/>
      <c r="Q646" s="167"/>
      <c r="R646" s="163"/>
      <c r="S646" s="163"/>
      <c r="T646" s="168"/>
      <c r="U646" s="123" t="str">
        <f t="shared" si="41"/>
        <v>#DIV/0!</v>
      </c>
      <c r="V646" s="168"/>
      <c r="W646" s="169"/>
    </row>
    <row r="647">
      <c r="A647" s="161"/>
      <c r="B647" s="161"/>
      <c r="C647" s="161"/>
      <c r="D647" s="160" t="str">
        <f>IFERROR(__xludf.DUMMYFUNCTION("SUBSTITUTE(REGEXEXTRACT(#REF!, ""[^-]+$""), ""x"", "" x "")"),"#REF!")</f>
        <v>#REF!</v>
      </c>
      <c r="E647" s="161"/>
      <c r="F647" s="161"/>
      <c r="G647" s="161"/>
      <c r="H647" s="161"/>
      <c r="I647" s="118"/>
      <c r="J647" s="118"/>
      <c r="K647" s="117"/>
      <c r="L647" s="119"/>
      <c r="M647" s="119"/>
      <c r="N647" s="119"/>
      <c r="O647" s="118"/>
      <c r="P647" s="118"/>
      <c r="Q647" s="167"/>
      <c r="R647" s="163"/>
      <c r="S647" s="163"/>
      <c r="T647" s="168"/>
      <c r="U647" s="123" t="str">
        <f t="shared" si="41"/>
        <v>#DIV/0!</v>
      </c>
      <c r="V647" s="168"/>
      <c r="W647" s="169"/>
    </row>
    <row r="648">
      <c r="A648" s="161"/>
      <c r="B648" s="161"/>
      <c r="C648" s="161"/>
      <c r="D648" s="160" t="str">
        <f>IFERROR(__xludf.DUMMYFUNCTION("SUBSTITUTE(REGEXEXTRACT(#REF!, ""[^-]+$""), ""x"", "" x "")"),"#REF!")</f>
        <v>#REF!</v>
      </c>
      <c r="E648" s="161"/>
      <c r="F648" s="161"/>
      <c r="G648" s="161"/>
      <c r="H648" s="161"/>
      <c r="I648" s="118"/>
      <c r="J648" s="118"/>
      <c r="K648" s="117"/>
      <c r="L648" s="119"/>
      <c r="M648" s="119"/>
      <c r="N648" s="119"/>
      <c r="O648" s="118"/>
      <c r="P648" s="118"/>
      <c r="Q648" s="167"/>
      <c r="R648" s="163"/>
      <c r="S648" s="163"/>
      <c r="T648" s="168"/>
      <c r="U648" s="123" t="str">
        <f t="shared" si="41"/>
        <v>#DIV/0!</v>
      </c>
      <c r="V648" s="168"/>
      <c r="W648" s="169"/>
    </row>
    <row r="649">
      <c r="A649" s="161"/>
      <c r="B649" s="161"/>
      <c r="C649" s="161"/>
      <c r="D649" s="160" t="str">
        <f>IFERROR(__xludf.DUMMYFUNCTION("SUBSTITUTE(REGEXEXTRACT(#REF!, ""[^-]+$""), ""x"", "" x "")"),"#REF!")</f>
        <v>#REF!</v>
      </c>
      <c r="E649" s="161"/>
      <c r="F649" s="161"/>
      <c r="G649" s="161"/>
      <c r="H649" s="161"/>
      <c r="I649" s="118"/>
      <c r="J649" s="118"/>
      <c r="K649" s="117"/>
      <c r="L649" s="119"/>
      <c r="M649" s="119"/>
      <c r="N649" s="119"/>
      <c r="O649" s="118"/>
      <c r="P649" s="118"/>
      <c r="Q649" s="167"/>
      <c r="R649" s="163"/>
      <c r="S649" s="163"/>
      <c r="T649" s="168"/>
      <c r="U649" s="123" t="str">
        <f t="shared" si="41"/>
        <v>#DIV/0!</v>
      </c>
      <c r="V649" s="168"/>
      <c r="W649" s="169"/>
    </row>
    <row r="650">
      <c r="A650" s="161"/>
      <c r="B650" s="161"/>
      <c r="C650" s="161"/>
      <c r="D650" s="160" t="str">
        <f>IFERROR(__xludf.DUMMYFUNCTION("SUBSTITUTE(REGEXEXTRACT(#REF!, ""[^-]+$""), ""x"", "" x "")"),"#REF!")</f>
        <v>#REF!</v>
      </c>
      <c r="E650" s="161"/>
      <c r="F650" s="161"/>
      <c r="G650" s="161"/>
      <c r="H650" s="161"/>
      <c r="I650" s="118"/>
      <c r="J650" s="118"/>
      <c r="K650" s="117"/>
      <c r="L650" s="119"/>
      <c r="M650" s="119"/>
      <c r="N650" s="166"/>
      <c r="O650" s="118"/>
      <c r="P650" s="118"/>
      <c r="Q650" s="167"/>
      <c r="R650" s="163"/>
      <c r="S650" s="163"/>
      <c r="T650" s="168"/>
      <c r="U650" s="123" t="str">
        <f t="shared" si="41"/>
        <v>#DIV/0!</v>
      </c>
      <c r="V650" s="168"/>
      <c r="W650" s="169"/>
    </row>
    <row r="651">
      <c r="A651" s="161"/>
      <c r="B651" s="161"/>
      <c r="C651" s="161"/>
      <c r="D651" s="160" t="str">
        <f>IFERROR(__xludf.DUMMYFUNCTION("SUBSTITUTE(REGEXEXTRACT(#REF!, ""[^-]+$""), ""x"", "" x "")"),"#REF!")</f>
        <v>#REF!</v>
      </c>
      <c r="E651" s="161"/>
      <c r="F651" s="161"/>
      <c r="G651" s="161"/>
      <c r="H651" s="161"/>
      <c r="I651" s="118"/>
      <c r="J651" s="118"/>
      <c r="K651" s="117"/>
      <c r="L651" s="119"/>
      <c r="M651" s="119"/>
      <c r="N651" s="166"/>
      <c r="O651" s="118"/>
      <c r="P651" s="118"/>
      <c r="Q651" s="167"/>
      <c r="R651" s="163"/>
      <c r="S651" s="163"/>
      <c r="T651" s="168"/>
      <c r="U651" s="123" t="str">
        <f t="shared" si="41"/>
        <v>#DIV/0!</v>
      </c>
      <c r="V651" s="168"/>
      <c r="W651" s="169"/>
    </row>
    <row r="652">
      <c r="A652" s="161"/>
      <c r="B652" s="161"/>
      <c r="C652" s="161"/>
      <c r="D652" s="160" t="str">
        <f>IFERROR(__xludf.DUMMYFUNCTION("SUBSTITUTE(REGEXEXTRACT(#REF!, ""[^-]+$""), ""x"", "" x "")"),"#REF!")</f>
        <v>#REF!</v>
      </c>
      <c r="E652" s="161"/>
      <c r="F652" s="161"/>
      <c r="G652" s="161"/>
      <c r="H652" s="161"/>
      <c r="I652" s="118"/>
      <c r="J652" s="118"/>
      <c r="K652" s="117"/>
      <c r="L652" s="119"/>
      <c r="M652" s="119"/>
      <c r="N652" s="166"/>
      <c r="O652" s="118"/>
      <c r="P652" s="118"/>
      <c r="Q652" s="167"/>
      <c r="R652" s="163"/>
      <c r="S652" s="163"/>
      <c r="T652" s="168"/>
      <c r="U652" s="123" t="str">
        <f t="shared" si="41"/>
        <v>#DIV/0!</v>
      </c>
      <c r="V652" s="168"/>
      <c r="W652" s="169"/>
    </row>
    <row r="653">
      <c r="A653" s="161"/>
      <c r="B653" s="161"/>
      <c r="C653" s="161"/>
      <c r="D653" s="160" t="str">
        <f>IFERROR(__xludf.DUMMYFUNCTION("SUBSTITUTE(REGEXEXTRACT(#REF!, ""[^-]+$""), ""x"", "" x "")"),"#REF!")</f>
        <v>#REF!</v>
      </c>
      <c r="E653" s="161"/>
      <c r="F653" s="161"/>
      <c r="G653" s="161"/>
      <c r="H653" s="161"/>
      <c r="I653" s="118"/>
      <c r="J653" s="118"/>
      <c r="K653" s="117"/>
      <c r="L653" s="119"/>
      <c r="M653" s="119"/>
      <c r="N653" s="166"/>
      <c r="O653" s="118"/>
      <c r="P653" s="118"/>
      <c r="Q653" s="167"/>
      <c r="R653" s="163"/>
      <c r="S653" s="163"/>
      <c r="T653" s="168"/>
      <c r="U653" s="123" t="str">
        <f t="shared" si="41"/>
        <v>#DIV/0!</v>
      </c>
      <c r="V653" s="168"/>
      <c r="W653" s="169"/>
    </row>
    <row r="654">
      <c r="A654" s="161"/>
      <c r="B654" s="161"/>
      <c r="C654" s="161"/>
      <c r="D654" s="160" t="str">
        <f>IFERROR(__xludf.DUMMYFUNCTION("SUBSTITUTE(REGEXEXTRACT(#REF!, ""[^-]+$""), ""x"", "" x "")"),"#REF!")</f>
        <v>#REF!</v>
      </c>
      <c r="E654" s="161"/>
      <c r="F654" s="161"/>
      <c r="G654" s="161"/>
      <c r="H654" s="161"/>
      <c r="I654" s="118"/>
      <c r="J654" s="118"/>
      <c r="K654" s="117"/>
      <c r="L654" s="119"/>
      <c r="M654" s="119"/>
      <c r="N654" s="166"/>
      <c r="O654" s="118"/>
      <c r="P654" s="118"/>
      <c r="Q654" s="167"/>
      <c r="R654" s="163"/>
      <c r="S654" s="163"/>
      <c r="T654" s="168"/>
      <c r="U654" s="123" t="str">
        <f t="shared" si="41"/>
        <v>#DIV/0!</v>
      </c>
      <c r="V654" s="168"/>
      <c r="W654" s="169"/>
    </row>
    <row r="655">
      <c r="A655" s="161"/>
      <c r="B655" s="161"/>
      <c r="C655" s="161"/>
      <c r="D655" s="160" t="str">
        <f>IFERROR(__xludf.DUMMYFUNCTION("SUBSTITUTE(REGEXEXTRACT(#REF!, ""[^-]+$""), ""x"", "" x "")"),"#REF!")</f>
        <v>#REF!</v>
      </c>
      <c r="E655" s="161"/>
      <c r="F655" s="161"/>
      <c r="G655" s="161"/>
      <c r="H655" s="161"/>
      <c r="I655" s="118"/>
      <c r="J655" s="118"/>
      <c r="K655" s="117"/>
      <c r="L655" s="119"/>
      <c r="M655" s="119"/>
      <c r="N655" s="166"/>
      <c r="O655" s="118"/>
      <c r="P655" s="118"/>
      <c r="Q655" s="167"/>
      <c r="R655" s="163"/>
      <c r="S655" s="163"/>
      <c r="T655" s="168"/>
      <c r="U655" s="123" t="str">
        <f t="shared" si="41"/>
        <v>#DIV/0!</v>
      </c>
      <c r="V655" s="168"/>
      <c r="W655" s="169"/>
    </row>
    <row r="656">
      <c r="A656" s="161"/>
      <c r="B656" s="161"/>
      <c r="C656" s="161"/>
      <c r="D656" s="160" t="str">
        <f>IFERROR(__xludf.DUMMYFUNCTION("SUBSTITUTE(REGEXEXTRACT(#REF!, ""[^-]+$""), ""x"", "" x "")"),"#REF!")</f>
        <v>#REF!</v>
      </c>
      <c r="E656" s="161"/>
      <c r="F656" s="161"/>
      <c r="G656" s="161"/>
      <c r="H656" s="161"/>
      <c r="I656" s="118"/>
      <c r="J656" s="118"/>
      <c r="K656" s="117"/>
      <c r="L656" s="119"/>
      <c r="M656" s="119"/>
      <c r="N656" s="166"/>
      <c r="O656" s="118"/>
      <c r="P656" s="118"/>
      <c r="Q656" s="167"/>
      <c r="R656" s="163"/>
      <c r="S656" s="163"/>
      <c r="T656" s="168"/>
      <c r="U656" s="123" t="str">
        <f t="shared" si="41"/>
        <v>#DIV/0!</v>
      </c>
      <c r="V656" s="168"/>
      <c r="W656" s="169"/>
    </row>
    <row r="657">
      <c r="A657" s="161"/>
      <c r="B657" s="161"/>
      <c r="C657" s="161"/>
      <c r="D657" s="160" t="str">
        <f>IFERROR(__xludf.DUMMYFUNCTION("SUBSTITUTE(REGEXEXTRACT(#REF!, ""[^-]+$""), ""x"", "" x "")"),"#REF!")</f>
        <v>#REF!</v>
      </c>
      <c r="E657" s="161"/>
      <c r="F657" s="161"/>
      <c r="G657" s="161"/>
      <c r="H657" s="161"/>
      <c r="I657" s="118"/>
      <c r="J657" s="118"/>
      <c r="K657" s="117"/>
      <c r="L657" s="119"/>
      <c r="M657" s="119"/>
      <c r="N657" s="166"/>
      <c r="O657" s="118"/>
      <c r="P657" s="118"/>
      <c r="Q657" s="167"/>
      <c r="R657" s="163"/>
      <c r="S657" s="163"/>
      <c r="T657" s="168"/>
      <c r="U657" s="123" t="str">
        <f t="shared" si="41"/>
        <v>#DIV/0!</v>
      </c>
      <c r="V657" s="168"/>
      <c r="W657" s="169"/>
    </row>
    <row r="658">
      <c r="A658" s="161"/>
      <c r="B658" s="161"/>
      <c r="C658" s="161"/>
      <c r="D658" s="160" t="str">
        <f>IFERROR(__xludf.DUMMYFUNCTION("SUBSTITUTE(REGEXEXTRACT(#REF!, ""[^-]+$""), ""x"", "" x "")"),"#REF!")</f>
        <v>#REF!</v>
      </c>
      <c r="E658" s="161"/>
      <c r="F658" s="161"/>
      <c r="G658" s="161"/>
      <c r="H658" s="161"/>
      <c r="I658" s="118"/>
      <c r="J658" s="118"/>
      <c r="K658" s="117"/>
      <c r="L658" s="119"/>
      <c r="M658" s="119"/>
      <c r="N658" s="119"/>
      <c r="O658" s="118"/>
      <c r="P658" s="118"/>
      <c r="Q658" s="167"/>
      <c r="R658" s="163"/>
      <c r="S658" s="163"/>
      <c r="T658" s="168"/>
      <c r="U658" s="123" t="str">
        <f t="shared" si="41"/>
        <v>#DIV/0!</v>
      </c>
      <c r="V658" s="168"/>
      <c r="W658" s="169"/>
    </row>
    <row r="659">
      <c r="A659" s="161"/>
      <c r="B659" s="161"/>
      <c r="C659" s="161"/>
      <c r="D659" s="160" t="str">
        <f>IFERROR(__xludf.DUMMYFUNCTION("SUBSTITUTE(REGEXEXTRACT(#REF!, ""[^-]+$""), ""x"", "" x "")"),"#REF!")</f>
        <v>#REF!</v>
      </c>
      <c r="E659" s="161"/>
      <c r="F659" s="161"/>
      <c r="G659" s="161"/>
      <c r="H659" s="161"/>
      <c r="I659" s="118"/>
      <c r="J659" s="118"/>
      <c r="K659" s="117"/>
      <c r="L659" s="119"/>
      <c r="M659" s="119"/>
      <c r="N659" s="119"/>
      <c r="O659" s="118"/>
      <c r="P659" s="118"/>
      <c r="Q659" s="167"/>
      <c r="R659" s="163"/>
      <c r="S659" s="163"/>
      <c r="T659" s="168"/>
      <c r="U659" s="123" t="str">
        <f t="shared" si="41"/>
        <v>#DIV/0!</v>
      </c>
      <c r="V659" s="168"/>
      <c r="W659" s="169"/>
    </row>
    <row r="660">
      <c r="A660" s="161"/>
      <c r="B660" s="161"/>
      <c r="C660" s="161"/>
      <c r="D660" s="160" t="str">
        <f>IFERROR(__xludf.DUMMYFUNCTION("SUBSTITUTE(REGEXEXTRACT(#REF!, ""[^-]+$""), ""x"", "" x "")"),"#REF!")</f>
        <v>#REF!</v>
      </c>
      <c r="E660" s="161"/>
      <c r="F660" s="161"/>
      <c r="G660" s="161"/>
      <c r="H660" s="161"/>
      <c r="I660" s="118"/>
      <c r="J660" s="118"/>
      <c r="K660" s="117"/>
      <c r="L660" s="119"/>
      <c r="M660" s="119"/>
      <c r="N660" s="119"/>
      <c r="O660" s="118"/>
      <c r="P660" s="118"/>
      <c r="Q660" s="167"/>
      <c r="R660" s="163"/>
      <c r="S660" s="163"/>
      <c r="T660" s="168"/>
      <c r="U660" s="123" t="str">
        <f t="shared" si="41"/>
        <v>#DIV/0!</v>
      </c>
      <c r="V660" s="168"/>
      <c r="W660" s="169"/>
    </row>
    <row r="661">
      <c r="A661" s="161"/>
      <c r="B661" s="161"/>
      <c r="C661" s="161"/>
      <c r="D661" s="160" t="str">
        <f>IFERROR(__xludf.DUMMYFUNCTION("SUBSTITUTE(REGEXEXTRACT(#REF!, ""[^-]+$""), ""x"", "" x "")"),"#REF!")</f>
        <v>#REF!</v>
      </c>
      <c r="E661" s="161"/>
      <c r="F661" s="161"/>
      <c r="G661" s="161"/>
      <c r="H661" s="161"/>
      <c r="I661" s="118"/>
      <c r="J661" s="118"/>
      <c r="K661" s="117"/>
      <c r="L661" s="119"/>
      <c r="M661" s="119"/>
      <c r="N661" s="119"/>
      <c r="O661" s="118"/>
      <c r="P661" s="118"/>
      <c r="Q661" s="167"/>
      <c r="R661" s="163"/>
      <c r="S661" s="163"/>
      <c r="T661" s="168"/>
      <c r="U661" s="123" t="str">
        <f t="shared" si="41"/>
        <v>#DIV/0!</v>
      </c>
      <c r="V661" s="168"/>
      <c r="W661" s="169"/>
    </row>
    <row r="662">
      <c r="A662" s="161"/>
      <c r="B662" s="161"/>
      <c r="C662" s="161"/>
      <c r="D662" s="160" t="str">
        <f>IFERROR(__xludf.DUMMYFUNCTION("SUBSTITUTE(REGEXEXTRACT(#REF!, ""[^-]+$""), ""x"", "" x "")"),"#REF!")</f>
        <v>#REF!</v>
      </c>
      <c r="E662" s="161"/>
      <c r="F662" s="161"/>
      <c r="G662" s="161"/>
      <c r="H662" s="161"/>
      <c r="I662" s="118"/>
      <c r="J662" s="118"/>
      <c r="K662" s="117"/>
      <c r="L662" s="119"/>
      <c r="M662" s="119"/>
      <c r="N662" s="119"/>
      <c r="O662" s="118"/>
      <c r="P662" s="118"/>
      <c r="Q662" s="167"/>
      <c r="R662" s="163"/>
      <c r="S662" s="163"/>
      <c r="T662" s="168"/>
      <c r="U662" s="123" t="str">
        <f t="shared" si="41"/>
        <v>#DIV/0!</v>
      </c>
      <c r="V662" s="168"/>
      <c r="W662" s="169"/>
    </row>
    <row r="663">
      <c r="A663" s="161"/>
      <c r="B663" s="161"/>
      <c r="C663" s="161"/>
      <c r="D663" s="160" t="str">
        <f>IFERROR(__xludf.DUMMYFUNCTION("SUBSTITUTE(REGEXEXTRACT(#REF!, ""[^-]+$""), ""x"", "" x "")"),"#REF!")</f>
        <v>#REF!</v>
      </c>
      <c r="E663" s="161"/>
      <c r="F663" s="161"/>
      <c r="G663" s="161"/>
      <c r="H663" s="161"/>
      <c r="I663" s="118"/>
      <c r="J663" s="118"/>
      <c r="K663" s="117"/>
      <c r="L663" s="119"/>
      <c r="M663" s="119"/>
      <c r="N663" s="166"/>
      <c r="O663" s="118"/>
      <c r="P663" s="118"/>
      <c r="Q663" s="167"/>
      <c r="R663" s="163"/>
      <c r="S663" s="163"/>
      <c r="T663" s="168"/>
      <c r="U663" s="123" t="str">
        <f t="shared" si="41"/>
        <v>#DIV/0!</v>
      </c>
      <c r="V663" s="168"/>
      <c r="W663" s="169"/>
    </row>
    <row r="664">
      <c r="A664" s="161"/>
      <c r="B664" s="161"/>
      <c r="C664" s="161"/>
      <c r="D664" s="160" t="str">
        <f>IFERROR(__xludf.DUMMYFUNCTION("SUBSTITUTE(REGEXEXTRACT(#REF!, ""[^-]+$""), ""x"", "" x "")"),"#REF!")</f>
        <v>#REF!</v>
      </c>
      <c r="E664" s="161"/>
      <c r="F664" s="161"/>
      <c r="G664" s="161"/>
      <c r="H664" s="161"/>
      <c r="I664" s="118"/>
      <c r="J664" s="118"/>
      <c r="K664" s="117"/>
      <c r="L664" s="119"/>
      <c r="M664" s="119"/>
      <c r="N664" s="166"/>
      <c r="O664" s="118"/>
      <c r="P664" s="118"/>
      <c r="Q664" s="167"/>
      <c r="R664" s="163"/>
      <c r="S664" s="163"/>
      <c r="T664" s="168"/>
      <c r="U664" s="123" t="str">
        <f t="shared" si="41"/>
        <v>#DIV/0!</v>
      </c>
      <c r="V664" s="168"/>
      <c r="W664" s="169"/>
    </row>
    <row r="665">
      <c r="A665" s="161"/>
      <c r="B665" s="161"/>
      <c r="C665" s="161"/>
      <c r="D665" s="160" t="str">
        <f>IFERROR(__xludf.DUMMYFUNCTION("SUBSTITUTE(REGEXEXTRACT(#REF!, ""[^-]+$""), ""x"", "" x "")"),"#REF!")</f>
        <v>#REF!</v>
      </c>
      <c r="E665" s="161"/>
      <c r="F665" s="161"/>
      <c r="G665" s="161"/>
      <c r="H665" s="161"/>
      <c r="I665" s="118"/>
      <c r="J665" s="118"/>
      <c r="K665" s="117"/>
      <c r="L665" s="119"/>
      <c r="M665" s="119"/>
      <c r="N665" s="166"/>
      <c r="O665" s="118"/>
      <c r="P665" s="118"/>
      <c r="Q665" s="167"/>
      <c r="R665" s="163"/>
      <c r="S665" s="163"/>
      <c r="T665" s="168"/>
      <c r="U665" s="123" t="str">
        <f t="shared" si="41"/>
        <v>#DIV/0!</v>
      </c>
      <c r="V665" s="168"/>
      <c r="W665" s="169"/>
    </row>
    <row r="666">
      <c r="A666" s="161"/>
      <c r="B666" s="161"/>
      <c r="C666" s="161"/>
      <c r="D666" s="160" t="str">
        <f>IFERROR(__xludf.DUMMYFUNCTION("SUBSTITUTE(REGEXEXTRACT(#REF!, ""[^-]+$""), ""x"", "" x "")"),"#REF!")</f>
        <v>#REF!</v>
      </c>
      <c r="E666" s="161"/>
      <c r="F666" s="161"/>
      <c r="G666" s="161"/>
      <c r="H666" s="161"/>
      <c r="I666" s="118"/>
      <c r="J666" s="118"/>
      <c r="K666" s="117"/>
      <c r="L666" s="119"/>
      <c r="M666" s="119"/>
      <c r="N666" s="166"/>
      <c r="O666" s="118"/>
      <c r="P666" s="118"/>
      <c r="Q666" s="167"/>
      <c r="R666" s="163"/>
      <c r="S666" s="163"/>
      <c r="T666" s="168"/>
      <c r="U666" s="123" t="str">
        <f t="shared" si="41"/>
        <v>#DIV/0!</v>
      </c>
      <c r="V666" s="168"/>
      <c r="W666" s="169"/>
    </row>
    <row r="667">
      <c r="A667" s="161"/>
      <c r="B667" s="161"/>
      <c r="C667" s="161"/>
      <c r="D667" s="160" t="str">
        <f>IFERROR(__xludf.DUMMYFUNCTION("SUBSTITUTE(REGEXEXTRACT(#REF!, ""[^-]+$""), ""x"", "" x "")"),"#REF!")</f>
        <v>#REF!</v>
      </c>
      <c r="E667" s="161"/>
      <c r="F667" s="161"/>
      <c r="G667" s="161"/>
      <c r="H667" s="161"/>
      <c r="I667" s="117"/>
      <c r="J667" s="117"/>
      <c r="K667" s="117"/>
      <c r="L667" s="166"/>
      <c r="M667" s="166"/>
      <c r="N667" s="119"/>
      <c r="O667" s="117"/>
      <c r="P667" s="117"/>
      <c r="Q667" s="167"/>
      <c r="R667" s="163"/>
      <c r="S667" s="163"/>
      <c r="T667" s="168"/>
      <c r="U667" s="123" t="str">
        <f t="shared" si="41"/>
        <v>#DIV/0!</v>
      </c>
      <c r="V667" s="168"/>
      <c r="W667" s="169"/>
    </row>
    <row r="668">
      <c r="A668" s="161"/>
      <c r="B668" s="161"/>
      <c r="C668" s="161"/>
      <c r="D668" s="160" t="str">
        <f>IFERROR(__xludf.DUMMYFUNCTION("SUBSTITUTE(REGEXEXTRACT(#REF!, ""[^-]+$""), ""x"", "" x "")"),"#REF!")</f>
        <v>#REF!</v>
      </c>
      <c r="E668" s="161"/>
      <c r="F668" s="161"/>
      <c r="G668" s="161"/>
      <c r="H668" s="161"/>
      <c r="I668" s="117"/>
      <c r="J668" s="117"/>
      <c r="K668" s="117"/>
      <c r="L668" s="166"/>
      <c r="M668" s="166"/>
      <c r="N668" s="166"/>
      <c r="O668" s="117"/>
      <c r="P668" s="117"/>
      <c r="Q668" s="162"/>
      <c r="R668" s="163"/>
      <c r="S668" s="163"/>
      <c r="T668" s="168"/>
      <c r="U668" s="123" t="str">
        <f t="shared" si="41"/>
        <v>#DIV/0!</v>
      </c>
      <c r="V668" s="168"/>
      <c r="W668" s="169"/>
    </row>
    <row r="669">
      <c r="A669" s="161"/>
      <c r="B669" s="161"/>
      <c r="C669" s="161"/>
      <c r="D669" s="160" t="str">
        <f>IFERROR(__xludf.DUMMYFUNCTION("SUBSTITUTE(REGEXEXTRACT(#REF!, ""[^-]+$""), ""x"", "" x "")"),"#REF!")</f>
        <v>#REF!</v>
      </c>
      <c r="E669" s="161"/>
      <c r="F669" s="161"/>
      <c r="G669" s="161"/>
      <c r="H669" s="161"/>
      <c r="I669" s="117"/>
      <c r="J669" s="117"/>
      <c r="K669" s="117"/>
      <c r="L669" s="166"/>
      <c r="M669" s="166"/>
      <c r="N669" s="166"/>
      <c r="O669" s="117"/>
      <c r="P669" s="117"/>
      <c r="Q669" s="162"/>
      <c r="R669" s="163"/>
      <c r="S669" s="163"/>
      <c r="T669" s="168"/>
      <c r="U669" s="123" t="str">
        <f t="shared" si="41"/>
        <v>#DIV/0!</v>
      </c>
      <c r="V669" s="168"/>
      <c r="W669" s="169"/>
    </row>
    <row r="670">
      <c r="A670" s="161"/>
      <c r="B670" s="161"/>
      <c r="C670" s="161"/>
      <c r="D670" s="160" t="str">
        <f>IFERROR(__xludf.DUMMYFUNCTION("SUBSTITUTE(REGEXEXTRACT(#REF!, ""[^-]+$""), ""x"", "" x "")"),"#REF!")</f>
        <v>#REF!</v>
      </c>
      <c r="E670" s="161"/>
      <c r="F670" s="161"/>
      <c r="G670" s="161"/>
      <c r="H670" s="161"/>
      <c r="I670" s="117"/>
      <c r="J670" s="117"/>
      <c r="K670" s="117"/>
      <c r="L670" s="166"/>
      <c r="M670" s="166"/>
      <c r="N670" s="166"/>
      <c r="O670" s="117"/>
      <c r="P670" s="117"/>
      <c r="Q670" s="162"/>
      <c r="R670" s="163"/>
      <c r="S670" s="163"/>
      <c r="T670" s="168"/>
      <c r="U670" s="123" t="str">
        <f t="shared" si="41"/>
        <v>#DIV/0!</v>
      </c>
      <c r="V670" s="168"/>
      <c r="W670" s="169"/>
    </row>
    <row r="671">
      <c r="A671" s="161"/>
      <c r="B671" s="161"/>
      <c r="C671" s="161"/>
      <c r="D671" s="160" t="str">
        <f>IFERROR(__xludf.DUMMYFUNCTION("SUBSTITUTE(REGEXEXTRACT(#REF!, ""[^-]+$""), ""x"", "" x "")"),"#REF!")</f>
        <v>#REF!</v>
      </c>
      <c r="E671" s="161"/>
      <c r="F671" s="161"/>
      <c r="G671" s="161"/>
      <c r="H671" s="161"/>
      <c r="I671" s="117"/>
      <c r="J671" s="117"/>
      <c r="K671" s="117"/>
      <c r="L671" s="166"/>
      <c r="M671" s="166"/>
      <c r="N671" s="166"/>
      <c r="O671" s="117"/>
      <c r="P671" s="117"/>
      <c r="Q671" s="167"/>
      <c r="R671" s="163"/>
      <c r="S671" s="163"/>
      <c r="T671" s="168"/>
      <c r="U671" s="123" t="str">
        <f t="shared" si="41"/>
        <v>#DIV/0!</v>
      </c>
      <c r="V671" s="168"/>
      <c r="W671" s="169"/>
    </row>
    <row r="672">
      <c r="A672" s="161"/>
      <c r="B672" s="161"/>
      <c r="C672" s="161"/>
      <c r="D672" s="160" t="str">
        <f>IFERROR(__xludf.DUMMYFUNCTION("SUBSTITUTE(REGEXEXTRACT(#REF!, ""[^-]+$""), ""x"", "" x "")"),"#REF!")</f>
        <v>#REF!</v>
      </c>
      <c r="E672" s="161"/>
      <c r="F672" s="161"/>
      <c r="G672" s="161"/>
      <c r="H672" s="161"/>
      <c r="I672" s="118"/>
      <c r="J672" s="117"/>
      <c r="K672" s="118"/>
      <c r="L672" s="119"/>
      <c r="M672" s="119"/>
      <c r="N672" s="119"/>
      <c r="O672" s="118"/>
      <c r="P672" s="118"/>
      <c r="Q672" s="162"/>
      <c r="R672" s="163"/>
      <c r="S672" s="163"/>
      <c r="T672" s="168"/>
      <c r="U672" s="123" t="str">
        <f t="shared" si="41"/>
        <v>#DIV/0!</v>
      </c>
      <c r="V672" s="168"/>
      <c r="W672" s="169"/>
    </row>
    <row r="673">
      <c r="A673" s="161"/>
      <c r="B673" s="161"/>
      <c r="C673" s="161"/>
      <c r="D673" s="160" t="str">
        <f>IFERROR(__xludf.DUMMYFUNCTION("SUBSTITUTE(REGEXEXTRACT(#REF!, ""[^-]+$""), ""x"", "" x "")"),"#REF!")</f>
        <v>#REF!</v>
      </c>
      <c r="E673" s="161"/>
      <c r="F673" s="161"/>
      <c r="G673" s="161"/>
      <c r="H673" s="161"/>
      <c r="I673" s="118"/>
      <c r="J673" s="117"/>
      <c r="K673" s="118"/>
      <c r="L673" s="119"/>
      <c r="M673" s="119"/>
      <c r="N673" s="119"/>
      <c r="O673" s="118"/>
      <c r="P673" s="118"/>
      <c r="Q673" s="162"/>
      <c r="R673" s="163"/>
      <c r="S673" s="163"/>
      <c r="T673" s="168"/>
      <c r="U673" s="123" t="str">
        <f t="shared" si="41"/>
        <v>#DIV/0!</v>
      </c>
      <c r="V673" s="168"/>
      <c r="W673" s="169"/>
    </row>
    <row r="674">
      <c r="A674" s="161"/>
      <c r="B674" s="161"/>
      <c r="C674" s="161"/>
      <c r="D674" s="160" t="str">
        <f>IFERROR(__xludf.DUMMYFUNCTION("SUBSTITUTE(REGEXEXTRACT(#REF!, ""[^-]+$""), ""x"", "" x "")"),"#REF!")</f>
        <v>#REF!</v>
      </c>
      <c r="E674" s="161"/>
      <c r="F674" s="161"/>
      <c r="G674" s="161"/>
      <c r="H674" s="161"/>
      <c r="I674" s="118"/>
      <c r="J674" s="118"/>
      <c r="K674" s="117"/>
      <c r="L674" s="119"/>
      <c r="M674" s="119"/>
      <c r="N674" s="119"/>
      <c r="O674" s="117"/>
      <c r="P674" s="118"/>
      <c r="Q674" s="162"/>
      <c r="R674" s="163"/>
      <c r="S674" s="163"/>
      <c r="T674" s="168"/>
      <c r="U674" s="123" t="str">
        <f t="shared" si="41"/>
        <v>#DIV/0!</v>
      </c>
      <c r="V674" s="168"/>
      <c r="W674" s="169"/>
    </row>
    <row r="675">
      <c r="A675" s="161"/>
      <c r="B675" s="161"/>
      <c r="C675" s="161"/>
      <c r="D675" s="160" t="str">
        <f>IFERROR(__xludf.DUMMYFUNCTION("SUBSTITUTE(REGEXEXTRACT(#REF!, ""[^-]+$""), ""x"", "" x "")"),"#REF!")</f>
        <v>#REF!</v>
      </c>
      <c r="E675" s="161"/>
      <c r="F675" s="161"/>
      <c r="G675" s="161"/>
      <c r="H675" s="161"/>
      <c r="I675" s="117"/>
      <c r="J675" s="117"/>
      <c r="K675" s="117"/>
      <c r="L675" s="166"/>
      <c r="M675" s="166"/>
      <c r="N675" s="166"/>
      <c r="O675" s="117"/>
      <c r="P675" s="118"/>
      <c r="Q675" s="162"/>
      <c r="R675" s="163"/>
      <c r="S675" s="163"/>
      <c r="T675" s="168"/>
      <c r="U675" s="123" t="str">
        <f t="shared" si="41"/>
        <v>#DIV/0!</v>
      </c>
      <c r="V675" s="168"/>
      <c r="W675" s="169"/>
    </row>
    <row r="676">
      <c r="A676" s="161"/>
      <c r="B676" s="161"/>
      <c r="C676" s="161"/>
      <c r="D676" s="160" t="str">
        <f>IFERROR(__xludf.DUMMYFUNCTION("SUBSTITUTE(REGEXEXTRACT(#REF!, ""[^-]+$""), ""x"", "" x "")"),"#REF!")</f>
        <v>#REF!</v>
      </c>
      <c r="E676" s="161"/>
      <c r="F676" s="161"/>
      <c r="G676" s="161"/>
      <c r="H676" s="161"/>
      <c r="I676" s="117"/>
      <c r="J676" s="117"/>
      <c r="K676" s="117"/>
      <c r="L676" s="166"/>
      <c r="M676" s="166"/>
      <c r="N676" s="166"/>
      <c r="O676" s="117"/>
      <c r="P676" s="118"/>
      <c r="Q676" s="162"/>
      <c r="R676" s="163"/>
      <c r="S676" s="163"/>
      <c r="T676" s="168"/>
      <c r="U676" s="123" t="str">
        <f t="shared" si="41"/>
        <v>#DIV/0!</v>
      </c>
      <c r="V676" s="168"/>
      <c r="W676" s="169"/>
    </row>
    <row r="677">
      <c r="A677" s="161"/>
      <c r="B677" s="161"/>
      <c r="C677" s="161"/>
      <c r="D677" s="160" t="str">
        <f>IFERROR(__xludf.DUMMYFUNCTION("SUBSTITUTE(REGEXEXTRACT(#REF!, ""[^-]+$""), ""x"", "" x "")"),"#REF!")</f>
        <v>#REF!</v>
      </c>
      <c r="E677" s="161"/>
      <c r="F677" s="161"/>
      <c r="G677" s="161"/>
      <c r="H677" s="161"/>
      <c r="I677" s="117"/>
      <c r="J677" s="117"/>
      <c r="K677" s="117"/>
      <c r="L677" s="166"/>
      <c r="M677" s="166"/>
      <c r="N677" s="166"/>
      <c r="O677" s="117"/>
      <c r="P677" s="118"/>
      <c r="Q677" s="162"/>
      <c r="R677" s="163"/>
      <c r="S677" s="163"/>
      <c r="T677" s="168"/>
      <c r="U677" s="123" t="str">
        <f t="shared" si="41"/>
        <v>#DIV/0!</v>
      </c>
      <c r="V677" s="168"/>
      <c r="W677" s="169"/>
    </row>
    <row r="678">
      <c r="A678" s="161"/>
      <c r="B678" s="161"/>
      <c r="C678" s="161"/>
      <c r="D678" s="160" t="str">
        <f>IFERROR(__xludf.DUMMYFUNCTION("SUBSTITUTE(REGEXEXTRACT(#REF!, ""[^-]+$""), ""x"", "" x "")"),"#REF!")</f>
        <v>#REF!</v>
      </c>
      <c r="E678" s="161"/>
      <c r="F678" s="161"/>
      <c r="G678" s="161"/>
      <c r="H678" s="161"/>
      <c r="I678" s="117"/>
      <c r="J678" s="117"/>
      <c r="K678" s="117"/>
      <c r="L678" s="166"/>
      <c r="M678" s="166"/>
      <c r="N678" s="166"/>
      <c r="O678" s="117"/>
      <c r="P678" s="118"/>
      <c r="Q678" s="162"/>
      <c r="R678" s="163"/>
      <c r="S678" s="163"/>
      <c r="T678" s="168"/>
      <c r="U678" s="123" t="str">
        <f t="shared" si="41"/>
        <v>#DIV/0!</v>
      </c>
      <c r="V678" s="168"/>
      <c r="W678" s="169"/>
    </row>
    <row r="679">
      <c r="A679" s="161"/>
      <c r="B679" s="161"/>
      <c r="C679" s="161"/>
      <c r="D679" s="160" t="str">
        <f>IFERROR(__xludf.DUMMYFUNCTION("SUBSTITUTE(REGEXEXTRACT(#REF!, ""[^-]+$""), ""x"", "" x "")"),"#REF!")</f>
        <v>#REF!</v>
      </c>
      <c r="E679" s="161"/>
      <c r="F679" s="161"/>
      <c r="G679" s="161"/>
      <c r="H679" s="161"/>
      <c r="I679" s="117"/>
      <c r="J679" s="117"/>
      <c r="K679" s="117"/>
      <c r="L679" s="166"/>
      <c r="M679" s="166"/>
      <c r="N679" s="166"/>
      <c r="O679" s="117"/>
      <c r="P679" s="117"/>
      <c r="Q679" s="167"/>
      <c r="R679" s="163"/>
      <c r="S679" s="163"/>
      <c r="T679" s="168"/>
      <c r="U679" s="123" t="str">
        <f t="shared" si="41"/>
        <v>#DIV/0!</v>
      </c>
      <c r="V679" s="168"/>
      <c r="W679" s="169"/>
    </row>
    <row r="680">
      <c r="A680" s="161"/>
      <c r="B680" s="161"/>
      <c r="C680" s="161"/>
      <c r="D680" s="160" t="str">
        <f>IFERROR(__xludf.DUMMYFUNCTION("SUBSTITUTE(REGEXEXTRACT(#REF!, ""[^-]+$""), ""x"", "" x "")"),"#REF!")</f>
        <v>#REF!</v>
      </c>
      <c r="E680" s="161"/>
      <c r="F680" s="161"/>
      <c r="G680" s="161"/>
      <c r="H680" s="161"/>
      <c r="I680" s="117"/>
      <c r="J680" s="117"/>
      <c r="K680" s="117"/>
      <c r="L680" s="166"/>
      <c r="M680" s="166"/>
      <c r="N680" s="166"/>
      <c r="O680" s="117"/>
      <c r="P680" s="117"/>
      <c r="Q680" s="167"/>
      <c r="R680" s="163"/>
      <c r="S680" s="163"/>
      <c r="T680" s="168"/>
      <c r="U680" s="123" t="str">
        <f t="shared" si="41"/>
        <v>#DIV/0!</v>
      </c>
      <c r="V680" s="168"/>
      <c r="W680" s="169"/>
    </row>
    <row r="681">
      <c r="A681" s="161"/>
      <c r="B681" s="161"/>
      <c r="C681" s="161"/>
      <c r="D681" s="160" t="str">
        <f>IFERROR(__xludf.DUMMYFUNCTION("SUBSTITUTE(REGEXEXTRACT(#REF!, ""[^-]+$""), ""x"", "" x "")"),"#REF!")</f>
        <v>#REF!</v>
      </c>
      <c r="E681" s="161"/>
      <c r="F681" s="161"/>
      <c r="G681" s="161"/>
      <c r="H681" s="161"/>
      <c r="I681" s="117"/>
      <c r="J681" s="117"/>
      <c r="K681" s="117"/>
      <c r="L681" s="166"/>
      <c r="M681" s="166"/>
      <c r="N681" s="166"/>
      <c r="O681" s="117"/>
      <c r="P681" s="117"/>
      <c r="Q681" s="167"/>
      <c r="R681" s="163"/>
      <c r="S681" s="163"/>
      <c r="T681" s="168"/>
      <c r="U681" s="123" t="str">
        <f t="shared" si="41"/>
        <v>#DIV/0!</v>
      </c>
      <c r="V681" s="168"/>
      <c r="W681" s="169"/>
    </row>
    <row r="682">
      <c r="A682" s="161"/>
      <c r="B682" s="161"/>
      <c r="C682" s="161"/>
      <c r="D682" s="160" t="str">
        <f>IFERROR(__xludf.DUMMYFUNCTION("SUBSTITUTE(REGEXEXTRACT(#REF!, ""[^-]+$""), ""x"", "" x "")"),"#REF!")</f>
        <v>#REF!</v>
      </c>
      <c r="E682" s="161"/>
      <c r="F682" s="161"/>
      <c r="G682" s="161"/>
      <c r="H682" s="161"/>
      <c r="I682" s="118"/>
      <c r="J682" s="117"/>
      <c r="K682" s="118"/>
      <c r="L682" s="119"/>
      <c r="M682" s="166"/>
      <c r="N682" s="119"/>
      <c r="O682" s="118"/>
      <c r="P682" s="117"/>
      <c r="Q682" s="162"/>
      <c r="R682" s="163"/>
      <c r="S682" s="163"/>
      <c r="T682" s="168"/>
      <c r="U682" s="123" t="str">
        <f t="shared" si="41"/>
        <v>#DIV/0!</v>
      </c>
      <c r="V682" s="168"/>
      <c r="W682" s="169"/>
    </row>
    <row r="683">
      <c r="A683" s="161"/>
      <c r="B683" s="161"/>
      <c r="C683" s="161"/>
      <c r="D683" s="160" t="str">
        <f>IFERROR(__xludf.DUMMYFUNCTION("SUBSTITUTE(REGEXEXTRACT(#REF!, ""[^-]+$""), ""x"", "" x "")"),"#REF!")</f>
        <v>#REF!</v>
      </c>
      <c r="E683" s="161"/>
      <c r="F683" s="161"/>
      <c r="G683" s="161"/>
      <c r="H683" s="161"/>
      <c r="I683" s="117"/>
      <c r="J683" s="117"/>
      <c r="K683" s="117"/>
      <c r="L683" s="166"/>
      <c r="M683" s="166"/>
      <c r="N683" s="166"/>
      <c r="O683" s="117"/>
      <c r="P683" s="117"/>
      <c r="Q683" s="167"/>
      <c r="R683" s="163"/>
      <c r="S683" s="163"/>
      <c r="T683" s="168"/>
      <c r="U683" s="123" t="str">
        <f t="shared" si="41"/>
        <v>#DIV/0!</v>
      </c>
      <c r="V683" s="168"/>
      <c r="W683" s="169"/>
    </row>
    <row r="684">
      <c r="A684" s="161"/>
      <c r="B684" s="161"/>
      <c r="C684" s="161"/>
      <c r="D684" s="160" t="str">
        <f>IFERROR(__xludf.DUMMYFUNCTION("SUBSTITUTE(REGEXEXTRACT(#REF!, ""[^-]+$""), ""x"", "" x "")"),"#REF!")</f>
        <v>#REF!</v>
      </c>
      <c r="E684" s="161"/>
      <c r="F684" s="161"/>
      <c r="G684" s="161"/>
      <c r="H684" s="161"/>
      <c r="I684" s="118"/>
      <c r="J684" s="117"/>
      <c r="K684" s="118"/>
      <c r="L684" s="119"/>
      <c r="M684" s="166"/>
      <c r="N684" s="119"/>
      <c r="O684" s="118"/>
      <c r="P684" s="117"/>
      <c r="Q684" s="162"/>
      <c r="R684" s="163"/>
      <c r="S684" s="163"/>
      <c r="T684" s="168"/>
      <c r="U684" s="123" t="str">
        <f t="shared" si="41"/>
        <v>#DIV/0!</v>
      </c>
      <c r="V684" s="168"/>
      <c r="W684" s="169"/>
    </row>
    <row r="685">
      <c r="A685" s="161"/>
      <c r="B685" s="161"/>
      <c r="C685" s="161"/>
      <c r="D685" s="160" t="str">
        <f>IFERROR(__xludf.DUMMYFUNCTION("SUBSTITUTE(REGEXEXTRACT(#REF!, ""[^-]+$""), ""x"", "" x "")"),"#REF!")</f>
        <v>#REF!</v>
      </c>
      <c r="E685" s="161"/>
      <c r="F685" s="161"/>
      <c r="G685" s="161"/>
      <c r="H685" s="161"/>
      <c r="I685" s="118"/>
      <c r="J685" s="117"/>
      <c r="K685" s="118"/>
      <c r="L685" s="119"/>
      <c r="M685" s="166"/>
      <c r="N685" s="119"/>
      <c r="O685" s="118"/>
      <c r="P685" s="117"/>
      <c r="Q685" s="162"/>
      <c r="R685" s="163"/>
      <c r="S685" s="163"/>
      <c r="T685" s="168"/>
      <c r="U685" s="123" t="str">
        <f t="shared" si="41"/>
        <v>#DIV/0!</v>
      </c>
      <c r="V685" s="168"/>
      <c r="W685" s="169"/>
    </row>
    <row r="686">
      <c r="A686" s="161"/>
      <c r="B686" s="161"/>
      <c r="C686" s="161"/>
      <c r="D686" s="160" t="str">
        <f>IFERROR(__xludf.DUMMYFUNCTION("SUBSTITUTE(REGEXEXTRACT(#REF!, ""[^-]+$""), ""x"", "" x "")"),"#REF!")</f>
        <v>#REF!</v>
      </c>
      <c r="E686" s="161"/>
      <c r="F686" s="161"/>
      <c r="G686" s="161"/>
      <c r="H686" s="161"/>
      <c r="I686" s="117"/>
      <c r="J686" s="117"/>
      <c r="K686" s="117"/>
      <c r="L686" s="166"/>
      <c r="M686" s="166"/>
      <c r="N686" s="166"/>
      <c r="O686" s="117"/>
      <c r="P686" s="117"/>
      <c r="Q686" s="167"/>
      <c r="R686" s="163"/>
      <c r="S686" s="163"/>
      <c r="T686" s="168"/>
      <c r="U686" s="123" t="str">
        <f t="shared" si="41"/>
        <v>#DIV/0!</v>
      </c>
      <c r="V686" s="168"/>
      <c r="W686" s="169"/>
    </row>
    <row r="687">
      <c r="A687" s="161"/>
      <c r="B687" s="161"/>
      <c r="C687" s="161"/>
      <c r="D687" s="160" t="str">
        <f>IFERROR(__xludf.DUMMYFUNCTION("SUBSTITUTE(REGEXEXTRACT(#REF!, ""[^-]+$""), ""x"", "" x "")"),"#REF!")</f>
        <v>#REF!</v>
      </c>
      <c r="E687" s="161"/>
      <c r="F687" s="161"/>
      <c r="G687" s="161"/>
      <c r="H687" s="161"/>
      <c r="I687" s="118"/>
      <c r="J687" s="117"/>
      <c r="K687" s="118"/>
      <c r="L687" s="119"/>
      <c r="M687" s="119"/>
      <c r="N687" s="119"/>
      <c r="O687" s="118"/>
      <c r="P687" s="118"/>
      <c r="Q687" s="162"/>
      <c r="R687" s="163"/>
      <c r="S687" s="163"/>
      <c r="T687" s="168"/>
      <c r="U687" s="123" t="str">
        <f t="shared" si="41"/>
        <v>#DIV/0!</v>
      </c>
      <c r="V687" s="168"/>
      <c r="W687" s="169"/>
    </row>
    <row r="688">
      <c r="A688" s="161"/>
      <c r="B688" s="161"/>
      <c r="C688" s="161"/>
      <c r="D688" s="160" t="str">
        <f>IFERROR(__xludf.DUMMYFUNCTION("SUBSTITUTE(REGEXEXTRACT(#REF!, ""[^-]+$""), ""x"", "" x "")"),"#REF!")</f>
        <v>#REF!</v>
      </c>
      <c r="E688" s="161"/>
      <c r="F688" s="161"/>
      <c r="G688" s="161"/>
      <c r="H688" s="161"/>
      <c r="I688" s="118"/>
      <c r="J688" s="117"/>
      <c r="K688" s="118"/>
      <c r="L688" s="119"/>
      <c r="M688" s="119"/>
      <c r="N688" s="119"/>
      <c r="O688" s="118"/>
      <c r="P688" s="117"/>
      <c r="Q688" s="162"/>
      <c r="R688" s="163"/>
      <c r="S688" s="163"/>
      <c r="T688" s="168"/>
      <c r="U688" s="123" t="str">
        <f t="shared" si="41"/>
        <v>#DIV/0!</v>
      </c>
      <c r="V688" s="168"/>
      <c r="W688" s="169"/>
    </row>
    <row r="689">
      <c r="A689" s="161"/>
      <c r="B689" s="161"/>
      <c r="C689" s="161"/>
      <c r="D689" s="160" t="str">
        <f>IFERROR(__xludf.DUMMYFUNCTION("SUBSTITUTE(REGEXEXTRACT(#REF!, ""[^-]+$""), ""x"", "" x "")"),"#REF!")</f>
        <v>#REF!</v>
      </c>
      <c r="E689" s="161"/>
      <c r="F689" s="161"/>
      <c r="G689" s="161"/>
      <c r="H689" s="161"/>
      <c r="I689" s="118"/>
      <c r="J689" s="117"/>
      <c r="K689" s="118"/>
      <c r="L689" s="119"/>
      <c r="M689" s="119"/>
      <c r="N689" s="119"/>
      <c r="O689" s="118"/>
      <c r="P689" s="117"/>
      <c r="Q689" s="162"/>
      <c r="R689" s="163"/>
      <c r="S689" s="163"/>
      <c r="T689" s="168"/>
      <c r="U689" s="123" t="str">
        <f t="shared" si="41"/>
        <v>#DIV/0!</v>
      </c>
      <c r="V689" s="168"/>
      <c r="W689" s="169"/>
    </row>
    <row r="690">
      <c r="A690" s="161"/>
      <c r="B690" s="161"/>
      <c r="C690" s="161"/>
      <c r="D690" s="160" t="str">
        <f>IFERROR(__xludf.DUMMYFUNCTION("SUBSTITUTE(REGEXEXTRACT(#REF!, ""[^-]+$""), ""x"", "" x "")"),"#REF!")</f>
        <v>#REF!</v>
      </c>
      <c r="E690" s="161"/>
      <c r="F690" s="161"/>
      <c r="G690" s="161"/>
      <c r="H690" s="161"/>
      <c r="I690" s="118"/>
      <c r="J690" s="117"/>
      <c r="K690" s="118"/>
      <c r="L690" s="119"/>
      <c r="M690" s="166"/>
      <c r="N690" s="119"/>
      <c r="O690" s="118"/>
      <c r="P690" s="117"/>
      <c r="Q690" s="162"/>
      <c r="R690" s="163"/>
      <c r="S690" s="163"/>
      <c r="T690" s="168"/>
      <c r="U690" s="123" t="str">
        <f t="shared" si="41"/>
        <v>#DIV/0!</v>
      </c>
      <c r="V690" s="168"/>
      <c r="W690" s="169"/>
    </row>
    <row r="691">
      <c r="A691" s="161"/>
      <c r="B691" s="161"/>
      <c r="C691" s="161"/>
      <c r="D691" s="160" t="str">
        <f>IFERROR(__xludf.DUMMYFUNCTION("SUBSTITUTE(REGEXEXTRACT(#REF!, ""[^-]+$""), ""x"", "" x "")"),"#REF!")</f>
        <v>#REF!</v>
      </c>
      <c r="E691" s="161"/>
      <c r="F691" s="161"/>
      <c r="G691" s="161"/>
      <c r="H691" s="161"/>
      <c r="I691" s="118"/>
      <c r="J691" s="117"/>
      <c r="K691" s="118"/>
      <c r="L691" s="119"/>
      <c r="M691" s="166"/>
      <c r="N691" s="119"/>
      <c r="O691" s="118"/>
      <c r="P691" s="117"/>
      <c r="Q691" s="162"/>
      <c r="R691" s="163"/>
      <c r="S691" s="163"/>
      <c r="T691" s="168"/>
      <c r="U691" s="123" t="str">
        <f t="shared" si="41"/>
        <v>#DIV/0!</v>
      </c>
      <c r="V691" s="168"/>
      <c r="W691" s="169"/>
    </row>
    <row r="692">
      <c r="A692" s="161"/>
      <c r="B692" s="161"/>
      <c r="C692" s="161"/>
      <c r="D692" s="160" t="str">
        <f>IFERROR(__xludf.DUMMYFUNCTION("SUBSTITUTE(REGEXEXTRACT(#REF!, ""[^-]+$""), ""x"", "" x "")"),"#REF!")</f>
        <v>#REF!</v>
      </c>
      <c r="E692" s="161"/>
      <c r="F692" s="161"/>
      <c r="G692" s="161"/>
      <c r="H692" s="161"/>
      <c r="I692" s="118"/>
      <c r="J692" s="117"/>
      <c r="K692" s="118"/>
      <c r="L692" s="119"/>
      <c r="M692" s="166"/>
      <c r="N692" s="119"/>
      <c r="O692" s="118"/>
      <c r="P692" s="117"/>
      <c r="Q692" s="162"/>
      <c r="R692" s="163"/>
      <c r="S692" s="163"/>
      <c r="T692" s="168"/>
      <c r="U692" s="123" t="str">
        <f t="shared" si="41"/>
        <v>#DIV/0!</v>
      </c>
      <c r="V692" s="168"/>
      <c r="W692" s="169"/>
    </row>
    <row r="693">
      <c r="A693" s="161"/>
      <c r="B693" s="161"/>
      <c r="C693" s="161"/>
      <c r="D693" s="160" t="str">
        <f>IFERROR(__xludf.DUMMYFUNCTION("SUBSTITUTE(REGEXEXTRACT(#REF!, ""[^-]+$""), ""x"", "" x "")"),"#REF!")</f>
        <v>#REF!</v>
      </c>
      <c r="E693" s="161"/>
      <c r="F693" s="161"/>
      <c r="G693" s="161"/>
      <c r="H693" s="161"/>
      <c r="I693" s="118"/>
      <c r="J693" s="118"/>
      <c r="K693" s="117"/>
      <c r="L693" s="119"/>
      <c r="M693" s="119"/>
      <c r="N693" s="119"/>
      <c r="O693" s="118"/>
      <c r="P693" s="118"/>
      <c r="Q693" s="167"/>
      <c r="R693" s="163"/>
      <c r="S693" s="163"/>
      <c r="T693" s="168"/>
      <c r="U693" s="123" t="str">
        <f t="shared" si="41"/>
        <v>#DIV/0!</v>
      </c>
      <c r="V693" s="168"/>
      <c r="W693" s="169"/>
    </row>
    <row r="694">
      <c r="A694" s="161"/>
      <c r="B694" s="161"/>
      <c r="C694" s="161"/>
      <c r="D694" s="160" t="str">
        <f>IFERROR(__xludf.DUMMYFUNCTION("SUBSTITUTE(REGEXEXTRACT(#REF!, ""[^-]+$""), ""x"", "" x "")"),"#REF!")</f>
        <v>#REF!</v>
      </c>
      <c r="E694" s="161"/>
      <c r="F694" s="161"/>
      <c r="G694" s="161"/>
      <c r="H694" s="161"/>
      <c r="I694" s="118"/>
      <c r="J694" s="118"/>
      <c r="K694" s="117"/>
      <c r="L694" s="119"/>
      <c r="M694" s="119"/>
      <c r="N694" s="119"/>
      <c r="O694" s="118"/>
      <c r="P694" s="118"/>
      <c r="Q694" s="167"/>
      <c r="R694" s="163"/>
      <c r="S694" s="163"/>
      <c r="T694" s="168"/>
      <c r="U694" s="123" t="str">
        <f t="shared" si="41"/>
        <v>#DIV/0!</v>
      </c>
      <c r="V694" s="168"/>
      <c r="W694" s="169"/>
    </row>
    <row r="695">
      <c r="A695" s="161"/>
      <c r="B695" s="161"/>
      <c r="C695" s="161"/>
      <c r="D695" s="160" t="str">
        <f>IFERROR(__xludf.DUMMYFUNCTION("SUBSTITUTE(REGEXEXTRACT(#REF!, ""[^-]+$""), ""x"", "" x "")"),"#REF!")</f>
        <v>#REF!</v>
      </c>
      <c r="E695" s="161"/>
      <c r="F695" s="161"/>
      <c r="G695" s="161"/>
      <c r="H695" s="161"/>
      <c r="I695" s="118"/>
      <c r="J695" s="118"/>
      <c r="K695" s="117"/>
      <c r="L695" s="119"/>
      <c r="M695" s="119"/>
      <c r="N695" s="166"/>
      <c r="O695" s="118"/>
      <c r="P695" s="118"/>
      <c r="Q695" s="167"/>
      <c r="R695" s="163"/>
      <c r="S695" s="163"/>
      <c r="T695" s="168"/>
      <c r="U695" s="123" t="str">
        <f t="shared" si="41"/>
        <v>#DIV/0!</v>
      </c>
      <c r="V695" s="168"/>
      <c r="W695" s="169"/>
    </row>
    <row r="696">
      <c r="A696" s="161"/>
      <c r="B696" s="161"/>
      <c r="C696" s="161"/>
      <c r="D696" s="160" t="str">
        <f>IFERROR(__xludf.DUMMYFUNCTION("SUBSTITUTE(REGEXEXTRACT(#REF!, ""[^-]+$""), ""x"", "" x "")"),"#REF!")</f>
        <v>#REF!</v>
      </c>
      <c r="E696" s="161"/>
      <c r="F696" s="161"/>
      <c r="G696" s="161"/>
      <c r="H696" s="161"/>
      <c r="I696" s="118"/>
      <c r="J696" s="118"/>
      <c r="K696" s="117"/>
      <c r="L696" s="119"/>
      <c r="M696" s="119"/>
      <c r="N696" s="119"/>
      <c r="O696" s="118"/>
      <c r="P696" s="118"/>
      <c r="Q696" s="167"/>
      <c r="R696" s="163"/>
      <c r="S696" s="163"/>
      <c r="T696" s="168"/>
      <c r="U696" s="123" t="str">
        <f t="shared" si="41"/>
        <v>#DIV/0!</v>
      </c>
      <c r="V696" s="168"/>
      <c r="W696" s="169"/>
    </row>
    <row r="697">
      <c r="A697" s="161"/>
      <c r="B697" s="161"/>
      <c r="C697" s="161"/>
      <c r="D697" s="160" t="str">
        <f>IFERROR(__xludf.DUMMYFUNCTION("SUBSTITUTE(REGEXEXTRACT(#REF!, ""[^-]+$""), ""x"", "" x "")"),"#REF!")</f>
        <v>#REF!</v>
      </c>
      <c r="E697" s="161"/>
      <c r="F697" s="161"/>
      <c r="G697" s="161"/>
      <c r="H697" s="161"/>
      <c r="I697" s="118"/>
      <c r="J697" s="118"/>
      <c r="K697" s="117"/>
      <c r="L697" s="119"/>
      <c r="M697" s="119"/>
      <c r="N697" s="119"/>
      <c r="O697" s="118"/>
      <c r="P697" s="118"/>
      <c r="Q697" s="167"/>
      <c r="R697" s="163"/>
      <c r="S697" s="163"/>
      <c r="T697" s="168"/>
      <c r="U697" s="123" t="str">
        <f t="shared" si="41"/>
        <v>#DIV/0!</v>
      </c>
      <c r="V697" s="168"/>
      <c r="W697" s="169"/>
    </row>
    <row r="698">
      <c r="A698" s="161"/>
      <c r="B698" s="161"/>
      <c r="C698" s="161"/>
      <c r="D698" s="160" t="str">
        <f>IFERROR(__xludf.DUMMYFUNCTION("SUBSTITUTE(REGEXEXTRACT(#REF!, ""[^-]+$""), ""x"", "" x "")"),"#REF!")</f>
        <v>#REF!</v>
      </c>
      <c r="E698" s="161"/>
      <c r="F698" s="161"/>
      <c r="G698" s="161"/>
      <c r="H698" s="161"/>
      <c r="I698" s="118"/>
      <c r="J698" s="118"/>
      <c r="K698" s="117"/>
      <c r="L698" s="119"/>
      <c r="M698" s="119"/>
      <c r="N698" s="119"/>
      <c r="O698" s="118"/>
      <c r="P698" s="118"/>
      <c r="Q698" s="167"/>
      <c r="R698" s="163"/>
      <c r="S698" s="163"/>
      <c r="T698" s="168"/>
      <c r="U698" s="123" t="str">
        <f t="shared" si="41"/>
        <v>#DIV/0!</v>
      </c>
      <c r="V698" s="168"/>
      <c r="W698" s="169"/>
    </row>
    <row r="699">
      <c r="A699" s="161"/>
      <c r="B699" s="161"/>
      <c r="C699" s="161"/>
      <c r="D699" s="160" t="str">
        <f>IFERROR(__xludf.DUMMYFUNCTION("SUBSTITUTE(REGEXEXTRACT(#REF!, ""[^-]+$""), ""x"", "" x "")"),"#REF!")</f>
        <v>#REF!</v>
      </c>
      <c r="E699" s="161"/>
      <c r="F699" s="161"/>
      <c r="G699" s="161"/>
      <c r="H699" s="161"/>
      <c r="I699" s="118"/>
      <c r="J699" s="118"/>
      <c r="K699" s="117"/>
      <c r="L699" s="119"/>
      <c r="M699" s="119"/>
      <c r="N699" s="119"/>
      <c r="O699" s="118"/>
      <c r="P699" s="118"/>
      <c r="Q699" s="167"/>
      <c r="R699" s="163"/>
      <c r="S699" s="163"/>
      <c r="T699" s="168"/>
      <c r="U699" s="123" t="str">
        <f t="shared" si="41"/>
        <v>#DIV/0!</v>
      </c>
      <c r="V699" s="168"/>
      <c r="W699" s="169"/>
    </row>
    <row r="700">
      <c r="A700" s="161"/>
      <c r="B700" s="161"/>
      <c r="C700" s="161"/>
      <c r="D700" s="160" t="str">
        <f>IFERROR(__xludf.DUMMYFUNCTION("SUBSTITUTE(REGEXEXTRACT(#REF!, ""[^-]+$""), ""x"", "" x "")"),"#REF!")</f>
        <v>#REF!</v>
      </c>
      <c r="E700" s="161"/>
      <c r="F700" s="161"/>
      <c r="G700" s="161"/>
      <c r="H700" s="161"/>
      <c r="I700" s="118"/>
      <c r="J700" s="118"/>
      <c r="K700" s="117"/>
      <c r="L700" s="119"/>
      <c r="M700" s="119"/>
      <c r="N700" s="119"/>
      <c r="O700" s="118"/>
      <c r="P700" s="118"/>
      <c r="Q700" s="167"/>
      <c r="R700" s="163"/>
      <c r="S700" s="163"/>
      <c r="T700" s="168"/>
      <c r="U700" s="123" t="str">
        <f t="shared" si="41"/>
        <v>#DIV/0!</v>
      </c>
      <c r="V700" s="168"/>
      <c r="W700" s="169"/>
    </row>
    <row r="701">
      <c r="A701" s="161"/>
      <c r="B701" s="161"/>
      <c r="C701" s="161"/>
      <c r="D701" s="160" t="str">
        <f>IFERROR(__xludf.DUMMYFUNCTION("SUBSTITUTE(REGEXEXTRACT(#REF!, ""[^-]+$""), ""x"", "" x "")"),"#REF!")</f>
        <v>#REF!</v>
      </c>
      <c r="E701" s="161"/>
      <c r="F701" s="161"/>
      <c r="G701" s="161"/>
      <c r="H701" s="161"/>
      <c r="I701" s="118"/>
      <c r="J701" s="118"/>
      <c r="K701" s="117"/>
      <c r="L701" s="119"/>
      <c r="M701" s="119"/>
      <c r="N701" s="119"/>
      <c r="O701" s="118"/>
      <c r="P701" s="118"/>
      <c r="Q701" s="167"/>
      <c r="R701" s="163"/>
      <c r="S701" s="163"/>
      <c r="T701" s="168"/>
      <c r="U701" s="123" t="str">
        <f t="shared" si="41"/>
        <v>#DIV/0!</v>
      </c>
      <c r="V701" s="168"/>
      <c r="W701" s="169"/>
    </row>
    <row r="702">
      <c r="A702" s="161"/>
      <c r="B702" s="161"/>
      <c r="C702" s="161"/>
      <c r="D702" s="160" t="str">
        <f>IFERROR(__xludf.DUMMYFUNCTION("SUBSTITUTE(REGEXEXTRACT(#REF!, ""[^-]+$""), ""x"", "" x "")"),"#REF!")</f>
        <v>#REF!</v>
      </c>
      <c r="E702" s="161"/>
      <c r="F702" s="161"/>
      <c r="G702" s="161"/>
      <c r="H702" s="161"/>
      <c r="I702" s="118"/>
      <c r="J702" s="118"/>
      <c r="K702" s="117"/>
      <c r="L702" s="119"/>
      <c r="M702" s="119"/>
      <c r="N702" s="119"/>
      <c r="O702" s="118"/>
      <c r="P702" s="118"/>
      <c r="Q702" s="167"/>
      <c r="R702" s="163"/>
      <c r="S702" s="163"/>
      <c r="T702" s="168"/>
      <c r="U702" s="123" t="str">
        <f t="shared" si="41"/>
        <v>#DIV/0!</v>
      </c>
      <c r="V702" s="168"/>
      <c r="W702" s="169"/>
    </row>
    <row r="703">
      <c r="A703" s="161"/>
      <c r="B703" s="161"/>
      <c r="C703" s="161"/>
      <c r="D703" s="160" t="str">
        <f>IFERROR(__xludf.DUMMYFUNCTION("SUBSTITUTE(REGEXEXTRACT(#REF!, ""[^-]+$""), ""x"", "" x "")"),"#REF!")</f>
        <v>#REF!</v>
      </c>
      <c r="E703" s="161"/>
      <c r="F703" s="161"/>
      <c r="G703" s="161"/>
      <c r="H703" s="161"/>
      <c r="I703" s="118"/>
      <c r="J703" s="118"/>
      <c r="K703" s="117"/>
      <c r="L703" s="119"/>
      <c r="M703" s="119"/>
      <c r="N703" s="119"/>
      <c r="O703" s="118"/>
      <c r="P703" s="118"/>
      <c r="Q703" s="167"/>
      <c r="R703" s="163"/>
      <c r="S703" s="163"/>
      <c r="T703" s="168"/>
      <c r="U703" s="123" t="str">
        <f t="shared" si="41"/>
        <v>#DIV/0!</v>
      </c>
      <c r="V703" s="168"/>
      <c r="W703" s="169"/>
    </row>
    <row r="704">
      <c r="A704" s="161"/>
      <c r="B704" s="161"/>
      <c r="C704" s="161"/>
      <c r="D704" s="160" t="str">
        <f>IFERROR(__xludf.DUMMYFUNCTION("SUBSTITUTE(REGEXEXTRACT(#REF!, ""[^-]+$""), ""x"", "" x "")"),"#REF!")</f>
        <v>#REF!</v>
      </c>
      <c r="E704" s="161"/>
      <c r="F704" s="161"/>
      <c r="G704" s="161"/>
      <c r="H704" s="161"/>
      <c r="I704" s="118"/>
      <c r="J704" s="118"/>
      <c r="K704" s="117"/>
      <c r="L704" s="119"/>
      <c r="M704" s="119"/>
      <c r="N704" s="119"/>
      <c r="O704" s="118"/>
      <c r="P704" s="118"/>
      <c r="Q704" s="167"/>
      <c r="R704" s="163"/>
      <c r="S704" s="163"/>
      <c r="T704" s="168"/>
      <c r="U704" s="123" t="str">
        <f t="shared" si="41"/>
        <v>#DIV/0!</v>
      </c>
      <c r="V704" s="168"/>
      <c r="W704" s="169"/>
    </row>
    <row r="705">
      <c r="A705" s="161"/>
      <c r="B705" s="161"/>
      <c r="C705" s="161"/>
      <c r="D705" s="160" t="str">
        <f>IFERROR(__xludf.DUMMYFUNCTION("SUBSTITUTE(REGEXEXTRACT(#REF!, ""[^-]+$""), ""x"", "" x "")"),"#REF!")</f>
        <v>#REF!</v>
      </c>
      <c r="E705" s="161"/>
      <c r="F705" s="161"/>
      <c r="G705" s="161"/>
      <c r="H705" s="161"/>
      <c r="I705" s="118"/>
      <c r="J705" s="118"/>
      <c r="K705" s="117"/>
      <c r="L705" s="119"/>
      <c r="M705" s="119"/>
      <c r="N705" s="119"/>
      <c r="O705" s="118"/>
      <c r="P705" s="118"/>
      <c r="Q705" s="167"/>
      <c r="R705" s="163"/>
      <c r="S705" s="163"/>
      <c r="T705" s="168"/>
      <c r="U705" s="123" t="str">
        <f t="shared" si="41"/>
        <v>#DIV/0!</v>
      </c>
      <c r="V705" s="168"/>
      <c r="W705" s="169"/>
    </row>
    <row r="706">
      <c r="A706" s="161"/>
      <c r="B706" s="161"/>
      <c r="C706" s="161"/>
      <c r="D706" s="160" t="str">
        <f>IFERROR(__xludf.DUMMYFUNCTION("SUBSTITUTE(REGEXEXTRACT(#REF!, ""[^-]+$""), ""x"", "" x "")"),"#REF!")</f>
        <v>#REF!</v>
      </c>
      <c r="E706" s="161"/>
      <c r="F706" s="161"/>
      <c r="G706" s="161"/>
      <c r="H706" s="161"/>
      <c r="I706" s="118"/>
      <c r="J706" s="118"/>
      <c r="K706" s="117"/>
      <c r="L706" s="119"/>
      <c r="M706" s="119"/>
      <c r="N706" s="119"/>
      <c r="O706" s="118"/>
      <c r="P706" s="118"/>
      <c r="Q706" s="167"/>
      <c r="R706" s="163"/>
      <c r="S706" s="163"/>
      <c r="T706" s="168"/>
      <c r="U706" s="123" t="str">
        <f t="shared" si="41"/>
        <v>#DIV/0!</v>
      </c>
      <c r="V706" s="168"/>
      <c r="W706" s="169"/>
    </row>
    <row r="707">
      <c r="A707" s="161"/>
      <c r="B707" s="161"/>
      <c r="C707" s="161"/>
      <c r="D707" s="160" t="str">
        <f>IFERROR(__xludf.DUMMYFUNCTION("SUBSTITUTE(REGEXEXTRACT(#REF!, ""[^-]+$""), ""x"", "" x "")"),"#REF!")</f>
        <v>#REF!</v>
      </c>
      <c r="E707" s="161"/>
      <c r="F707" s="161"/>
      <c r="G707" s="161"/>
      <c r="H707" s="161"/>
      <c r="I707" s="118"/>
      <c r="J707" s="118"/>
      <c r="K707" s="117"/>
      <c r="L707" s="119"/>
      <c r="M707" s="119"/>
      <c r="N707" s="119"/>
      <c r="O707" s="118"/>
      <c r="P707" s="118"/>
      <c r="Q707" s="167"/>
      <c r="R707" s="163"/>
      <c r="S707" s="163"/>
      <c r="T707" s="168"/>
      <c r="U707" s="123" t="str">
        <f t="shared" si="41"/>
        <v>#DIV/0!</v>
      </c>
      <c r="V707" s="168"/>
      <c r="W707" s="169"/>
    </row>
    <row r="708">
      <c r="A708" s="161"/>
      <c r="B708" s="161"/>
      <c r="C708" s="161"/>
      <c r="D708" s="160" t="str">
        <f>IFERROR(__xludf.DUMMYFUNCTION("SUBSTITUTE(REGEXEXTRACT(#REF!, ""[^-]+$""), ""x"", "" x "")"),"#REF!")</f>
        <v>#REF!</v>
      </c>
      <c r="E708" s="161"/>
      <c r="F708" s="161"/>
      <c r="G708" s="161"/>
      <c r="H708" s="161"/>
      <c r="I708" s="118"/>
      <c r="J708" s="118"/>
      <c r="K708" s="117"/>
      <c r="L708" s="119"/>
      <c r="M708" s="119"/>
      <c r="N708" s="119"/>
      <c r="O708" s="118"/>
      <c r="P708" s="118"/>
      <c r="Q708" s="167"/>
      <c r="R708" s="163"/>
      <c r="S708" s="163"/>
      <c r="T708" s="168"/>
      <c r="U708" s="123" t="str">
        <f t="shared" si="41"/>
        <v>#DIV/0!</v>
      </c>
      <c r="V708" s="168"/>
      <c r="W708" s="169"/>
    </row>
    <row r="709">
      <c r="A709" s="161"/>
      <c r="B709" s="161"/>
      <c r="C709" s="161"/>
      <c r="D709" s="160" t="str">
        <f>IFERROR(__xludf.DUMMYFUNCTION("SUBSTITUTE(REGEXEXTRACT(#REF!, ""[^-]+$""), ""x"", "" x "")"),"#REF!")</f>
        <v>#REF!</v>
      </c>
      <c r="E709" s="161"/>
      <c r="F709" s="161"/>
      <c r="G709" s="161"/>
      <c r="H709" s="161"/>
      <c r="I709" s="118"/>
      <c r="J709" s="118"/>
      <c r="K709" s="117"/>
      <c r="L709" s="119"/>
      <c r="M709" s="119"/>
      <c r="N709" s="119"/>
      <c r="O709" s="118"/>
      <c r="P709" s="118"/>
      <c r="Q709" s="167"/>
      <c r="R709" s="163"/>
      <c r="S709" s="163"/>
      <c r="T709" s="168"/>
      <c r="U709" s="123" t="str">
        <f t="shared" si="41"/>
        <v>#DIV/0!</v>
      </c>
      <c r="V709" s="168"/>
      <c r="W709" s="169"/>
    </row>
    <row r="710">
      <c r="A710" s="161"/>
      <c r="B710" s="161"/>
      <c r="C710" s="161"/>
      <c r="D710" s="160" t="str">
        <f>IFERROR(__xludf.DUMMYFUNCTION("SUBSTITUTE(REGEXEXTRACT(#REF!, ""[^-]+$""), ""x"", "" x "")"),"#REF!")</f>
        <v>#REF!</v>
      </c>
      <c r="E710" s="161"/>
      <c r="F710" s="161"/>
      <c r="G710" s="161"/>
      <c r="H710" s="161"/>
      <c r="I710" s="118"/>
      <c r="J710" s="118"/>
      <c r="K710" s="117"/>
      <c r="L710" s="119"/>
      <c r="M710" s="119"/>
      <c r="N710" s="119"/>
      <c r="O710" s="118"/>
      <c r="P710" s="118"/>
      <c r="Q710" s="167"/>
      <c r="R710" s="163"/>
      <c r="S710" s="163"/>
      <c r="T710" s="168"/>
      <c r="U710" s="123" t="str">
        <f t="shared" si="41"/>
        <v>#DIV/0!</v>
      </c>
      <c r="V710" s="168"/>
      <c r="W710" s="169"/>
    </row>
    <row r="711">
      <c r="A711" s="161"/>
      <c r="B711" s="161"/>
      <c r="C711" s="161"/>
      <c r="D711" s="160" t="str">
        <f>IFERROR(__xludf.DUMMYFUNCTION("SUBSTITUTE(REGEXEXTRACT(#REF!, ""[^-]+$""), ""x"", "" x "")"),"#REF!")</f>
        <v>#REF!</v>
      </c>
      <c r="E711" s="161"/>
      <c r="F711" s="161"/>
      <c r="G711" s="161"/>
      <c r="H711" s="161"/>
      <c r="I711" s="118"/>
      <c r="J711" s="118"/>
      <c r="K711" s="117"/>
      <c r="L711" s="119"/>
      <c r="M711" s="119"/>
      <c r="N711" s="166"/>
      <c r="O711" s="118"/>
      <c r="P711" s="118"/>
      <c r="Q711" s="167"/>
      <c r="R711" s="163"/>
      <c r="S711" s="163"/>
      <c r="T711" s="168"/>
      <c r="U711" s="123" t="str">
        <f t="shared" si="41"/>
        <v>#DIV/0!</v>
      </c>
      <c r="V711" s="168"/>
      <c r="W711" s="169"/>
    </row>
    <row r="712">
      <c r="A712" s="161"/>
      <c r="B712" s="161"/>
      <c r="C712" s="161"/>
      <c r="D712" s="160" t="str">
        <f>IFERROR(__xludf.DUMMYFUNCTION("SUBSTITUTE(REGEXEXTRACT(#REF!, ""[^-]+$""), ""x"", "" x "")"),"#REF!")</f>
        <v>#REF!</v>
      </c>
      <c r="E712" s="161"/>
      <c r="F712" s="161"/>
      <c r="G712" s="161"/>
      <c r="H712" s="161"/>
      <c r="I712" s="118"/>
      <c r="J712" s="118"/>
      <c r="K712" s="117"/>
      <c r="L712" s="119"/>
      <c r="M712" s="119"/>
      <c r="N712" s="166"/>
      <c r="O712" s="118"/>
      <c r="P712" s="118"/>
      <c r="Q712" s="167"/>
      <c r="R712" s="163"/>
      <c r="S712" s="163"/>
      <c r="T712" s="168"/>
      <c r="U712" s="123" t="str">
        <f t="shared" si="41"/>
        <v>#DIV/0!</v>
      </c>
      <c r="V712" s="168"/>
      <c r="W712" s="169"/>
    </row>
    <row r="713">
      <c r="A713" s="161"/>
      <c r="B713" s="161"/>
      <c r="C713" s="161"/>
      <c r="D713" s="160" t="str">
        <f>IFERROR(__xludf.DUMMYFUNCTION("SUBSTITUTE(REGEXEXTRACT(#REF!, ""[^-]+$""), ""x"", "" x "")"),"#REF!")</f>
        <v>#REF!</v>
      </c>
      <c r="E713" s="161"/>
      <c r="F713" s="161"/>
      <c r="G713" s="161"/>
      <c r="H713" s="161"/>
      <c r="I713" s="118"/>
      <c r="J713" s="118"/>
      <c r="K713" s="117"/>
      <c r="L713" s="119"/>
      <c r="M713" s="119"/>
      <c r="N713" s="166"/>
      <c r="O713" s="118"/>
      <c r="P713" s="118"/>
      <c r="Q713" s="167"/>
      <c r="R713" s="163"/>
      <c r="S713" s="163"/>
      <c r="T713" s="168"/>
      <c r="U713" s="123" t="str">
        <f t="shared" si="41"/>
        <v>#DIV/0!</v>
      </c>
      <c r="V713" s="168"/>
      <c r="W713" s="169"/>
    </row>
    <row r="714">
      <c r="A714" s="161"/>
      <c r="B714" s="161"/>
      <c r="C714" s="161"/>
      <c r="D714" s="160" t="str">
        <f>IFERROR(__xludf.DUMMYFUNCTION("SUBSTITUTE(REGEXEXTRACT(#REF!, ""[^-]+$""), ""x"", "" x "")"),"#REF!")</f>
        <v>#REF!</v>
      </c>
      <c r="E714" s="161"/>
      <c r="F714" s="161"/>
      <c r="G714" s="161"/>
      <c r="H714" s="161"/>
      <c r="I714" s="118"/>
      <c r="J714" s="118"/>
      <c r="K714" s="117"/>
      <c r="L714" s="119"/>
      <c r="M714" s="119"/>
      <c r="N714" s="166"/>
      <c r="O714" s="118"/>
      <c r="P714" s="118"/>
      <c r="Q714" s="167"/>
      <c r="R714" s="163"/>
      <c r="S714" s="163"/>
      <c r="T714" s="168"/>
      <c r="U714" s="123" t="str">
        <f t="shared" si="41"/>
        <v>#DIV/0!</v>
      </c>
      <c r="V714" s="168"/>
      <c r="W714" s="169"/>
    </row>
    <row r="715">
      <c r="A715" s="161"/>
      <c r="B715" s="161"/>
      <c r="C715" s="161"/>
      <c r="D715" s="160" t="str">
        <f>IFERROR(__xludf.DUMMYFUNCTION("SUBSTITUTE(REGEXEXTRACT(#REF!, ""[^-]+$""), ""x"", "" x "")"),"#REF!")</f>
        <v>#REF!</v>
      </c>
      <c r="E715" s="161"/>
      <c r="F715" s="161"/>
      <c r="G715" s="161"/>
      <c r="H715" s="161"/>
      <c r="I715" s="118"/>
      <c r="J715" s="118"/>
      <c r="K715" s="117"/>
      <c r="L715" s="119"/>
      <c r="M715" s="119"/>
      <c r="N715" s="166"/>
      <c r="O715" s="118"/>
      <c r="P715" s="118"/>
      <c r="Q715" s="167"/>
      <c r="R715" s="163"/>
      <c r="S715" s="163"/>
      <c r="T715" s="168"/>
      <c r="U715" s="123" t="str">
        <f t="shared" si="41"/>
        <v>#DIV/0!</v>
      </c>
      <c r="V715" s="168"/>
      <c r="W715" s="169"/>
    </row>
    <row r="716">
      <c r="A716" s="161"/>
      <c r="B716" s="161"/>
      <c r="C716" s="161"/>
      <c r="D716" s="160" t="str">
        <f>IFERROR(__xludf.DUMMYFUNCTION("SUBSTITUTE(REGEXEXTRACT(#REF!, ""[^-]+$""), ""x"", "" x "")"),"#REF!")</f>
        <v>#REF!</v>
      </c>
      <c r="E716" s="161"/>
      <c r="F716" s="161"/>
      <c r="G716" s="161"/>
      <c r="H716" s="161"/>
      <c r="I716" s="118"/>
      <c r="J716" s="118"/>
      <c r="K716" s="117"/>
      <c r="L716" s="119"/>
      <c r="M716" s="119"/>
      <c r="N716" s="166"/>
      <c r="O716" s="118"/>
      <c r="P716" s="118"/>
      <c r="Q716" s="167"/>
      <c r="R716" s="163"/>
      <c r="S716" s="163"/>
      <c r="T716" s="168"/>
      <c r="U716" s="123" t="str">
        <f t="shared" si="41"/>
        <v>#DIV/0!</v>
      </c>
      <c r="V716" s="168"/>
      <c r="W716" s="169"/>
    </row>
    <row r="717">
      <c r="A717" s="161"/>
      <c r="B717" s="161"/>
      <c r="C717" s="161"/>
      <c r="D717" s="160" t="str">
        <f>IFERROR(__xludf.DUMMYFUNCTION("SUBSTITUTE(REGEXEXTRACT(#REF!, ""[^-]+$""), ""x"", "" x "")"),"#REF!")</f>
        <v>#REF!</v>
      </c>
      <c r="E717" s="161"/>
      <c r="F717" s="161"/>
      <c r="G717" s="161"/>
      <c r="H717" s="161"/>
      <c r="I717" s="118"/>
      <c r="J717" s="118"/>
      <c r="K717" s="117"/>
      <c r="L717" s="119"/>
      <c r="M717" s="119"/>
      <c r="N717" s="166"/>
      <c r="O717" s="118"/>
      <c r="P717" s="118"/>
      <c r="Q717" s="167"/>
      <c r="R717" s="163"/>
      <c r="S717" s="163"/>
      <c r="T717" s="168"/>
      <c r="U717" s="123" t="str">
        <f t="shared" si="41"/>
        <v>#DIV/0!</v>
      </c>
      <c r="V717" s="168"/>
      <c r="W717" s="169"/>
    </row>
    <row r="718">
      <c r="A718" s="161"/>
      <c r="B718" s="161"/>
      <c r="C718" s="161"/>
      <c r="D718" s="160" t="str">
        <f>IFERROR(__xludf.DUMMYFUNCTION("SUBSTITUTE(REGEXEXTRACT(#REF!, ""[^-]+$""), ""x"", "" x "")"),"#REF!")</f>
        <v>#REF!</v>
      </c>
      <c r="E718" s="161"/>
      <c r="F718" s="161"/>
      <c r="G718" s="161"/>
      <c r="H718" s="161"/>
      <c r="I718" s="118"/>
      <c r="J718" s="118"/>
      <c r="K718" s="117"/>
      <c r="L718" s="119"/>
      <c r="M718" s="119"/>
      <c r="N718" s="166"/>
      <c r="O718" s="118"/>
      <c r="P718" s="118"/>
      <c r="Q718" s="167"/>
      <c r="R718" s="163"/>
      <c r="S718" s="163"/>
      <c r="T718" s="168"/>
      <c r="U718" s="123" t="str">
        <f t="shared" si="41"/>
        <v>#DIV/0!</v>
      </c>
      <c r="V718" s="168"/>
      <c r="W718" s="169"/>
    </row>
    <row r="719">
      <c r="A719" s="161"/>
      <c r="B719" s="161"/>
      <c r="C719" s="161"/>
      <c r="D719" s="160" t="str">
        <f>IFERROR(__xludf.DUMMYFUNCTION("SUBSTITUTE(REGEXEXTRACT(#REF!, ""[^-]+$""), ""x"", "" x "")"),"#REF!")</f>
        <v>#REF!</v>
      </c>
      <c r="E719" s="161"/>
      <c r="F719" s="161"/>
      <c r="G719" s="161"/>
      <c r="H719" s="161"/>
      <c r="I719" s="118"/>
      <c r="J719" s="118"/>
      <c r="K719" s="117"/>
      <c r="L719" s="119"/>
      <c r="M719" s="119"/>
      <c r="N719" s="119"/>
      <c r="O719" s="118"/>
      <c r="P719" s="118"/>
      <c r="Q719" s="167"/>
      <c r="R719" s="163"/>
      <c r="S719" s="163"/>
      <c r="T719" s="168"/>
      <c r="U719" s="123" t="str">
        <f t="shared" si="41"/>
        <v>#DIV/0!</v>
      </c>
      <c r="V719" s="168"/>
      <c r="W719" s="169"/>
    </row>
    <row r="720">
      <c r="A720" s="161"/>
      <c r="B720" s="161"/>
      <c r="C720" s="161"/>
      <c r="D720" s="160" t="str">
        <f>IFERROR(__xludf.DUMMYFUNCTION("SUBSTITUTE(REGEXEXTRACT(#REF!, ""[^-]+$""), ""x"", "" x "")"),"#REF!")</f>
        <v>#REF!</v>
      </c>
      <c r="E720" s="161"/>
      <c r="F720" s="161"/>
      <c r="G720" s="161"/>
      <c r="H720" s="161"/>
      <c r="I720" s="118"/>
      <c r="J720" s="118"/>
      <c r="K720" s="117"/>
      <c r="L720" s="119"/>
      <c r="M720" s="119"/>
      <c r="N720" s="119"/>
      <c r="O720" s="118"/>
      <c r="P720" s="118"/>
      <c r="Q720" s="167"/>
      <c r="R720" s="163"/>
      <c r="S720" s="163"/>
      <c r="T720" s="168"/>
      <c r="U720" s="123" t="str">
        <f t="shared" si="41"/>
        <v>#DIV/0!</v>
      </c>
      <c r="V720" s="168"/>
      <c r="W720" s="169"/>
    </row>
    <row r="721">
      <c r="A721" s="161"/>
      <c r="B721" s="161"/>
      <c r="C721" s="161"/>
      <c r="D721" s="160" t="str">
        <f>IFERROR(__xludf.DUMMYFUNCTION("SUBSTITUTE(REGEXEXTRACT(#REF!, ""[^-]+$""), ""x"", "" x "")"),"#REF!")</f>
        <v>#REF!</v>
      </c>
      <c r="E721" s="161"/>
      <c r="F721" s="161"/>
      <c r="G721" s="161"/>
      <c r="H721" s="161"/>
      <c r="I721" s="118"/>
      <c r="J721" s="118"/>
      <c r="K721" s="117"/>
      <c r="L721" s="119"/>
      <c r="M721" s="119"/>
      <c r="N721" s="119"/>
      <c r="O721" s="118"/>
      <c r="P721" s="118"/>
      <c r="Q721" s="167"/>
      <c r="R721" s="163"/>
      <c r="S721" s="163"/>
      <c r="T721" s="168"/>
      <c r="U721" s="123" t="str">
        <f t="shared" si="41"/>
        <v>#DIV/0!</v>
      </c>
      <c r="V721" s="168"/>
      <c r="W721" s="169"/>
    </row>
    <row r="722">
      <c r="A722" s="161"/>
      <c r="B722" s="161"/>
      <c r="C722" s="161"/>
      <c r="D722" s="160" t="str">
        <f>IFERROR(__xludf.DUMMYFUNCTION("SUBSTITUTE(REGEXEXTRACT(#REF!, ""[^-]+$""), ""x"", "" x "")"),"#REF!")</f>
        <v>#REF!</v>
      </c>
      <c r="E722" s="161"/>
      <c r="F722" s="161"/>
      <c r="G722" s="161"/>
      <c r="H722" s="161"/>
      <c r="I722" s="118"/>
      <c r="J722" s="118"/>
      <c r="K722" s="117"/>
      <c r="L722" s="119"/>
      <c r="M722" s="119"/>
      <c r="N722" s="119"/>
      <c r="O722" s="118"/>
      <c r="P722" s="118"/>
      <c r="Q722" s="167"/>
      <c r="R722" s="163"/>
      <c r="S722" s="163"/>
      <c r="T722" s="168"/>
      <c r="U722" s="123" t="str">
        <f t="shared" si="41"/>
        <v>#DIV/0!</v>
      </c>
      <c r="V722" s="168"/>
      <c r="W722" s="169"/>
    </row>
    <row r="723">
      <c r="A723" s="161"/>
      <c r="B723" s="161"/>
      <c r="C723" s="161"/>
      <c r="D723" s="160" t="str">
        <f>IFERROR(__xludf.DUMMYFUNCTION("SUBSTITUTE(REGEXEXTRACT(#REF!, ""[^-]+$""), ""x"", "" x "")"),"#REF!")</f>
        <v>#REF!</v>
      </c>
      <c r="E723" s="161"/>
      <c r="F723" s="161"/>
      <c r="G723" s="161"/>
      <c r="H723" s="161"/>
      <c r="I723" s="118"/>
      <c r="J723" s="118"/>
      <c r="K723" s="117"/>
      <c r="L723" s="119"/>
      <c r="M723" s="119"/>
      <c r="N723" s="119"/>
      <c r="O723" s="118"/>
      <c r="P723" s="118"/>
      <c r="Q723" s="167"/>
      <c r="R723" s="163"/>
      <c r="S723" s="163"/>
      <c r="T723" s="168"/>
      <c r="U723" s="123" t="str">
        <f t="shared" si="41"/>
        <v>#DIV/0!</v>
      </c>
      <c r="V723" s="168"/>
      <c r="W723" s="169"/>
    </row>
    <row r="724">
      <c r="A724" s="161"/>
      <c r="B724" s="161"/>
      <c r="C724" s="161"/>
      <c r="D724" s="160" t="str">
        <f>IFERROR(__xludf.DUMMYFUNCTION("SUBSTITUTE(REGEXEXTRACT(#REF!, ""[^-]+$""), ""x"", "" x "")"),"#REF!")</f>
        <v>#REF!</v>
      </c>
      <c r="E724" s="161"/>
      <c r="F724" s="161"/>
      <c r="G724" s="161"/>
      <c r="H724" s="161"/>
      <c r="I724" s="118"/>
      <c r="J724" s="118"/>
      <c r="K724" s="117"/>
      <c r="L724" s="119"/>
      <c r="M724" s="119"/>
      <c r="N724" s="166"/>
      <c r="O724" s="118"/>
      <c r="P724" s="118"/>
      <c r="Q724" s="167"/>
      <c r="R724" s="163"/>
      <c r="S724" s="163"/>
      <c r="T724" s="168"/>
      <c r="U724" s="123" t="str">
        <f t="shared" si="41"/>
        <v>#DIV/0!</v>
      </c>
      <c r="V724" s="168"/>
      <c r="W724" s="169"/>
    </row>
    <row r="725">
      <c r="A725" s="161"/>
      <c r="B725" s="161"/>
      <c r="C725" s="161"/>
      <c r="D725" s="160" t="str">
        <f>IFERROR(__xludf.DUMMYFUNCTION("SUBSTITUTE(REGEXEXTRACT(#REF!, ""[^-]+$""), ""x"", "" x "")"),"#REF!")</f>
        <v>#REF!</v>
      </c>
      <c r="E725" s="161"/>
      <c r="F725" s="161"/>
      <c r="G725" s="161"/>
      <c r="H725" s="161"/>
      <c r="I725" s="118"/>
      <c r="J725" s="118"/>
      <c r="K725" s="117"/>
      <c r="L725" s="119"/>
      <c r="M725" s="119"/>
      <c r="N725" s="166"/>
      <c r="O725" s="118"/>
      <c r="P725" s="118"/>
      <c r="Q725" s="167"/>
      <c r="R725" s="163"/>
      <c r="S725" s="163"/>
      <c r="T725" s="168"/>
      <c r="U725" s="123" t="str">
        <f t="shared" si="41"/>
        <v>#DIV/0!</v>
      </c>
      <c r="V725" s="168"/>
      <c r="W725" s="169"/>
    </row>
    <row r="726">
      <c r="A726" s="161"/>
      <c r="B726" s="161"/>
      <c r="C726" s="161"/>
      <c r="D726" s="160" t="str">
        <f>IFERROR(__xludf.DUMMYFUNCTION("SUBSTITUTE(REGEXEXTRACT(#REF!, ""[^-]+$""), ""x"", "" x "")"),"#REF!")</f>
        <v>#REF!</v>
      </c>
      <c r="E726" s="161"/>
      <c r="F726" s="161"/>
      <c r="G726" s="161"/>
      <c r="H726" s="161"/>
      <c r="I726" s="118"/>
      <c r="J726" s="118"/>
      <c r="K726" s="117"/>
      <c r="L726" s="119"/>
      <c r="M726" s="119"/>
      <c r="N726" s="166"/>
      <c r="O726" s="118"/>
      <c r="P726" s="118"/>
      <c r="Q726" s="167"/>
      <c r="R726" s="163"/>
      <c r="S726" s="163"/>
      <c r="T726" s="168"/>
      <c r="U726" s="123" t="str">
        <f t="shared" si="41"/>
        <v>#DIV/0!</v>
      </c>
      <c r="V726" s="168"/>
      <c r="W726" s="169"/>
    </row>
    <row r="727">
      <c r="A727" s="161"/>
      <c r="B727" s="161"/>
      <c r="C727" s="161"/>
      <c r="D727" s="160" t="str">
        <f>IFERROR(__xludf.DUMMYFUNCTION("SUBSTITUTE(REGEXEXTRACT(#REF!, ""[^-]+$""), ""x"", "" x "")"),"#REF!")</f>
        <v>#REF!</v>
      </c>
      <c r="E727" s="161"/>
      <c r="F727" s="161"/>
      <c r="G727" s="161"/>
      <c r="H727" s="161"/>
      <c r="I727" s="118"/>
      <c r="J727" s="118"/>
      <c r="K727" s="117"/>
      <c r="L727" s="119"/>
      <c r="M727" s="119"/>
      <c r="N727" s="166"/>
      <c r="O727" s="118"/>
      <c r="P727" s="118"/>
      <c r="Q727" s="167"/>
      <c r="R727" s="163"/>
      <c r="S727" s="163"/>
      <c r="T727" s="168"/>
      <c r="U727" s="123" t="str">
        <f t="shared" si="41"/>
        <v>#DIV/0!</v>
      </c>
      <c r="V727" s="168"/>
      <c r="W727" s="169"/>
    </row>
    <row r="728">
      <c r="A728" s="161"/>
      <c r="B728" s="161"/>
      <c r="C728" s="161"/>
      <c r="D728" s="160" t="str">
        <f>IFERROR(__xludf.DUMMYFUNCTION("SUBSTITUTE(REGEXEXTRACT(#REF!, ""[^-]+$""), ""x"", "" x "")"),"#REF!")</f>
        <v>#REF!</v>
      </c>
      <c r="E728" s="161"/>
      <c r="F728" s="161"/>
      <c r="G728" s="161"/>
      <c r="H728" s="161"/>
      <c r="I728" s="117"/>
      <c r="J728" s="117"/>
      <c r="K728" s="117"/>
      <c r="L728" s="166"/>
      <c r="M728" s="166"/>
      <c r="N728" s="119"/>
      <c r="O728" s="117"/>
      <c r="P728" s="117"/>
      <c r="Q728" s="167"/>
      <c r="R728" s="163"/>
      <c r="S728" s="163"/>
      <c r="T728" s="168"/>
      <c r="U728" s="123" t="str">
        <f t="shared" si="41"/>
        <v>#DIV/0!</v>
      </c>
      <c r="V728" s="168"/>
      <c r="W728" s="169"/>
    </row>
    <row r="729">
      <c r="A729" s="161"/>
      <c r="B729" s="161"/>
      <c r="C729" s="161"/>
      <c r="D729" s="160" t="str">
        <f>IFERROR(__xludf.DUMMYFUNCTION("SUBSTITUTE(REGEXEXTRACT(#REF!, ""[^-]+$""), ""x"", "" x "")"),"#REF!")</f>
        <v>#REF!</v>
      </c>
      <c r="E729" s="161"/>
      <c r="F729" s="161"/>
      <c r="G729" s="161"/>
      <c r="H729" s="161"/>
      <c r="I729" s="117"/>
      <c r="J729" s="117"/>
      <c r="K729" s="117"/>
      <c r="L729" s="166"/>
      <c r="M729" s="166"/>
      <c r="N729" s="166"/>
      <c r="O729" s="117"/>
      <c r="P729" s="117"/>
      <c r="Q729" s="162"/>
      <c r="R729" s="163"/>
      <c r="S729" s="163"/>
      <c r="T729" s="168"/>
      <c r="U729" s="123" t="str">
        <f t="shared" si="41"/>
        <v>#DIV/0!</v>
      </c>
      <c r="V729" s="168"/>
      <c r="W729" s="169"/>
    </row>
    <row r="730">
      <c r="A730" s="161"/>
      <c r="B730" s="161"/>
      <c r="C730" s="161"/>
      <c r="D730" s="160" t="str">
        <f>IFERROR(__xludf.DUMMYFUNCTION("SUBSTITUTE(REGEXEXTRACT(#REF!, ""[^-]+$""), ""x"", "" x "")"),"#REF!")</f>
        <v>#REF!</v>
      </c>
      <c r="E730" s="161"/>
      <c r="F730" s="161"/>
      <c r="G730" s="161"/>
      <c r="H730" s="161"/>
      <c r="I730" s="117"/>
      <c r="J730" s="117"/>
      <c r="K730" s="117"/>
      <c r="L730" s="166"/>
      <c r="M730" s="166"/>
      <c r="N730" s="166"/>
      <c r="O730" s="117"/>
      <c r="P730" s="117"/>
      <c r="Q730" s="162"/>
      <c r="R730" s="163"/>
      <c r="S730" s="163"/>
      <c r="T730" s="168"/>
      <c r="U730" s="123" t="str">
        <f t="shared" si="41"/>
        <v>#DIV/0!</v>
      </c>
      <c r="V730" s="168"/>
      <c r="W730" s="169"/>
    </row>
    <row r="731">
      <c r="A731" s="161"/>
      <c r="B731" s="161"/>
      <c r="C731" s="161"/>
      <c r="D731" s="160" t="str">
        <f>IFERROR(__xludf.DUMMYFUNCTION("SUBSTITUTE(REGEXEXTRACT(#REF!, ""[^-]+$""), ""x"", "" x "")"),"#REF!")</f>
        <v>#REF!</v>
      </c>
      <c r="E731" s="161"/>
      <c r="F731" s="161"/>
      <c r="G731" s="161"/>
      <c r="H731" s="161"/>
      <c r="I731" s="117"/>
      <c r="J731" s="117"/>
      <c r="K731" s="117"/>
      <c r="L731" s="166"/>
      <c r="M731" s="166"/>
      <c r="N731" s="166"/>
      <c r="O731" s="117"/>
      <c r="P731" s="117"/>
      <c r="Q731" s="162"/>
      <c r="R731" s="163"/>
      <c r="S731" s="163"/>
      <c r="T731" s="168"/>
      <c r="U731" s="123" t="str">
        <f t="shared" si="41"/>
        <v>#DIV/0!</v>
      </c>
      <c r="V731" s="168"/>
      <c r="W731" s="169"/>
    </row>
    <row r="732">
      <c r="A732" s="161"/>
      <c r="B732" s="161"/>
      <c r="C732" s="161"/>
      <c r="D732" s="160" t="str">
        <f>IFERROR(__xludf.DUMMYFUNCTION("SUBSTITUTE(REGEXEXTRACT(#REF!, ""[^-]+$""), ""x"", "" x "")"),"#REF!")</f>
        <v>#REF!</v>
      </c>
      <c r="E732" s="161"/>
      <c r="F732" s="161"/>
      <c r="G732" s="161"/>
      <c r="H732" s="161"/>
      <c r="I732" s="117"/>
      <c r="J732" s="117"/>
      <c r="K732" s="117"/>
      <c r="L732" s="166"/>
      <c r="M732" s="166"/>
      <c r="N732" s="166"/>
      <c r="O732" s="117"/>
      <c r="P732" s="117"/>
      <c r="Q732" s="167"/>
      <c r="R732" s="163"/>
      <c r="S732" s="163"/>
      <c r="T732" s="168"/>
      <c r="U732" s="123" t="str">
        <f t="shared" si="41"/>
        <v>#DIV/0!</v>
      </c>
      <c r="V732" s="168"/>
      <c r="W732" s="169"/>
    </row>
    <row r="733">
      <c r="A733" s="161"/>
      <c r="B733" s="161"/>
      <c r="C733" s="161"/>
      <c r="D733" s="160" t="str">
        <f>IFERROR(__xludf.DUMMYFUNCTION("SUBSTITUTE(REGEXEXTRACT(#REF!, ""[^-]+$""), ""x"", "" x "")"),"#REF!")</f>
        <v>#REF!</v>
      </c>
      <c r="E733" s="161"/>
      <c r="F733" s="161"/>
      <c r="G733" s="161"/>
      <c r="H733" s="161"/>
      <c r="I733" s="118"/>
      <c r="J733" s="117"/>
      <c r="K733" s="118"/>
      <c r="L733" s="119"/>
      <c r="M733" s="119"/>
      <c r="N733" s="119"/>
      <c r="O733" s="118"/>
      <c r="P733" s="118"/>
      <c r="Q733" s="162"/>
      <c r="R733" s="163"/>
      <c r="S733" s="163"/>
      <c r="T733" s="168"/>
      <c r="U733" s="123" t="str">
        <f t="shared" si="41"/>
        <v>#DIV/0!</v>
      </c>
      <c r="V733" s="168"/>
      <c r="W733" s="169"/>
    </row>
    <row r="734">
      <c r="A734" s="161"/>
      <c r="B734" s="161"/>
      <c r="C734" s="161"/>
      <c r="D734" s="160" t="str">
        <f>IFERROR(__xludf.DUMMYFUNCTION("SUBSTITUTE(REGEXEXTRACT(#REF!, ""[^-]+$""), ""x"", "" x "")"),"#REF!")</f>
        <v>#REF!</v>
      </c>
      <c r="E734" s="161"/>
      <c r="F734" s="161"/>
      <c r="G734" s="161"/>
      <c r="H734" s="161"/>
      <c r="I734" s="118"/>
      <c r="J734" s="117"/>
      <c r="K734" s="118"/>
      <c r="L734" s="119"/>
      <c r="M734" s="119"/>
      <c r="N734" s="119"/>
      <c r="O734" s="118"/>
      <c r="P734" s="118"/>
      <c r="Q734" s="162"/>
      <c r="R734" s="163"/>
      <c r="S734" s="163"/>
      <c r="T734" s="168"/>
      <c r="U734" s="123" t="str">
        <f t="shared" si="41"/>
        <v>#DIV/0!</v>
      </c>
      <c r="V734" s="168"/>
      <c r="W734" s="169"/>
    </row>
    <row r="735">
      <c r="A735" s="161"/>
      <c r="B735" s="161"/>
      <c r="C735" s="161"/>
      <c r="D735" s="160" t="str">
        <f>IFERROR(__xludf.DUMMYFUNCTION("SUBSTITUTE(REGEXEXTRACT(#REF!, ""[^-]+$""), ""x"", "" x "")"),"#REF!")</f>
        <v>#REF!</v>
      </c>
      <c r="E735" s="161"/>
      <c r="F735" s="161"/>
      <c r="G735" s="161"/>
      <c r="H735" s="161"/>
      <c r="I735" s="118"/>
      <c r="J735" s="118"/>
      <c r="K735" s="117"/>
      <c r="L735" s="119"/>
      <c r="M735" s="119"/>
      <c r="N735" s="119"/>
      <c r="O735" s="117"/>
      <c r="P735" s="118"/>
      <c r="Q735" s="162"/>
      <c r="R735" s="163"/>
      <c r="S735" s="163"/>
      <c r="T735" s="168"/>
      <c r="U735" s="123" t="str">
        <f t="shared" si="41"/>
        <v>#DIV/0!</v>
      </c>
      <c r="V735" s="168"/>
      <c r="W735" s="169"/>
    </row>
    <row r="736">
      <c r="A736" s="161"/>
      <c r="B736" s="161"/>
      <c r="C736" s="161"/>
      <c r="D736" s="160" t="str">
        <f>IFERROR(__xludf.DUMMYFUNCTION("SUBSTITUTE(REGEXEXTRACT(#REF!, ""[^-]+$""), ""x"", "" x "")"),"#REF!")</f>
        <v>#REF!</v>
      </c>
      <c r="E736" s="161"/>
      <c r="F736" s="161"/>
      <c r="G736" s="161"/>
      <c r="H736" s="161"/>
      <c r="I736" s="117"/>
      <c r="J736" s="117"/>
      <c r="K736" s="117"/>
      <c r="L736" s="166"/>
      <c r="M736" s="166"/>
      <c r="N736" s="166"/>
      <c r="O736" s="117"/>
      <c r="P736" s="118"/>
      <c r="Q736" s="162"/>
      <c r="R736" s="163"/>
      <c r="S736" s="163"/>
      <c r="T736" s="168"/>
      <c r="U736" s="123" t="str">
        <f t="shared" si="41"/>
        <v>#DIV/0!</v>
      </c>
      <c r="V736" s="168"/>
      <c r="W736" s="169"/>
    </row>
    <row r="737">
      <c r="A737" s="161"/>
      <c r="B737" s="161"/>
      <c r="C737" s="161"/>
      <c r="D737" s="160" t="str">
        <f>IFERROR(__xludf.DUMMYFUNCTION("SUBSTITUTE(REGEXEXTRACT(#REF!, ""[^-]+$""), ""x"", "" x "")"),"#REF!")</f>
        <v>#REF!</v>
      </c>
      <c r="E737" s="161"/>
      <c r="F737" s="161"/>
      <c r="G737" s="161"/>
      <c r="H737" s="161"/>
      <c r="I737" s="117"/>
      <c r="J737" s="117"/>
      <c r="K737" s="117"/>
      <c r="L737" s="166"/>
      <c r="M737" s="166"/>
      <c r="N737" s="166"/>
      <c r="O737" s="117"/>
      <c r="P737" s="118"/>
      <c r="Q737" s="162"/>
      <c r="R737" s="163"/>
      <c r="S737" s="163"/>
      <c r="T737" s="168"/>
      <c r="U737" s="123" t="str">
        <f t="shared" si="41"/>
        <v>#DIV/0!</v>
      </c>
      <c r="V737" s="168"/>
      <c r="W737" s="169"/>
    </row>
    <row r="738">
      <c r="A738" s="161"/>
      <c r="B738" s="161"/>
      <c r="C738" s="161"/>
      <c r="D738" s="160" t="str">
        <f>IFERROR(__xludf.DUMMYFUNCTION("SUBSTITUTE(REGEXEXTRACT(#REF!, ""[^-]+$""), ""x"", "" x "")"),"#REF!")</f>
        <v>#REF!</v>
      </c>
      <c r="E738" s="161"/>
      <c r="F738" s="161"/>
      <c r="G738" s="161"/>
      <c r="H738" s="161"/>
      <c r="I738" s="117"/>
      <c r="J738" s="117"/>
      <c r="K738" s="117"/>
      <c r="L738" s="166"/>
      <c r="M738" s="166"/>
      <c r="N738" s="166"/>
      <c r="O738" s="117"/>
      <c r="P738" s="118"/>
      <c r="Q738" s="162"/>
      <c r="R738" s="163"/>
      <c r="S738" s="163"/>
      <c r="T738" s="168"/>
      <c r="U738" s="123" t="str">
        <f t="shared" si="41"/>
        <v>#DIV/0!</v>
      </c>
      <c r="V738" s="168"/>
      <c r="W738" s="169"/>
    </row>
    <row r="739">
      <c r="A739" s="161"/>
      <c r="B739" s="161"/>
      <c r="C739" s="161"/>
      <c r="D739" s="160" t="str">
        <f>IFERROR(__xludf.DUMMYFUNCTION("SUBSTITUTE(REGEXEXTRACT(#REF!, ""[^-]+$""), ""x"", "" x "")"),"#REF!")</f>
        <v>#REF!</v>
      </c>
      <c r="E739" s="161"/>
      <c r="F739" s="161"/>
      <c r="G739" s="161"/>
      <c r="H739" s="161"/>
      <c r="I739" s="117"/>
      <c r="J739" s="117"/>
      <c r="K739" s="117"/>
      <c r="L739" s="166"/>
      <c r="M739" s="166"/>
      <c r="N739" s="166"/>
      <c r="O739" s="117"/>
      <c r="P739" s="118"/>
      <c r="Q739" s="162"/>
      <c r="R739" s="163"/>
      <c r="S739" s="163"/>
      <c r="T739" s="168"/>
      <c r="U739" s="123" t="str">
        <f t="shared" si="41"/>
        <v>#DIV/0!</v>
      </c>
      <c r="V739" s="168"/>
      <c r="W739" s="169"/>
    </row>
    <row r="740">
      <c r="A740" s="161"/>
      <c r="B740" s="161"/>
      <c r="C740" s="161"/>
      <c r="D740" s="160" t="str">
        <f>IFERROR(__xludf.DUMMYFUNCTION("SUBSTITUTE(REGEXEXTRACT(#REF!, ""[^-]+$""), ""x"", "" x "")"),"#REF!")</f>
        <v>#REF!</v>
      </c>
      <c r="E740" s="161"/>
      <c r="F740" s="161"/>
      <c r="G740" s="161"/>
      <c r="H740" s="161"/>
      <c r="I740" s="117"/>
      <c r="J740" s="117"/>
      <c r="K740" s="117"/>
      <c r="L740" s="166"/>
      <c r="M740" s="166"/>
      <c r="N740" s="166"/>
      <c r="O740" s="117"/>
      <c r="P740" s="117"/>
      <c r="Q740" s="167"/>
      <c r="R740" s="163"/>
      <c r="S740" s="163"/>
      <c r="T740" s="168"/>
      <c r="U740" s="123" t="str">
        <f t="shared" si="41"/>
        <v>#DIV/0!</v>
      </c>
      <c r="V740" s="168"/>
      <c r="W740" s="169"/>
    </row>
    <row r="741">
      <c r="A741" s="161"/>
      <c r="B741" s="161"/>
      <c r="C741" s="161"/>
      <c r="D741" s="160" t="str">
        <f>IFERROR(__xludf.DUMMYFUNCTION("SUBSTITUTE(REGEXEXTRACT(#REF!, ""[^-]+$""), ""x"", "" x "")"),"#REF!")</f>
        <v>#REF!</v>
      </c>
      <c r="E741" s="161"/>
      <c r="F741" s="161"/>
      <c r="G741" s="161"/>
      <c r="H741" s="161"/>
      <c r="I741" s="117"/>
      <c r="J741" s="117"/>
      <c r="K741" s="117"/>
      <c r="L741" s="166"/>
      <c r="M741" s="166"/>
      <c r="N741" s="166"/>
      <c r="O741" s="117"/>
      <c r="P741" s="117"/>
      <c r="Q741" s="167"/>
      <c r="R741" s="163"/>
      <c r="S741" s="163"/>
      <c r="T741" s="168"/>
      <c r="U741" s="123" t="str">
        <f t="shared" si="41"/>
        <v>#DIV/0!</v>
      </c>
      <c r="V741" s="168"/>
      <c r="W741" s="169"/>
    </row>
    <row r="742">
      <c r="A742" s="161"/>
      <c r="B742" s="161"/>
      <c r="C742" s="161"/>
      <c r="D742" s="160" t="str">
        <f>IFERROR(__xludf.DUMMYFUNCTION("SUBSTITUTE(REGEXEXTRACT(#REF!, ""[^-]+$""), ""x"", "" x "")"),"#REF!")</f>
        <v>#REF!</v>
      </c>
      <c r="E742" s="161"/>
      <c r="F742" s="161"/>
      <c r="G742" s="161"/>
      <c r="H742" s="161"/>
      <c r="I742" s="117"/>
      <c r="J742" s="117"/>
      <c r="K742" s="117"/>
      <c r="L742" s="166"/>
      <c r="M742" s="166"/>
      <c r="N742" s="166"/>
      <c r="O742" s="117"/>
      <c r="P742" s="117"/>
      <c r="Q742" s="167"/>
      <c r="R742" s="163"/>
      <c r="S742" s="163"/>
      <c r="T742" s="168"/>
      <c r="U742" s="123" t="str">
        <f t="shared" si="41"/>
        <v>#DIV/0!</v>
      </c>
      <c r="V742" s="168"/>
      <c r="W742" s="169"/>
    </row>
    <row r="743">
      <c r="A743" s="161"/>
      <c r="B743" s="161"/>
      <c r="C743" s="161"/>
      <c r="D743" s="160" t="str">
        <f>IFERROR(__xludf.DUMMYFUNCTION("SUBSTITUTE(REGEXEXTRACT(#REF!, ""[^-]+$""), ""x"", "" x "")"),"#REF!")</f>
        <v>#REF!</v>
      </c>
      <c r="E743" s="161"/>
      <c r="F743" s="161"/>
      <c r="G743" s="161"/>
      <c r="H743" s="161"/>
      <c r="I743" s="118"/>
      <c r="J743" s="117"/>
      <c r="K743" s="118"/>
      <c r="L743" s="119"/>
      <c r="M743" s="166"/>
      <c r="N743" s="119"/>
      <c r="O743" s="118"/>
      <c r="P743" s="117"/>
      <c r="Q743" s="162"/>
      <c r="R743" s="163"/>
      <c r="S743" s="163"/>
      <c r="T743" s="168"/>
      <c r="U743" s="123" t="str">
        <f t="shared" si="41"/>
        <v>#DIV/0!</v>
      </c>
      <c r="V743" s="168"/>
      <c r="W743" s="169"/>
    </row>
    <row r="744">
      <c r="A744" s="161"/>
      <c r="B744" s="161"/>
      <c r="C744" s="161"/>
      <c r="D744" s="160" t="str">
        <f>IFERROR(__xludf.DUMMYFUNCTION("SUBSTITUTE(REGEXEXTRACT(#REF!, ""[^-]+$""), ""x"", "" x "")"),"#REF!")</f>
        <v>#REF!</v>
      </c>
      <c r="E744" s="161"/>
      <c r="F744" s="161"/>
      <c r="G744" s="161"/>
      <c r="H744" s="161"/>
      <c r="I744" s="117"/>
      <c r="J744" s="117"/>
      <c r="K744" s="117"/>
      <c r="L744" s="166"/>
      <c r="M744" s="166"/>
      <c r="N744" s="166"/>
      <c r="O744" s="117"/>
      <c r="P744" s="117"/>
      <c r="Q744" s="167"/>
      <c r="R744" s="163"/>
      <c r="S744" s="163"/>
      <c r="T744" s="168"/>
      <c r="U744" s="123" t="str">
        <f t="shared" si="41"/>
        <v>#DIV/0!</v>
      </c>
      <c r="V744" s="168"/>
      <c r="W744" s="169"/>
    </row>
    <row r="745">
      <c r="A745" s="161"/>
      <c r="B745" s="161"/>
      <c r="C745" s="161"/>
      <c r="D745" s="160" t="str">
        <f>IFERROR(__xludf.DUMMYFUNCTION("SUBSTITUTE(REGEXEXTRACT(#REF!, ""[^-]+$""), ""x"", "" x "")"),"#REF!")</f>
        <v>#REF!</v>
      </c>
      <c r="E745" s="161"/>
      <c r="F745" s="161"/>
      <c r="G745" s="161"/>
      <c r="H745" s="161"/>
      <c r="I745" s="118"/>
      <c r="J745" s="117"/>
      <c r="K745" s="118"/>
      <c r="L745" s="119"/>
      <c r="M745" s="166"/>
      <c r="N745" s="119"/>
      <c r="O745" s="118"/>
      <c r="P745" s="117"/>
      <c r="Q745" s="162"/>
      <c r="R745" s="163"/>
      <c r="S745" s="163"/>
      <c r="T745" s="168"/>
      <c r="U745" s="123" t="str">
        <f t="shared" si="41"/>
        <v>#DIV/0!</v>
      </c>
      <c r="V745" s="168"/>
      <c r="W745" s="169"/>
    </row>
    <row r="746">
      <c r="A746" s="161"/>
      <c r="B746" s="161"/>
      <c r="C746" s="161"/>
      <c r="D746" s="160" t="str">
        <f>IFERROR(__xludf.DUMMYFUNCTION("SUBSTITUTE(REGEXEXTRACT(#REF!, ""[^-]+$""), ""x"", "" x "")"),"#REF!")</f>
        <v>#REF!</v>
      </c>
      <c r="E746" s="161"/>
      <c r="F746" s="161"/>
      <c r="G746" s="161"/>
      <c r="H746" s="161"/>
      <c r="I746" s="118"/>
      <c r="J746" s="117"/>
      <c r="K746" s="118"/>
      <c r="L746" s="119"/>
      <c r="M746" s="166"/>
      <c r="N746" s="119"/>
      <c r="O746" s="118"/>
      <c r="P746" s="117"/>
      <c r="Q746" s="162"/>
      <c r="R746" s="163"/>
      <c r="S746" s="163"/>
      <c r="T746" s="168"/>
      <c r="U746" s="123" t="str">
        <f t="shared" si="41"/>
        <v>#DIV/0!</v>
      </c>
      <c r="V746" s="168"/>
      <c r="W746" s="169"/>
    </row>
    <row r="747">
      <c r="A747" s="161"/>
      <c r="B747" s="161"/>
      <c r="C747" s="161"/>
      <c r="D747" s="160" t="str">
        <f>IFERROR(__xludf.DUMMYFUNCTION("SUBSTITUTE(REGEXEXTRACT(#REF!, ""[^-]+$""), ""x"", "" x "")"),"#REF!")</f>
        <v>#REF!</v>
      </c>
      <c r="E747" s="161"/>
      <c r="F747" s="161"/>
      <c r="G747" s="161"/>
      <c r="H747" s="161"/>
      <c r="I747" s="117"/>
      <c r="J747" s="117"/>
      <c r="K747" s="117"/>
      <c r="L747" s="166"/>
      <c r="M747" s="166"/>
      <c r="N747" s="166"/>
      <c r="O747" s="117"/>
      <c r="P747" s="117"/>
      <c r="Q747" s="167"/>
      <c r="R747" s="163"/>
      <c r="S747" s="163"/>
      <c r="T747" s="168"/>
      <c r="U747" s="123" t="str">
        <f t="shared" si="41"/>
        <v>#DIV/0!</v>
      </c>
      <c r="V747" s="168"/>
      <c r="W747" s="169"/>
    </row>
    <row r="748">
      <c r="A748" s="161"/>
      <c r="B748" s="161"/>
      <c r="C748" s="161"/>
      <c r="D748" s="160" t="str">
        <f>IFERROR(__xludf.DUMMYFUNCTION("SUBSTITUTE(REGEXEXTRACT(#REF!, ""[^-]+$""), ""x"", "" x "")"),"#REF!")</f>
        <v>#REF!</v>
      </c>
      <c r="E748" s="161"/>
      <c r="F748" s="161"/>
      <c r="G748" s="161"/>
      <c r="H748" s="161"/>
      <c r="I748" s="118"/>
      <c r="J748" s="117"/>
      <c r="K748" s="118"/>
      <c r="L748" s="119"/>
      <c r="M748" s="119"/>
      <c r="N748" s="119"/>
      <c r="O748" s="118"/>
      <c r="P748" s="118"/>
      <c r="Q748" s="162"/>
      <c r="R748" s="163"/>
      <c r="S748" s="163"/>
      <c r="T748" s="168"/>
      <c r="U748" s="123" t="str">
        <f t="shared" si="41"/>
        <v>#DIV/0!</v>
      </c>
      <c r="V748" s="168"/>
      <c r="W748" s="169"/>
    </row>
    <row r="749">
      <c r="A749" s="161"/>
      <c r="B749" s="161"/>
      <c r="C749" s="161"/>
      <c r="D749" s="160" t="str">
        <f>IFERROR(__xludf.DUMMYFUNCTION("SUBSTITUTE(REGEXEXTRACT(#REF!, ""[^-]+$""), ""x"", "" x "")"),"#REF!")</f>
        <v>#REF!</v>
      </c>
      <c r="E749" s="161"/>
      <c r="F749" s="161"/>
      <c r="G749" s="161"/>
      <c r="H749" s="161"/>
      <c r="I749" s="118"/>
      <c r="J749" s="117"/>
      <c r="K749" s="118"/>
      <c r="L749" s="119"/>
      <c r="M749" s="119"/>
      <c r="N749" s="119"/>
      <c r="O749" s="118"/>
      <c r="P749" s="117"/>
      <c r="Q749" s="162"/>
      <c r="R749" s="163"/>
      <c r="S749" s="163"/>
      <c r="T749" s="168"/>
      <c r="U749" s="123" t="str">
        <f t="shared" si="41"/>
        <v>#DIV/0!</v>
      </c>
      <c r="V749" s="168"/>
      <c r="W749" s="169"/>
    </row>
    <row r="750">
      <c r="A750" s="161"/>
      <c r="B750" s="161"/>
      <c r="C750" s="161"/>
      <c r="D750" s="160" t="str">
        <f>IFERROR(__xludf.DUMMYFUNCTION("SUBSTITUTE(REGEXEXTRACT(#REF!, ""[^-]+$""), ""x"", "" x "")"),"#REF!")</f>
        <v>#REF!</v>
      </c>
      <c r="E750" s="161"/>
      <c r="F750" s="161"/>
      <c r="G750" s="161"/>
      <c r="H750" s="161"/>
      <c r="I750" s="118"/>
      <c r="J750" s="117"/>
      <c r="K750" s="118"/>
      <c r="L750" s="119"/>
      <c r="M750" s="119"/>
      <c r="N750" s="119"/>
      <c r="O750" s="118"/>
      <c r="P750" s="117"/>
      <c r="Q750" s="162"/>
      <c r="R750" s="163"/>
      <c r="S750" s="163"/>
      <c r="T750" s="168"/>
      <c r="U750" s="123" t="str">
        <f t="shared" si="41"/>
        <v>#DIV/0!</v>
      </c>
      <c r="V750" s="168"/>
      <c r="W750" s="169"/>
    </row>
    <row r="751">
      <c r="A751" s="161"/>
      <c r="B751" s="161"/>
      <c r="C751" s="161"/>
      <c r="D751" s="160" t="str">
        <f>IFERROR(__xludf.DUMMYFUNCTION("SUBSTITUTE(REGEXEXTRACT(#REF!, ""[^-]+$""), ""x"", "" x "")"),"#REF!")</f>
        <v>#REF!</v>
      </c>
      <c r="E751" s="161"/>
      <c r="F751" s="161"/>
      <c r="G751" s="161"/>
      <c r="H751" s="161"/>
      <c r="I751" s="118"/>
      <c r="J751" s="117"/>
      <c r="K751" s="118"/>
      <c r="L751" s="119"/>
      <c r="M751" s="166"/>
      <c r="N751" s="119"/>
      <c r="O751" s="118"/>
      <c r="P751" s="117"/>
      <c r="Q751" s="162"/>
      <c r="R751" s="163"/>
      <c r="S751" s="163"/>
      <c r="T751" s="168"/>
      <c r="U751" s="123" t="str">
        <f t="shared" si="41"/>
        <v>#DIV/0!</v>
      </c>
      <c r="V751" s="168"/>
      <c r="W751" s="169"/>
    </row>
    <row r="752">
      <c r="A752" s="161"/>
      <c r="B752" s="161"/>
      <c r="C752" s="161"/>
      <c r="D752" s="160" t="str">
        <f>IFERROR(__xludf.DUMMYFUNCTION("SUBSTITUTE(REGEXEXTRACT(#REF!, ""[^-]+$""), ""x"", "" x "")"),"#REF!")</f>
        <v>#REF!</v>
      </c>
      <c r="E752" s="161"/>
      <c r="F752" s="161"/>
      <c r="G752" s="161"/>
      <c r="H752" s="161"/>
      <c r="I752" s="118"/>
      <c r="J752" s="117"/>
      <c r="K752" s="118"/>
      <c r="L752" s="119"/>
      <c r="M752" s="166"/>
      <c r="N752" s="119"/>
      <c r="O752" s="118"/>
      <c r="P752" s="117"/>
      <c r="Q752" s="162"/>
      <c r="R752" s="163"/>
      <c r="S752" s="163"/>
      <c r="T752" s="168"/>
      <c r="U752" s="123" t="str">
        <f t="shared" si="41"/>
        <v>#DIV/0!</v>
      </c>
      <c r="V752" s="168"/>
      <c r="W752" s="169"/>
    </row>
    <row r="753">
      <c r="A753" s="161"/>
      <c r="B753" s="161"/>
      <c r="C753" s="161"/>
      <c r="D753" s="160" t="str">
        <f>IFERROR(__xludf.DUMMYFUNCTION("SUBSTITUTE(REGEXEXTRACT(#REF!, ""[^-]+$""), ""x"", "" x "")"),"#REF!")</f>
        <v>#REF!</v>
      </c>
      <c r="E753" s="161"/>
      <c r="F753" s="161"/>
      <c r="G753" s="161"/>
      <c r="H753" s="161"/>
      <c r="I753" s="118"/>
      <c r="J753" s="117"/>
      <c r="K753" s="118"/>
      <c r="L753" s="119"/>
      <c r="M753" s="166"/>
      <c r="N753" s="119"/>
      <c r="O753" s="118"/>
      <c r="P753" s="117"/>
      <c r="Q753" s="162"/>
      <c r="R753" s="163"/>
      <c r="S753" s="163"/>
      <c r="T753" s="168"/>
      <c r="U753" s="123" t="str">
        <f t="shared" si="41"/>
        <v>#DIV/0!</v>
      </c>
      <c r="V753" s="168"/>
      <c r="W753" s="169"/>
    </row>
    <row r="754">
      <c r="A754" s="161"/>
      <c r="B754" s="161"/>
      <c r="C754" s="161"/>
      <c r="D754" s="160" t="str">
        <f>IFERROR(__xludf.DUMMYFUNCTION("SUBSTITUTE(REGEXEXTRACT(#REF!, ""[^-]+$""), ""x"", "" x "")"),"#REF!")</f>
        <v>#REF!</v>
      </c>
      <c r="E754" s="161"/>
      <c r="F754" s="161"/>
      <c r="G754" s="161"/>
      <c r="H754" s="161"/>
      <c r="I754" s="118"/>
      <c r="J754" s="118"/>
      <c r="K754" s="117"/>
      <c r="L754" s="119"/>
      <c r="M754" s="119"/>
      <c r="N754" s="119"/>
      <c r="O754" s="118"/>
      <c r="P754" s="118"/>
      <c r="Q754" s="167"/>
      <c r="R754" s="163"/>
      <c r="S754" s="163"/>
      <c r="T754" s="168"/>
      <c r="U754" s="123" t="str">
        <f t="shared" si="41"/>
        <v>#DIV/0!</v>
      </c>
      <c r="V754" s="168"/>
      <c r="W754" s="169"/>
    </row>
    <row r="755">
      <c r="A755" s="161"/>
      <c r="B755" s="161"/>
      <c r="C755" s="161"/>
      <c r="D755" s="160" t="str">
        <f>IFERROR(__xludf.DUMMYFUNCTION("SUBSTITUTE(REGEXEXTRACT(#REF!, ""[^-]+$""), ""x"", "" x "")"),"#REF!")</f>
        <v>#REF!</v>
      </c>
      <c r="E755" s="161"/>
      <c r="F755" s="161"/>
      <c r="G755" s="161"/>
      <c r="H755" s="161"/>
      <c r="I755" s="118"/>
      <c r="J755" s="118"/>
      <c r="K755" s="117"/>
      <c r="L755" s="119"/>
      <c r="M755" s="119"/>
      <c r="N755" s="119"/>
      <c r="O755" s="118"/>
      <c r="P755" s="118"/>
      <c r="Q755" s="167"/>
      <c r="R755" s="163"/>
      <c r="S755" s="163"/>
      <c r="T755" s="168"/>
      <c r="U755" s="123" t="str">
        <f t="shared" si="41"/>
        <v>#DIV/0!</v>
      </c>
      <c r="V755" s="168"/>
      <c r="W755" s="169"/>
    </row>
    <row r="756">
      <c r="A756" s="161"/>
      <c r="B756" s="161"/>
      <c r="C756" s="161"/>
      <c r="D756" s="160" t="str">
        <f>IFERROR(__xludf.DUMMYFUNCTION("SUBSTITUTE(REGEXEXTRACT(#REF!, ""[^-]+$""), ""x"", "" x "")"),"#REF!")</f>
        <v>#REF!</v>
      </c>
      <c r="E756" s="161"/>
      <c r="F756" s="161"/>
      <c r="G756" s="161"/>
      <c r="H756" s="161"/>
      <c r="I756" s="118"/>
      <c r="J756" s="118"/>
      <c r="K756" s="117"/>
      <c r="L756" s="119"/>
      <c r="M756" s="119"/>
      <c r="N756" s="166"/>
      <c r="O756" s="118"/>
      <c r="P756" s="118"/>
      <c r="Q756" s="167"/>
      <c r="R756" s="163"/>
      <c r="S756" s="163"/>
      <c r="T756" s="168"/>
      <c r="U756" s="123" t="str">
        <f t="shared" si="41"/>
        <v>#DIV/0!</v>
      </c>
      <c r="V756" s="168"/>
      <c r="W756" s="169"/>
    </row>
    <row r="757">
      <c r="A757" s="161"/>
      <c r="B757" s="161"/>
      <c r="C757" s="161"/>
      <c r="D757" s="160" t="str">
        <f>IFERROR(__xludf.DUMMYFUNCTION("SUBSTITUTE(REGEXEXTRACT(#REF!, ""[^-]+$""), ""x"", "" x "")"),"#REF!")</f>
        <v>#REF!</v>
      </c>
      <c r="E757" s="161"/>
      <c r="F757" s="161"/>
      <c r="G757" s="161"/>
      <c r="H757" s="161"/>
      <c r="I757" s="118"/>
      <c r="J757" s="118"/>
      <c r="K757" s="117"/>
      <c r="L757" s="119"/>
      <c r="M757" s="119"/>
      <c r="N757" s="119"/>
      <c r="O757" s="118"/>
      <c r="P757" s="118"/>
      <c r="Q757" s="167"/>
      <c r="R757" s="163"/>
      <c r="S757" s="163"/>
      <c r="T757" s="168"/>
      <c r="U757" s="123" t="str">
        <f t="shared" si="41"/>
        <v>#DIV/0!</v>
      </c>
      <c r="V757" s="168"/>
      <c r="W757" s="169"/>
    </row>
    <row r="758">
      <c r="A758" s="161"/>
      <c r="B758" s="161"/>
      <c r="C758" s="161"/>
      <c r="D758" s="160" t="str">
        <f>IFERROR(__xludf.DUMMYFUNCTION("SUBSTITUTE(REGEXEXTRACT(#REF!, ""[^-]+$""), ""x"", "" x "")"),"#REF!")</f>
        <v>#REF!</v>
      </c>
      <c r="E758" s="161"/>
      <c r="F758" s="161"/>
      <c r="G758" s="161"/>
      <c r="H758" s="161"/>
      <c r="I758" s="118"/>
      <c r="J758" s="118"/>
      <c r="K758" s="117"/>
      <c r="L758" s="119"/>
      <c r="M758" s="119"/>
      <c r="N758" s="119"/>
      <c r="O758" s="118"/>
      <c r="P758" s="118"/>
      <c r="Q758" s="167"/>
      <c r="R758" s="163"/>
      <c r="S758" s="163"/>
      <c r="T758" s="168"/>
      <c r="U758" s="123" t="str">
        <f t="shared" si="41"/>
        <v>#DIV/0!</v>
      </c>
      <c r="V758" s="168"/>
      <c r="W758" s="169"/>
    </row>
    <row r="759">
      <c r="A759" s="161"/>
      <c r="B759" s="161"/>
      <c r="C759" s="161"/>
      <c r="D759" s="160" t="str">
        <f>IFERROR(__xludf.DUMMYFUNCTION("SUBSTITUTE(REGEXEXTRACT(#REF!, ""[^-]+$""), ""x"", "" x "")"),"#REF!")</f>
        <v>#REF!</v>
      </c>
      <c r="E759" s="161"/>
      <c r="F759" s="161"/>
      <c r="G759" s="161"/>
      <c r="H759" s="161"/>
      <c r="I759" s="118"/>
      <c r="J759" s="118"/>
      <c r="K759" s="117"/>
      <c r="L759" s="119"/>
      <c r="M759" s="119"/>
      <c r="N759" s="119"/>
      <c r="O759" s="118"/>
      <c r="P759" s="118"/>
      <c r="Q759" s="167"/>
      <c r="R759" s="163"/>
      <c r="S759" s="163"/>
      <c r="T759" s="168"/>
      <c r="U759" s="123" t="str">
        <f t="shared" si="41"/>
        <v>#DIV/0!</v>
      </c>
      <c r="V759" s="168"/>
      <c r="W759" s="169"/>
    </row>
    <row r="760">
      <c r="A760" s="161"/>
      <c r="B760" s="161"/>
      <c r="C760" s="161"/>
      <c r="D760" s="160" t="str">
        <f>IFERROR(__xludf.DUMMYFUNCTION("SUBSTITUTE(REGEXEXTRACT(#REF!, ""[^-]+$""), ""x"", "" x "")"),"#REF!")</f>
        <v>#REF!</v>
      </c>
      <c r="E760" s="161"/>
      <c r="F760" s="161"/>
      <c r="G760" s="161"/>
      <c r="H760" s="161"/>
      <c r="I760" s="118"/>
      <c r="J760" s="118"/>
      <c r="K760" s="117"/>
      <c r="L760" s="119"/>
      <c r="M760" s="119"/>
      <c r="N760" s="119"/>
      <c r="O760" s="118"/>
      <c r="P760" s="118"/>
      <c r="Q760" s="167"/>
      <c r="R760" s="163"/>
      <c r="S760" s="163"/>
      <c r="T760" s="168"/>
      <c r="U760" s="123" t="str">
        <f t="shared" si="41"/>
        <v>#DIV/0!</v>
      </c>
      <c r="V760" s="168"/>
      <c r="W760" s="169"/>
    </row>
    <row r="761">
      <c r="A761" s="161"/>
      <c r="B761" s="161"/>
      <c r="C761" s="161"/>
      <c r="D761" s="160" t="str">
        <f>IFERROR(__xludf.DUMMYFUNCTION("SUBSTITUTE(REGEXEXTRACT(#REF!, ""[^-]+$""), ""x"", "" x "")"),"#REF!")</f>
        <v>#REF!</v>
      </c>
      <c r="E761" s="161"/>
      <c r="F761" s="161"/>
      <c r="G761" s="161"/>
      <c r="H761" s="161"/>
      <c r="I761" s="118"/>
      <c r="J761" s="118"/>
      <c r="K761" s="117"/>
      <c r="L761" s="119"/>
      <c r="M761" s="119"/>
      <c r="N761" s="119"/>
      <c r="O761" s="118"/>
      <c r="P761" s="118"/>
      <c r="Q761" s="167"/>
      <c r="R761" s="163"/>
      <c r="S761" s="163"/>
      <c r="T761" s="168"/>
      <c r="U761" s="123" t="str">
        <f t="shared" si="41"/>
        <v>#DIV/0!</v>
      </c>
      <c r="V761" s="168"/>
      <c r="W761" s="169"/>
    </row>
    <row r="762">
      <c r="A762" s="161"/>
      <c r="B762" s="161"/>
      <c r="C762" s="161"/>
      <c r="D762" s="160" t="str">
        <f>IFERROR(__xludf.DUMMYFUNCTION("SUBSTITUTE(REGEXEXTRACT(#REF!, ""[^-]+$""), ""x"", "" x "")"),"#REF!")</f>
        <v>#REF!</v>
      </c>
      <c r="E762" s="161"/>
      <c r="F762" s="161"/>
      <c r="G762" s="161"/>
      <c r="H762" s="161"/>
      <c r="I762" s="118"/>
      <c r="J762" s="118"/>
      <c r="K762" s="117"/>
      <c r="L762" s="119"/>
      <c r="M762" s="119"/>
      <c r="N762" s="119"/>
      <c r="O762" s="118"/>
      <c r="P762" s="118"/>
      <c r="Q762" s="167"/>
      <c r="R762" s="163"/>
      <c r="S762" s="163"/>
      <c r="T762" s="168"/>
      <c r="U762" s="123" t="str">
        <f t="shared" si="41"/>
        <v>#DIV/0!</v>
      </c>
      <c r="V762" s="168"/>
      <c r="W762" s="169"/>
    </row>
    <row r="763">
      <c r="A763" s="161"/>
      <c r="B763" s="161"/>
      <c r="C763" s="161"/>
      <c r="D763" s="160" t="str">
        <f>IFERROR(__xludf.DUMMYFUNCTION("SUBSTITUTE(REGEXEXTRACT(#REF!, ""[^-]+$""), ""x"", "" x "")"),"#REF!")</f>
        <v>#REF!</v>
      </c>
      <c r="E763" s="161"/>
      <c r="F763" s="161"/>
      <c r="G763" s="161"/>
      <c r="H763" s="161"/>
      <c r="I763" s="118"/>
      <c r="J763" s="118"/>
      <c r="K763" s="117"/>
      <c r="L763" s="119"/>
      <c r="M763" s="119"/>
      <c r="N763" s="119"/>
      <c r="O763" s="118"/>
      <c r="P763" s="118"/>
      <c r="Q763" s="167"/>
      <c r="R763" s="163"/>
      <c r="S763" s="163"/>
      <c r="T763" s="168"/>
      <c r="U763" s="123" t="str">
        <f t="shared" si="41"/>
        <v>#DIV/0!</v>
      </c>
      <c r="V763" s="168"/>
      <c r="W763" s="169"/>
    </row>
    <row r="764">
      <c r="A764" s="161"/>
      <c r="B764" s="161"/>
      <c r="C764" s="161"/>
      <c r="D764" s="160" t="str">
        <f>IFERROR(__xludf.DUMMYFUNCTION("SUBSTITUTE(REGEXEXTRACT(#REF!, ""[^-]+$""), ""x"", "" x "")"),"#REF!")</f>
        <v>#REF!</v>
      </c>
      <c r="E764" s="161"/>
      <c r="F764" s="161"/>
      <c r="G764" s="161"/>
      <c r="H764" s="161"/>
      <c r="I764" s="118"/>
      <c r="J764" s="118"/>
      <c r="K764" s="117"/>
      <c r="L764" s="119"/>
      <c r="M764" s="119"/>
      <c r="N764" s="119"/>
      <c r="O764" s="118"/>
      <c r="P764" s="118"/>
      <c r="Q764" s="167"/>
      <c r="R764" s="163"/>
      <c r="S764" s="163"/>
      <c r="T764" s="168"/>
      <c r="U764" s="123" t="str">
        <f t="shared" si="41"/>
        <v>#DIV/0!</v>
      </c>
      <c r="V764" s="168"/>
      <c r="W764" s="169"/>
    </row>
    <row r="765">
      <c r="A765" s="161"/>
      <c r="B765" s="161"/>
      <c r="C765" s="161"/>
      <c r="D765" s="160" t="str">
        <f>IFERROR(__xludf.DUMMYFUNCTION("SUBSTITUTE(REGEXEXTRACT(#REF!, ""[^-]+$""), ""x"", "" x "")"),"#REF!")</f>
        <v>#REF!</v>
      </c>
      <c r="E765" s="161"/>
      <c r="F765" s="161"/>
      <c r="G765" s="161"/>
      <c r="H765" s="161"/>
      <c r="I765" s="118"/>
      <c r="J765" s="118"/>
      <c r="K765" s="117"/>
      <c r="L765" s="119"/>
      <c r="M765" s="119"/>
      <c r="N765" s="119"/>
      <c r="O765" s="118"/>
      <c r="P765" s="118"/>
      <c r="Q765" s="167"/>
      <c r="R765" s="163"/>
      <c r="S765" s="163"/>
      <c r="T765" s="168"/>
      <c r="U765" s="123" t="str">
        <f t="shared" si="41"/>
        <v>#DIV/0!</v>
      </c>
      <c r="V765" s="168"/>
      <c r="W765" s="169"/>
    </row>
    <row r="766">
      <c r="A766" s="161"/>
      <c r="B766" s="161"/>
      <c r="C766" s="161"/>
      <c r="D766" s="160" t="str">
        <f>IFERROR(__xludf.DUMMYFUNCTION("SUBSTITUTE(REGEXEXTRACT(#REF!, ""[^-]+$""), ""x"", "" x "")"),"#REF!")</f>
        <v>#REF!</v>
      </c>
      <c r="E766" s="161"/>
      <c r="F766" s="161"/>
      <c r="G766" s="161"/>
      <c r="H766" s="161"/>
      <c r="I766" s="118"/>
      <c r="J766" s="118"/>
      <c r="K766" s="117"/>
      <c r="L766" s="119"/>
      <c r="M766" s="119"/>
      <c r="N766" s="119"/>
      <c r="O766" s="118"/>
      <c r="P766" s="118"/>
      <c r="Q766" s="167"/>
      <c r="R766" s="163"/>
      <c r="S766" s="163"/>
      <c r="T766" s="168"/>
      <c r="U766" s="123" t="str">
        <f t="shared" si="41"/>
        <v>#DIV/0!</v>
      </c>
      <c r="V766" s="168"/>
      <c r="W766" s="169"/>
    </row>
    <row r="767">
      <c r="A767" s="161"/>
      <c r="B767" s="161"/>
      <c r="C767" s="161"/>
      <c r="D767" s="160" t="str">
        <f>IFERROR(__xludf.DUMMYFUNCTION("SUBSTITUTE(REGEXEXTRACT(#REF!, ""[^-]+$""), ""x"", "" x "")"),"#REF!")</f>
        <v>#REF!</v>
      </c>
      <c r="E767" s="161"/>
      <c r="F767" s="161"/>
      <c r="G767" s="161"/>
      <c r="H767" s="161"/>
      <c r="I767" s="118"/>
      <c r="J767" s="118"/>
      <c r="K767" s="117"/>
      <c r="L767" s="119"/>
      <c r="M767" s="119"/>
      <c r="N767" s="119"/>
      <c r="O767" s="118"/>
      <c r="P767" s="118"/>
      <c r="Q767" s="167"/>
      <c r="R767" s="163"/>
      <c r="S767" s="163"/>
      <c r="T767" s="168"/>
      <c r="U767" s="123" t="str">
        <f t="shared" si="41"/>
        <v>#DIV/0!</v>
      </c>
      <c r="V767" s="168"/>
      <c r="W767" s="169"/>
    </row>
    <row r="768">
      <c r="A768" s="161"/>
      <c r="B768" s="161"/>
      <c r="C768" s="161"/>
      <c r="D768" s="160" t="str">
        <f>IFERROR(__xludf.DUMMYFUNCTION("SUBSTITUTE(REGEXEXTRACT(#REF!, ""[^-]+$""), ""x"", "" x "")"),"#REF!")</f>
        <v>#REF!</v>
      </c>
      <c r="E768" s="161"/>
      <c r="F768" s="161"/>
      <c r="G768" s="161"/>
      <c r="H768" s="161"/>
      <c r="I768" s="118"/>
      <c r="J768" s="118"/>
      <c r="K768" s="117"/>
      <c r="L768" s="119"/>
      <c r="M768" s="119"/>
      <c r="N768" s="119"/>
      <c r="O768" s="118"/>
      <c r="P768" s="118"/>
      <c r="Q768" s="167"/>
      <c r="R768" s="163"/>
      <c r="S768" s="163"/>
      <c r="T768" s="168"/>
      <c r="U768" s="123" t="str">
        <f t="shared" si="41"/>
        <v>#DIV/0!</v>
      </c>
      <c r="V768" s="168"/>
      <c r="W768" s="169"/>
    </row>
    <row r="769">
      <c r="A769" s="161"/>
      <c r="B769" s="161"/>
      <c r="C769" s="161"/>
      <c r="D769" s="160" t="str">
        <f>IFERROR(__xludf.DUMMYFUNCTION("SUBSTITUTE(REGEXEXTRACT(#REF!, ""[^-]+$""), ""x"", "" x "")"),"#REF!")</f>
        <v>#REF!</v>
      </c>
      <c r="E769" s="161"/>
      <c r="F769" s="161"/>
      <c r="G769" s="161"/>
      <c r="H769" s="161"/>
      <c r="I769" s="118"/>
      <c r="J769" s="118"/>
      <c r="K769" s="117"/>
      <c r="L769" s="119"/>
      <c r="M769" s="119"/>
      <c r="N769" s="119"/>
      <c r="O769" s="118"/>
      <c r="P769" s="118"/>
      <c r="Q769" s="167"/>
      <c r="R769" s="163"/>
      <c r="S769" s="163"/>
      <c r="T769" s="168"/>
      <c r="U769" s="123" t="str">
        <f t="shared" si="41"/>
        <v>#DIV/0!</v>
      </c>
      <c r="V769" s="168"/>
      <c r="W769" s="169"/>
    </row>
    <row r="770">
      <c r="A770" s="161"/>
      <c r="B770" s="161"/>
      <c r="C770" s="161"/>
      <c r="D770" s="160" t="str">
        <f>IFERROR(__xludf.DUMMYFUNCTION("SUBSTITUTE(REGEXEXTRACT(#REF!, ""[^-]+$""), ""x"", "" x "")"),"#REF!")</f>
        <v>#REF!</v>
      </c>
      <c r="E770" s="161"/>
      <c r="F770" s="161"/>
      <c r="G770" s="161"/>
      <c r="H770" s="161"/>
      <c r="I770" s="118"/>
      <c r="J770" s="118"/>
      <c r="K770" s="117"/>
      <c r="L770" s="119"/>
      <c r="M770" s="119"/>
      <c r="N770" s="119"/>
      <c r="O770" s="118"/>
      <c r="P770" s="118"/>
      <c r="Q770" s="167"/>
      <c r="R770" s="163"/>
      <c r="S770" s="163"/>
      <c r="T770" s="168"/>
      <c r="U770" s="123" t="str">
        <f t="shared" si="41"/>
        <v>#DIV/0!</v>
      </c>
      <c r="V770" s="168"/>
      <c r="W770" s="169"/>
    </row>
    <row r="771">
      <c r="A771" s="161"/>
      <c r="B771" s="161"/>
      <c r="C771" s="161"/>
      <c r="D771" s="160" t="str">
        <f>IFERROR(__xludf.DUMMYFUNCTION("SUBSTITUTE(REGEXEXTRACT(#REF!, ""[^-]+$""), ""x"", "" x "")"),"#REF!")</f>
        <v>#REF!</v>
      </c>
      <c r="E771" s="161"/>
      <c r="F771" s="161"/>
      <c r="G771" s="161"/>
      <c r="H771" s="161"/>
      <c r="I771" s="118"/>
      <c r="J771" s="118"/>
      <c r="K771" s="117"/>
      <c r="L771" s="119"/>
      <c r="M771" s="119"/>
      <c r="N771" s="119"/>
      <c r="O771" s="118"/>
      <c r="P771" s="118"/>
      <c r="Q771" s="167"/>
      <c r="R771" s="163"/>
      <c r="S771" s="163"/>
      <c r="T771" s="168"/>
      <c r="U771" s="123" t="str">
        <f t="shared" si="41"/>
        <v>#DIV/0!</v>
      </c>
      <c r="V771" s="168"/>
      <c r="W771" s="169"/>
    </row>
    <row r="772">
      <c r="A772" s="161"/>
      <c r="B772" s="161"/>
      <c r="C772" s="161"/>
      <c r="D772" s="160" t="str">
        <f>IFERROR(__xludf.DUMMYFUNCTION("SUBSTITUTE(REGEXEXTRACT(#REF!, ""[^-]+$""), ""x"", "" x "")"),"#REF!")</f>
        <v>#REF!</v>
      </c>
      <c r="E772" s="161"/>
      <c r="F772" s="161"/>
      <c r="G772" s="161"/>
      <c r="H772" s="161"/>
      <c r="I772" s="118"/>
      <c r="J772" s="118"/>
      <c r="K772" s="117"/>
      <c r="L772" s="119"/>
      <c r="M772" s="119"/>
      <c r="N772" s="166"/>
      <c r="O772" s="118"/>
      <c r="P772" s="118"/>
      <c r="Q772" s="167"/>
      <c r="R772" s="163"/>
      <c r="S772" s="163"/>
      <c r="T772" s="168"/>
      <c r="U772" s="123" t="str">
        <f t="shared" si="41"/>
        <v>#DIV/0!</v>
      </c>
      <c r="V772" s="168"/>
      <c r="W772" s="169"/>
    </row>
    <row r="773">
      <c r="A773" s="161"/>
      <c r="B773" s="161"/>
      <c r="C773" s="161"/>
      <c r="D773" s="160" t="str">
        <f>IFERROR(__xludf.DUMMYFUNCTION("SUBSTITUTE(REGEXEXTRACT(#REF!, ""[^-]+$""), ""x"", "" x "")"),"#REF!")</f>
        <v>#REF!</v>
      </c>
      <c r="E773" s="161"/>
      <c r="F773" s="161"/>
      <c r="G773" s="161"/>
      <c r="H773" s="161"/>
      <c r="I773" s="118"/>
      <c r="J773" s="118"/>
      <c r="K773" s="117"/>
      <c r="L773" s="119"/>
      <c r="M773" s="119"/>
      <c r="N773" s="166"/>
      <c r="O773" s="118"/>
      <c r="P773" s="118"/>
      <c r="Q773" s="167"/>
      <c r="R773" s="163"/>
      <c r="S773" s="163"/>
      <c r="T773" s="168"/>
      <c r="U773" s="123" t="str">
        <f t="shared" si="41"/>
        <v>#DIV/0!</v>
      </c>
      <c r="V773" s="168"/>
      <c r="W773" s="169"/>
    </row>
    <row r="774">
      <c r="A774" s="161"/>
      <c r="B774" s="161"/>
      <c r="C774" s="161"/>
      <c r="D774" s="160" t="str">
        <f>IFERROR(__xludf.DUMMYFUNCTION("SUBSTITUTE(REGEXEXTRACT(#REF!, ""[^-]+$""), ""x"", "" x "")"),"#REF!")</f>
        <v>#REF!</v>
      </c>
      <c r="E774" s="161"/>
      <c r="F774" s="161"/>
      <c r="G774" s="161"/>
      <c r="H774" s="161"/>
      <c r="I774" s="118"/>
      <c r="J774" s="118"/>
      <c r="K774" s="117"/>
      <c r="L774" s="119"/>
      <c r="M774" s="119"/>
      <c r="N774" s="166"/>
      <c r="O774" s="118"/>
      <c r="P774" s="118"/>
      <c r="Q774" s="167"/>
      <c r="R774" s="163"/>
      <c r="S774" s="163"/>
      <c r="T774" s="168"/>
      <c r="U774" s="123" t="str">
        <f t="shared" si="41"/>
        <v>#DIV/0!</v>
      </c>
      <c r="V774" s="168"/>
      <c r="W774" s="169"/>
    </row>
    <row r="775">
      <c r="A775" s="161"/>
      <c r="B775" s="161"/>
      <c r="C775" s="161"/>
      <c r="D775" s="160" t="str">
        <f>IFERROR(__xludf.DUMMYFUNCTION("SUBSTITUTE(REGEXEXTRACT(#REF!, ""[^-]+$""), ""x"", "" x "")"),"#REF!")</f>
        <v>#REF!</v>
      </c>
      <c r="E775" s="161"/>
      <c r="F775" s="161"/>
      <c r="G775" s="161"/>
      <c r="H775" s="161"/>
      <c r="I775" s="118"/>
      <c r="J775" s="118"/>
      <c r="K775" s="117"/>
      <c r="L775" s="119"/>
      <c r="M775" s="119"/>
      <c r="N775" s="166"/>
      <c r="O775" s="118"/>
      <c r="P775" s="118"/>
      <c r="Q775" s="167"/>
      <c r="R775" s="163"/>
      <c r="S775" s="163"/>
      <c r="T775" s="168"/>
      <c r="U775" s="123" t="str">
        <f t="shared" si="41"/>
        <v>#DIV/0!</v>
      </c>
      <c r="V775" s="168"/>
      <c r="W775" s="169"/>
    </row>
    <row r="776">
      <c r="A776" s="161"/>
      <c r="B776" s="161"/>
      <c r="C776" s="161"/>
      <c r="D776" s="160" t="str">
        <f>IFERROR(__xludf.DUMMYFUNCTION("SUBSTITUTE(REGEXEXTRACT(#REF!, ""[^-]+$""), ""x"", "" x "")"),"#REF!")</f>
        <v>#REF!</v>
      </c>
      <c r="E776" s="161"/>
      <c r="F776" s="161"/>
      <c r="G776" s="161"/>
      <c r="H776" s="161"/>
      <c r="I776" s="118"/>
      <c r="J776" s="118"/>
      <c r="K776" s="117"/>
      <c r="L776" s="119"/>
      <c r="M776" s="119"/>
      <c r="N776" s="166"/>
      <c r="O776" s="118"/>
      <c r="P776" s="118"/>
      <c r="Q776" s="167"/>
      <c r="R776" s="163"/>
      <c r="S776" s="163"/>
      <c r="T776" s="168"/>
      <c r="U776" s="123" t="str">
        <f t="shared" si="41"/>
        <v>#DIV/0!</v>
      </c>
      <c r="V776" s="168"/>
      <c r="W776" s="169"/>
    </row>
    <row r="777">
      <c r="A777" s="161"/>
      <c r="B777" s="161"/>
      <c r="C777" s="161"/>
      <c r="D777" s="160" t="str">
        <f>IFERROR(__xludf.DUMMYFUNCTION("SUBSTITUTE(REGEXEXTRACT(#REF!, ""[^-]+$""), ""x"", "" x "")"),"#REF!")</f>
        <v>#REF!</v>
      </c>
      <c r="E777" s="161"/>
      <c r="F777" s="161"/>
      <c r="G777" s="161"/>
      <c r="H777" s="161"/>
      <c r="I777" s="118"/>
      <c r="J777" s="118"/>
      <c r="K777" s="117"/>
      <c r="L777" s="119"/>
      <c r="M777" s="119"/>
      <c r="N777" s="166"/>
      <c r="O777" s="118"/>
      <c r="P777" s="118"/>
      <c r="Q777" s="167"/>
      <c r="R777" s="163"/>
      <c r="S777" s="163"/>
      <c r="T777" s="168"/>
      <c r="U777" s="123" t="str">
        <f t="shared" si="41"/>
        <v>#DIV/0!</v>
      </c>
      <c r="V777" s="168"/>
      <c r="W777" s="169"/>
    </row>
    <row r="778">
      <c r="A778" s="161"/>
      <c r="B778" s="161"/>
      <c r="C778" s="161"/>
      <c r="D778" s="160" t="str">
        <f>IFERROR(__xludf.DUMMYFUNCTION("SUBSTITUTE(REGEXEXTRACT(#REF!, ""[^-]+$""), ""x"", "" x "")"),"#REF!")</f>
        <v>#REF!</v>
      </c>
      <c r="E778" s="161"/>
      <c r="F778" s="161"/>
      <c r="G778" s="161"/>
      <c r="H778" s="161"/>
      <c r="I778" s="118"/>
      <c r="J778" s="118"/>
      <c r="K778" s="117"/>
      <c r="L778" s="119"/>
      <c r="M778" s="119"/>
      <c r="N778" s="166"/>
      <c r="O778" s="118"/>
      <c r="P778" s="118"/>
      <c r="Q778" s="167"/>
      <c r="R778" s="163"/>
      <c r="S778" s="163"/>
      <c r="T778" s="168"/>
      <c r="U778" s="123" t="str">
        <f t="shared" si="41"/>
        <v>#DIV/0!</v>
      </c>
      <c r="V778" s="168"/>
      <c r="W778" s="169"/>
    </row>
    <row r="779">
      <c r="A779" s="161"/>
      <c r="B779" s="161"/>
      <c r="C779" s="161"/>
      <c r="D779" s="160" t="str">
        <f>IFERROR(__xludf.DUMMYFUNCTION("SUBSTITUTE(REGEXEXTRACT(#REF!, ""[^-]+$""), ""x"", "" x "")"),"#REF!")</f>
        <v>#REF!</v>
      </c>
      <c r="E779" s="161"/>
      <c r="F779" s="161"/>
      <c r="G779" s="161"/>
      <c r="H779" s="161"/>
      <c r="I779" s="118"/>
      <c r="J779" s="118"/>
      <c r="K779" s="117"/>
      <c r="L779" s="119"/>
      <c r="M779" s="119"/>
      <c r="N779" s="166"/>
      <c r="O779" s="118"/>
      <c r="P779" s="118"/>
      <c r="Q779" s="167"/>
      <c r="R779" s="163"/>
      <c r="S779" s="163"/>
      <c r="T779" s="168"/>
      <c r="U779" s="123" t="str">
        <f t="shared" si="41"/>
        <v>#DIV/0!</v>
      </c>
      <c r="V779" s="168"/>
      <c r="W779" s="169"/>
    </row>
    <row r="780">
      <c r="A780" s="161"/>
      <c r="B780" s="161"/>
      <c r="C780" s="161"/>
      <c r="D780" s="160" t="str">
        <f>IFERROR(__xludf.DUMMYFUNCTION("SUBSTITUTE(REGEXEXTRACT(#REF!, ""[^-]+$""), ""x"", "" x "")"),"#REF!")</f>
        <v>#REF!</v>
      </c>
      <c r="E780" s="161"/>
      <c r="F780" s="161"/>
      <c r="G780" s="161"/>
      <c r="H780" s="161"/>
      <c r="I780" s="118"/>
      <c r="J780" s="118"/>
      <c r="K780" s="117"/>
      <c r="L780" s="119"/>
      <c r="M780" s="119"/>
      <c r="N780" s="119"/>
      <c r="O780" s="118"/>
      <c r="P780" s="118"/>
      <c r="Q780" s="167"/>
      <c r="R780" s="163"/>
      <c r="S780" s="163"/>
      <c r="T780" s="168"/>
      <c r="U780" s="123" t="str">
        <f t="shared" si="41"/>
        <v>#DIV/0!</v>
      </c>
      <c r="V780" s="168"/>
      <c r="W780" s="169"/>
    </row>
    <row r="781">
      <c r="A781" s="161"/>
      <c r="B781" s="161"/>
      <c r="C781" s="161"/>
      <c r="D781" s="160" t="str">
        <f>IFERROR(__xludf.DUMMYFUNCTION("SUBSTITUTE(REGEXEXTRACT(#REF!, ""[^-]+$""), ""x"", "" x "")"),"#REF!")</f>
        <v>#REF!</v>
      </c>
      <c r="E781" s="161"/>
      <c r="F781" s="161"/>
      <c r="G781" s="161"/>
      <c r="H781" s="161"/>
      <c r="I781" s="118"/>
      <c r="J781" s="118"/>
      <c r="K781" s="117"/>
      <c r="L781" s="119"/>
      <c r="M781" s="119"/>
      <c r="N781" s="119"/>
      <c r="O781" s="118"/>
      <c r="P781" s="118"/>
      <c r="Q781" s="167"/>
      <c r="R781" s="163"/>
      <c r="S781" s="163"/>
      <c r="T781" s="168"/>
      <c r="U781" s="123" t="str">
        <f t="shared" si="41"/>
        <v>#DIV/0!</v>
      </c>
      <c r="V781" s="168"/>
      <c r="W781" s="169"/>
    </row>
    <row r="782">
      <c r="A782" s="161"/>
      <c r="B782" s="161"/>
      <c r="C782" s="161"/>
      <c r="D782" s="160" t="str">
        <f>IFERROR(__xludf.DUMMYFUNCTION("SUBSTITUTE(REGEXEXTRACT(#REF!, ""[^-]+$""), ""x"", "" x "")"),"#REF!")</f>
        <v>#REF!</v>
      </c>
      <c r="E782" s="161"/>
      <c r="F782" s="161"/>
      <c r="G782" s="161"/>
      <c r="H782" s="161"/>
      <c r="I782" s="118"/>
      <c r="J782" s="118"/>
      <c r="K782" s="117"/>
      <c r="L782" s="119"/>
      <c r="M782" s="119"/>
      <c r="N782" s="119"/>
      <c r="O782" s="118"/>
      <c r="P782" s="118"/>
      <c r="Q782" s="167"/>
      <c r="R782" s="163"/>
      <c r="S782" s="163"/>
      <c r="T782" s="168"/>
      <c r="U782" s="123" t="str">
        <f t="shared" si="41"/>
        <v>#DIV/0!</v>
      </c>
      <c r="V782" s="168"/>
      <c r="W782" s="169"/>
    </row>
    <row r="783">
      <c r="A783" s="161"/>
      <c r="B783" s="161"/>
      <c r="C783" s="161"/>
      <c r="D783" s="160" t="str">
        <f>IFERROR(__xludf.DUMMYFUNCTION("SUBSTITUTE(REGEXEXTRACT(#REF!, ""[^-]+$""), ""x"", "" x "")"),"#REF!")</f>
        <v>#REF!</v>
      </c>
      <c r="E783" s="161"/>
      <c r="F783" s="161"/>
      <c r="G783" s="161"/>
      <c r="H783" s="161"/>
      <c r="I783" s="118"/>
      <c r="J783" s="118"/>
      <c r="K783" s="117"/>
      <c r="L783" s="119"/>
      <c r="M783" s="119"/>
      <c r="N783" s="119"/>
      <c r="O783" s="118"/>
      <c r="P783" s="118"/>
      <c r="Q783" s="167"/>
      <c r="R783" s="163"/>
      <c r="S783" s="163"/>
      <c r="T783" s="168"/>
      <c r="U783" s="123" t="str">
        <f t="shared" si="41"/>
        <v>#DIV/0!</v>
      </c>
      <c r="V783" s="168"/>
      <c r="W783" s="169"/>
    </row>
    <row r="784">
      <c r="A784" s="161"/>
      <c r="B784" s="161"/>
      <c r="C784" s="161"/>
      <c r="D784" s="160" t="str">
        <f>IFERROR(__xludf.DUMMYFUNCTION("SUBSTITUTE(REGEXEXTRACT(#REF!, ""[^-]+$""), ""x"", "" x "")"),"#REF!")</f>
        <v>#REF!</v>
      </c>
      <c r="E784" s="161"/>
      <c r="F784" s="161"/>
      <c r="G784" s="161"/>
      <c r="H784" s="161"/>
      <c r="I784" s="118"/>
      <c r="J784" s="118"/>
      <c r="K784" s="117"/>
      <c r="L784" s="119"/>
      <c r="M784" s="119"/>
      <c r="N784" s="119"/>
      <c r="O784" s="118"/>
      <c r="P784" s="118"/>
      <c r="Q784" s="167"/>
      <c r="R784" s="163"/>
      <c r="S784" s="163"/>
      <c r="T784" s="168"/>
      <c r="U784" s="123" t="str">
        <f t="shared" si="41"/>
        <v>#DIV/0!</v>
      </c>
      <c r="V784" s="168"/>
      <c r="W784" s="169"/>
    </row>
    <row r="785">
      <c r="A785" s="161"/>
      <c r="B785" s="161"/>
      <c r="C785" s="161"/>
      <c r="D785" s="160" t="str">
        <f>IFERROR(__xludf.DUMMYFUNCTION("SUBSTITUTE(REGEXEXTRACT(#REF!, ""[^-]+$""), ""x"", "" x "")"),"#REF!")</f>
        <v>#REF!</v>
      </c>
      <c r="E785" s="161"/>
      <c r="F785" s="161"/>
      <c r="G785" s="161"/>
      <c r="H785" s="161"/>
      <c r="I785" s="118"/>
      <c r="J785" s="118"/>
      <c r="K785" s="117"/>
      <c r="L785" s="119"/>
      <c r="M785" s="119"/>
      <c r="N785" s="166"/>
      <c r="O785" s="118"/>
      <c r="P785" s="118"/>
      <c r="Q785" s="167"/>
      <c r="R785" s="163"/>
      <c r="S785" s="163"/>
      <c r="T785" s="168"/>
      <c r="U785" s="123" t="str">
        <f t="shared" si="41"/>
        <v>#DIV/0!</v>
      </c>
      <c r="V785" s="168"/>
      <c r="W785" s="169"/>
    </row>
    <row r="786">
      <c r="A786" s="161"/>
      <c r="B786" s="161"/>
      <c r="C786" s="161"/>
      <c r="D786" s="160" t="str">
        <f>IFERROR(__xludf.DUMMYFUNCTION("SUBSTITUTE(REGEXEXTRACT(#REF!, ""[^-]+$""), ""x"", "" x "")"),"#REF!")</f>
        <v>#REF!</v>
      </c>
      <c r="E786" s="161"/>
      <c r="F786" s="161"/>
      <c r="G786" s="161"/>
      <c r="H786" s="161"/>
      <c r="I786" s="118"/>
      <c r="J786" s="118"/>
      <c r="K786" s="117"/>
      <c r="L786" s="119"/>
      <c r="M786" s="119"/>
      <c r="N786" s="166"/>
      <c r="O786" s="118"/>
      <c r="P786" s="118"/>
      <c r="Q786" s="167"/>
      <c r="R786" s="163"/>
      <c r="S786" s="163"/>
      <c r="T786" s="168"/>
      <c r="U786" s="123" t="str">
        <f t="shared" si="41"/>
        <v>#DIV/0!</v>
      </c>
      <c r="V786" s="168"/>
      <c r="W786" s="169"/>
    </row>
    <row r="787">
      <c r="A787" s="161"/>
      <c r="B787" s="161"/>
      <c r="C787" s="161"/>
      <c r="D787" s="160" t="str">
        <f>IFERROR(__xludf.DUMMYFUNCTION("SUBSTITUTE(REGEXEXTRACT(#REF!, ""[^-]+$""), ""x"", "" x "")"),"#REF!")</f>
        <v>#REF!</v>
      </c>
      <c r="E787" s="161"/>
      <c r="F787" s="161"/>
      <c r="G787" s="161"/>
      <c r="H787" s="161"/>
      <c r="I787" s="118"/>
      <c r="J787" s="118"/>
      <c r="K787" s="117"/>
      <c r="L787" s="119"/>
      <c r="M787" s="119"/>
      <c r="N787" s="166"/>
      <c r="O787" s="118"/>
      <c r="P787" s="118"/>
      <c r="Q787" s="167"/>
      <c r="R787" s="163"/>
      <c r="S787" s="163"/>
      <c r="T787" s="168"/>
      <c r="U787" s="123" t="str">
        <f t="shared" si="41"/>
        <v>#DIV/0!</v>
      </c>
      <c r="V787" s="168"/>
      <c r="W787" s="169"/>
    </row>
    <row r="788">
      <c r="A788" s="161"/>
      <c r="B788" s="161"/>
      <c r="C788" s="161"/>
      <c r="D788" s="160" t="str">
        <f>IFERROR(__xludf.DUMMYFUNCTION("SUBSTITUTE(REGEXEXTRACT(#REF!, ""[^-]+$""), ""x"", "" x "")"),"#REF!")</f>
        <v>#REF!</v>
      </c>
      <c r="E788" s="161"/>
      <c r="F788" s="161"/>
      <c r="G788" s="161"/>
      <c r="H788" s="161"/>
      <c r="I788" s="118"/>
      <c r="J788" s="118"/>
      <c r="K788" s="117"/>
      <c r="L788" s="119"/>
      <c r="M788" s="119"/>
      <c r="N788" s="166"/>
      <c r="O788" s="118"/>
      <c r="P788" s="118"/>
      <c r="Q788" s="167"/>
      <c r="R788" s="163"/>
      <c r="S788" s="163"/>
      <c r="T788" s="168"/>
      <c r="U788" s="123" t="str">
        <f t="shared" si="41"/>
        <v>#DIV/0!</v>
      </c>
      <c r="V788" s="168"/>
      <c r="W788" s="169"/>
    </row>
    <row r="789">
      <c r="A789" s="161"/>
      <c r="B789" s="161"/>
      <c r="C789" s="161"/>
      <c r="D789" s="160" t="str">
        <f>IFERROR(__xludf.DUMMYFUNCTION("SUBSTITUTE(REGEXEXTRACT(#REF!, ""[^-]+$""), ""x"", "" x "")"),"#REF!")</f>
        <v>#REF!</v>
      </c>
      <c r="E789" s="161"/>
      <c r="F789" s="161"/>
      <c r="G789" s="161"/>
      <c r="H789" s="161"/>
      <c r="I789" s="117"/>
      <c r="J789" s="117"/>
      <c r="K789" s="117"/>
      <c r="L789" s="166"/>
      <c r="M789" s="166"/>
      <c r="N789" s="119"/>
      <c r="O789" s="117"/>
      <c r="P789" s="117"/>
      <c r="Q789" s="167"/>
      <c r="R789" s="163"/>
      <c r="S789" s="163"/>
      <c r="T789" s="168"/>
      <c r="U789" s="123" t="str">
        <f t="shared" si="41"/>
        <v>#DIV/0!</v>
      </c>
      <c r="V789" s="168"/>
      <c r="W789" s="169"/>
    </row>
    <row r="790">
      <c r="A790" s="161"/>
      <c r="B790" s="161"/>
      <c r="C790" s="161"/>
      <c r="D790" s="160" t="str">
        <f>IFERROR(__xludf.DUMMYFUNCTION("SUBSTITUTE(REGEXEXTRACT(#REF!, ""[^-]+$""), ""x"", "" x "")"),"#REF!")</f>
        <v>#REF!</v>
      </c>
      <c r="E790" s="161"/>
      <c r="F790" s="161"/>
      <c r="G790" s="161"/>
      <c r="H790" s="161"/>
      <c r="I790" s="117"/>
      <c r="J790" s="117"/>
      <c r="K790" s="117"/>
      <c r="L790" s="166"/>
      <c r="M790" s="166"/>
      <c r="N790" s="166"/>
      <c r="O790" s="117"/>
      <c r="P790" s="117"/>
      <c r="Q790" s="162"/>
      <c r="R790" s="163"/>
      <c r="S790" s="163"/>
      <c r="T790" s="168"/>
      <c r="U790" s="123" t="str">
        <f t="shared" si="41"/>
        <v>#DIV/0!</v>
      </c>
      <c r="V790" s="168"/>
      <c r="W790" s="169"/>
    </row>
    <row r="791">
      <c r="A791" s="161"/>
      <c r="B791" s="161"/>
      <c r="C791" s="161"/>
      <c r="D791" s="160" t="str">
        <f>IFERROR(__xludf.DUMMYFUNCTION("SUBSTITUTE(REGEXEXTRACT(#REF!, ""[^-]+$""), ""x"", "" x "")"),"#REF!")</f>
        <v>#REF!</v>
      </c>
      <c r="E791" s="161"/>
      <c r="F791" s="161"/>
      <c r="G791" s="161"/>
      <c r="H791" s="161"/>
      <c r="I791" s="117"/>
      <c r="J791" s="117"/>
      <c r="K791" s="117"/>
      <c r="L791" s="166"/>
      <c r="M791" s="166"/>
      <c r="N791" s="166"/>
      <c r="O791" s="117"/>
      <c r="P791" s="117"/>
      <c r="Q791" s="162"/>
      <c r="R791" s="163"/>
      <c r="S791" s="163"/>
      <c r="T791" s="168"/>
      <c r="U791" s="123" t="str">
        <f t="shared" si="41"/>
        <v>#DIV/0!</v>
      </c>
      <c r="V791" s="168"/>
      <c r="W791" s="169"/>
    </row>
    <row r="792">
      <c r="A792" s="161"/>
      <c r="B792" s="161"/>
      <c r="C792" s="161"/>
      <c r="D792" s="160" t="str">
        <f>IFERROR(__xludf.DUMMYFUNCTION("SUBSTITUTE(REGEXEXTRACT(#REF!, ""[^-]+$""), ""x"", "" x "")"),"#REF!")</f>
        <v>#REF!</v>
      </c>
      <c r="E792" s="161"/>
      <c r="F792" s="161"/>
      <c r="G792" s="161"/>
      <c r="H792" s="161"/>
      <c r="I792" s="117"/>
      <c r="J792" s="117"/>
      <c r="K792" s="117"/>
      <c r="L792" s="166"/>
      <c r="M792" s="166"/>
      <c r="N792" s="166"/>
      <c r="O792" s="117"/>
      <c r="P792" s="117"/>
      <c r="Q792" s="162"/>
      <c r="R792" s="163"/>
      <c r="S792" s="163"/>
      <c r="T792" s="168"/>
      <c r="U792" s="123" t="str">
        <f t="shared" si="41"/>
        <v>#DIV/0!</v>
      </c>
      <c r="V792" s="168"/>
      <c r="W792" s="169"/>
    </row>
    <row r="793">
      <c r="A793" s="161"/>
      <c r="B793" s="161"/>
      <c r="C793" s="161"/>
      <c r="D793" s="160" t="str">
        <f>IFERROR(__xludf.DUMMYFUNCTION("SUBSTITUTE(REGEXEXTRACT(#REF!, ""[^-]+$""), ""x"", "" x "")"),"#REF!")</f>
        <v>#REF!</v>
      </c>
      <c r="E793" s="161"/>
      <c r="F793" s="161"/>
      <c r="G793" s="161"/>
      <c r="H793" s="161"/>
      <c r="I793" s="117"/>
      <c r="J793" s="117"/>
      <c r="K793" s="117"/>
      <c r="L793" s="166"/>
      <c r="M793" s="166"/>
      <c r="N793" s="166"/>
      <c r="O793" s="117"/>
      <c r="P793" s="117"/>
      <c r="Q793" s="167"/>
      <c r="R793" s="163"/>
      <c r="S793" s="163"/>
      <c r="T793" s="168"/>
      <c r="U793" s="123" t="str">
        <f t="shared" si="41"/>
        <v>#DIV/0!</v>
      </c>
      <c r="V793" s="168"/>
      <c r="W793" s="169"/>
    </row>
    <row r="794">
      <c r="A794" s="161"/>
      <c r="B794" s="161"/>
      <c r="C794" s="161"/>
      <c r="D794" s="160" t="str">
        <f>IFERROR(__xludf.DUMMYFUNCTION("SUBSTITUTE(REGEXEXTRACT(#REF!, ""[^-]+$""), ""x"", "" x "")"),"#REF!")</f>
        <v>#REF!</v>
      </c>
      <c r="E794" s="161"/>
      <c r="F794" s="161"/>
      <c r="G794" s="161"/>
      <c r="H794" s="161"/>
      <c r="I794" s="118"/>
      <c r="J794" s="117"/>
      <c r="K794" s="118"/>
      <c r="L794" s="119"/>
      <c r="M794" s="119"/>
      <c r="N794" s="119"/>
      <c r="O794" s="118"/>
      <c r="P794" s="118"/>
      <c r="Q794" s="162"/>
      <c r="R794" s="163"/>
      <c r="S794" s="163"/>
      <c r="T794" s="168"/>
      <c r="U794" s="123" t="str">
        <f t="shared" si="41"/>
        <v>#DIV/0!</v>
      </c>
      <c r="V794" s="168"/>
      <c r="W794" s="169"/>
    </row>
    <row r="795">
      <c r="A795" s="161"/>
      <c r="B795" s="161"/>
      <c r="C795" s="161"/>
      <c r="D795" s="160" t="str">
        <f>IFERROR(__xludf.DUMMYFUNCTION("SUBSTITUTE(REGEXEXTRACT(#REF!, ""[^-]+$""), ""x"", "" x "")"),"#REF!")</f>
        <v>#REF!</v>
      </c>
      <c r="E795" s="161"/>
      <c r="F795" s="161"/>
      <c r="G795" s="161"/>
      <c r="H795" s="161"/>
      <c r="I795" s="118"/>
      <c r="J795" s="117"/>
      <c r="K795" s="118"/>
      <c r="L795" s="119"/>
      <c r="M795" s="119"/>
      <c r="N795" s="119"/>
      <c r="O795" s="118"/>
      <c r="P795" s="118"/>
      <c r="Q795" s="162"/>
      <c r="R795" s="163"/>
      <c r="S795" s="163"/>
      <c r="T795" s="168"/>
      <c r="U795" s="123" t="str">
        <f t="shared" si="41"/>
        <v>#DIV/0!</v>
      </c>
      <c r="V795" s="168"/>
      <c r="W795" s="169"/>
    </row>
    <row r="796">
      <c r="A796" s="161"/>
      <c r="B796" s="161"/>
      <c r="C796" s="161"/>
      <c r="D796" s="160" t="str">
        <f>IFERROR(__xludf.DUMMYFUNCTION("SUBSTITUTE(REGEXEXTRACT(#REF!, ""[^-]+$""), ""x"", "" x "")"),"#REF!")</f>
        <v>#REF!</v>
      </c>
      <c r="E796" s="161"/>
      <c r="F796" s="161"/>
      <c r="G796" s="161"/>
      <c r="H796" s="161"/>
      <c r="I796" s="118"/>
      <c r="J796" s="118"/>
      <c r="K796" s="117"/>
      <c r="L796" s="119"/>
      <c r="M796" s="119"/>
      <c r="N796" s="119"/>
      <c r="O796" s="117"/>
      <c r="P796" s="118"/>
      <c r="Q796" s="162"/>
      <c r="R796" s="163"/>
      <c r="S796" s="163"/>
      <c r="T796" s="168"/>
      <c r="U796" s="123" t="str">
        <f t="shared" si="41"/>
        <v>#DIV/0!</v>
      </c>
      <c r="V796" s="168"/>
      <c r="W796" s="169"/>
    </row>
    <row r="797">
      <c r="A797" s="161"/>
      <c r="B797" s="161"/>
      <c r="C797" s="161"/>
      <c r="D797" s="160" t="str">
        <f>IFERROR(__xludf.DUMMYFUNCTION("SUBSTITUTE(REGEXEXTRACT(#REF!, ""[^-]+$""), ""x"", "" x "")"),"#REF!")</f>
        <v>#REF!</v>
      </c>
      <c r="E797" s="161"/>
      <c r="F797" s="161"/>
      <c r="G797" s="161"/>
      <c r="H797" s="161"/>
      <c r="I797" s="117"/>
      <c r="J797" s="117"/>
      <c r="K797" s="117"/>
      <c r="L797" s="166"/>
      <c r="M797" s="166"/>
      <c r="N797" s="166"/>
      <c r="O797" s="117"/>
      <c r="P797" s="118"/>
      <c r="Q797" s="162"/>
      <c r="R797" s="163"/>
      <c r="S797" s="163"/>
      <c r="T797" s="168"/>
      <c r="U797" s="123" t="str">
        <f t="shared" si="41"/>
        <v>#DIV/0!</v>
      </c>
      <c r="V797" s="168"/>
      <c r="W797" s="169"/>
    </row>
    <row r="798">
      <c r="A798" s="161"/>
      <c r="B798" s="161"/>
      <c r="C798" s="161"/>
      <c r="D798" s="160" t="str">
        <f>IFERROR(__xludf.DUMMYFUNCTION("SUBSTITUTE(REGEXEXTRACT(#REF!, ""[^-]+$""), ""x"", "" x "")"),"#REF!")</f>
        <v>#REF!</v>
      </c>
      <c r="E798" s="161"/>
      <c r="F798" s="161"/>
      <c r="G798" s="161"/>
      <c r="H798" s="161"/>
      <c r="I798" s="117"/>
      <c r="J798" s="117"/>
      <c r="K798" s="117"/>
      <c r="L798" s="166"/>
      <c r="M798" s="166"/>
      <c r="N798" s="166"/>
      <c r="O798" s="117"/>
      <c r="P798" s="118"/>
      <c r="Q798" s="162"/>
      <c r="R798" s="163"/>
      <c r="S798" s="163"/>
      <c r="T798" s="168"/>
      <c r="U798" s="123" t="str">
        <f t="shared" si="41"/>
        <v>#DIV/0!</v>
      </c>
      <c r="V798" s="168"/>
      <c r="W798" s="169"/>
    </row>
    <row r="799">
      <c r="A799" s="161"/>
      <c r="B799" s="161"/>
      <c r="C799" s="161"/>
      <c r="D799" s="160" t="str">
        <f>IFERROR(__xludf.DUMMYFUNCTION("SUBSTITUTE(REGEXEXTRACT(#REF!, ""[^-]+$""), ""x"", "" x "")"),"#REF!")</f>
        <v>#REF!</v>
      </c>
      <c r="E799" s="161"/>
      <c r="F799" s="161"/>
      <c r="G799" s="161"/>
      <c r="H799" s="161"/>
      <c r="I799" s="117"/>
      <c r="J799" s="117"/>
      <c r="K799" s="117"/>
      <c r="L799" s="166"/>
      <c r="M799" s="166"/>
      <c r="N799" s="166"/>
      <c r="O799" s="117"/>
      <c r="P799" s="118"/>
      <c r="Q799" s="162"/>
      <c r="R799" s="163"/>
      <c r="S799" s="163"/>
      <c r="T799" s="168"/>
      <c r="U799" s="123" t="str">
        <f t="shared" si="41"/>
        <v>#DIV/0!</v>
      </c>
      <c r="V799" s="168"/>
      <c r="W799" s="169"/>
    </row>
    <row r="800">
      <c r="A800" s="161"/>
      <c r="B800" s="161"/>
      <c r="C800" s="161"/>
      <c r="D800" s="160" t="str">
        <f>IFERROR(__xludf.DUMMYFUNCTION("SUBSTITUTE(REGEXEXTRACT(#REF!, ""[^-]+$""), ""x"", "" x "")"),"#REF!")</f>
        <v>#REF!</v>
      </c>
      <c r="E800" s="161"/>
      <c r="F800" s="161"/>
      <c r="G800" s="161"/>
      <c r="H800" s="161"/>
      <c r="I800" s="117"/>
      <c r="J800" s="117"/>
      <c r="K800" s="117"/>
      <c r="L800" s="166"/>
      <c r="M800" s="166"/>
      <c r="N800" s="166"/>
      <c r="O800" s="117"/>
      <c r="P800" s="118"/>
      <c r="Q800" s="162"/>
      <c r="R800" s="163"/>
      <c r="S800" s="163"/>
      <c r="T800" s="168"/>
      <c r="U800" s="123" t="str">
        <f t="shared" si="41"/>
        <v>#DIV/0!</v>
      </c>
      <c r="V800" s="168"/>
      <c r="W800" s="169"/>
    </row>
    <row r="801">
      <c r="A801" s="161"/>
      <c r="B801" s="161"/>
      <c r="C801" s="161"/>
      <c r="D801" s="160" t="str">
        <f>IFERROR(__xludf.DUMMYFUNCTION("SUBSTITUTE(REGEXEXTRACT(#REF!, ""[^-]+$""), ""x"", "" x "")"),"#REF!")</f>
        <v>#REF!</v>
      </c>
      <c r="E801" s="161"/>
      <c r="F801" s="161"/>
      <c r="G801" s="161"/>
      <c r="H801" s="161"/>
      <c r="I801" s="117"/>
      <c r="J801" s="117"/>
      <c r="K801" s="117"/>
      <c r="L801" s="166"/>
      <c r="M801" s="166"/>
      <c r="N801" s="166"/>
      <c r="O801" s="117"/>
      <c r="P801" s="117"/>
      <c r="Q801" s="167"/>
      <c r="R801" s="163"/>
      <c r="S801" s="163"/>
      <c r="T801" s="168"/>
      <c r="U801" s="123" t="str">
        <f t="shared" si="41"/>
        <v>#DIV/0!</v>
      </c>
      <c r="V801" s="168"/>
      <c r="W801" s="169"/>
    </row>
    <row r="802">
      <c r="A802" s="161"/>
      <c r="B802" s="161"/>
      <c r="C802" s="161"/>
      <c r="D802" s="160" t="str">
        <f>IFERROR(__xludf.DUMMYFUNCTION("SUBSTITUTE(REGEXEXTRACT(#REF!, ""[^-]+$""), ""x"", "" x "")"),"#REF!")</f>
        <v>#REF!</v>
      </c>
      <c r="E802" s="161"/>
      <c r="F802" s="161"/>
      <c r="G802" s="161"/>
      <c r="H802" s="161"/>
      <c r="I802" s="117"/>
      <c r="J802" s="117"/>
      <c r="K802" s="117"/>
      <c r="L802" s="166"/>
      <c r="M802" s="166"/>
      <c r="N802" s="166"/>
      <c r="O802" s="117"/>
      <c r="P802" s="117"/>
      <c r="Q802" s="167"/>
      <c r="R802" s="163"/>
      <c r="S802" s="163"/>
      <c r="T802" s="168"/>
      <c r="U802" s="123" t="str">
        <f t="shared" si="41"/>
        <v>#DIV/0!</v>
      </c>
      <c r="V802" s="168"/>
      <c r="W802" s="169"/>
    </row>
    <row r="803">
      <c r="A803" s="161"/>
      <c r="B803" s="161"/>
      <c r="C803" s="161"/>
      <c r="D803" s="160" t="str">
        <f>IFERROR(__xludf.DUMMYFUNCTION("SUBSTITUTE(REGEXEXTRACT(#REF!, ""[^-]+$""), ""x"", "" x "")"),"#REF!")</f>
        <v>#REF!</v>
      </c>
      <c r="E803" s="161"/>
      <c r="F803" s="161"/>
      <c r="G803" s="161"/>
      <c r="H803" s="161"/>
      <c r="I803" s="117"/>
      <c r="J803" s="117"/>
      <c r="K803" s="117"/>
      <c r="L803" s="166"/>
      <c r="M803" s="166"/>
      <c r="N803" s="166"/>
      <c r="O803" s="117"/>
      <c r="P803" s="117"/>
      <c r="Q803" s="167"/>
      <c r="R803" s="163"/>
      <c r="S803" s="163"/>
      <c r="T803" s="168"/>
      <c r="U803" s="123" t="str">
        <f t="shared" si="41"/>
        <v>#DIV/0!</v>
      </c>
      <c r="V803" s="168"/>
      <c r="W803" s="169"/>
    </row>
    <row r="804">
      <c r="A804" s="161"/>
      <c r="B804" s="161"/>
      <c r="C804" s="161"/>
      <c r="D804" s="160" t="str">
        <f>IFERROR(__xludf.DUMMYFUNCTION("SUBSTITUTE(REGEXEXTRACT(#REF!, ""[^-]+$""), ""x"", "" x "")"),"#REF!")</f>
        <v>#REF!</v>
      </c>
      <c r="E804" s="161"/>
      <c r="F804" s="161"/>
      <c r="G804" s="161"/>
      <c r="H804" s="161"/>
      <c r="I804" s="118"/>
      <c r="J804" s="117"/>
      <c r="K804" s="118"/>
      <c r="L804" s="119"/>
      <c r="M804" s="166"/>
      <c r="N804" s="119"/>
      <c r="O804" s="118"/>
      <c r="P804" s="117"/>
      <c r="Q804" s="162"/>
      <c r="R804" s="163"/>
      <c r="S804" s="163"/>
      <c r="T804" s="168"/>
      <c r="U804" s="123" t="str">
        <f t="shared" si="41"/>
        <v>#DIV/0!</v>
      </c>
      <c r="V804" s="168"/>
      <c r="W804" s="169"/>
    </row>
    <row r="805">
      <c r="A805" s="161"/>
      <c r="B805" s="161"/>
      <c r="C805" s="161"/>
      <c r="D805" s="160" t="str">
        <f>IFERROR(__xludf.DUMMYFUNCTION("SUBSTITUTE(REGEXEXTRACT(#REF!, ""[^-]+$""), ""x"", "" x "")"),"#REF!")</f>
        <v>#REF!</v>
      </c>
      <c r="E805" s="161"/>
      <c r="F805" s="161"/>
      <c r="G805" s="161"/>
      <c r="H805" s="161"/>
      <c r="I805" s="117"/>
      <c r="J805" s="117"/>
      <c r="K805" s="117"/>
      <c r="L805" s="166"/>
      <c r="M805" s="166"/>
      <c r="N805" s="166"/>
      <c r="O805" s="117"/>
      <c r="P805" s="117"/>
      <c r="Q805" s="167"/>
      <c r="R805" s="163"/>
      <c r="S805" s="163"/>
      <c r="T805" s="168"/>
      <c r="U805" s="123" t="str">
        <f t="shared" si="41"/>
        <v>#DIV/0!</v>
      </c>
      <c r="V805" s="168"/>
      <c r="W805" s="169"/>
    </row>
    <row r="806">
      <c r="A806" s="161"/>
      <c r="B806" s="161"/>
      <c r="C806" s="161"/>
      <c r="D806" s="160" t="str">
        <f>IFERROR(__xludf.DUMMYFUNCTION("SUBSTITUTE(REGEXEXTRACT(#REF!, ""[^-]+$""), ""x"", "" x "")"),"#REF!")</f>
        <v>#REF!</v>
      </c>
      <c r="E806" s="161"/>
      <c r="F806" s="161"/>
      <c r="G806" s="161"/>
      <c r="H806" s="161"/>
      <c r="I806" s="118"/>
      <c r="J806" s="117"/>
      <c r="K806" s="118"/>
      <c r="L806" s="119"/>
      <c r="M806" s="166"/>
      <c r="N806" s="119"/>
      <c r="O806" s="118"/>
      <c r="P806" s="117"/>
      <c r="Q806" s="162"/>
      <c r="R806" s="163"/>
      <c r="S806" s="163"/>
      <c r="T806" s="168"/>
      <c r="U806" s="123" t="str">
        <f t="shared" si="41"/>
        <v>#DIV/0!</v>
      </c>
      <c r="V806" s="168"/>
      <c r="W806" s="169"/>
    </row>
    <row r="807">
      <c r="A807" s="161"/>
      <c r="B807" s="161"/>
      <c r="C807" s="161"/>
      <c r="D807" s="160" t="str">
        <f>IFERROR(__xludf.DUMMYFUNCTION("SUBSTITUTE(REGEXEXTRACT(#REF!, ""[^-]+$""), ""x"", "" x "")"),"#REF!")</f>
        <v>#REF!</v>
      </c>
      <c r="E807" s="161"/>
      <c r="F807" s="161"/>
      <c r="G807" s="161"/>
      <c r="H807" s="161"/>
      <c r="I807" s="118"/>
      <c r="J807" s="117"/>
      <c r="K807" s="118"/>
      <c r="L807" s="119"/>
      <c r="M807" s="166"/>
      <c r="N807" s="119"/>
      <c r="O807" s="118"/>
      <c r="P807" s="117"/>
      <c r="Q807" s="162"/>
      <c r="R807" s="163"/>
      <c r="S807" s="163"/>
      <c r="T807" s="168"/>
      <c r="U807" s="123" t="str">
        <f t="shared" si="41"/>
        <v>#DIV/0!</v>
      </c>
      <c r="V807" s="168"/>
      <c r="W807" s="169"/>
    </row>
    <row r="808">
      <c r="A808" s="161"/>
      <c r="B808" s="161"/>
      <c r="C808" s="161"/>
      <c r="D808" s="160" t="str">
        <f>IFERROR(__xludf.DUMMYFUNCTION("SUBSTITUTE(REGEXEXTRACT(#REF!, ""[^-]+$""), ""x"", "" x "")"),"#REF!")</f>
        <v>#REF!</v>
      </c>
      <c r="E808" s="161"/>
      <c r="F808" s="161"/>
      <c r="G808" s="161"/>
      <c r="H808" s="161"/>
      <c r="I808" s="117"/>
      <c r="J808" s="117"/>
      <c r="K808" s="117"/>
      <c r="L808" s="166"/>
      <c r="M808" s="166"/>
      <c r="N808" s="166"/>
      <c r="O808" s="117"/>
      <c r="P808" s="117"/>
      <c r="Q808" s="167"/>
      <c r="R808" s="163"/>
      <c r="S808" s="163"/>
      <c r="T808" s="168"/>
      <c r="U808" s="123" t="str">
        <f t="shared" si="41"/>
        <v>#DIV/0!</v>
      </c>
      <c r="V808" s="168"/>
      <c r="W808" s="169"/>
    </row>
    <row r="809">
      <c r="A809" s="161"/>
      <c r="B809" s="161"/>
      <c r="C809" s="161"/>
      <c r="D809" s="160" t="str">
        <f>IFERROR(__xludf.DUMMYFUNCTION("SUBSTITUTE(REGEXEXTRACT(#REF!, ""[^-]+$""), ""x"", "" x "")"),"#REF!")</f>
        <v>#REF!</v>
      </c>
      <c r="E809" s="161"/>
      <c r="F809" s="161"/>
      <c r="G809" s="161"/>
      <c r="H809" s="161"/>
      <c r="I809" s="118"/>
      <c r="J809" s="117"/>
      <c r="K809" s="118"/>
      <c r="L809" s="119"/>
      <c r="M809" s="119"/>
      <c r="N809" s="119"/>
      <c r="O809" s="118"/>
      <c r="P809" s="118"/>
      <c r="Q809" s="162"/>
      <c r="R809" s="163"/>
      <c r="S809" s="163"/>
      <c r="T809" s="168"/>
      <c r="U809" s="123" t="str">
        <f t="shared" si="41"/>
        <v>#DIV/0!</v>
      </c>
      <c r="V809" s="168"/>
      <c r="W809" s="169"/>
    </row>
    <row r="810">
      <c r="A810" s="161"/>
      <c r="B810" s="161"/>
      <c r="C810" s="161"/>
      <c r="D810" s="160" t="str">
        <f>IFERROR(__xludf.DUMMYFUNCTION("SUBSTITUTE(REGEXEXTRACT(#REF!, ""[^-]+$""), ""x"", "" x "")"),"#REF!")</f>
        <v>#REF!</v>
      </c>
      <c r="E810" s="161"/>
      <c r="F810" s="161"/>
      <c r="G810" s="161"/>
      <c r="H810" s="161"/>
      <c r="I810" s="118"/>
      <c r="J810" s="117"/>
      <c r="K810" s="118"/>
      <c r="L810" s="119"/>
      <c r="M810" s="119"/>
      <c r="N810" s="119"/>
      <c r="O810" s="118"/>
      <c r="P810" s="117"/>
      <c r="Q810" s="162"/>
      <c r="R810" s="163"/>
      <c r="S810" s="163"/>
      <c r="T810" s="168"/>
      <c r="U810" s="123" t="str">
        <f t="shared" si="41"/>
        <v>#DIV/0!</v>
      </c>
      <c r="V810" s="168"/>
      <c r="W810" s="169"/>
    </row>
    <row r="811">
      <c r="A811" s="161"/>
      <c r="B811" s="161"/>
      <c r="C811" s="161"/>
      <c r="D811" s="160" t="str">
        <f>IFERROR(__xludf.DUMMYFUNCTION("SUBSTITUTE(REGEXEXTRACT(#REF!, ""[^-]+$""), ""x"", "" x "")"),"#REF!")</f>
        <v>#REF!</v>
      </c>
      <c r="E811" s="161"/>
      <c r="F811" s="161"/>
      <c r="G811" s="161"/>
      <c r="H811" s="161"/>
      <c r="I811" s="118"/>
      <c r="J811" s="117"/>
      <c r="K811" s="118"/>
      <c r="L811" s="119"/>
      <c r="M811" s="119"/>
      <c r="N811" s="119"/>
      <c r="O811" s="118"/>
      <c r="P811" s="117"/>
      <c r="Q811" s="162"/>
      <c r="R811" s="163"/>
      <c r="S811" s="163"/>
      <c r="T811" s="168"/>
      <c r="U811" s="123" t="str">
        <f t="shared" si="41"/>
        <v>#DIV/0!</v>
      </c>
      <c r="V811" s="168"/>
      <c r="W811" s="169"/>
    </row>
    <row r="812">
      <c r="A812" s="161"/>
      <c r="B812" s="161"/>
      <c r="C812" s="161"/>
      <c r="D812" s="160" t="str">
        <f>IFERROR(__xludf.DUMMYFUNCTION("SUBSTITUTE(REGEXEXTRACT(#REF!, ""[^-]+$""), ""x"", "" x "")"),"#REF!")</f>
        <v>#REF!</v>
      </c>
      <c r="E812" s="161"/>
      <c r="F812" s="161"/>
      <c r="G812" s="161"/>
      <c r="H812" s="161"/>
      <c r="I812" s="118"/>
      <c r="J812" s="117"/>
      <c r="K812" s="118"/>
      <c r="L812" s="119"/>
      <c r="M812" s="166"/>
      <c r="N812" s="119"/>
      <c r="O812" s="118"/>
      <c r="P812" s="117"/>
      <c r="Q812" s="162"/>
      <c r="R812" s="163"/>
      <c r="S812" s="163"/>
      <c r="T812" s="168"/>
      <c r="U812" s="123" t="str">
        <f t="shared" si="41"/>
        <v>#DIV/0!</v>
      </c>
      <c r="V812" s="168"/>
      <c r="W812" s="169"/>
    </row>
    <row r="813">
      <c r="A813" s="161"/>
      <c r="B813" s="161"/>
      <c r="C813" s="161"/>
      <c r="D813" s="160" t="str">
        <f>IFERROR(__xludf.DUMMYFUNCTION("SUBSTITUTE(REGEXEXTRACT(#REF!, ""[^-]+$""), ""x"", "" x "")"),"#REF!")</f>
        <v>#REF!</v>
      </c>
      <c r="E813" s="161"/>
      <c r="F813" s="161"/>
      <c r="G813" s="161"/>
      <c r="H813" s="161"/>
      <c r="I813" s="118"/>
      <c r="J813" s="117"/>
      <c r="K813" s="118"/>
      <c r="L813" s="119"/>
      <c r="M813" s="166"/>
      <c r="N813" s="119"/>
      <c r="O813" s="118"/>
      <c r="P813" s="117"/>
      <c r="Q813" s="162"/>
      <c r="R813" s="163"/>
      <c r="S813" s="163"/>
      <c r="T813" s="168"/>
      <c r="U813" s="123" t="str">
        <f t="shared" si="41"/>
        <v>#DIV/0!</v>
      </c>
      <c r="V813" s="168"/>
      <c r="W813" s="169"/>
    </row>
    <row r="814">
      <c r="A814" s="161"/>
      <c r="B814" s="161"/>
      <c r="C814" s="161"/>
      <c r="D814" s="160" t="str">
        <f>IFERROR(__xludf.DUMMYFUNCTION("SUBSTITUTE(REGEXEXTRACT(#REF!, ""[^-]+$""), ""x"", "" x "")"),"#REF!")</f>
        <v>#REF!</v>
      </c>
      <c r="E814" s="161"/>
      <c r="F814" s="161"/>
      <c r="G814" s="161"/>
      <c r="H814" s="161"/>
      <c r="I814" s="118"/>
      <c r="J814" s="117"/>
      <c r="K814" s="118"/>
      <c r="L814" s="119"/>
      <c r="M814" s="166"/>
      <c r="N814" s="119"/>
      <c r="O814" s="118"/>
      <c r="P814" s="117"/>
      <c r="Q814" s="162"/>
      <c r="R814" s="163"/>
      <c r="S814" s="163"/>
      <c r="T814" s="168"/>
      <c r="U814" s="123" t="str">
        <f t="shared" si="41"/>
        <v>#DIV/0!</v>
      </c>
      <c r="V814" s="168"/>
      <c r="W814" s="169"/>
    </row>
    <row r="815">
      <c r="A815" s="161"/>
      <c r="B815" s="161"/>
      <c r="C815" s="161"/>
      <c r="D815" s="160" t="str">
        <f>IFERROR(__xludf.DUMMYFUNCTION("SUBSTITUTE(REGEXEXTRACT(#REF!, ""[^-]+$""), ""x"", "" x "")"),"#REF!")</f>
        <v>#REF!</v>
      </c>
      <c r="E815" s="161"/>
      <c r="F815" s="161"/>
      <c r="G815" s="161"/>
      <c r="H815" s="161"/>
      <c r="I815" s="118"/>
      <c r="J815" s="118"/>
      <c r="K815" s="117"/>
      <c r="L815" s="119"/>
      <c r="M815" s="119"/>
      <c r="N815" s="119"/>
      <c r="O815" s="118"/>
      <c r="P815" s="118"/>
      <c r="Q815" s="167"/>
      <c r="R815" s="163"/>
      <c r="S815" s="163"/>
      <c r="T815" s="168"/>
      <c r="U815" s="123" t="str">
        <f t="shared" si="41"/>
        <v>#DIV/0!</v>
      </c>
      <c r="V815" s="168"/>
      <c r="W815" s="169"/>
    </row>
    <row r="816">
      <c r="A816" s="161"/>
      <c r="B816" s="161"/>
      <c r="C816" s="161"/>
      <c r="D816" s="160" t="str">
        <f>IFERROR(__xludf.DUMMYFUNCTION("SUBSTITUTE(REGEXEXTRACT(#REF!, ""[^-]+$""), ""x"", "" x "")"),"#REF!")</f>
        <v>#REF!</v>
      </c>
      <c r="E816" s="161"/>
      <c r="F816" s="161"/>
      <c r="G816" s="161"/>
      <c r="H816" s="161"/>
      <c r="I816" s="118"/>
      <c r="J816" s="118"/>
      <c r="K816" s="117"/>
      <c r="L816" s="119"/>
      <c r="M816" s="119"/>
      <c r="N816" s="119"/>
      <c r="O816" s="118"/>
      <c r="P816" s="118"/>
      <c r="Q816" s="167"/>
      <c r="R816" s="163"/>
      <c r="S816" s="163"/>
      <c r="T816" s="168"/>
      <c r="U816" s="123" t="str">
        <f t="shared" si="41"/>
        <v>#DIV/0!</v>
      </c>
      <c r="V816" s="168"/>
      <c r="W816" s="169"/>
    </row>
    <row r="817">
      <c r="A817" s="161"/>
      <c r="B817" s="161"/>
      <c r="C817" s="161"/>
      <c r="D817" s="160" t="str">
        <f>IFERROR(__xludf.DUMMYFUNCTION("SUBSTITUTE(REGEXEXTRACT(#REF!, ""[^-]+$""), ""x"", "" x "")"),"#REF!")</f>
        <v>#REF!</v>
      </c>
      <c r="E817" s="161"/>
      <c r="F817" s="161"/>
      <c r="G817" s="161"/>
      <c r="H817" s="161"/>
      <c r="I817" s="118"/>
      <c r="J817" s="118"/>
      <c r="K817" s="117"/>
      <c r="L817" s="119"/>
      <c r="M817" s="119"/>
      <c r="N817" s="166"/>
      <c r="O817" s="118"/>
      <c r="P817" s="118"/>
      <c r="Q817" s="167"/>
      <c r="R817" s="163"/>
      <c r="S817" s="163"/>
      <c r="T817" s="168"/>
      <c r="U817" s="123" t="str">
        <f t="shared" si="41"/>
        <v>#DIV/0!</v>
      </c>
      <c r="V817" s="168"/>
      <c r="W817" s="169"/>
    </row>
    <row r="818">
      <c r="A818" s="161"/>
      <c r="B818" s="161"/>
      <c r="C818" s="161"/>
      <c r="D818" s="160" t="str">
        <f>IFERROR(__xludf.DUMMYFUNCTION("SUBSTITUTE(REGEXEXTRACT(#REF!, ""[^-]+$""), ""x"", "" x "")"),"#REF!")</f>
        <v>#REF!</v>
      </c>
      <c r="E818" s="161"/>
      <c r="F818" s="161"/>
      <c r="G818" s="161"/>
      <c r="H818" s="161"/>
      <c r="I818" s="118"/>
      <c r="J818" s="118"/>
      <c r="K818" s="117"/>
      <c r="L818" s="119"/>
      <c r="M818" s="119"/>
      <c r="N818" s="119"/>
      <c r="O818" s="118"/>
      <c r="P818" s="118"/>
      <c r="Q818" s="167"/>
      <c r="R818" s="163"/>
      <c r="S818" s="163"/>
      <c r="T818" s="168"/>
      <c r="U818" s="123" t="str">
        <f t="shared" si="41"/>
        <v>#DIV/0!</v>
      </c>
      <c r="V818" s="168"/>
      <c r="W818" s="169"/>
    </row>
    <row r="819">
      <c r="A819" s="161"/>
      <c r="B819" s="161"/>
      <c r="C819" s="161"/>
      <c r="D819" s="160" t="str">
        <f>IFERROR(__xludf.DUMMYFUNCTION("SUBSTITUTE(REGEXEXTRACT(#REF!, ""[^-]+$""), ""x"", "" x "")"),"#REF!")</f>
        <v>#REF!</v>
      </c>
      <c r="E819" s="161"/>
      <c r="F819" s="161"/>
      <c r="G819" s="161"/>
      <c r="H819" s="161"/>
      <c r="I819" s="118"/>
      <c r="J819" s="118"/>
      <c r="K819" s="117"/>
      <c r="L819" s="119"/>
      <c r="M819" s="119"/>
      <c r="N819" s="119"/>
      <c r="O819" s="118"/>
      <c r="P819" s="118"/>
      <c r="Q819" s="167"/>
      <c r="R819" s="163"/>
      <c r="S819" s="163"/>
      <c r="T819" s="168"/>
      <c r="U819" s="123" t="str">
        <f t="shared" si="41"/>
        <v>#DIV/0!</v>
      </c>
      <c r="V819" s="168"/>
      <c r="W819" s="169"/>
    </row>
    <row r="820">
      <c r="A820" s="161"/>
      <c r="B820" s="161"/>
      <c r="C820" s="161"/>
      <c r="D820" s="160" t="str">
        <f>IFERROR(__xludf.DUMMYFUNCTION("SUBSTITUTE(REGEXEXTRACT(#REF!, ""[^-]+$""), ""x"", "" x "")"),"#REF!")</f>
        <v>#REF!</v>
      </c>
      <c r="E820" s="161"/>
      <c r="F820" s="161"/>
      <c r="G820" s="161"/>
      <c r="H820" s="161"/>
      <c r="I820" s="118"/>
      <c r="J820" s="118"/>
      <c r="K820" s="117"/>
      <c r="L820" s="119"/>
      <c r="M820" s="119"/>
      <c r="N820" s="119"/>
      <c r="O820" s="118"/>
      <c r="P820" s="118"/>
      <c r="Q820" s="167"/>
      <c r="R820" s="163"/>
      <c r="S820" s="163"/>
      <c r="T820" s="168"/>
      <c r="U820" s="123" t="str">
        <f t="shared" si="41"/>
        <v>#DIV/0!</v>
      </c>
      <c r="V820" s="168"/>
      <c r="W820" s="169"/>
    </row>
    <row r="821">
      <c r="A821" s="161"/>
      <c r="B821" s="161"/>
      <c r="C821" s="161"/>
      <c r="D821" s="160" t="str">
        <f>IFERROR(__xludf.DUMMYFUNCTION("SUBSTITUTE(REGEXEXTRACT(#REF!, ""[^-]+$""), ""x"", "" x "")"),"#REF!")</f>
        <v>#REF!</v>
      </c>
      <c r="E821" s="161"/>
      <c r="F821" s="161"/>
      <c r="G821" s="161"/>
      <c r="H821" s="161"/>
      <c r="I821" s="118"/>
      <c r="J821" s="118"/>
      <c r="K821" s="117"/>
      <c r="L821" s="119"/>
      <c r="M821" s="119"/>
      <c r="N821" s="119"/>
      <c r="O821" s="118"/>
      <c r="P821" s="118"/>
      <c r="Q821" s="167"/>
      <c r="R821" s="163"/>
      <c r="S821" s="163"/>
      <c r="T821" s="168"/>
      <c r="U821" s="123" t="str">
        <f t="shared" si="41"/>
        <v>#DIV/0!</v>
      </c>
      <c r="V821" s="168"/>
      <c r="W821" s="169"/>
    </row>
    <row r="822">
      <c r="A822" s="161"/>
      <c r="B822" s="161"/>
      <c r="C822" s="161"/>
      <c r="D822" s="160" t="str">
        <f>IFERROR(__xludf.DUMMYFUNCTION("SUBSTITUTE(REGEXEXTRACT(#REF!, ""[^-]+$""), ""x"", "" x "")"),"#REF!")</f>
        <v>#REF!</v>
      </c>
      <c r="E822" s="161"/>
      <c r="F822" s="161"/>
      <c r="G822" s="161"/>
      <c r="H822" s="161"/>
      <c r="I822" s="118"/>
      <c r="J822" s="118"/>
      <c r="K822" s="117"/>
      <c r="L822" s="119"/>
      <c r="M822" s="119"/>
      <c r="N822" s="119"/>
      <c r="O822" s="118"/>
      <c r="P822" s="118"/>
      <c r="Q822" s="167"/>
      <c r="R822" s="163"/>
      <c r="S822" s="163"/>
      <c r="T822" s="168"/>
      <c r="U822" s="123" t="str">
        <f t="shared" si="41"/>
        <v>#DIV/0!</v>
      </c>
      <c r="V822" s="168"/>
      <c r="W822" s="169"/>
    </row>
    <row r="823">
      <c r="A823" s="161"/>
      <c r="B823" s="161"/>
      <c r="C823" s="161"/>
      <c r="D823" s="160" t="str">
        <f>IFERROR(__xludf.DUMMYFUNCTION("SUBSTITUTE(REGEXEXTRACT(#REF!, ""[^-]+$""), ""x"", "" x "")"),"#REF!")</f>
        <v>#REF!</v>
      </c>
      <c r="E823" s="161"/>
      <c r="F823" s="161"/>
      <c r="G823" s="161"/>
      <c r="H823" s="161"/>
      <c r="I823" s="118"/>
      <c r="J823" s="118"/>
      <c r="K823" s="117"/>
      <c r="L823" s="119"/>
      <c r="M823" s="119"/>
      <c r="N823" s="119"/>
      <c r="O823" s="118"/>
      <c r="P823" s="118"/>
      <c r="Q823" s="167"/>
      <c r="R823" s="163"/>
      <c r="S823" s="163"/>
      <c r="T823" s="168"/>
      <c r="U823" s="123" t="str">
        <f t="shared" si="41"/>
        <v>#DIV/0!</v>
      </c>
      <c r="V823" s="168"/>
      <c r="W823" s="169"/>
    </row>
    <row r="824">
      <c r="A824" s="161"/>
      <c r="B824" s="161"/>
      <c r="C824" s="161"/>
      <c r="D824" s="160" t="str">
        <f>IFERROR(__xludf.DUMMYFUNCTION("SUBSTITUTE(REGEXEXTRACT(#REF!, ""[^-]+$""), ""x"", "" x "")"),"#REF!")</f>
        <v>#REF!</v>
      </c>
      <c r="E824" s="161"/>
      <c r="F824" s="161"/>
      <c r="G824" s="161"/>
      <c r="H824" s="161"/>
      <c r="I824" s="118"/>
      <c r="J824" s="118"/>
      <c r="K824" s="117"/>
      <c r="L824" s="119"/>
      <c r="M824" s="119"/>
      <c r="N824" s="119"/>
      <c r="O824" s="118"/>
      <c r="P824" s="118"/>
      <c r="Q824" s="167"/>
      <c r="R824" s="163"/>
      <c r="S824" s="163"/>
      <c r="T824" s="168"/>
      <c r="U824" s="123" t="str">
        <f t="shared" si="41"/>
        <v>#DIV/0!</v>
      </c>
      <c r="V824" s="168"/>
      <c r="W824" s="169"/>
    </row>
    <row r="825">
      <c r="A825" s="161"/>
      <c r="B825" s="161"/>
      <c r="C825" s="161"/>
      <c r="D825" s="160" t="str">
        <f>IFERROR(__xludf.DUMMYFUNCTION("SUBSTITUTE(REGEXEXTRACT(#REF!, ""[^-]+$""), ""x"", "" x "")"),"#REF!")</f>
        <v>#REF!</v>
      </c>
      <c r="E825" s="161"/>
      <c r="F825" s="161"/>
      <c r="G825" s="161"/>
      <c r="H825" s="161"/>
      <c r="I825" s="118"/>
      <c r="J825" s="118"/>
      <c r="K825" s="117"/>
      <c r="L825" s="119"/>
      <c r="M825" s="119"/>
      <c r="N825" s="119"/>
      <c r="O825" s="118"/>
      <c r="P825" s="118"/>
      <c r="Q825" s="167"/>
      <c r="R825" s="163"/>
      <c r="S825" s="163"/>
      <c r="T825" s="168"/>
      <c r="U825" s="123" t="str">
        <f t="shared" si="41"/>
        <v>#DIV/0!</v>
      </c>
      <c r="V825" s="168"/>
      <c r="W825" s="169"/>
    </row>
    <row r="826">
      <c r="A826" s="161"/>
      <c r="B826" s="161"/>
      <c r="C826" s="161"/>
      <c r="D826" s="160" t="str">
        <f>IFERROR(__xludf.DUMMYFUNCTION("SUBSTITUTE(REGEXEXTRACT(#REF!, ""[^-]+$""), ""x"", "" x "")"),"#REF!")</f>
        <v>#REF!</v>
      </c>
      <c r="E826" s="161"/>
      <c r="F826" s="161"/>
      <c r="G826" s="161"/>
      <c r="H826" s="161"/>
      <c r="I826" s="118"/>
      <c r="J826" s="118"/>
      <c r="K826" s="117"/>
      <c r="L826" s="119"/>
      <c r="M826" s="119"/>
      <c r="N826" s="119"/>
      <c r="O826" s="118"/>
      <c r="P826" s="118"/>
      <c r="Q826" s="167"/>
      <c r="R826" s="163"/>
      <c r="S826" s="163"/>
      <c r="T826" s="168"/>
      <c r="U826" s="123" t="str">
        <f t="shared" si="41"/>
        <v>#DIV/0!</v>
      </c>
      <c r="V826" s="168"/>
      <c r="W826" s="169"/>
    </row>
    <row r="827">
      <c r="A827" s="161"/>
      <c r="B827" s="161"/>
      <c r="C827" s="161"/>
      <c r="D827" s="160" t="str">
        <f>IFERROR(__xludf.DUMMYFUNCTION("SUBSTITUTE(REGEXEXTRACT(#REF!, ""[^-]+$""), ""x"", "" x "")"),"#REF!")</f>
        <v>#REF!</v>
      </c>
      <c r="E827" s="161"/>
      <c r="F827" s="161"/>
      <c r="G827" s="161"/>
      <c r="H827" s="161"/>
      <c r="I827" s="118"/>
      <c r="J827" s="118"/>
      <c r="K827" s="117"/>
      <c r="L827" s="119"/>
      <c r="M827" s="119"/>
      <c r="N827" s="119"/>
      <c r="O827" s="118"/>
      <c r="P827" s="118"/>
      <c r="Q827" s="167"/>
      <c r="R827" s="163"/>
      <c r="S827" s="163"/>
      <c r="T827" s="168"/>
      <c r="U827" s="123" t="str">
        <f t="shared" si="41"/>
        <v>#DIV/0!</v>
      </c>
      <c r="V827" s="168"/>
      <c r="W827" s="169"/>
    </row>
    <row r="828">
      <c r="A828" s="161"/>
      <c r="B828" s="161"/>
      <c r="C828" s="161"/>
      <c r="D828" s="160" t="str">
        <f>IFERROR(__xludf.DUMMYFUNCTION("SUBSTITUTE(REGEXEXTRACT(#REF!, ""[^-]+$""), ""x"", "" x "")"),"#REF!")</f>
        <v>#REF!</v>
      </c>
      <c r="E828" s="161"/>
      <c r="F828" s="161"/>
      <c r="G828" s="161"/>
      <c r="H828" s="161"/>
      <c r="I828" s="118"/>
      <c r="J828" s="118"/>
      <c r="K828" s="117"/>
      <c r="L828" s="119"/>
      <c r="M828" s="119"/>
      <c r="N828" s="119"/>
      <c r="O828" s="118"/>
      <c r="P828" s="118"/>
      <c r="Q828" s="167"/>
      <c r="R828" s="163"/>
      <c r="S828" s="163"/>
      <c r="T828" s="168"/>
      <c r="U828" s="123" t="str">
        <f t="shared" si="41"/>
        <v>#DIV/0!</v>
      </c>
      <c r="V828" s="168"/>
      <c r="W828" s="169"/>
    </row>
    <row r="829">
      <c r="A829" s="161"/>
      <c r="B829" s="161"/>
      <c r="C829" s="161"/>
      <c r="D829" s="160" t="str">
        <f>IFERROR(__xludf.DUMMYFUNCTION("SUBSTITUTE(REGEXEXTRACT(#REF!, ""[^-]+$""), ""x"", "" x "")"),"#REF!")</f>
        <v>#REF!</v>
      </c>
      <c r="E829" s="161"/>
      <c r="F829" s="161"/>
      <c r="G829" s="161"/>
      <c r="H829" s="161"/>
      <c r="I829" s="118"/>
      <c r="J829" s="118"/>
      <c r="K829" s="117"/>
      <c r="L829" s="119"/>
      <c r="M829" s="119"/>
      <c r="N829" s="119"/>
      <c r="O829" s="118"/>
      <c r="P829" s="118"/>
      <c r="Q829" s="167"/>
      <c r="R829" s="163"/>
      <c r="S829" s="163"/>
      <c r="T829" s="168"/>
      <c r="U829" s="123" t="str">
        <f t="shared" si="41"/>
        <v>#DIV/0!</v>
      </c>
      <c r="V829" s="168"/>
      <c r="W829" s="169"/>
    </row>
    <row r="830">
      <c r="A830" s="161"/>
      <c r="B830" s="161"/>
      <c r="C830" s="161"/>
      <c r="D830" s="160" t="str">
        <f>IFERROR(__xludf.DUMMYFUNCTION("SUBSTITUTE(REGEXEXTRACT(#REF!, ""[^-]+$""), ""x"", "" x "")"),"#REF!")</f>
        <v>#REF!</v>
      </c>
      <c r="E830" s="161"/>
      <c r="F830" s="161"/>
      <c r="G830" s="161"/>
      <c r="H830" s="161"/>
      <c r="I830" s="118"/>
      <c r="J830" s="118"/>
      <c r="K830" s="117"/>
      <c r="L830" s="119"/>
      <c r="M830" s="119"/>
      <c r="N830" s="119"/>
      <c r="O830" s="118"/>
      <c r="P830" s="118"/>
      <c r="Q830" s="167"/>
      <c r="R830" s="163"/>
      <c r="S830" s="163"/>
      <c r="T830" s="168"/>
      <c r="U830" s="123" t="str">
        <f t="shared" si="41"/>
        <v>#DIV/0!</v>
      </c>
      <c r="V830" s="168"/>
      <c r="W830" s="169"/>
    </row>
    <row r="831">
      <c r="A831" s="161"/>
      <c r="B831" s="161"/>
      <c r="C831" s="161"/>
      <c r="D831" s="160" t="str">
        <f>IFERROR(__xludf.DUMMYFUNCTION("SUBSTITUTE(REGEXEXTRACT(#REF!, ""[^-]+$""), ""x"", "" x "")"),"#REF!")</f>
        <v>#REF!</v>
      </c>
      <c r="E831" s="161"/>
      <c r="F831" s="161"/>
      <c r="G831" s="161"/>
      <c r="H831" s="161"/>
      <c r="I831" s="118"/>
      <c r="J831" s="118"/>
      <c r="K831" s="117"/>
      <c r="L831" s="119"/>
      <c r="M831" s="119"/>
      <c r="N831" s="119"/>
      <c r="O831" s="118"/>
      <c r="P831" s="118"/>
      <c r="Q831" s="167"/>
      <c r="R831" s="163"/>
      <c r="S831" s="163"/>
      <c r="T831" s="168"/>
      <c r="U831" s="123" t="str">
        <f t="shared" si="41"/>
        <v>#DIV/0!</v>
      </c>
      <c r="V831" s="168"/>
      <c r="W831" s="169"/>
    </row>
    <row r="832">
      <c r="A832" s="161"/>
      <c r="B832" s="161"/>
      <c r="C832" s="161"/>
      <c r="D832" s="160" t="str">
        <f>IFERROR(__xludf.DUMMYFUNCTION("SUBSTITUTE(REGEXEXTRACT(#REF!, ""[^-]+$""), ""x"", "" x "")"),"#REF!")</f>
        <v>#REF!</v>
      </c>
      <c r="E832" s="161"/>
      <c r="F832" s="161"/>
      <c r="G832" s="161"/>
      <c r="H832" s="161"/>
      <c r="I832" s="118"/>
      <c r="J832" s="118"/>
      <c r="K832" s="117"/>
      <c r="L832" s="119"/>
      <c r="M832" s="119"/>
      <c r="N832" s="119"/>
      <c r="O832" s="118"/>
      <c r="P832" s="118"/>
      <c r="Q832" s="167"/>
      <c r="R832" s="163"/>
      <c r="S832" s="163"/>
      <c r="T832" s="168"/>
      <c r="U832" s="123" t="str">
        <f t="shared" si="41"/>
        <v>#DIV/0!</v>
      </c>
      <c r="V832" s="168"/>
      <c r="W832" s="169"/>
    </row>
    <row r="833">
      <c r="A833" s="161"/>
      <c r="B833" s="161"/>
      <c r="C833" s="161"/>
      <c r="D833" s="160" t="str">
        <f>IFERROR(__xludf.DUMMYFUNCTION("SUBSTITUTE(REGEXEXTRACT(#REF!, ""[^-]+$""), ""x"", "" x "")"),"#REF!")</f>
        <v>#REF!</v>
      </c>
      <c r="E833" s="161"/>
      <c r="F833" s="161"/>
      <c r="G833" s="161"/>
      <c r="H833" s="161"/>
      <c r="I833" s="118"/>
      <c r="J833" s="118"/>
      <c r="K833" s="117"/>
      <c r="L833" s="119"/>
      <c r="M833" s="119"/>
      <c r="N833" s="166"/>
      <c r="O833" s="118"/>
      <c r="P833" s="118"/>
      <c r="Q833" s="167"/>
      <c r="R833" s="163"/>
      <c r="S833" s="163"/>
      <c r="T833" s="168"/>
      <c r="U833" s="123" t="str">
        <f t="shared" si="41"/>
        <v>#DIV/0!</v>
      </c>
      <c r="V833" s="168"/>
      <c r="W833" s="169"/>
    </row>
    <row r="834">
      <c r="A834" s="161"/>
      <c r="B834" s="161"/>
      <c r="C834" s="161"/>
      <c r="D834" s="160" t="str">
        <f>IFERROR(__xludf.DUMMYFUNCTION("SUBSTITUTE(REGEXEXTRACT(#REF!, ""[^-]+$""), ""x"", "" x "")"),"#REF!")</f>
        <v>#REF!</v>
      </c>
      <c r="E834" s="161"/>
      <c r="F834" s="161"/>
      <c r="G834" s="161"/>
      <c r="H834" s="161"/>
      <c r="I834" s="118"/>
      <c r="J834" s="118"/>
      <c r="K834" s="117"/>
      <c r="L834" s="119"/>
      <c r="M834" s="119"/>
      <c r="N834" s="166"/>
      <c r="O834" s="118"/>
      <c r="P834" s="118"/>
      <c r="Q834" s="167"/>
      <c r="R834" s="163"/>
      <c r="S834" s="163"/>
      <c r="T834" s="168"/>
      <c r="U834" s="123" t="str">
        <f t="shared" si="41"/>
        <v>#DIV/0!</v>
      </c>
      <c r="V834" s="168"/>
      <c r="W834" s="169"/>
    </row>
    <row r="835">
      <c r="A835" s="161"/>
      <c r="B835" s="161"/>
      <c r="C835" s="161"/>
      <c r="D835" s="160" t="str">
        <f>IFERROR(__xludf.DUMMYFUNCTION("SUBSTITUTE(REGEXEXTRACT(#REF!, ""[^-]+$""), ""x"", "" x "")"),"#REF!")</f>
        <v>#REF!</v>
      </c>
      <c r="E835" s="161"/>
      <c r="F835" s="161"/>
      <c r="G835" s="161"/>
      <c r="H835" s="161"/>
      <c r="I835" s="118"/>
      <c r="J835" s="118"/>
      <c r="K835" s="117"/>
      <c r="L835" s="119"/>
      <c r="M835" s="119"/>
      <c r="N835" s="166"/>
      <c r="O835" s="118"/>
      <c r="P835" s="118"/>
      <c r="Q835" s="167"/>
      <c r="R835" s="163"/>
      <c r="S835" s="163"/>
      <c r="T835" s="168"/>
      <c r="U835" s="123" t="str">
        <f t="shared" si="41"/>
        <v>#DIV/0!</v>
      </c>
      <c r="V835" s="168"/>
      <c r="W835" s="169"/>
    </row>
    <row r="836">
      <c r="A836" s="161"/>
      <c r="B836" s="161"/>
      <c r="C836" s="161"/>
      <c r="D836" s="160" t="str">
        <f>IFERROR(__xludf.DUMMYFUNCTION("SUBSTITUTE(REGEXEXTRACT(#REF!, ""[^-]+$""), ""x"", "" x "")"),"#REF!")</f>
        <v>#REF!</v>
      </c>
      <c r="E836" s="161"/>
      <c r="F836" s="161"/>
      <c r="G836" s="161"/>
      <c r="H836" s="161"/>
      <c r="I836" s="118"/>
      <c r="J836" s="118"/>
      <c r="K836" s="117"/>
      <c r="L836" s="119"/>
      <c r="M836" s="119"/>
      <c r="N836" s="166"/>
      <c r="O836" s="118"/>
      <c r="P836" s="118"/>
      <c r="Q836" s="167"/>
      <c r="R836" s="163"/>
      <c r="S836" s="163"/>
      <c r="T836" s="168"/>
      <c r="U836" s="123" t="str">
        <f t="shared" si="41"/>
        <v>#DIV/0!</v>
      </c>
      <c r="V836" s="168"/>
      <c r="W836" s="169"/>
    </row>
    <row r="837">
      <c r="A837" s="161"/>
      <c r="B837" s="161"/>
      <c r="C837" s="161"/>
      <c r="D837" s="160" t="str">
        <f>IFERROR(__xludf.DUMMYFUNCTION("SUBSTITUTE(REGEXEXTRACT(#REF!, ""[^-]+$""), ""x"", "" x "")"),"#REF!")</f>
        <v>#REF!</v>
      </c>
      <c r="E837" s="161"/>
      <c r="F837" s="161"/>
      <c r="G837" s="161"/>
      <c r="H837" s="161"/>
      <c r="I837" s="118"/>
      <c r="J837" s="118"/>
      <c r="K837" s="117"/>
      <c r="L837" s="119"/>
      <c r="M837" s="119"/>
      <c r="N837" s="166"/>
      <c r="O837" s="118"/>
      <c r="P837" s="118"/>
      <c r="Q837" s="167"/>
      <c r="R837" s="163"/>
      <c r="S837" s="163"/>
      <c r="T837" s="168"/>
      <c r="U837" s="123" t="str">
        <f t="shared" si="41"/>
        <v>#DIV/0!</v>
      </c>
      <c r="V837" s="168"/>
      <c r="W837" s="169"/>
    </row>
    <row r="838">
      <c r="A838" s="161"/>
      <c r="B838" s="161"/>
      <c r="C838" s="161"/>
      <c r="D838" s="160" t="str">
        <f>IFERROR(__xludf.DUMMYFUNCTION("SUBSTITUTE(REGEXEXTRACT(#REF!, ""[^-]+$""), ""x"", "" x "")"),"#REF!")</f>
        <v>#REF!</v>
      </c>
      <c r="E838" s="161"/>
      <c r="F838" s="161"/>
      <c r="G838" s="161"/>
      <c r="H838" s="161"/>
      <c r="I838" s="118"/>
      <c r="J838" s="118"/>
      <c r="K838" s="117"/>
      <c r="L838" s="119"/>
      <c r="M838" s="119"/>
      <c r="N838" s="166"/>
      <c r="O838" s="118"/>
      <c r="P838" s="118"/>
      <c r="Q838" s="167"/>
      <c r="R838" s="163"/>
      <c r="S838" s="163"/>
      <c r="T838" s="168"/>
      <c r="U838" s="123" t="str">
        <f t="shared" si="41"/>
        <v>#DIV/0!</v>
      </c>
      <c r="V838" s="168"/>
      <c r="W838" s="169"/>
    </row>
    <row r="839">
      <c r="A839" s="161"/>
      <c r="B839" s="161"/>
      <c r="C839" s="161"/>
      <c r="D839" s="160" t="str">
        <f>IFERROR(__xludf.DUMMYFUNCTION("SUBSTITUTE(REGEXEXTRACT(#REF!, ""[^-]+$""), ""x"", "" x "")"),"#REF!")</f>
        <v>#REF!</v>
      </c>
      <c r="E839" s="161"/>
      <c r="F839" s="161"/>
      <c r="G839" s="161"/>
      <c r="H839" s="161"/>
      <c r="I839" s="118"/>
      <c r="J839" s="118"/>
      <c r="K839" s="117"/>
      <c r="L839" s="119"/>
      <c r="M839" s="119"/>
      <c r="N839" s="166"/>
      <c r="O839" s="118"/>
      <c r="P839" s="118"/>
      <c r="Q839" s="167"/>
      <c r="R839" s="163"/>
      <c r="S839" s="163"/>
      <c r="T839" s="168"/>
      <c r="U839" s="123" t="str">
        <f t="shared" si="41"/>
        <v>#DIV/0!</v>
      </c>
      <c r="V839" s="168"/>
      <c r="W839" s="169"/>
    </row>
    <row r="840">
      <c r="A840" s="161"/>
      <c r="B840" s="161"/>
      <c r="C840" s="161"/>
      <c r="D840" s="160" t="str">
        <f>IFERROR(__xludf.DUMMYFUNCTION("SUBSTITUTE(REGEXEXTRACT(#REF!, ""[^-]+$""), ""x"", "" x "")"),"#REF!")</f>
        <v>#REF!</v>
      </c>
      <c r="E840" s="161"/>
      <c r="F840" s="161"/>
      <c r="G840" s="161"/>
      <c r="H840" s="161"/>
      <c r="I840" s="118"/>
      <c r="J840" s="118"/>
      <c r="K840" s="117"/>
      <c r="L840" s="119"/>
      <c r="M840" s="119"/>
      <c r="N840" s="166"/>
      <c r="O840" s="118"/>
      <c r="P840" s="118"/>
      <c r="Q840" s="167"/>
      <c r="R840" s="163"/>
      <c r="S840" s="163"/>
      <c r="T840" s="168"/>
      <c r="U840" s="123" t="str">
        <f t="shared" si="41"/>
        <v>#DIV/0!</v>
      </c>
      <c r="V840" s="168"/>
      <c r="W840" s="169"/>
    </row>
    <row r="841">
      <c r="A841" s="161"/>
      <c r="B841" s="161"/>
      <c r="C841" s="161"/>
      <c r="D841" s="160" t="str">
        <f>IFERROR(__xludf.DUMMYFUNCTION("SUBSTITUTE(REGEXEXTRACT(#REF!, ""[^-]+$""), ""x"", "" x "")"),"#REF!")</f>
        <v>#REF!</v>
      </c>
      <c r="E841" s="161"/>
      <c r="F841" s="161"/>
      <c r="G841" s="161"/>
      <c r="H841" s="161"/>
      <c r="I841" s="118"/>
      <c r="J841" s="118"/>
      <c r="K841" s="117"/>
      <c r="L841" s="119"/>
      <c r="M841" s="119"/>
      <c r="N841" s="119"/>
      <c r="O841" s="118"/>
      <c r="P841" s="118"/>
      <c r="Q841" s="167"/>
      <c r="R841" s="163"/>
      <c r="S841" s="163"/>
      <c r="T841" s="168"/>
      <c r="U841" s="123" t="str">
        <f t="shared" si="41"/>
        <v>#DIV/0!</v>
      </c>
      <c r="V841" s="168"/>
      <c r="W841" s="169"/>
    </row>
    <row r="842">
      <c r="A842" s="161"/>
      <c r="B842" s="161"/>
      <c r="C842" s="161"/>
      <c r="D842" s="160" t="str">
        <f>IFERROR(__xludf.DUMMYFUNCTION("SUBSTITUTE(REGEXEXTRACT(#REF!, ""[^-]+$""), ""x"", "" x "")"),"#REF!")</f>
        <v>#REF!</v>
      </c>
      <c r="E842" s="161"/>
      <c r="F842" s="161"/>
      <c r="G842" s="161"/>
      <c r="H842" s="161"/>
      <c r="I842" s="118"/>
      <c r="J842" s="118"/>
      <c r="K842" s="117"/>
      <c r="L842" s="119"/>
      <c r="M842" s="119"/>
      <c r="N842" s="119"/>
      <c r="O842" s="118"/>
      <c r="P842" s="118"/>
      <c r="Q842" s="167"/>
      <c r="R842" s="163"/>
      <c r="S842" s="163"/>
      <c r="T842" s="168"/>
      <c r="U842" s="123" t="str">
        <f t="shared" si="41"/>
        <v>#DIV/0!</v>
      </c>
      <c r="V842" s="168"/>
      <c r="W842" s="169"/>
    </row>
    <row r="843">
      <c r="A843" s="161"/>
      <c r="B843" s="161"/>
      <c r="C843" s="161"/>
      <c r="D843" s="160" t="str">
        <f>IFERROR(__xludf.DUMMYFUNCTION("SUBSTITUTE(REGEXEXTRACT(#REF!, ""[^-]+$""), ""x"", "" x "")"),"#REF!")</f>
        <v>#REF!</v>
      </c>
      <c r="E843" s="161"/>
      <c r="F843" s="161"/>
      <c r="G843" s="161"/>
      <c r="H843" s="161"/>
      <c r="I843" s="118"/>
      <c r="J843" s="118"/>
      <c r="K843" s="117"/>
      <c r="L843" s="119"/>
      <c r="M843" s="119"/>
      <c r="N843" s="119"/>
      <c r="O843" s="118"/>
      <c r="P843" s="118"/>
      <c r="Q843" s="167"/>
      <c r="R843" s="163"/>
      <c r="S843" s="163"/>
      <c r="T843" s="168"/>
      <c r="U843" s="123" t="str">
        <f t="shared" si="41"/>
        <v>#DIV/0!</v>
      </c>
      <c r="V843" s="168"/>
      <c r="W843" s="169"/>
    </row>
    <row r="844">
      <c r="A844" s="161"/>
      <c r="B844" s="161"/>
      <c r="C844" s="161"/>
      <c r="D844" s="160" t="str">
        <f>IFERROR(__xludf.DUMMYFUNCTION("SUBSTITUTE(REGEXEXTRACT(#REF!, ""[^-]+$""), ""x"", "" x "")"),"#REF!")</f>
        <v>#REF!</v>
      </c>
      <c r="E844" s="161"/>
      <c r="F844" s="161"/>
      <c r="G844" s="161"/>
      <c r="H844" s="161"/>
      <c r="I844" s="118"/>
      <c r="J844" s="118"/>
      <c r="K844" s="117"/>
      <c r="L844" s="119"/>
      <c r="M844" s="119"/>
      <c r="N844" s="119"/>
      <c r="O844" s="118"/>
      <c r="P844" s="118"/>
      <c r="Q844" s="167"/>
      <c r="R844" s="163"/>
      <c r="S844" s="163"/>
      <c r="T844" s="168"/>
      <c r="U844" s="123" t="str">
        <f t="shared" si="41"/>
        <v>#DIV/0!</v>
      </c>
      <c r="V844" s="168"/>
      <c r="W844" s="169"/>
    </row>
    <row r="845">
      <c r="A845" s="161"/>
      <c r="B845" s="161"/>
      <c r="C845" s="161"/>
      <c r="D845" s="160" t="str">
        <f>IFERROR(__xludf.DUMMYFUNCTION("SUBSTITUTE(REGEXEXTRACT(#REF!, ""[^-]+$""), ""x"", "" x "")"),"#REF!")</f>
        <v>#REF!</v>
      </c>
      <c r="E845" s="161"/>
      <c r="F845" s="161"/>
      <c r="G845" s="161"/>
      <c r="H845" s="161"/>
      <c r="I845" s="118"/>
      <c r="J845" s="118"/>
      <c r="K845" s="117"/>
      <c r="L845" s="119"/>
      <c r="M845" s="119"/>
      <c r="N845" s="119"/>
      <c r="O845" s="118"/>
      <c r="P845" s="118"/>
      <c r="Q845" s="167"/>
      <c r="R845" s="163"/>
      <c r="S845" s="163"/>
      <c r="T845" s="168"/>
      <c r="U845" s="123" t="str">
        <f t="shared" si="41"/>
        <v>#DIV/0!</v>
      </c>
      <c r="V845" s="168"/>
      <c r="W845" s="169"/>
    </row>
    <row r="846">
      <c r="A846" s="161"/>
      <c r="B846" s="161"/>
      <c r="C846" s="161"/>
      <c r="D846" s="160" t="str">
        <f>IFERROR(__xludf.DUMMYFUNCTION("SUBSTITUTE(REGEXEXTRACT(#REF!, ""[^-]+$""), ""x"", "" x "")"),"#REF!")</f>
        <v>#REF!</v>
      </c>
      <c r="E846" s="161"/>
      <c r="F846" s="161"/>
      <c r="G846" s="161"/>
      <c r="H846" s="161"/>
      <c r="I846" s="118"/>
      <c r="J846" s="118"/>
      <c r="K846" s="117"/>
      <c r="L846" s="119"/>
      <c r="M846" s="119"/>
      <c r="N846" s="166"/>
      <c r="O846" s="118"/>
      <c r="P846" s="118"/>
      <c r="Q846" s="167"/>
      <c r="R846" s="163"/>
      <c r="S846" s="163"/>
      <c r="T846" s="168"/>
      <c r="U846" s="123" t="str">
        <f t="shared" si="41"/>
        <v>#DIV/0!</v>
      </c>
      <c r="V846" s="168"/>
      <c r="W846" s="169"/>
    </row>
    <row r="847">
      <c r="A847" s="161"/>
      <c r="B847" s="161"/>
      <c r="C847" s="161"/>
      <c r="D847" s="160" t="str">
        <f>IFERROR(__xludf.DUMMYFUNCTION("SUBSTITUTE(REGEXEXTRACT(#REF!, ""[^-]+$""), ""x"", "" x "")"),"#REF!")</f>
        <v>#REF!</v>
      </c>
      <c r="E847" s="161"/>
      <c r="F847" s="161"/>
      <c r="G847" s="161"/>
      <c r="H847" s="161"/>
      <c r="I847" s="118"/>
      <c r="J847" s="118"/>
      <c r="K847" s="117"/>
      <c r="L847" s="119"/>
      <c r="M847" s="119"/>
      <c r="N847" s="166"/>
      <c r="O847" s="118"/>
      <c r="P847" s="118"/>
      <c r="Q847" s="167"/>
      <c r="R847" s="163"/>
      <c r="S847" s="163"/>
      <c r="T847" s="168"/>
      <c r="U847" s="123" t="str">
        <f t="shared" si="41"/>
        <v>#DIV/0!</v>
      </c>
      <c r="V847" s="168"/>
      <c r="W847" s="169"/>
    </row>
    <row r="848">
      <c r="A848" s="161"/>
      <c r="B848" s="161"/>
      <c r="C848" s="161"/>
      <c r="D848" s="160" t="str">
        <f>IFERROR(__xludf.DUMMYFUNCTION("SUBSTITUTE(REGEXEXTRACT(#REF!, ""[^-]+$""), ""x"", "" x "")"),"#REF!")</f>
        <v>#REF!</v>
      </c>
      <c r="E848" s="161"/>
      <c r="F848" s="161"/>
      <c r="G848" s="161"/>
      <c r="H848" s="161"/>
      <c r="I848" s="118"/>
      <c r="J848" s="118"/>
      <c r="K848" s="117"/>
      <c r="L848" s="119"/>
      <c r="M848" s="119"/>
      <c r="N848" s="166"/>
      <c r="O848" s="118"/>
      <c r="P848" s="118"/>
      <c r="Q848" s="167"/>
      <c r="R848" s="163"/>
      <c r="S848" s="163"/>
      <c r="T848" s="168"/>
      <c r="U848" s="123" t="str">
        <f t="shared" si="41"/>
        <v>#DIV/0!</v>
      </c>
      <c r="V848" s="168"/>
      <c r="W848" s="169"/>
    </row>
    <row r="849">
      <c r="A849" s="161"/>
      <c r="B849" s="161"/>
      <c r="C849" s="161"/>
      <c r="D849" s="160" t="str">
        <f>IFERROR(__xludf.DUMMYFUNCTION("SUBSTITUTE(REGEXEXTRACT(#REF!, ""[^-]+$""), ""x"", "" x "")"),"#REF!")</f>
        <v>#REF!</v>
      </c>
      <c r="E849" s="161"/>
      <c r="F849" s="161"/>
      <c r="G849" s="161"/>
      <c r="H849" s="161"/>
      <c r="I849" s="118"/>
      <c r="J849" s="118"/>
      <c r="K849" s="117"/>
      <c r="L849" s="119"/>
      <c r="M849" s="119"/>
      <c r="N849" s="166"/>
      <c r="O849" s="118"/>
      <c r="P849" s="118"/>
      <c r="Q849" s="167"/>
      <c r="R849" s="163"/>
      <c r="S849" s="163"/>
      <c r="T849" s="168"/>
      <c r="U849" s="123" t="str">
        <f t="shared" si="41"/>
        <v>#DIV/0!</v>
      </c>
      <c r="V849" s="168"/>
      <c r="W849" s="169"/>
    </row>
    <row r="850">
      <c r="A850" s="161"/>
      <c r="B850" s="161"/>
      <c r="C850" s="161"/>
      <c r="D850" s="160" t="str">
        <f>IFERROR(__xludf.DUMMYFUNCTION("SUBSTITUTE(REGEXEXTRACT(#REF!, ""[^-]+$""), ""x"", "" x "")"),"#REF!")</f>
        <v>#REF!</v>
      </c>
      <c r="E850" s="161"/>
      <c r="F850" s="161"/>
      <c r="G850" s="161"/>
      <c r="H850" s="161"/>
      <c r="I850" s="117"/>
      <c r="J850" s="117"/>
      <c r="K850" s="117"/>
      <c r="L850" s="166"/>
      <c r="M850" s="166"/>
      <c r="N850" s="119"/>
      <c r="O850" s="117"/>
      <c r="P850" s="117"/>
      <c r="Q850" s="167"/>
      <c r="R850" s="163"/>
      <c r="S850" s="163"/>
      <c r="T850" s="168"/>
      <c r="U850" s="123" t="str">
        <f t="shared" si="41"/>
        <v>#DIV/0!</v>
      </c>
      <c r="V850" s="168"/>
      <c r="W850" s="169"/>
    </row>
    <row r="851">
      <c r="A851" s="161"/>
      <c r="B851" s="161"/>
      <c r="C851" s="161"/>
      <c r="D851" s="160" t="str">
        <f>IFERROR(__xludf.DUMMYFUNCTION("SUBSTITUTE(REGEXEXTRACT(#REF!, ""[^-]+$""), ""x"", "" x "")"),"#REF!")</f>
        <v>#REF!</v>
      </c>
      <c r="E851" s="161"/>
      <c r="F851" s="161"/>
      <c r="G851" s="161"/>
      <c r="H851" s="161"/>
      <c r="I851" s="117"/>
      <c r="J851" s="117"/>
      <c r="K851" s="117"/>
      <c r="L851" s="166"/>
      <c r="M851" s="166"/>
      <c r="N851" s="166"/>
      <c r="O851" s="117"/>
      <c r="P851" s="117"/>
      <c r="Q851" s="162"/>
      <c r="R851" s="163"/>
      <c r="S851" s="163"/>
      <c r="T851" s="168"/>
      <c r="U851" s="123" t="str">
        <f t="shared" si="41"/>
        <v>#DIV/0!</v>
      </c>
      <c r="V851" s="168"/>
      <c r="W851" s="169"/>
    </row>
    <row r="852">
      <c r="A852" s="161"/>
      <c r="B852" s="161"/>
      <c r="C852" s="161"/>
      <c r="D852" s="160" t="str">
        <f>IFERROR(__xludf.DUMMYFUNCTION("SUBSTITUTE(REGEXEXTRACT(#REF!, ""[^-]+$""), ""x"", "" x "")"),"#REF!")</f>
        <v>#REF!</v>
      </c>
      <c r="E852" s="161"/>
      <c r="F852" s="161"/>
      <c r="G852" s="161"/>
      <c r="H852" s="161"/>
      <c r="I852" s="117"/>
      <c r="J852" s="117"/>
      <c r="K852" s="117"/>
      <c r="L852" s="166"/>
      <c r="M852" s="166"/>
      <c r="N852" s="166"/>
      <c r="O852" s="117"/>
      <c r="P852" s="117"/>
      <c r="Q852" s="162"/>
      <c r="R852" s="163"/>
      <c r="S852" s="163"/>
      <c r="T852" s="168"/>
      <c r="U852" s="123" t="str">
        <f t="shared" si="41"/>
        <v>#DIV/0!</v>
      </c>
      <c r="V852" s="168"/>
      <c r="W852" s="169"/>
    </row>
    <row r="853">
      <c r="A853" s="161"/>
      <c r="B853" s="161"/>
      <c r="C853" s="161"/>
      <c r="D853" s="160" t="str">
        <f>IFERROR(__xludf.DUMMYFUNCTION("SUBSTITUTE(REGEXEXTRACT(#REF!, ""[^-]+$""), ""x"", "" x "")"),"#REF!")</f>
        <v>#REF!</v>
      </c>
      <c r="E853" s="161"/>
      <c r="F853" s="161"/>
      <c r="G853" s="161"/>
      <c r="H853" s="161"/>
      <c r="I853" s="117"/>
      <c r="J853" s="117"/>
      <c r="K853" s="117"/>
      <c r="L853" s="166"/>
      <c r="M853" s="166"/>
      <c r="N853" s="166"/>
      <c r="O853" s="117"/>
      <c r="P853" s="117"/>
      <c r="Q853" s="162"/>
      <c r="R853" s="163"/>
      <c r="S853" s="163"/>
      <c r="T853" s="168"/>
      <c r="U853" s="123" t="str">
        <f t="shared" si="41"/>
        <v>#DIV/0!</v>
      </c>
      <c r="V853" s="168"/>
      <c r="W853" s="169"/>
    </row>
    <row r="854">
      <c r="A854" s="161"/>
      <c r="B854" s="161"/>
      <c r="C854" s="161"/>
      <c r="D854" s="160" t="str">
        <f>IFERROR(__xludf.DUMMYFUNCTION("SUBSTITUTE(REGEXEXTRACT(#REF!, ""[^-]+$""), ""x"", "" x "")"),"#REF!")</f>
        <v>#REF!</v>
      </c>
      <c r="E854" s="161"/>
      <c r="F854" s="161"/>
      <c r="G854" s="161"/>
      <c r="H854" s="161"/>
      <c r="I854" s="117"/>
      <c r="J854" s="117"/>
      <c r="K854" s="117"/>
      <c r="L854" s="166"/>
      <c r="M854" s="166"/>
      <c r="N854" s="166"/>
      <c r="O854" s="117"/>
      <c r="P854" s="117"/>
      <c r="Q854" s="167"/>
      <c r="R854" s="163"/>
      <c r="S854" s="163"/>
      <c r="T854" s="168"/>
      <c r="U854" s="123" t="str">
        <f t="shared" si="41"/>
        <v>#DIV/0!</v>
      </c>
      <c r="V854" s="168"/>
      <c r="W854" s="169"/>
    </row>
    <row r="855">
      <c r="A855" s="161"/>
      <c r="B855" s="161"/>
      <c r="C855" s="161"/>
      <c r="D855" s="160" t="str">
        <f>IFERROR(__xludf.DUMMYFUNCTION("SUBSTITUTE(REGEXEXTRACT(#REF!, ""[^-]+$""), ""x"", "" x "")"),"#REF!")</f>
        <v>#REF!</v>
      </c>
      <c r="E855" s="161"/>
      <c r="F855" s="161"/>
      <c r="G855" s="161"/>
      <c r="H855" s="161"/>
      <c r="I855" s="118"/>
      <c r="J855" s="117"/>
      <c r="K855" s="118"/>
      <c r="L855" s="119"/>
      <c r="M855" s="119"/>
      <c r="N855" s="119"/>
      <c r="O855" s="118"/>
      <c r="P855" s="118"/>
      <c r="Q855" s="162"/>
      <c r="R855" s="163"/>
      <c r="S855" s="163"/>
      <c r="T855" s="168"/>
      <c r="U855" s="123" t="str">
        <f t="shared" si="41"/>
        <v>#DIV/0!</v>
      </c>
      <c r="V855" s="168"/>
      <c r="W855" s="169"/>
    </row>
    <row r="856">
      <c r="A856" s="161"/>
      <c r="B856" s="161"/>
      <c r="C856" s="161"/>
      <c r="D856" s="160" t="str">
        <f>IFERROR(__xludf.DUMMYFUNCTION("SUBSTITUTE(REGEXEXTRACT(#REF!, ""[^-]+$""), ""x"", "" x "")"),"#REF!")</f>
        <v>#REF!</v>
      </c>
      <c r="E856" s="161"/>
      <c r="F856" s="161"/>
      <c r="G856" s="161"/>
      <c r="H856" s="161"/>
      <c r="I856" s="118"/>
      <c r="J856" s="117"/>
      <c r="K856" s="118"/>
      <c r="L856" s="119"/>
      <c r="M856" s="119"/>
      <c r="N856" s="119"/>
      <c r="O856" s="118"/>
      <c r="P856" s="118"/>
      <c r="Q856" s="162"/>
      <c r="R856" s="163"/>
      <c r="S856" s="163"/>
      <c r="T856" s="168"/>
      <c r="U856" s="123" t="str">
        <f t="shared" si="41"/>
        <v>#DIV/0!</v>
      </c>
      <c r="V856" s="168"/>
      <c r="W856" s="169"/>
    </row>
    <row r="857">
      <c r="A857" s="161"/>
      <c r="B857" s="161"/>
      <c r="C857" s="161"/>
      <c r="D857" s="160" t="str">
        <f>IFERROR(__xludf.DUMMYFUNCTION("SUBSTITUTE(REGEXEXTRACT(#REF!, ""[^-]+$""), ""x"", "" x "")"),"#REF!")</f>
        <v>#REF!</v>
      </c>
      <c r="E857" s="161"/>
      <c r="F857" s="161"/>
      <c r="G857" s="161"/>
      <c r="H857" s="161"/>
      <c r="I857" s="118"/>
      <c r="J857" s="118"/>
      <c r="K857" s="117"/>
      <c r="L857" s="119"/>
      <c r="M857" s="119"/>
      <c r="N857" s="119"/>
      <c r="O857" s="117"/>
      <c r="P857" s="118"/>
      <c r="Q857" s="162"/>
      <c r="R857" s="163"/>
      <c r="S857" s="163"/>
      <c r="T857" s="168"/>
      <c r="U857" s="123" t="str">
        <f t="shared" si="41"/>
        <v>#DIV/0!</v>
      </c>
      <c r="V857" s="168"/>
      <c r="W857" s="169"/>
    </row>
    <row r="858">
      <c r="A858" s="161"/>
      <c r="B858" s="161"/>
      <c r="C858" s="161"/>
      <c r="D858" s="160" t="str">
        <f>IFERROR(__xludf.DUMMYFUNCTION("SUBSTITUTE(REGEXEXTRACT(#REF!, ""[^-]+$""), ""x"", "" x "")"),"#REF!")</f>
        <v>#REF!</v>
      </c>
      <c r="E858" s="161"/>
      <c r="F858" s="161"/>
      <c r="G858" s="161"/>
      <c r="H858" s="161"/>
      <c r="I858" s="117"/>
      <c r="J858" s="117"/>
      <c r="K858" s="117"/>
      <c r="L858" s="166"/>
      <c r="M858" s="166"/>
      <c r="N858" s="166"/>
      <c r="O858" s="117"/>
      <c r="P858" s="118"/>
      <c r="Q858" s="162"/>
      <c r="R858" s="163"/>
      <c r="S858" s="163"/>
      <c r="T858" s="168"/>
      <c r="U858" s="123" t="str">
        <f t="shared" si="41"/>
        <v>#DIV/0!</v>
      </c>
      <c r="V858" s="168"/>
      <c r="W858" s="169"/>
    </row>
    <row r="859">
      <c r="A859" s="161"/>
      <c r="B859" s="161"/>
      <c r="C859" s="161"/>
      <c r="D859" s="160" t="str">
        <f>IFERROR(__xludf.DUMMYFUNCTION("SUBSTITUTE(REGEXEXTRACT(#REF!, ""[^-]+$""), ""x"", "" x "")"),"#REF!")</f>
        <v>#REF!</v>
      </c>
      <c r="E859" s="161"/>
      <c r="F859" s="161"/>
      <c r="G859" s="161"/>
      <c r="H859" s="161"/>
      <c r="I859" s="117"/>
      <c r="J859" s="117"/>
      <c r="K859" s="117"/>
      <c r="L859" s="166"/>
      <c r="M859" s="166"/>
      <c r="N859" s="166"/>
      <c r="O859" s="117"/>
      <c r="P859" s="118"/>
      <c r="Q859" s="162"/>
      <c r="R859" s="163"/>
      <c r="S859" s="163"/>
      <c r="T859" s="168"/>
      <c r="U859" s="123" t="str">
        <f t="shared" si="41"/>
        <v>#DIV/0!</v>
      </c>
      <c r="V859" s="168"/>
      <c r="W859" s="169"/>
    </row>
    <row r="860">
      <c r="A860" s="161"/>
      <c r="B860" s="161"/>
      <c r="C860" s="161"/>
      <c r="D860" s="160" t="str">
        <f>IFERROR(__xludf.DUMMYFUNCTION("SUBSTITUTE(REGEXEXTRACT(#REF!, ""[^-]+$""), ""x"", "" x "")"),"#REF!")</f>
        <v>#REF!</v>
      </c>
      <c r="E860" s="161"/>
      <c r="F860" s="161"/>
      <c r="G860" s="161"/>
      <c r="H860" s="161"/>
      <c r="I860" s="117"/>
      <c r="J860" s="117"/>
      <c r="K860" s="117"/>
      <c r="L860" s="166"/>
      <c r="M860" s="166"/>
      <c r="N860" s="166"/>
      <c r="O860" s="117"/>
      <c r="P860" s="118"/>
      <c r="Q860" s="162"/>
      <c r="R860" s="163"/>
      <c r="S860" s="163"/>
      <c r="T860" s="168"/>
      <c r="U860" s="123" t="str">
        <f t="shared" si="41"/>
        <v>#DIV/0!</v>
      </c>
      <c r="V860" s="168"/>
      <c r="W860" s="169"/>
    </row>
    <row r="861">
      <c r="A861" s="161"/>
      <c r="B861" s="161"/>
      <c r="C861" s="161"/>
      <c r="D861" s="160" t="str">
        <f>IFERROR(__xludf.DUMMYFUNCTION("SUBSTITUTE(REGEXEXTRACT(#REF!, ""[^-]+$""), ""x"", "" x "")"),"#REF!")</f>
        <v>#REF!</v>
      </c>
      <c r="E861" s="161"/>
      <c r="F861" s="161"/>
      <c r="G861" s="161"/>
      <c r="H861" s="161"/>
      <c r="I861" s="117"/>
      <c r="J861" s="117"/>
      <c r="K861" s="117"/>
      <c r="L861" s="166"/>
      <c r="M861" s="166"/>
      <c r="N861" s="166"/>
      <c r="O861" s="117"/>
      <c r="P861" s="118"/>
      <c r="Q861" s="162"/>
      <c r="R861" s="163"/>
      <c r="S861" s="163"/>
      <c r="T861" s="168"/>
      <c r="U861" s="123" t="str">
        <f t="shared" si="41"/>
        <v>#DIV/0!</v>
      </c>
      <c r="V861" s="168"/>
      <c r="W861" s="169"/>
    </row>
    <row r="862">
      <c r="A862" s="161"/>
      <c r="B862" s="161"/>
      <c r="C862" s="161"/>
      <c r="D862" s="160" t="str">
        <f>IFERROR(__xludf.DUMMYFUNCTION("SUBSTITUTE(REGEXEXTRACT(#REF!, ""[^-]+$""), ""x"", "" x "")"),"#REF!")</f>
        <v>#REF!</v>
      </c>
      <c r="E862" s="161"/>
      <c r="F862" s="161"/>
      <c r="G862" s="161"/>
      <c r="H862" s="161"/>
      <c r="I862" s="117"/>
      <c r="J862" s="117"/>
      <c r="K862" s="117"/>
      <c r="L862" s="166"/>
      <c r="M862" s="166"/>
      <c r="N862" s="166"/>
      <c r="O862" s="117"/>
      <c r="P862" s="117"/>
      <c r="Q862" s="167"/>
      <c r="R862" s="163"/>
      <c r="S862" s="163"/>
      <c r="T862" s="168"/>
      <c r="U862" s="123" t="str">
        <f t="shared" si="41"/>
        <v>#DIV/0!</v>
      </c>
      <c r="V862" s="168"/>
      <c r="W862" s="169"/>
    </row>
    <row r="863">
      <c r="A863" s="161"/>
      <c r="B863" s="161"/>
      <c r="C863" s="161"/>
      <c r="D863" s="160" t="str">
        <f>IFERROR(__xludf.DUMMYFUNCTION("SUBSTITUTE(REGEXEXTRACT(#REF!, ""[^-]+$""), ""x"", "" x "")"),"#REF!")</f>
        <v>#REF!</v>
      </c>
      <c r="E863" s="161"/>
      <c r="F863" s="161"/>
      <c r="G863" s="161"/>
      <c r="H863" s="161"/>
      <c r="I863" s="117"/>
      <c r="J863" s="117"/>
      <c r="K863" s="117"/>
      <c r="L863" s="166"/>
      <c r="M863" s="166"/>
      <c r="N863" s="166"/>
      <c r="O863" s="117"/>
      <c r="P863" s="117"/>
      <c r="Q863" s="167"/>
      <c r="R863" s="163"/>
      <c r="S863" s="163"/>
      <c r="T863" s="168"/>
      <c r="U863" s="123" t="str">
        <f t="shared" si="41"/>
        <v>#DIV/0!</v>
      </c>
      <c r="V863" s="168"/>
      <c r="W863" s="169"/>
    </row>
    <row r="864">
      <c r="A864" s="161"/>
      <c r="B864" s="161"/>
      <c r="C864" s="161"/>
      <c r="D864" s="160" t="str">
        <f>IFERROR(__xludf.DUMMYFUNCTION("SUBSTITUTE(REGEXEXTRACT(#REF!, ""[^-]+$""), ""x"", "" x "")"),"#REF!")</f>
        <v>#REF!</v>
      </c>
      <c r="E864" s="161"/>
      <c r="F864" s="161"/>
      <c r="G864" s="161"/>
      <c r="H864" s="161"/>
      <c r="I864" s="117"/>
      <c r="J864" s="117"/>
      <c r="K864" s="117"/>
      <c r="L864" s="166"/>
      <c r="M864" s="166"/>
      <c r="N864" s="166"/>
      <c r="O864" s="117"/>
      <c r="P864" s="117"/>
      <c r="Q864" s="167"/>
      <c r="R864" s="163"/>
      <c r="S864" s="163"/>
      <c r="T864" s="168"/>
      <c r="U864" s="123" t="str">
        <f t="shared" si="41"/>
        <v>#DIV/0!</v>
      </c>
      <c r="V864" s="168"/>
      <c r="W864" s="169"/>
    </row>
    <row r="865">
      <c r="A865" s="161"/>
      <c r="B865" s="161"/>
      <c r="C865" s="161"/>
      <c r="D865" s="160" t="str">
        <f>IFERROR(__xludf.DUMMYFUNCTION("SUBSTITUTE(REGEXEXTRACT(#REF!, ""[^-]+$""), ""x"", "" x "")"),"#REF!")</f>
        <v>#REF!</v>
      </c>
      <c r="E865" s="161"/>
      <c r="F865" s="161"/>
      <c r="G865" s="161"/>
      <c r="H865" s="161"/>
      <c r="I865" s="118"/>
      <c r="J865" s="117"/>
      <c r="K865" s="118"/>
      <c r="L865" s="119"/>
      <c r="M865" s="166"/>
      <c r="N865" s="119"/>
      <c r="O865" s="118"/>
      <c r="P865" s="117"/>
      <c r="Q865" s="162"/>
      <c r="R865" s="163"/>
      <c r="S865" s="163"/>
      <c r="T865" s="168"/>
      <c r="U865" s="123" t="str">
        <f t="shared" si="41"/>
        <v>#DIV/0!</v>
      </c>
      <c r="V865" s="168"/>
      <c r="W865" s="169"/>
    </row>
    <row r="866">
      <c r="A866" s="161"/>
      <c r="B866" s="161"/>
      <c r="C866" s="161"/>
      <c r="D866" s="160" t="str">
        <f>IFERROR(__xludf.DUMMYFUNCTION("SUBSTITUTE(REGEXEXTRACT(#REF!, ""[^-]+$""), ""x"", "" x "")"),"#REF!")</f>
        <v>#REF!</v>
      </c>
      <c r="E866" s="161"/>
      <c r="F866" s="161"/>
      <c r="G866" s="161"/>
      <c r="H866" s="161"/>
      <c r="I866" s="117"/>
      <c r="J866" s="117"/>
      <c r="K866" s="117"/>
      <c r="L866" s="166"/>
      <c r="M866" s="166"/>
      <c r="N866" s="166"/>
      <c r="O866" s="117"/>
      <c r="P866" s="117"/>
      <c r="Q866" s="167"/>
      <c r="R866" s="163"/>
      <c r="S866" s="163"/>
      <c r="T866" s="168"/>
      <c r="U866" s="123" t="str">
        <f t="shared" si="41"/>
        <v>#DIV/0!</v>
      </c>
      <c r="V866" s="168"/>
      <c r="W866" s="169"/>
    </row>
    <row r="867">
      <c r="A867" s="161"/>
      <c r="B867" s="161"/>
      <c r="C867" s="161"/>
      <c r="D867" s="160" t="str">
        <f>IFERROR(__xludf.DUMMYFUNCTION("SUBSTITUTE(REGEXEXTRACT(#REF!, ""[^-]+$""), ""x"", "" x "")"),"#REF!")</f>
        <v>#REF!</v>
      </c>
      <c r="E867" s="161"/>
      <c r="F867" s="161"/>
      <c r="G867" s="161"/>
      <c r="H867" s="161"/>
      <c r="I867" s="118"/>
      <c r="J867" s="117"/>
      <c r="K867" s="118"/>
      <c r="L867" s="119"/>
      <c r="M867" s="166"/>
      <c r="N867" s="119"/>
      <c r="O867" s="118"/>
      <c r="P867" s="117"/>
      <c r="Q867" s="162"/>
      <c r="R867" s="163"/>
      <c r="S867" s="163"/>
      <c r="T867" s="168"/>
      <c r="U867" s="123" t="str">
        <f t="shared" si="41"/>
        <v>#DIV/0!</v>
      </c>
      <c r="V867" s="168"/>
      <c r="W867" s="169"/>
    </row>
    <row r="868">
      <c r="A868" s="161"/>
      <c r="B868" s="161"/>
      <c r="C868" s="161"/>
      <c r="D868" s="160" t="str">
        <f>IFERROR(__xludf.DUMMYFUNCTION("SUBSTITUTE(REGEXEXTRACT(#REF!, ""[^-]+$""), ""x"", "" x "")"),"#REF!")</f>
        <v>#REF!</v>
      </c>
      <c r="E868" s="161"/>
      <c r="F868" s="161"/>
      <c r="G868" s="161"/>
      <c r="H868" s="161"/>
      <c r="I868" s="118"/>
      <c r="J868" s="117"/>
      <c r="K868" s="118"/>
      <c r="L868" s="119"/>
      <c r="M868" s="166"/>
      <c r="N868" s="119"/>
      <c r="O868" s="118"/>
      <c r="P868" s="117"/>
      <c r="Q868" s="162"/>
      <c r="R868" s="163"/>
      <c r="S868" s="163"/>
      <c r="T868" s="168"/>
      <c r="U868" s="123" t="str">
        <f t="shared" si="41"/>
        <v>#DIV/0!</v>
      </c>
      <c r="V868" s="168"/>
      <c r="W868" s="169"/>
    </row>
    <row r="869">
      <c r="A869" s="161"/>
      <c r="B869" s="161"/>
      <c r="C869" s="161"/>
      <c r="D869" s="160" t="str">
        <f>IFERROR(__xludf.DUMMYFUNCTION("SUBSTITUTE(REGEXEXTRACT(#REF!, ""[^-]+$""), ""x"", "" x "")"),"#REF!")</f>
        <v>#REF!</v>
      </c>
      <c r="E869" s="161"/>
      <c r="F869" s="161"/>
      <c r="G869" s="161"/>
      <c r="H869" s="161"/>
      <c r="I869" s="117"/>
      <c r="J869" s="117"/>
      <c r="K869" s="117"/>
      <c r="L869" s="166"/>
      <c r="M869" s="166"/>
      <c r="N869" s="166"/>
      <c r="O869" s="117"/>
      <c r="P869" s="117"/>
      <c r="Q869" s="167"/>
      <c r="R869" s="163"/>
      <c r="S869" s="163"/>
      <c r="T869" s="168"/>
      <c r="U869" s="123" t="str">
        <f t="shared" si="41"/>
        <v>#DIV/0!</v>
      </c>
      <c r="V869" s="168"/>
      <c r="W869" s="169"/>
    </row>
    <row r="870">
      <c r="A870" s="161"/>
      <c r="B870" s="161"/>
      <c r="C870" s="161"/>
      <c r="D870" s="160" t="str">
        <f>IFERROR(__xludf.DUMMYFUNCTION("SUBSTITUTE(REGEXEXTRACT(#REF!, ""[^-]+$""), ""x"", "" x "")"),"#REF!")</f>
        <v>#REF!</v>
      </c>
      <c r="E870" s="161"/>
      <c r="F870" s="161"/>
      <c r="G870" s="161"/>
      <c r="H870" s="161"/>
      <c r="I870" s="118"/>
      <c r="J870" s="117"/>
      <c r="K870" s="118"/>
      <c r="L870" s="119"/>
      <c r="M870" s="119"/>
      <c r="N870" s="119"/>
      <c r="O870" s="118"/>
      <c r="P870" s="118"/>
      <c r="Q870" s="162"/>
      <c r="R870" s="163"/>
      <c r="S870" s="163"/>
      <c r="T870" s="168"/>
      <c r="U870" s="123" t="str">
        <f t="shared" si="41"/>
        <v>#DIV/0!</v>
      </c>
      <c r="V870" s="168"/>
      <c r="W870" s="169"/>
    </row>
    <row r="871">
      <c r="A871" s="161"/>
      <c r="B871" s="161"/>
      <c r="C871" s="161"/>
      <c r="D871" s="160" t="str">
        <f>IFERROR(__xludf.DUMMYFUNCTION("SUBSTITUTE(REGEXEXTRACT(#REF!, ""[^-]+$""), ""x"", "" x "")"),"#REF!")</f>
        <v>#REF!</v>
      </c>
      <c r="E871" s="161"/>
      <c r="F871" s="161"/>
      <c r="G871" s="161"/>
      <c r="H871" s="161"/>
      <c r="I871" s="118"/>
      <c r="J871" s="117"/>
      <c r="K871" s="118"/>
      <c r="L871" s="119"/>
      <c r="M871" s="119"/>
      <c r="N871" s="119"/>
      <c r="O871" s="118"/>
      <c r="P871" s="117"/>
      <c r="Q871" s="162"/>
      <c r="R871" s="163"/>
      <c r="S871" s="163"/>
      <c r="T871" s="168"/>
      <c r="U871" s="123" t="str">
        <f t="shared" si="41"/>
        <v>#DIV/0!</v>
      </c>
      <c r="V871" s="168"/>
      <c r="W871" s="169"/>
    </row>
    <row r="872">
      <c r="A872" s="161"/>
      <c r="B872" s="161"/>
      <c r="C872" s="161"/>
      <c r="D872" s="160" t="str">
        <f>IFERROR(__xludf.DUMMYFUNCTION("SUBSTITUTE(REGEXEXTRACT(#REF!, ""[^-]+$""), ""x"", "" x "")"),"#REF!")</f>
        <v>#REF!</v>
      </c>
      <c r="E872" s="161"/>
      <c r="F872" s="161"/>
      <c r="G872" s="161"/>
      <c r="H872" s="161"/>
      <c r="I872" s="118"/>
      <c r="J872" s="117"/>
      <c r="K872" s="118"/>
      <c r="L872" s="119"/>
      <c r="M872" s="119"/>
      <c r="N872" s="119"/>
      <c r="O872" s="118"/>
      <c r="P872" s="117"/>
      <c r="Q872" s="162"/>
      <c r="R872" s="163"/>
      <c r="S872" s="163"/>
      <c r="T872" s="168"/>
      <c r="U872" s="123" t="str">
        <f t="shared" si="41"/>
        <v>#DIV/0!</v>
      </c>
      <c r="V872" s="168"/>
      <c r="W872" s="169"/>
    </row>
    <row r="873">
      <c r="A873" s="161"/>
      <c r="B873" s="161"/>
      <c r="C873" s="161"/>
      <c r="D873" s="160" t="str">
        <f>IFERROR(__xludf.DUMMYFUNCTION("SUBSTITUTE(REGEXEXTRACT(#REF!, ""[^-]+$""), ""x"", "" x "")"),"#REF!")</f>
        <v>#REF!</v>
      </c>
      <c r="E873" s="161"/>
      <c r="F873" s="161"/>
      <c r="G873" s="161"/>
      <c r="H873" s="161"/>
      <c r="I873" s="118"/>
      <c r="J873" s="117"/>
      <c r="K873" s="118"/>
      <c r="L873" s="119"/>
      <c r="M873" s="166"/>
      <c r="N873" s="119"/>
      <c r="O873" s="118"/>
      <c r="P873" s="117"/>
      <c r="Q873" s="162"/>
      <c r="R873" s="163"/>
      <c r="S873" s="163"/>
      <c r="T873" s="168"/>
      <c r="U873" s="123" t="str">
        <f t="shared" si="41"/>
        <v>#DIV/0!</v>
      </c>
      <c r="V873" s="168"/>
      <c r="W873" s="169"/>
    </row>
    <row r="874">
      <c r="A874" s="161"/>
      <c r="B874" s="161"/>
      <c r="C874" s="161"/>
      <c r="D874" s="160" t="str">
        <f>IFERROR(__xludf.DUMMYFUNCTION("SUBSTITUTE(REGEXEXTRACT(#REF!, ""[^-]+$""), ""x"", "" x "")"),"#REF!")</f>
        <v>#REF!</v>
      </c>
      <c r="E874" s="161"/>
      <c r="F874" s="161"/>
      <c r="G874" s="161"/>
      <c r="H874" s="161"/>
      <c r="I874" s="118"/>
      <c r="J874" s="117"/>
      <c r="K874" s="118"/>
      <c r="L874" s="119"/>
      <c r="M874" s="166"/>
      <c r="N874" s="119"/>
      <c r="O874" s="118"/>
      <c r="P874" s="117"/>
      <c r="Q874" s="162"/>
      <c r="R874" s="163"/>
      <c r="S874" s="163"/>
      <c r="T874" s="168"/>
      <c r="U874" s="123" t="str">
        <f t="shared" si="41"/>
        <v>#DIV/0!</v>
      </c>
      <c r="V874" s="168"/>
      <c r="W874" s="169"/>
    </row>
    <row r="875">
      <c r="A875" s="161"/>
      <c r="B875" s="161"/>
      <c r="C875" s="161"/>
      <c r="D875" s="160" t="str">
        <f>IFERROR(__xludf.DUMMYFUNCTION("SUBSTITUTE(REGEXEXTRACT(#REF!, ""[^-]+$""), ""x"", "" x "")"),"#REF!")</f>
        <v>#REF!</v>
      </c>
      <c r="E875" s="161"/>
      <c r="F875" s="161"/>
      <c r="G875" s="161"/>
      <c r="H875" s="161"/>
      <c r="I875" s="118"/>
      <c r="J875" s="117"/>
      <c r="K875" s="118"/>
      <c r="L875" s="119"/>
      <c r="M875" s="166"/>
      <c r="N875" s="119"/>
      <c r="O875" s="118"/>
      <c r="P875" s="117"/>
      <c r="Q875" s="162"/>
      <c r="R875" s="163"/>
      <c r="S875" s="163"/>
      <c r="T875" s="168"/>
      <c r="U875" s="123" t="str">
        <f t="shared" si="41"/>
        <v>#DIV/0!</v>
      </c>
      <c r="V875" s="168"/>
      <c r="W875" s="169"/>
    </row>
    <row r="876">
      <c r="A876" s="161"/>
      <c r="B876" s="161"/>
      <c r="C876" s="161"/>
      <c r="D876" s="160" t="str">
        <f>IFERROR(__xludf.DUMMYFUNCTION("SUBSTITUTE(REGEXEXTRACT(#REF!, ""[^-]+$""), ""x"", "" x "")"),"#REF!")</f>
        <v>#REF!</v>
      </c>
      <c r="E876" s="161"/>
      <c r="F876" s="161"/>
      <c r="G876" s="161"/>
      <c r="H876" s="161"/>
      <c r="I876" s="118"/>
      <c r="J876" s="118"/>
      <c r="K876" s="117"/>
      <c r="L876" s="119"/>
      <c r="M876" s="119"/>
      <c r="N876" s="119"/>
      <c r="O876" s="118"/>
      <c r="P876" s="118"/>
      <c r="Q876" s="167"/>
      <c r="R876" s="163"/>
      <c r="S876" s="163"/>
      <c r="T876" s="168"/>
      <c r="U876" s="123" t="str">
        <f t="shared" si="41"/>
        <v>#DIV/0!</v>
      </c>
      <c r="V876" s="168"/>
      <c r="W876" s="169"/>
    </row>
    <row r="877">
      <c r="A877" s="161"/>
      <c r="B877" s="161"/>
      <c r="C877" s="161"/>
      <c r="D877" s="160" t="str">
        <f>IFERROR(__xludf.DUMMYFUNCTION("SUBSTITUTE(REGEXEXTRACT(#REF!, ""[^-]+$""), ""x"", "" x "")"),"#REF!")</f>
        <v>#REF!</v>
      </c>
      <c r="E877" s="161"/>
      <c r="F877" s="161"/>
      <c r="G877" s="161"/>
      <c r="H877" s="161"/>
      <c r="I877" s="118"/>
      <c r="J877" s="118"/>
      <c r="K877" s="117"/>
      <c r="L877" s="119"/>
      <c r="M877" s="119"/>
      <c r="N877" s="119"/>
      <c r="O877" s="118"/>
      <c r="P877" s="118"/>
      <c r="Q877" s="167"/>
      <c r="R877" s="163"/>
      <c r="S877" s="163"/>
      <c r="T877" s="168"/>
      <c r="U877" s="123" t="str">
        <f t="shared" si="41"/>
        <v>#DIV/0!</v>
      </c>
      <c r="V877" s="168"/>
      <c r="W877" s="169"/>
    </row>
    <row r="878">
      <c r="A878" s="161"/>
      <c r="B878" s="161"/>
      <c r="C878" s="161"/>
      <c r="D878" s="160" t="str">
        <f>IFERROR(__xludf.DUMMYFUNCTION("SUBSTITUTE(REGEXEXTRACT(#REF!, ""[^-]+$""), ""x"", "" x "")"),"#REF!")</f>
        <v>#REF!</v>
      </c>
      <c r="E878" s="161"/>
      <c r="F878" s="161"/>
      <c r="G878" s="161"/>
      <c r="H878" s="161"/>
      <c r="I878" s="118"/>
      <c r="J878" s="118"/>
      <c r="K878" s="117"/>
      <c r="L878" s="119"/>
      <c r="M878" s="119"/>
      <c r="N878" s="166"/>
      <c r="O878" s="118"/>
      <c r="P878" s="118"/>
      <c r="Q878" s="167"/>
      <c r="R878" s="163"/>
      <c r="S878" s="163"/>
      <c r="T878" s="168"/>
      <c r="U878" s="123" t="str">
        <f t="shared" si="41"/>
        <v>#DIV/0!</v>
      </c>
      <c r="V878" s="168"/>
      <c r="W878" s="169"/>
    </row>
    <row r="879">
      <c r="A879" s="161"/>
      <c r="B879" s="161"/>
      <c r="C879" s="161"/>
      <c r="D879" s="160" t="str">
        <f>IFERROR(__xludf.DUMMYFUNCTION("SUBSTITUTE(REGEXEXTRACT(#REF!, ""[^-]+$""), ""x"", "" x "")"),"#REF!")</f>
        <v>#REF!</v>
      </c>
      <c r="E879" s="161"/>
      <c r="F879" s="161"/>
      <c r="G879" s="161"/>
      <c r="H879" s="161"/>
      <c r="I879" s="118"/>
      <c r="J879" s="118"/>
      <c r="K879" s="117"/>
      <c r="L879" s="119"/>
      <c r="M879" s="119"/>
      <c r="N879" s="119"/>
      <c r="O879" s="118"/>
      <c r="P879" s="118"/>
      <c r="Q879" s="167"/>
      <c r="R879" s="163"/>
      <c r="S879" s="163"/>
      <c r="T879" s="168"/>
      <c r="U879" s="123" t="str">
        <f t="shared" si="41"/>
        <v>#DIV/0!</v>
      </c>
      <c r="V879" s="168"/>
      <c r="W879" s="169"/>
    </row>
    <row r="880">
      <c r="A880" s="161"/>
      <c r="B880" s="161"/>
      <c r="C880" s="161"/>
      <c r="D880" s="160" t="str">
        <f>IFERROR(__xludf.DUMMYFUNCTION("SUBSTITUTE(REGEXEXTRACT(#REF!, ""[^-]+$""), ""x"", "" x "")"),"#REF!")</f>
        <v>#REF!</v>
      </c>
      <c r="E880" s="161"/>
      <c r="F880" s="161"/>
      <c r="G880" s="161"/>
      <c r="H880" s="161"/>
      <c r="I880" s="118"/>
      <c r="J880" s="118"/>
      <c r="K880" s="117"/>
      <c r="L880" s="119"/>
      <c r="M880" s="119"/>
      <c r="N880" s="119"/>
      <c r="O880" s="118"/>
      <c r="P880" s="118"/>
      <c r="Q880" s="167"/>
      <c r="R880" s="163"/>
      <c r="S880" s="163"/>
      <c r="T880" s="168"/>
      <c r="U880" s="123" t="str">
        <f t="shared" si="41"/>
        <v>#DIV/0!</v>
      </c>
      <c r="V880" s="168"/>
      <c r="W880" s="169"/>
    </row>
    <row r="881">
      <c r="A881" s="161"/>
      <c r="B881" s="161"/>
      <c r="C881" s="161"/>
      <c r="D881" s="160" t="str">
        <f>IFERROR(__xludf.DUMMYFUNCTION("SUBSTITUTE(REGEXEXTRACT(#REF!, ""[^-]+$""), ""x"", "" x "")"),"#REF!")</f>
        <v>#REF!</v>
      </c>
      <c r="E881" s="161"/>
      <c r="F881" s="161"/>
      <c r="G881" s="161"/>
      <c r="H881" s="161"/>
      <c r="I881" s="118"/>
      <c r="J881" s="118"/>
      <c r="K881" s="117"/>
      <c r="L881" s="119"/>
      <c r="M881" s="119"/>
      <c r="N881" s="119"/>
      <c r="O881" s="118"/>
      <c r="P881" s="118"/>
      <c r="Q881" s="167"/>
      <c r="R881" s="163"/>
      <c r="S881" s="163"/>
      <c r="T881" s="168"/>
      <c r="U881" s="123" t="str">
        <f t="shared" si="41"/>
        <v>#DIV/0!</v>
      </c>
      <c r="V881" s="168"/>
      <c r="W881" s="169"/>
    </row>
    <row r="882">
      <c r="A882" s="161"/>
      <c r="B882" s="161"/>
      <c r="C882" s="161"/>
      <c r="D882" s="160" t="str">
        <f>IFERROR(__xludf.DUMMYFUNCTION("SUBSTITUTE(REGEXEXTRACT(#REF!, ""[^-]+$""), ""x"", "" x "")"),"#REF!")</f>
        <v>#REF!</v>
      </c>
      <c r="E882" s="161"/>
      <c r="F882" s="161"/>
      <c r="G882" s="161"/>
      <c r="H882" s="161"/>
      <c r="I882" s="118"/>
      <c r="J882" s="118"/>
      <c r="K882" s="117"/>
      <c r="L882" s="119"/>
      <c r="M882" s="119"/>
      <c r="N882" s="119"/>
      <c r="O882" s="118"/>
      <c r="P882" s="118"/>
      <c r="Q882" s="167"/>
      <c r="R882" s="163"/>
      <c r="S882" s="163"/>
      <c r="T882" s="168"/>
      <c r="U882" s="123" t="str">
        <f t="shared" si="41"/>
        <v>#DIV/0!</v>
      </c>
      <c r="V882" s="168"/>
      <c r="W882" s="169"/>
    </row>
    <row r="883">
      <c r="A883" s="161"/>
      <c r="B883" s="161"/>
      <c r="C883" s="161"/>
      <c r="D883" s="160" t="str">
        <f>IFERROR(__xludf.DUMMYFUNCTION("SUBSTITUTE(REGEXEXTRACT(#REF!, ""[^-]+$""), ""x"", "" x "")"),"#REF!")</f>
        <v>#REF!</v>
      </c>
      <c r="E883" s="161"/>
      <c r="F883" s="161"/>
      <c r="G883" s="161"/>
      <c r="H883" s="161"/>
      <c r="I883" s="118"/>
      <c r="J883" s="118"/>
      <c r="K883" s="117"/>
      <c r="L883" s="119"/>
      <c r="M883" s="119"/>
      <c r="N883" s="119"/>
      <c r="O883" s="118"/>
      <c r="P883" s="118"/>
      <c r="Q883" s="167"/>
      <c r="R883" s="163"/>
      <c r="S883" s="163"/>
      <c r="T883" s="168"/>
      <c r="U883" s="123" t="str">
        <f t="shared" si="41"/>
        <v>#DIV/0!</v>
      </c>
      <c r="V883" s="168"/>
      <c r="W883" s="169"/>
    </row>
    <row r="884">
      <c r="A884" s="161"/>
      <c r="B884" s="161"/>
      <c r="C884" s="161"/>
      <c r="D884" s="160" t="str">
        <f>IFERROR(__xludf.DUMMYFUNCTION("SUBSTITUTE(REGEXEXTRACT(#REF!, ""[^-]+$""), ""x"", "" x "")"),"#REF!")</f>
        <v>#REF!</v>
      </c>
      <c r="E884" s="161"/>
      <c r="F884" s="161"/>
      <c r="G884" s="161"/>
      <c r="H884" s="161"/>
      <c r="I884" s="118"/>
      <c r="J884" s="118"/>
      <c r="K884" s="117"/>
      <c r="L884" s="119"/>
      <c r="M884" s="119"/>
      <c r="N884" s="119"/>
      <c r="O884" s="118"/>
      <c r="P884" s="118"/>
      <c r="Q884" s="167"/>
      <c r="R884" s="163"/>
      <c r="S884" s="163"/>
      <c r="T884" s="168"/>
      <c r="U884" s="123" t="str">
        <f t="shared" si="41"/>
        <v>#DIV/0!</v>
      </c>
      <c r="V884" s="168"/>
      <c r="W884" s="169"/>
    </row>
    <row r="885">
      <c r="A885" s="161"/>
      <c r="B885" s="161"/>
      <c r="C885" s="161"/>
      <c r="D885" s="160" t="str">
        <f>IFERROR(__xludf.DUMMYFUNCTION("SUBSTITUTE(REGEXEXTRACT(#REF!, ""[^-]+$""), ""x"", "" x "")"),"#REF!")</f>
        <v>#REF!</v>
      </c>
      <c r="E885" s="161"/>
      <c r="F885" s="161"/>
      <c r="G885" s="161"/>
      <c r="H885" s="161"/>
      <c r="I885" s="118"/>
      <c r="J885" s="118"/>
      <c r="K885" s="117"/>
      <c r="L885" s="119"/>
      <c r="M885" s="119"/>
      <c r="N885" s="119"/>
      <c r="O885" s="118"/>
      <c r="P885" s="118"/>
      <c r="Q885" s="167"/>
      <c r="R885" s="163"/>
      <c r="S885" s="163"/>
      <c r="T885" s="168"/>
      <c r="U885" s="123" t="str">
        <f t="shared" si="41"/>
        <v>#DIV/0!</v>
      </c>
      <c r="V885" s="168"/>
      <c r="W885" s="169"/>
    </row>
    <row r="886">
      <c r="A886" s="161"/>
      <c r="B886" s="161"/>
      <c r="C886" s="161"/>
      <c r="D886" s="160" t="str">
        <f>IFERROR(__xludf.DUMMYFUNCTION("SUBSTITUTE(REGEXEXTRACT(#REF!, ""[^-]+$""), ""x"", "" x "")"),"#REF!")</f>
        <v>#REF!</v>
      </c>
      <c r="E886" s="161"/>
      <c r="F886" s="161"/>
      <c r="G886" s="161"/>
      <c r="H886" s="161"/>
      <c r="I886" s="118"/>
      <c r="J886" s="118"/>
      <c r="K886" s="117"/>
      <c r="L886" s="119"/>
      <c r="M886" s="119"/>
      <c r="N886" s="119"/>
      <c r="O886" s="118"/>
      <c r="P886" s="118"/>
      <c r="Q886" s="167"/>
      <c r="R886" s="163"/>
      <c r="S886" s="163"/>
      <c r="T886" s="168"/>
      <c r="U886" s="123" t="str">
        <f t="shared" si="41"/>
        <v>#DIV/0!</v>
      </c>
      <c r="V886" s="168"/>
      <c r="W886" s="169"/>
    </row>
    <row r="887">
      <c r="A887" s="161"/>
      <c r="B887" s="161"/>
      <c r="C887" s="161"/>
      <c r="D887" s="160" t="str">
        <f>IFERROR(__xludf.DUMMYFUNCTION("SUBSTITUTE(REGEXEXTRACT(#REF!, ""[^-]+$""), ""x"", "" x "")"),"#REF!")</f>
        <v>#REF!</v>
      </c>
      <c r="E887" s="161"/>
      <c r="F887" s="161"/>
      <c r="G887" s="161"/>
      <c r="H887" s="161"/>
      <c r="I887" s="118"/>
      <c r="J887" s="118"/>
      <c r="K887" s="117"/>
      <c r="L887" s="119"/>
      <c r="M887" s="119"/>
      <c r="N887" s="119"/>
      <c r="O887" s="118"/>
      <c r="P887" s="118"/>
      <c r="Q887" s="167"/>
      <c r="R887" s="163"/>
      <c r="S887" s="163"/>
      <c r="T887" s="168"/>
      <c r="U887" s="123" t="str">
        <f t="shared" si="41"/>
        <v>#DIV/0!</v>
      </c>
      <c r="V887" s="168"/>
      <c r="W887" s="169"/>
    </row>
    <row r="888">
      <c r="A888" s="161"/>
      <c r="B888" s="161"/>
      <c r="C888" s="161"/>
      <c r="D888" s="160" t="str">
        <f>IFERROR(__xludf.DUMMYFUNCTION("SUBSTITUTE(REGEXEXTRACT(#REF!, ""[^-]+$""), ""x"", "" x "")"),"#REF!")</f>
        <v>#REF!</v>
      </c>
      <c r="E888" s="161"/>
      <c r="F888" s="161"/>
      <c r="G888" s="161"/>
      <c r="H888" s="161"/>
      <c r="I888" s="118"/>
      <c r="J888" s="118"/>
      <c r="K888" s="117"/>
      <c r="L888" s="119"/>
      <c r="M888" s="119"/>
      <c r="N888" s="119"/>
      <c r="O888" s="118"/>
      <c r="P888" s="118"/>
      <c r="Q888" s="167"/>
      <c r="R888" s="163"/>
      <c r="S888" s="163"/>
      <c r="T888" s="168"/>
      <c r="U888" s="123" t="str">
        <f t="shared" si="41"/>
        <v>#DIV/0!</v>
      </c>
      <c r="V888" s="168"/>
      <c r="W888" s="169"/>
    </row>
    <row r="889">
      <c r="A889" s="161"/>
      <c r="B889" s="161"/>
      <c r="C889" s="161"/>
      <c r="D889" s="160" t="str">
        <f>IFERROR(__xludf.DUMMYFUNCTION("SUBSTITUTE(REGEXEXTRACT(#REF!, ""[^-]+$""), ""x"", "" x "")"),"#REF!")</f>
        <v>#REF!</v>
      </c>
      <c r="E889" s="161"/>
      <c r="F889" s="161"/>
      <c r="G889" s="161"/>
      <c r="H889" s="161"/>
      <c r="I889" s="118"/>
      <c r="J889" s="118"/>
      <c r="K889" s="117"/>
      <c r="L889" s="119"/>
      <c r="M889" s="119"/>
      <c r="N889" s="119"/>
      <c r="O889" s="118"/>
      <c r="P889" s="118"/>
      <c r="Q889" s="167"/>
      <c r="R889" s="163"/>
      <c r="S889" s="163"/>
      <c r="T889" s="168"/>
      <c r="U889" s="123" t="str">
        <f t="shared" si="41"/>
        <v>#DIV/0!</v>
      </c>
      <c r="V889" s="168"/>
      <c r="W889" s="169"/>
    </row>
    <row r="890">
      <c r="A890" s="161"/>
      <c r="B890" s="161"/>
      <c r="C890" s="161"/>
      <c r="D890" s="160" t="str">
        <f>IFERROR(__xludf.DUMMYFUNCTION("SUBSTITUTE(REGEXEXTRACT(#REF!, ""[^-]+$""), ""x"", "" x "")"),"#REF!")</f>
        <v>#REF!</v>
      </c>
      <c r="E890" s="161"/>
      <c r="F890" s="161"/>
      <c r="G890" s="161"/>
      <c r="H890" s="161"/>
      <c r="I890" s="118"/>
      <c r="J890" s="118"/>
      <c r="K890" s="117"/>
      <c r="L890" s="119"/>
      <c r="M890" s="119"/>
      <c r="N890" s="119"/>
      <c r="O890" s="118"/>
      <c r="P890" s="118"/>
      <c r="Q890" s="167"/>
      <c r="R890" s="163"/>
      <c r="S890" s="163"/>
      <c r="T890" s="168"/>
      <c r="U890" s="123" t="str">
        <f t="shared" si="41"/>
        <v>#DIV/0!</v>
      </c>
      <c r="V890" s="168"/>
      <c r="W890" s="169"/>
    </row>
    <row r="891">
      <c r="A891" s="161"/>
      <c r="B891" s="161"/>
      <c r="C891" s="161"/>
      <c r="D891" s="160" t="str">
        <f>IFERROR(__xludf.DUMMYFUNCTION("SUBSTITUTE(REGEXEXTRACT(#REF!, ""[^-]+$""), ""x"", "" x "")"),"#REF!")</f>
        <v>#REF!</v>
      </c>
      <c r="E891" s="161"/>
      <c r="F891" s="161"/>
      <c r="G891" s="161"/>
      <c r="H891" s="161"/>
      <c r="I891" s="118"/>
      <c r="J891" s="118"/>
      <c r="K891" s="117"/>
      <c r="L891" s="119"/>
      <c r="M891" s="119"/>
      <c r="N891" s="119"/>
      <c r="O891" s="118"/>
      <c r="P891" s="118"/>
      <c r="Q891" s="167"/>
      <c r="R891" s="163"/>
      <c r="S891" s="163"/>
      <c r="T891" s="168"/>
      <c r="U891" s="123" t="str">
        <f t="shared" si="41"/>
        <v>#DIV/0!</v>
      </c>
      <c r="V891" s="168"/>
      <c r="W891" s="169"/>
    </row>
    <row r="892">
      <c r="A892" s="161"/>
      <c r="B892" s="161"/>
      <c r="C892" s="161"/>
      <c r="D892" s="160" t="str">
        <f>IFERROR(__xludf.DUMMYFUNCTION("SUBSTITUTE(REGEXEXTRACT(#REF!, ""[^-]+$""), ""x"", "" x "")"),"#REF!")</f>
        <v>#REF!</v>
      </c>
      <c r="E892" s="161"/>
      <c r="F892" s="161"/>
      <c r="G892" s="161"/>
      <c r="H892" s="161"/>
      <c r="I892" s="118"/>
      <c r="J892" s="118"/>
      <c r="K892" s="117"/>
      <c r="L892" s="119"/>
      <c r="M892" s="119"/>
      <c r="N892" s="119"/>
      <c r="O892" s="118"/>
      <c r="P892" s="118"/>
      <c r="Q892" s="167"/>
      <c r="R892" s="163"/>
      <c r="S892" s="163"/>
      <c r="T892" s="168"/>
      <c r="U892" s="123" t="str">
        <f t="shared" si="41"/>
        <v>#DIV/0!</v>
      </c>
      <c r="V892" s="168"/>
      <c r="W892" s="169"/>
    </row>
    <row r="893">
      <c r="A893" s="161"/>
      <c r="B893" s="161"/>
      <c r="C893" s="161"/>
      <c r="D893" s="160" t="str">
        <f>IFERROR(__xludf.DUMMYFUNCTION("SUBSTITUTE(REGEXEXTRACT(#REF!, ""[^-]+$""), ""x"", "" x "")"),"#REF!")</f>
        <v>#REF!</v>
      </c>
      <c r="E893" s="161"/>
      <c r="F893" s="161"/>
      <c r="G893" s="161"/>
      <c r="H893" s="161"/>
      <c r="I893" s="118"/>
      <c r="J893" s="118"/>
      <c r="K893" s="117"/>
      <c r="L893" s="119"/>
      <c r="M893" s="119"/>
      <c r="N893" s="119"/>
      <c r="O893" s="118"/>
      <c r="P893" s="118"/>
      <c r="Q893" s="167"/>
      <c r="R893" s="163"/>
      <c r="S893" s="163"/>
      <c r="T893" s="168"/>
      <c r="U893" s="123" t="str">
        <f t="shared" si="41"/>
        <v>#DIV/0!</v>
      </c>
      <c r="V893" s="168"/>
      <c r="W893" s="169"/>
    </row>
    <row r="894">
      <c r="A894" s="161"/>
      <c r="B894" s="161"/>
      <c r="C894" s="161"/>
      <c r="D894" s="160" t="str">
        <f>IFERROR(__xludf.DUMMYFUNCTION("SUBSTITUTE(REGEXEXTRACT(#REF!, ""[^-]+$""), ""x"", "" x "")"),"#REF!")</f>
        <v>#REF!</v>
      </c>
      <c r="E894" s="161"/>
      <c r="F894" s="161"/>
      <c r="G894" s="161"/>
      <c r="H894" s="161"/>
      <c r="I894" s="118"/>
      <c r="J894" s="118"/>
      <c r="K894" s="117"/>
      <c r="L894" s="119"/>
      <c r="M894" s="119"/>
      <c r="N894" s="166"/>
      <c r="O894" s="118"/>
      <c r="P894" s="118"/>
      <c r="Q894" s="167"/>
      <c r="R894" s="163"/>
      <c r="S894" s="163"/>
      <c r="T894" s="168"/>
      <c r="U894" s="123" t="str">
        <f t="shared" si="41"/>
        <v>#DIV/0!</v>
      </c>
      <c r="V894" s="168"/>
      <c r="W894" s="169"/>
    </row>
    <row r="895">
      <c r="A895" s="161"/>
      <c r="B895" s="161"/>
      <c r="C895" s="161"/>
      <c r="D895" s="160" t="str">
        <f>IFERROR(__xludf.DUMMYFUNCTION("SUBSTITUTE(REGEXEXTRACT(#REF!, ""[^-]+$""), ""x"", "" x "")"),"#REF!")</f>
        <v>#REF!</v>
      </c>
      <c r="E895" s="161"/>
      <c r="F895" s="161"/>
      <c r="G895" s="161"/>
      <c r="H895" s="161"/>
      <c r="I895" s="118"/>
      <c r="J895" s="118"/>
      <c r="K895" s="117"/>
      <c r="L895" s="119"/>
      <c r="M895" s="119"/>
      <c r="N895" s="166"/>
      <c r="O895" s="118"/>
      <c r="P895" s="118"/>
      <c r="Q895" s="167"/>
      <c r="R895" s="163"/>
      <c r="S895" s="163"/>
      <c r="T895" s="168"/>
      <c r="U895" s="123" t="str">
        <f t="shared" si="41"/>
        <v>#DIV/0!</v>
      </c>
      <c r="V895" s="168"/>
      <c r="W895" s="169"/>
    </row>
    <row r="896">
      <c r="A896" s="161"/>
      <c r="B896" s="161"/>
      <c r="C896" s="161"/>
      <c r="D896" s="160" t="str">
        <f>IFERROR(__xludf.DUMMYFUNCTION("SUBSTITUTE(REGEXEXTRACT(#REF!, ""[^-]+$""), ""x"", "" x "")"),"#REF!")</f>
        <v>#REF!</v>
      </c>
      <c r="E896" s="161"/>
      <c r="F896" s="161"/>
      <c r="G896" s="161"/>
      <c r="H896" s="161"/>
      <c r="I896" s="118"/>
      <c r="J896" s="118"/>
      <c r="K896" s="117"/>
      <c r="L896" s="119"/>
      <c r="M896" s="119"/>
      <c r="N896" s="166"/>
      <c r="O896" s="118"/>
      <c r="P896" s="118"/>
      <c r="Q896" s="167"/>
      <c r="R896" s="163"/>
      <c r="S896" s="163"/>
      <c r="T896" s="168"/>
      <c r="U896" s="123" t="str">
        <f t="shared" si="41"/>
        <v>#DIV/0!</v>
      </c>
      <c r="V896" s="168"/>
      <c r="W896" s="169"/>
    </row>
    <row r="897">
      <c r="A897" s="161"/>
      <c r="B897" s="161"/>
      <c r="C897" s="161"/>
      <c r="D897" s="160" t="str">
        <f>IFERROR(__xludf.DUMMYFUNCTION("SUBSTITUTE(REGEXEXTRACT(#REF!, ""[^-]+$""), ""x"", "" x "")"),"#REF!")</f>
        <v>#REF!</v>
      </c>
      <c r="E897" s="161"/>
      <c r="F897" s="161"/>
      <c r="G897" s="161"/>
      <c r="H897" s="161"/>
      <c r="I897" s="118"/>
      <c r="J897" s="118"/>
      <c r="K897" s="117"/>
      <c r="L897" s="119"/>
      <c r="M897" s="119"/>
      <c r="N897" s="166"/>
      <c r="O897" s="118"/>
      <c r="P897" s="118"/>
      <c r="Q897" s="167"/>
      <c r="R897" s="163"/>
      <c r="S897" s="163"/>
      <c r="T897" s="168"/>
      <c r="U897" s="123" t="str">
        <f t="shared" si="41"/>
        <v>#DIV/0!</v>
      </c>
      <c r="V897" s="168"/>
      <c r="W897" s="169"/>
    </row>
    <row r="898">
      <c r="A898" s="161"/>
      <c r="B898" s="161"/>
      <c r="C898" s="161"/>
      <c r="D898" s="160" t="str">
        <f>IFERROR(__xludf.DUMMYFUNCTION("SUBSTITUTE(REGEXEXTRACT(#REF!, ""[^-]+$""), ""x"", "" x "")"),"#REF!")</f>
        <v>#REF!</v>
      </c>
      <c r="E898" s="161"/>
      <c r="F898" s="161"/>
      <c r="G898" s="161"/>
      <c r="H898" s="161"/>
      <c r="I898" s="118"/>
      <c r="J898" s="118"/>
      <c r="K898" s="117"/>
      <c r="L898" s="119"/>
      <c r="M898" s="119"/>
      <c r="N898" s="166"/>
      <c r="O898" s="118"/>
      <c r="P898" s="118"/>
      <c r="Q898" s="167"/>
      <c r="R898" s="163"/>
      <c r="S898" s="163"/>
      <c r="T898" s="168"/>
      <c r="U898" s="123" t="str">
        <f t="shared" si="41"/>
        <v>#DIV/0!</v>
      </c>
      <c r="V898" s="168"/>
      <c r="W898" s="169"/>
    </row>
    <row r="899">
      <c r="A899" s="161"/>
      <c r="B899" s="161"/>
      <c r="C899" s="161"/>
      <c r="D899" s="160" t="str">
        <f>IFERROR(__xludf.DUMMYFUNCTION("SUBSTITUTE(REGEXEXTRACT(#REF!, ""[^-]+$""), ""x"", "" x "")"),"#REF!")</f>
        <v>#REF!</v>
      </c>
      <c r="E899" s="161"/>
      <c r="F899" s="161"/>
      <c r="G899" s="161"/>
      <c r="H899" s="161"/>
      <c r="I899" s="118"/>
      <c r="J899" s="118"/>
      <c r="K899" s="117"/>
      <c r="L899" s="119"/>
      <c r="M899" s="119"/>
      <c r="N899" s="166"/>
      <c r="O899" s="118"/>
      <c r="P899" s="118"/>
      <c r="Q899" s="167"/>
      <c r="R899" s="163"/>
      <c r="S899" s="163"/>
      <c r="T899" s="168"/>
      <c r="U899" s="123" t="str">
        <f t="shared" si="41"/>
        <v>#DIV/0!</v>
      </c>
      <c r="V899" s="168"/>
      <c r="W899" s="169"/>
    </row>
    <row r="900">
      <c r="A900" s="161"/>
      <c r="B900" s="161"/>
      <c r="C900" s="161"/>
      <c r="D900" s="160" t="str">
        <f>IFERROR(__xludf.DUMMYFUNCTION("SUBSTITUTE(REGEXEXTRACT(#REF!, ""[^-]+$""), ""x"", "" x "")"),"#REF!")</f>
        <v>#REF!</v>
      </c>
      <c r="E900" s="161"/>
      <c r="F900" s="161"/>
      <c r="G900" s="161"/>
      <c r="H900" s="161"/>
      <c r="I900" s="118"/>
      <c r="J900" s="118"/>
      <c r="K900" s="117"/>
      <c r="L900" s="119"/>
      <c r="M900" s="119"/>
      <c r="N900" s="166"/>
      <c r="O900" s="118"/>
      <c r="P900" s="118"/>
      <c r="Q900" s="167"/>
      <c r="R900" s="163"/>
      <c r="S900" s="163"/>
      <c r="T900" s="168"/>
      <c r="U900" s="123" t="str">
        <f t="shared" si="41"/>
        <v>#DIV/0!</v>
      </c>
      <c r="V900" s="168"/>
      <c r="W900" s="169"/>
    </row>
    <row r="901">
      <c r="A901" s="161"/>
      <c r="B901" s="161"/>
      <c r="C901" s="161"/>
      <c r="D901" s="160" t="str">
        <f>IFERROR(__xludf.DUMMYFUNCTION("SUBSTITUTE(REGEXEXTRACT(#REF!, ""[^-]+$""), ""x"", "" x "")"),"#REF!")</f>
        <v>#REF!</v>
      </c>
      <c r="E901" s="161"/>
      <c r="F901" s="161"/>
      <c r="G901" s="161"/>
      <c r="H901" s="161"/>
      <c r="I901" s="118"/>
      <c r="J901" s="118"/>
      <c r="K901" s="117"/>
      <c r="L901" s="119"/>
      <c r="M901" s="119"/>
      <c r="N901" s="166"/>
      <c r="O901" s="118"/>
      <c r="P901" s="118"/>
      <c r="Q901" s="167"/>
      <c r="R901" s="163"/>
      <c r="S901" s="163"/>
      <c r="T901" s="168"/>
      <c r="U901" s="123" t="str">
        <f t="shared" si="41"/>
        <v>#DIV/0!</v>
      </c>
      <c r="V901" s="168"/>
      <c r="W901" s="169"/>
    </row>
    <row r="902">
      <c r="A902" s="161"/>
      <c r="B902" s="161"/>
      <c r="C902" s="161"/>
      <c r="D902" s="160" t="str">
        <f>IFERROR(__xludf.DUMMYFUNCTION("SUBSTITUTE(REGEXEXTRACT(#REF!, ""[^-]+$""), ""x"", "" x "")"),"#REF!")</f>
        <v>#REF!</v>
      </c>
      <c r="E902" s="161"/>
      <c r="F902" s="161"/>
      <c r="G902" s="161"/>
      <c r="H902" s="161"/>
      <c r="I902" s="118"/>
      <c r="J902" s="118"/>
      <c r="K902" s="117"/>
      <c r="L902" s="119"/>
      <c r="M902" s="119"/>
      <c r="N902" s="119"/>
      <c r="O902" s="118"/>
      <c r="P902" s="118"/>
      <c r="Q902" s="167"/>
      <c r="R902" s="163"/>
      <c r="S902" s="163"/>
      <c r="T902" s="168"/>
      <c r="U902" s="123" t="str">
        <f t="shared" si="41"/>
        <v>#DIV/0!</v>
      </c>
      <c r="V902" s="168"/>
      <c r="W902" s="169"/>
    </row>
    <row r="903">
      <c r="A903" s="161"/>
      <c r="B903" s="161"/>
      <c r="C903" s="161"/>
      <c r="D903" s="160" t="str">
        <f>IFERROR(__xludf.DUMMYFUNCTION("SUBSTITUTE(REGEXEXTRACT(#REF!, ""[^-]+$""), ""x"", "" x "")"),"#REF!")</f>
        <v>#REF!</v>
      </c>
      <c r="E903" s="161"/>
      <c r="F903" s="161"/>
      <c r="G903" s="161"/>
      <c r="H903" s="161"/>
      <c r="I903" s="118"/>
      <c r="J903" s="118"/>
      <c r="K903" s="117"/>
      <c r="L903" s="119"/>
      <c r="M903" s="119"/>
      <c r="N903" s="119"/>
      <c r="O903" s="118"/>
      <c r="P903" s="118"/>
      <c r="Q903" s="167"/>
      <c r="R903" s="163"/>
      <c r="S903" s="163"/>
      <c r="T903" s="168"/>
      <c r="U903" s="123" t="str">
        <f t="shared" si="41"/>
        <v>#DIV/0!</v>
      </c>
      <c r="V903" s="168"/>
      <c r="W903" s="169"/>
    </row>
    <row r="904">
      <c r="A904" s="161"/>
      <c r="B904" s="161"/>
      <c r="C904" s="161"/>
      <c r="D904" s="160" t="str">
        <f>IFERROR(__xludf.DUMMYFUNCTION("SUBSTITUTE(REGEXEXTRACT(#REF!, ""[^-]+$""), ""x"", "" x "")"),"#REF!")</f>
        <v>#REF!</v>
      </c>
      <c r="E904" s="161"/>
      <c r="F904" s="161"/>
      <c r="G904" s="161"/>
      <c r="H904" s="161"/>
      <c r="I904" s="118"/>
      <c r="J904" s="118"/>
      <c r="K904" s="117"/>
      <c r="L904" s="119"/>
      <c r="M904" s="119"/>
      <c r="N904" s="119"/>
      <c r="O904" s="118"/>
      <c r="P904" s="118"/>
      <c r="Q904" s="167"/>
      <c r="R904" s="163"/>
      <c r="S904" s="163"/>
      <c r="T904" s="168"/>
      <c r="U904" s="123" t="str">
        <f t="shared" si="41"/>
        <v>#DIV/0!</v>
      </c>
      <c r="V904" s="168"/>
      <c r="W904" s="169"/>
    </row>
    <row r="905">
      <c r="A905" s="161"/>
      <c r="B905" s="161"/>
      <c r="C905" s="161"/>
      <c r="D905" s="160" t="str">
        <f>IFERROR(__xludf.DUMMYFUNCTION("SUBSTITUTE(REGEXEXTRACT(#REF!, ""[^-]+$""), ""x"", "" x "")"),"#REF!")</f>
        <v>#REF!</v>
      </c>
      <c r="E905" s="161"/>
      <c r="F905" s="161"/>
      <c r="G905" s="161"/>
      <c r="H905" s="161"/>
      <c r="I905" s="118"/>
      <c r="J905" s="118"/>
      <c r="K905" s="117"/>
      <c r="L905" s="119"/>
      <c r="M905" s="119"/>
      <c r="N905" s="119"/>
      <c r="O905" s="118"/>
      <c r="P905" s="118"/>
      <c r="Q905" s="167"/>
      <c r="R905" s="163"/>
      <c r="S905" s="163"/>
      <c r="T905" s="168"/>
      <c r="U905" s="123" t="str">
        <f t="shared" si="41"/>
        <v>#DIV/0!</v>
      </c>
      <c r="V905" s="168"/>
      <c r="W905" s="169"/>
    </row>
    <row r="906">
      <c r="A906" s="161"/>
      <c r="B906" s="161"/>
      <c r="C906" s="161"/>
      <c r="D906" s="160" t="str">
        <f>IFERROR(__xludf.DUMMYFUNCTION("SUBSTITUTE(REGEXEXTRACT(#REF!, ""[^-]+$""), ""x"", "" x "")"),"#REF!")</f>
        <v>#REF!</v>
      </c>
      <c r="E906" s="161"/>
      <c r="F906" s="161"/>
      <c r="G906" s="161"/>
      <c r="H906" s="161"/>
      <c r="I906" s="118"/>
      <c r="J906" s="118"/>
      <c r="K906" s="117"/>
      <c r="L906" s="119"/>
      <c r="M906" s="119"/>
      <c r="N906" s="119"/>
      <c r="O906" s="118"/>
      <c r="P906" s="118"/>
      <c r="Q906" s="167"/>
      <c r="R906" s="163"/>
      <c r="S906" s="163"/>
      <c r="T906" s="168"/>
      <c r="U906" s="123" t="str">
        <f t="shared" si="41"/>
        <v>#DIV/0!</v>
      </c>
      <c r="V906" s="168"/>
      <c r="W906" s="169"/>
    </row>
    <row r="907">
      <c r="A907" s="161"/>
      <c r="B907" s="161"/>
      <c r="C907" s="161"/>
      <c r="D907" s="160" t="str">
        <f>IFERROR(__xludf.DUMMYFUNCTION("SUBSTITUTE(REGEXEXTRACT(#REF!, ""[^-]+$""), ""x"", "" x "")"),"#REF!")</f>
        <v>#REF!</v>
      </c>
      <c r="E907" s="161"/>
      <c r="F907" s="161"/>
      <c r="G907" s="161"/>
      <c r="H907" s="161"/>
      <c r="I907" s="118"/>
      <c r="J907" s="118"/>
      <c r="K907" s="117"/>
      <c r="L907" s="119"/>
      <c r="M907" s="119"/>
      <c r="N907" s="166"/>
      <c r="O907" s="118"/>
      <c r="P907" s="118"/>
      <c r="Q907" s="167"/>
      <c r="R907" s="163"/>
      <c r="S907" s="163"/>
      <c r="T907" s="168"/>
      <c r="U907" s="123" t="str">
        <f t="shared" si="41"/>
        <v>#DIV/0!</v>
      </c>
      <c r="V907" s="168"/>
      <c r="W907" s="169"/>
    </row>
    <row r="908">
      <c r="A908" s="161"/>
      <c r="B908" s="161"/>
      <c r="C908" s="161"/>
      <c r="D908" s="160" t="str">
        <f>IFERROR(__xludf.DUMMYFUNCTION("SUBSTITUTE(REGEXEXTRACT(#REF!, ""[^-]+$""), ""x"", "" x "")"),"#REF!")</f>
        <v>#REF!</v>
      </c>
      <c r="E908" s="161"/>
      <c r="F908" s="161"/>
      <c r="G908" s="161"/>
      <c r="H908" s="161"/>
      <c r="I908" s="118"/>
      <c r="J908" s="118"/>
      <c r="K908" s="117"/>
      <c r="L908" s="119"/>
      <c r="M908" s="119"/>
      <c r="N908" s="166"/>
      <c r="O908" s="118"/>
      <c r="P908" s="118"/>
      <c r="Q908" s="167"/>
      <c r="R908" s="163"/>
      <c r="S908" s="163"/>
      <c r="T908" s="168"/>
      <c r="U908" s="123" t="str">
        <f t="shared" si="41"/>
        <v>#DIV/0!</v>
      </c>
      <c r="V908" s="168"/>
      <c r="W908" s="169"/>
    </row>
    <row r="909">
      <c r="A909" s="161"/>
      <c r="B909" s="161"/>
      <c r="C909" s="161"/>
      <c r="D909" s="160" t="str">
        <f>IFERROR(__xludf.DUMMYFUNCTION("SUBSTITUTE(REGEXEXTRACT(#REF!, ""[^-]+$""), ""x"", "" x "")"),"#REF!")</f>
        <v>#REF!</v>
      </c>
      <c r="E909" s="161"/>
      <c r="F909" s="161"/>
      <c r="G909" s="161"/>
      <c r="H909" s="161"/>
      <c r="I909" s="118"/>
      <c r="J909" s="118"/>
      <c r="K909" s="117"/>
      <c r="L909" s="119"/>
      <c r="M909" s="119"/>
      <c r="N909" s="166"/>
      <c r="O909" s="118"/>
      <c r="P909" s="118"/>
      <c r="Q909" s="167"/>
      <c r="R909" s="163"/>
      <c r="S909" s="163"/>
      <c r="T909" s="168"/>
      <c r="U909" s="123" t="str">
        <f t="shared" si="41"/>
        <v>#DIV/0!</v>
      </c>
      <c r="V909" s="168"/>
      <c r="W909" s="169"/>
    </row>
    <row r="910">
      <c r="A910" s="161"/>
      <c r="B910" s="161"/>
      <c r="C910" s="161"/>
      <c r="D910" s="160" t="str">
        <f>IFERROR(__xludf.DUMMYFUNCTION("SUBSTITUTE(REGEXEXTRACT(#REF!, ""[^-]+$""), ""x"", "" x "")"),"#REF!")</f>
        <v>#REF!</v>
      </c>
      <c r="E910" s="161"/>
      <c r="F910" s="161"/>
      <c r="G910" s="161"/>
      <c r="H910" s="161"/>
      <c r="I910" s="118"/>
      <c r="J910" s="118"/>
      <c r="K910" s="117"/>
      <c r="L910" s="119"/>
      <c r="M910" s="119"/>
      <c r="N910" s="166"/>
      <c r="O910" s="118"/>
      <c r="P910" s="118"/>
      <c r="Q910" s="167"/>
      <c r="R910" s="163"/>
      <c r="S910" s="163"/>
      <c r="T910" s="168"/>
      <c r="U910" s="123" t="str">
        <f t="shared" si="41"/>
        <v>#DIV/0!</v>
      </c>
      <c r="V910" s="168"/>
      <c r="W910" s="169"/>
    </row>
    <row r="911">
      <c r="A911" s="161"/>
      <c r="B911" s="161"/>
      <c r="C911" s="161"/>
      <c r="D911" s="160" t="str">
        <f>IFERROR(__xludf.DUMMYFUNCTION("SUBSTITUTE(REGEXEXTRACT(#REF!, ""[^-]+$""), ""x"", "" x "")"),"#REF!")</f>
        <v>#REF!</v>
      </c>
      <c r="E911" s="161"/>
      <c r="F911" s="161"/>
      <c r="G911" s="161"/>
      <c r="H911" s="161"/>
      <c r="I911" s="117"/>
      <c r="J911" s="117"/>
      <c r="K911" s="117"/>
      <c r="L911" s="166"/>
      <c r="M911" s="166"/>
      <c r="N911" s="119"/>
      <c r="O911" s="117"/>
      <c r="P911" s="117"/>
      <c r="Q911" s="167"/>
      <c r="R911" s="163"/>
      <c r="S911" s="163"/>
      <c r="T911" s="168"/>
      <c r="U911" s="123" t="str">
        <f t="shared" si="41"/>
        <v>#DIV/0!</v>
      </c>
      <c r="V911" s="168"/>
      <c r="W911" s="169"/>
    </row>
    <row r="912">
      <c r="A912" s="161"/>
      <c r="B912" s="161"/>
      <c r="C912" s="161"/>
      <c r="D912" s="160" t="str">
        <f>IFERROR(__xludf.DUMMYFUNCTION("SUBSTITUTE(REGEXEXTRACT(#REF!, ""[^-]+$""), ""x"", "" x "")"),"#REF!")</f>
        <v>#REF!</v>
      </c>
      <c r="E912" s="161"/>
      <c r="F912" s="161"/>
      <c r="G912" s="161"/>
      <c r="H912" s="161"/>
      <c r="I912" s="117"/>
      <c r="J912" s="117"/>
      <c r="K912" s="117"/>
      <c r="L912" s="166"/>
      <c r="M912" s="166"/>
      <c r="N912" s="166"/>
      <c r="O912" s="117"/>
      <c r="P912" s="117"/>
      <c r="Q912" s="162"/>
      <c r="R912" s="163"/>
      <c r="S912" s="163"/>
      <c r="T912" s="168"/>
      <c r="U912" s="123" t="str">
        <f t="shared" si="41"/>
        <v>#DIV/0!</v>
      </c>
      <c r="V912" s="168"/>
      <c r="W912" s="169"/>
    </row>
    <row r="913">
      <c r="A913" s="161"/>
      <c r="B913" s="161"/>
      <c r="C913" s="161"/>
      <c r="D913" s="160" t="str">
        <f>IFERROR(__xludf.DUMMYFUNCTION("SUBSTITUTE(REGEXEXTRACT(#REF!, ""[^-]+$""), ""x"", "" x "")"),"#REF!")</f>
        <v>#REF!</v>
      </c>
      <c r="E913" s="161"/>
      <c r="F913" s="161"/>
      <c r="G913" s="161"/>
      <c r="H913" s="161"/>
      <c r="I913" s="117"/>
      <c r="J913" s="117"/>
      <c r="K913" s="117"/>
      <c r="L913" s="166"/>
      <c r="M913" s="166"/>
      <c r="N913" s="166"/>
      <c r="O913" s="117"/>
      <c r="P913" s="117"/>
      <c r="Q913" s="162"/>
      <c r="R913" s="163"/>
      <c r="S913" s="163"/>
      <c r="T913" s="168"/>
      <c r="U913" s="123" t="str">
        <f t="shared" si="41"/>
        <v>#DIV/0!</v>
      </c>
      <c r="V913" s="168"/>
      <c r="W913" s="169"/>
    </row>
    <row r="914">
      <c r="A914" s="161"/>
      <c r="B914" s="161"/>
      <c r="C914" s="161"/>
      <c r="D914" s="160" t="str">
        <f>IFERROR(__xludf.DUMMYFUNCTION("SUBSTITUTE(REGEXEXTRACT(#REF!, ""[^-]+$""), ""x"", "" x "")"),"#REF!")</f>
        <v>#REF!</v>
      </c>
      <c r="E914" s="161"/>
      <c r="F914" s="161"/>
      <c r="G914" s="161"/>
      <c r="H914" s="161"/>
      <c r="I914" s="117"/>
      <c r="J914" s="117"/>
      <c r="K914" s="117"/>
      <c r="L914" s="166"/>
      <c r="M914" s="166"/>
      <c r="N914" s="166"/>
      <c r="O914" s="117"/>
      <c r="P914" s="117"/>
      <c r="Q914" s="162"/>
      <c r="R914" s="163"/>
      <c r="S914" s="163"/>
      <c r="T914" s="168"/>
      <c r="U914" s="123" t="str">
        <f t="shared" si="41"/>
        <v>#DIV/0!</v>
      </c>
      <c r="V914" s="168"/>
      <c r="W914" s="169"/>
    </row>
    <row r="915">
      <c r="A915" s="161"/>
      <c r="B915" s="161"/>
      <c r="C915" s="161"/>
      <c r="D915" s="160" t="str">
        <f>IFERROR(__xludf.DUMMYFUNCTION("SUBSTITUTE(REGEXEXTRACT(#REF!, ""[^-]+$""), ""x"", "" x "")"),"#REF!")</f>
        <v>#REF!</v>
      </c>
      <c r="E915" s="161"/>
      <c r="F915" s="161"/>
      <c r="G915" s="161"/>
      <c r="H915" s="161"/>
      <c r="I915" s="117"/>
      <c r="J915" s="117"/>
      <c r="K915" s="117"/>
      <c r="L915" s="166"/>
      <c r="M915" s="166"/>
      <c r="N915" s="166"/>
      <c r="O915" s="117"/>
      <c r="P915" s="117"/>
      <c r="Q915" s="167"/>
      <c r="R915" s="163"/>
      <c r="S915" s="163"/>
      <c r="T915" s="168"/>
      <c r="U915" s="123" t="str">
        <f t="shared" si="41"/>
        <v>#DIV/0!</v>
      </c>
      <c r="V915" s="168"/>
      <c r="W915" s="169"/>
    </row>
    <row r="916">
      <c r="A916" s="161"/>
      <c r="B916" s="161"/>
      <c r="C916" s="161"/>
      <c r="D916" s="160" t="str">
        <f>IFERROR(__xludf.DUMMYFUNCTION("SUBSTITUTE(REGEXEXTRACT(#REF!, ""[^-]+$""), ""x"", "" x "")"),"#REF!")</f>
        <v>#REF!</v>
      </c>
      <c r="E916" s="161"/>
      <c r="F916" s="161"/>
      <c r="G916" s="161"/>
      <c r="H916" s="161"/>
      <c r="I916" s="118"/>
      <c r="J916" s="117"/>
      <c r="K916" s="118"/>
      <c r="L916" s="119"/>
      <c r="M916" s="119"/>
      <c r="N916" s="119"/>
      <c r="O916" s="118"/>
      <c r="P916" s="118"/>
      <c r="Q916" s="162"/>
      <c r="R916" s="163"/>
      <c r="S916" s="163"/>
      <c r="T916" s="168"/>
      <c r="U916" s="123" t="str">
        <f t="shared" si="41"/>
        <v>#DIV/0!</v>
      </c>
      <c r="V916" s="168"/>
      <c r="W916" s="169"/>
    </row>
    <row r="917">
      <c r="A917" s="161"/>
      <c r="B917" s="161"/>
      <c r="C917" s="161"/>
      <c r="D917" s="160" t="str">
        <f>IFERROR(__xludf.DUMMYFUNCTION("SUBSTITUTE(REGEXEXTRACT(#REF!, ""[^-]+$""), ""x"", "" x "")"),"#REF!")</f>
        <v>#REF!</v>
      </c>
      <c r="E917" s="161"/>
      <c r="F917" s="161"/>
      <c r="G917" s="161"/>
      <c r="H917" s="161"/>
      <c r="I917" s="118"/>
      <c r="J917" s="117"/>
      <c r="K917" s="118"/>
      <c r="L917" s="119"/>
      <c r="M917" s="119"/>
      <c r="N917" s="119"/>
      <c r="O917" s="118"/>
      <c r="P917" s="118"/>
      <c r="Q917" s="162"/>
      <c r="R917" s="163"/>
      <c r="S917" s="163"/>
      <c r="T917" s="168"/>
      <c r="U917" s="123" t="str">
        <f t="shared" si="41"/>
        <v>#DIV/0!</v>
      </c>
      <c r="V917" s="168"/>
      <c r="W917" s="169"/>
    </row>
    <row r="918">
      <c r="A918" s="161"/>
      <c r="B918" s="161"/>
      <c r="C918" s="161"/>
      <c r="D918" s="160" t="str">
        <f>IFERROR(__xludf.DUMMYFUNCTION("SUBSTITUTE(REGEXEXTRACT(#REF!, ""[^-]+$""), ""x"", "" x "")"),"#REF!")</f>
        <v>#REF!</v>
      </c>
      <c r="E918" s="161"/>
      <c r="F918" s="161"/>
      <c r="G918" s="161"/>
      <c r="H918" s="161"/>
      <c r="I918" s="118"/>
      <c r="J918" s="118"/>
      <c r="K918" s="117"/>
      <c r="L918" s="119"/>
      <c r="M918" s="119"/>
      <c r="N918" s="119"/>
      <c r="O918" s="117"/>
      <c r="P918" s="118"/>
      <c r="Q918" s="162"/>
      <c r="R918" s="163"/>
      <c r="S918" s="163"/>
      <c r="T918" s="168"/>
      <c r="U918" s="123" t="str">
        <f t="shared" si="41"/>
        <v>#DIV/0!</v>
      </c>
      <c r="V918" s="168"/>
      <c r="W918" s="169"/>
    </row>
    <row r="919">
      <c r="A919" s="161"/>
      <c r="B919" s="161"/>
      <c r="C919" s="161"/>
      <c r="D919" s="160" t="str">
        <f>IFERROR(__xludf.DUMMYFUNCTION("SUBSTITUTE(REGEXEXTRACT(#REF!, ""[^-]+$""), ""x"", "" x "")"),"#REF!")</f>
        <v>#REF!</v>
      </c>
      <c r="E919" s="161"/>
      <c r="F919" s="161"/>
      <c r="G919" s="161"/>
      <c r="H919" s="161"/>
      <c r="I919" s="117"/>
      <c r="J919" s="117"/>
      <c r="K919" s="117"/>
      <c r="L919" s="166"/>
      <c r="M919" s="166"/>
      <c r="N919" s="166"/>
      <c r="O919" s="117"/>
      <c r="P919" s="118"/>
      <c r="Q919" s="162"/>
      <c r="R919" s="163"/>
      <c r="S919" s="163"/>
      <c r="T919" s="168"/>
      <c r="U919" s="123" t="str">
        <f t="shared" si="41"/>
        <v>#DIV/0!</v>
      </c>
      <c r="V919" s="168"/>
      <c r="W919" s="169"/>
    </row>
    <row r="920">
      <c r="A920" s="161"/>
      <c r="B920" s="161"/>
      <c r="C920" s="161"/>
      <c r="D920" s="160" t="str">
        <f>IFERROR(__xludf.DUMMYFUNCTION("SUBSTITUTE(REGEXEXTRACT(#REF!, ""[^-]+$""), ""x"", "" x "")"),"#REF!")</f>
        <v>#REF!</v>
      </c>
      <c r="E920" s="161"/>
      <c r="F920" s="161"/>
      <c r="G920" s="161"/>
      <c r="H920" s="161"/>
      <c r="I920" s="117"/>
      <c r="J920" s="117"/>
      <c r="K920" s="117"/>
      <c r="L920" s="166"/>
      <c r="M920" s="166"/>
      <c r="N920" s="166"/>
      <c r="O920" s="117"/>
      <c r="P920" s="118"/>
      <c r="Q920" s="162"/>
      <c r="R920" s="163"/>
      <c r="S920" s="163"/>
      <c r="T920" s="168"/>
      <c r="U920" s="123" t="str">
        <f t="shared" si="41"/>
        <v>#DIV/0!</v>
      </c>
      <c r="V920" s="168"/>
      <c r="W920" s="169"/>
    </row>
    <row r="921">
      <c r="A921" s="161"/>
      <c r="B921" s="161"/>
      <c r="C921" s="161"/>
      <c r="D921" s="160" t="str">
        <f>IFERROR(__xludf.DUMMYFUNCTION("SUBSTITUTE(REGEXEXTRACT(#REF!, ""[^-]+$""), ""x"", "" x "")"),"#REF!")</f>
        <v>#REF!</v>
      </c>
      <c r="E921" s="161"/>
      <c r="F921" s="161"/>
      <c r="G921" s="161"/>
      <c r="H921" s="161"/>
      <c r="I921" s="117"/>
      <c r="J921" s="117"/>
      <c r="K921" s="117"/>
      <c r="L921" s="166"/>
      <c r="M921" s="166"/>
      <c r="N921" s="166"/>
      <c r="O921" s="117"/>
      <c r="P921" s="118"/>
      <c r="Q921" s="162"/>
      <c r="R921" s="163"/>
      <c r="S921" s="163"/>
      <c r="T921" s="168"/>
      <c r="U921" s="123" t="str">
        <f t="shared" si="41"/>
        <v>#DIV/0!</v>
      </c>
      <c r="V921" s="168"/>
      <c r="W921" s="169"/>
    </row>
    <row r="922">
      <c r="A922" s="161"/>
      <c r="B922" s="161"/>
      <c r="C922" s="161"/>
      <c r="D922" s="160" t="str">
        <f>IFERROR(__xludf.DUMMYFUNCTION("SUBSTITUTE(REGEXEXTRACT(#REF!, ""[^-]+$""), ""x"", "" x "")"),"#REF!")</f>
        <v>#REF!</v>
      </c>
      <c r="E922" s="161"/>
      <c r="F922" s="161"/>
      <c r="G922" s="161"/>
      <c r="H922" s="161"/>
      <c r="I922" s="117"/>
      <c r="J922" s="117"/>
      <c r="K922" s="117"/>
      <c r="L922" s="166"/>
      <c r="M922" s="166"/>
      <c r="N922" s="166"/>
      <c r="O922" s="117"/>
      <c r="P922" s="118"/>
      <c r="Q922" s="162"/>
      <c r="R922" s="163"/>
      <c r="S922" s="163"/>
      <c r="T922" s="168"/>
      <c r="U922" s="123" t="str">
        <f t="shared" si="41"/>
        <v>#DIV/0!</v>
      </c>
      <c r="V922" s="168"/>
      <c r="W922" s="169"/>
    </row>
    <row r="923">
      <c r="A923" s="161"/>
      <c r="B923" s="161"/>
      <c r="C923" s="161"/>
      <c r="D923" s="160" t="str">
        <f>IFERROR(__xludf.DUMMYFUNCTION("SUBSTITUTE(REGEXEXTRACT(#REF!, ""[^-]+$""), ""x"", "" x "")"),"#REF!")</f>
        <v>#REF!</v>
      </c>
      <c r="E923" s="161"/>
      <c r="F923" s="161"/>
      <c r="G923" s="161"/>
      <c r="H923" s="161"/>
      <c r="I923" s="117"/>
      <c r="J923" s="117"/>
      <c r="K923" s="117"/>
      <c r="L923" s="166"/>
      <c r="M923" s="166"/>
      <c r="N923" s="166"/>
      <c r="O923" s="117"/>
      <c r="P923" s="117"/>
      <c r="Q923" s="167"/>
      <c r="R923" s="163"/>
      <c r="S923" s="163"/>
      <c r="T923" s="168"/>
      <c r="U923" s="123" t="str">
        <f t="shared" si="41"/>
        <v>#DIV/0!</v>
      </c>
      <c r="V923" s="168"/>
      <c r="W923" s="169"/>
    </row>
    <row r="924">
      <c r="A924" s="161"/>
      <c r="B924" s="161"/>
      <c r="C924" s="161"/>
      <c r="D924" s="160" t="str">
        <f>IFERROR(__xludf.DUMMYFUNCTION("SUBSTITUTE(REGEXEXTRACT(#REF!, ""[^-]+$""), ""x"", "" x "")"),"#REF!")</f>
        <v>#REF!</v>
      </c>
      <c r="E924" s="161"/>
      <c r="F924" s="161"/>
      <c r="G924" s="161"/>
      <c r="H924" s="161"/>
      <c r="I924" s="117"/>
      <c r="J924" s="117"/>
      <c r="K924" s="117"/>
      <c r="L924" s="166"/>
      <c r="M924" s="166"/>
      <c r="N924" s="166"/>
      <c r="O924" s="117"/>
      <c r="P924" s="117"/>
      <c r="Q924" s="167"/>
      <c r="R924" s="163"/>
      <c r="S924" s="163"/>
      <c r="T924" s="168"/>
      <c r="U924" s="123" t="str">
        <f t="shared" si="41"/>
        <v>#DIV/0!</v>
      </c>
      <c r="V924" s="168"/>
      <c r="W924" s="169"/>
    </row>
    <row r="925">
      <c r="A925" s="161"/>
      <c r="B925" s="161"/>
      <c r="C925" s="161"/>
      <c r="D925" s="160" t="str">
        <f>IFERROR(__xludf.DUMMYFUNCTION("SUBSTITUTE(REGEXEXTRACT(#REF!, ""[^-]+$""), ""x"", "" x "")"),"#REF!")</f>
        <v>#REF!</v>
      </c>
      <c r="E925" s="161"/>
      <c r="F925" s="161"/>
      <c r="G925" s="161"/>
      <c r="H925" s="161"/>
      <c r="I925" s="117"/>
      <c r="J925" s="117"/>
      <c r="K925" s="117"/>
      <c r="L925" s="166"/>
      <c r="M925" s="166"/>
      <c r="N925" s="166"/>
      <c r="O925" s="117"/>
      <c r="P925" s="117"/>
      <c r="Q925" s="167"/>
      <c r="R925" s="163"/>
      <c r="S925" s="163"/>
      <c r="T925" s="168"/>
      <c r="U925" s="123" t="str">
        <f t="shared" si="41"/>
        <v>#DIV/0!</v>
      </c>
      <c r="V925" s="168"/>
      <c r="W925" s="169"/>
    </row>
    <row r="926">
      <c r="A926" s="161"/>
      <c r="B926" s="161"/>
      <c r="C926" s="161"/>
      <c r="D926" s="160" t="str">
        <f>IFERROR(__xludf.DUMMYFUNCTION("SUBSTITUTE(REGEXEXTRACT(#REF!, ""[^-]+$""), ""x"", "" x "")"),"#REF!")</f>
        <v>#REF!</v>
      </c>
      <c r="E926" s="161"/>
      <c r="F926" s="161"/>
      <c r="G926" s="161"/>
      <c r="H926" s="161"/>
      <c r="I926" s="118"/>
      <c r="J926" s="117"/>
      <c r="K926" s="118"/>
      <c r="L926" s="119"/>
      <c r="M926" s="166"/>
      <c r="N926" s="119"/>
      <c r="O926" s="118"/>
      <c r="P926" s="117"/>
      <c r="Q926" s="162"/>
      <c r="R926" s="163"/>
      <c r="S926" s="163"/>
      <c r="T926" s="168"/>
      <c r="U926" s="123" t="str">
        <f t="shared" si="41"/>
        <v>#DIV/0!</v>
      </c>
      <c r="V926" s="168"/>
      <c r="W926" s="169"/>
    </row>
    <row r="927">
      <c r="A927" s="161"/>
      <c r="B927" s="161"/>
      <c r="C927" s="161"/>
      <c r="D927" s="160" t="str">
        <f>IFERROR(__xludf.DUMMYFUNCTION("SUBSTITUTE(REGEXEXTRACT(#REF!, ""[^-]+$""), ""x"", "" x "")"),"#REF!")</f>
        <v>#REF!</v>
      </c>
      <c r="E927" s="161"/>
      <c r="F927" s="161"/>
      <c r="G927" s="161"/>
      <c r="H927" s="161"/>
      <c r="I927" s="117"/>
      <c r="J927" s="117"/>
      <c r="K927" s="117"/>
      <c r="L927" s="166"/>
      <c r="M927" s="166"/>
      <c r="N927" s="166"/>
      <c r="O927" s="117"/>
      <c r="P927" s="117"/>
      <c r="Q927" s="167"/>
      <c r="R927" s="163"/>
      <c r="S927" s="163"/>
      <c r="T927" s="168"/>
      <c r="U927" s="123" t="str">
        <f t="shared" si="41"/>
        <v>#DIV/0!</v>
      </c>
      <c r="V927" s="168"/>
      <c r="W927" s="169"/>
    </row>
    <row r="928">
      <c r="A928" s="161"/>
      <c r="B928" s="161"/>
      <c r="C928" s="161"/>
      <c r="D928" s="160" t="str">
        <f>IFERROR(__xludf.DUMMYFUNCTION("SUBSTITUTE(REGEXEXTRACT(#REF!, ""[^-]+$""), ""x"", "" x "")"),"#REF!")</f>
        <v>#REF!</v>
      </c>
      <c r="E928" s="161"/>
      <c r="F928" s="161"/>
      <c r="G928" s="161"/>
      <c r="H928" s="161"/>
      <c r="I928" s="118"/>
      <c r="J928" s="117"/>
      <c r="K928" s="118"/>
      <c r="L928" s="119"/>
      <c r="M928" s="166"/>
      <c r="N928" s="119"/>
      <c r="O928" s="118"/>
      <c r="P928" s="117"/>
      <c r="Q928" s="162"/>
      <c r="R928" s="163"/>
      <c r="S928" s="163"/>
      <c r="T928" s="168"/>
      <c r="U928" s="123" t="str">
        <f t="shared" si="41"/>
        <v>#DIV/0!</v>
      </c>
      <c r="V928" s="168"/>
      <c r="W928" s="169"/>
    </row>
    <row r="929">
      <c r="A929" s="161"/>
      <c r="B929" s="161"/>
      <c r="C929" s="161"/>
      <c r="D929" s="160" t="str">
        <f>IFERROR(__xludf.DUMMYFUNCTION("SUBSTITUTE(REGEXEXTRACT(#REF!, ""[^-]+$""), ""x"", "" x "")"),"#REF!")</f>
        <v>#REF!</v>
      </c>
      <c r="E929" s="161"/>
      <c r="F929" s="161"/>
      <c r="G929" s="161"/>
      <c r="H929" s="161"/>
      <c r="I929" s="118"/>
      <c r="J929" s="117"/>
      <c r="K929" s="118"/>
      <c r="L929" s="119"/>
      <c r="M929" s="166"/>
      <c r="N929" s="119"/>
      <c r="O929" s="118"/>
      <c r="P929" s="117"/>
      <c r="Q929" s="162"/>
      <c r="R929" s="163"/>
      <c r="S929" s="163"/>
      <c r="T929" s="168"/>
      <c r="U929" s="123" t="str">
        <f t="shared" si="41"/>
        <v>#DIV/0!</v>
      </c>
      <c r="V929" s="168"/>
      <c r="W929" s="169"/>
    </row>
    <row r="930">
      <c r="A930" s="161"/>
      <c r="B930" s="161"/>
      <c r="C930" s="161"/>
      <c r="D930" s="160" t="str">
        <f>IFERROR(__xludf.DUMMYFUNCTION("SUBSTITUTE(REGEXEXTRACT(#REF!, ""[^-]+$""), ""x"", "" x "")"),"#REF!")</f>
        <v>#REF!</v>
      </c>
      <c r="E930" s="161"/>
      <c r="F930" s="161"/>
      <c r="G930" s="161"/>
      <c r="H930" s="161"/>
      <c r="I930" s="117"/>
      <c r="J930" s="117"/>
      <c r="K930" s="117"/>
      <c r="L930" s="166"/>
      <c r="M930" s="166"/>
      <c r="N930" s="166"/>
      <c r="O930" s="117"/>
      <c r="P930" s="117"/>
      <c r="Q930" s="167"/>
      <c r="R930" s="163"/>
      <c r="S930" s="163"/>
      <c r="T930" s="168"/>
      <c r="U930" s="123" t="str">
        <f t="shared" si="41"/>
        <v>#DIV/0!</v>
      </c>
      <c r="V930" s="168"/>
      <c r="W930" s="169"/>
    </row>
    <row r="931">
      <c r="A931" s="161"/>
      <c r="B931" s="161"/>
      <c r="C931" s="161"/>
      <c r="D931" s="160" t="str">
        <f>IFERROR(__xludf.DUMMYFUNCTION("SUBSTITUTE(REGEXEXTRACT(#REF!, ""[^-]+$""), ""x"", "" x "")"),"#REF!")</f>
        <v>#REF!</v>
      </c>
      <c r="E931" s="161"/>
      <c r="F931" s="161"/>
      <c r="G931" s="161"/>
      <c r="H931" s="161"/>
      <c r="I931" s="118"/>
      <c r="J931" s="117"/>
      <c r="K931" s="118"/>
      <c r="L931" s="119"/>
      <c r="M931" s="119"/>
      <c r="N931" s="119"/>
      <c r="O931" s="118"/>
      <c r="P931" s="118"/>
      <c r="Q931" s="162"/>
      <c r="R931" s="163"/>
      <c r="S931" s="163"/>
      <c r="T931" s="168"/>
      <c r="U931" s="123" t="str">
        <f t="shared" si="41"/>
        <v>#DIV/0!</v>
      </c>
      <c r="V931" s="168"/>
      <c r="W931" s="169"/>
    </row>
    <row r="932">
      <c r="A932" s="161"/>
      <c r="B932" s="161"/>
      <c r="C932" s="161"/>
      <c r="D932" s="160" t="str">
        <f>IFERROR(__xludf.DUMMYFUNCTION("SUBSTITUTE(REGEXEXTRACT(#REF!, ""[^-]+$""), ""x"", "" x "")"),"#REF!")</f>
        <v>#REF!</v>
      </c>
      <c r="E932" s="161"/>
      <c r="F932" s="161"/>
      <c r="G932" s="161"/>
      <c r="H932" s="161"/>
      <c r="I932" s="118"/>
      <c r="J932" s="117"/>
      <c r="K932" s="118"/>
      <c r="L932" s="119"/>
      <c r="M932" s="119"/>
      <c r="N932" s="119"/>
      <c r="O932" s="118"/>
      <c r="P932" s="117"/>
      <c r="Q932" s="162"/>
      <c r="R932" s="163"/>
      <c r="S932" s="163"/>
      <c r="T932" s="168"/>
      <c r="U932" s="123" t="str">
        <f t="shared" si="41"/>
        <v>#DIV/0!</v>
      </c>
      <c r="V932" s="168"/>
      <c r="W932" s="169"/>
    </row>
    <row r="933">
      <c r="A933" s="161"/>
      <c r="B933" s="161"/>
      <c r="C933" s="161"/>
      <c r="D933" s="160" t="str">
        <f>IFERROR(__xludf.DUMMYFUNCTION("SUBSTITUTE(REGEXEXTRACT(#REF!, ""[^-]+$""), ""x"", "" x "")"),"#REF!")</f>
        <v>#REF!</v>
      </c>
      <c r="E933" s="161"/>
      <c r="F933" s="161"/>
      <c r="G933" s="161"/>
      <c r="H933" s="161"/>
      <c r="I933" s="118"/>
      <c r="J933" s="117"/>
      <c r="K933" s="118"/>
      <c r="L933" s="119"/>
      <c r="M933" s="119"/>
      <c r="N933" s="119"/>
      <c r="O933" s="118"/>
      <c r="P933" s="117"/>
      <c r="Q933" s="162"/>
      <c r="R933" s="163"/>
      <c r="S933" s="163"/>
      <c r="T933" s="168"/>
      <c r="U933" s="123" t="str">
        <f t="shared" si="41"/>
        <v>#DIV/0!</v>
      </c>
      <c r="V933" s="168"/>
      <c r="W933" s="169"/>
    </row>
    <row r="934">
      <c r="A934" s="161"/>
      <c r="B934" s="161"/>
      <c r="C934" s="161"/>
      <c r="D934" s="160" t="str">
        <f>IFERROR(__xludf.DUMMYFUNCTION("SUBSTITUTE(REGEXEXTRACT(#REF!, ""[^-]+$""), ""x"", "" x "")"),"#REF!")</f>
        <v>#REF!</v>
      </c>
      <c r="E934" s="161"/>
      <c r="F934" s="161"/>
      <c r="G934" s="161"/>
      <c r="H934" s="161"/>
      <c r="I934" s="118"/>
      <c r="J934" s="117"/>
      <c r="K934" s="118"/>
      <c r="L934" s="119"/>
      <c r="M934" s="166"/>
      <c r="N934" s="119"/>
      <c r="O934" s="118"/>
      <c r="P934" s="117"/>
      <c r="Q934" s="162"/>
      <c r="R934" s="163"/>
      <c r="S934" s="163"/>
      <c r="T934" s="168"/>
      <c r="U934" s="123" t="str">
        <f t="shared" si="41"/>
        <v>#DIV/0!</v>
      </c>
      <c r="V934" s="168"/>
      <c r="W934" s="169"/>
    </row>
    <row r="935">
      <c r="A935" s="161"/>
      <c r="B935" s="161"/>
      <c r="C935" s="161"/>
      <c r="D935" s="160" t="str">
        <f>IFERROR(__xludf.DUMMYFUNCTION("SUBSTITUTE(REGEXEXTRACT(#REF!, ""[^-]+$""), ""x"", "" x "")"),"#REF!")</f>
        <v>#REF!</v>
      </c>
      <c r="E935" s="161"/>
      <c r="F935" s="161"/>
      <c r="G935" s="161"/>
      <c r="H935" s="161"/>
      <c r="I935" s="118"/>
      <c r="J935" s="117"/>
      <c r="K935" s="118"/>
      <c r="L935" s="119"/>
      <c r="M935" s="166"/>
      <c r="N935" s="119"/>
      <c r="O935" s="118"/>
      <c r="P935" s="117"/>
      <c r="Q935" s="162"/>
      <c r="R935" s="163"/>
      <c r="S935" s="163"/>
      <c r="T935" s="168"/>
      <c r="U935" s="123" t="str">
        <f t="shared" si="41"/>
        <v>#DIV/0!</v>
      </c>
      <c r="V935" s="168"/>
      <c r="W935" s="169"/>
    </row>
    <row r="936">
      <c r="A936" s="161"/>
      <c r="B936" s="161"/>
      <c r="C936" s="161"/>
      <c r="D936" s="160" t="str">
        <f>IFERROR(__xludf.DUMMYFUNCTION("SUBSTITUTE(REGEXEXTRACT(#REF!, ""[^-]+$""), ""x"", "" x "")"),"#REF!")</f>
        <v>#REF!</v>
      </c>
      <c r="E936" s="161"/>
      <c r="F936" s="161"/>
      <c r="G936" s="161"/>
      <c r="H936" s="161"/>
      <c r="I936" s="118"/>
      <c r="J936" s="117"/>
      <c r="K936" s="118"/>
      <c r="L936" s="119"/>
      <c r="M936" s="166"/>
      <c r="N936" s="119"/>
      <c r="O936" s="118"/>
      <c r="P936" s="117"/>
      <c r="Q936" s="162"/>
      <c r="R936" s="163"/>
      <c r="S936" s="163"/>
      <c r="T936" s="168"/>
      <c r="U936" s="123" t="str">
        <f t="shared" si="41"/>
        <v>#DIV/0!</v>
      </c>
      <c r="V936" s="168"/>
      <c r="W936" s="169"/>
    </row>
    <row r="937">
      <c r="A937" s="161"/>
      <c r="B937" s="161"/>
      <c r="C937" s="161"/>
      <c r="D937" s="160" t="str">
        <f>IFERROR(__xludf.DUMMYFUNCTION("SUBSTITUTE(REGEXEXTRACT(#REF!, ""[^-]+$""), ""x"", "" x "")"),"#REF!")</f>
        <v>#REF!</v>
      </c>
      <c r="E937" s="161"/>
      <c r="F937" s="161"/>
      <c r="G937" s="161"/>
      <c r="H937" s="161"/>
      <c r="I937" s="118"/>
      <c r="J937" s="118"/>
      <c r="K937" s="117"/>
      <c r="L937" s="119"/>
      <c r="M937" s="119"/>
      <c r="N937" s="119"/>
      <c r="O937" s="118"/>
      <c r="P937" s="118"/>
      <c r="Q937" s="167"/>
      <c r="R937" s="163"/>
      <c r="S937" s="163"/>
      <c r="T937" s="168"/>
      <c r="U937" s="123" t="str">
        <f t="shared" si="41"/>
        <v>#DIV/0!</v>
      </c>
      <c r="V937" s="168"/>
      <c r="W937" s="169"/>
    </row>
    <row r="938">
      <c r="A938" s="161"/>
      <c r="B938" s="161"/>
      <c r="C938" s="161"/>
      <c r="D938" s="160" t="str">
        <f>IFERROR(__xludf.DUMMYFUNCTION("SUBSTITUTE(REGEXEXTRACT(#REF!, ""[^-]+$""), ""x"", "" x "")"),"#REF!")</f>
        <v>#REF!</v>
      </c>
      <c r="E938" s="161"/>
      <c r="F938" s="161"/>
      <c r="G938" s="161"/>
      <c r="H938" s="161"/>
      <c r="I938" s="118"/>
      <c r="J938" s="118"/>
      <c r="K938" s="117"/>
      <c r="L938" s="119"/>
      <c r="M938" s="119"/>
      <c r="N938" s="119"/>
      <c r="O938" s="118"/>
      <c r="P938" s="118"/>
      <c r="Q938" s="167"/>
      <c r="R938" s="163"/>
      <c r="S938" s="163"/>
      <c r="T938" s="168"/>
      <c r="U938" s="123" t="str">
        <f t="shared" si="41"/>
        <v>#DIV/0!</v>
      </c>
      <c r="V938" s="168"/>
      <c r="W938" s="169"/>
    </row>
    <row r="939">
      <c r="A939" s="161"/>
      <c r="B939" s="161"/>
      <c r="C939" s="161"/>
      <c r="D939" s="160" t="str">
        <f>IFERROR(__xludf.DUMMYFUNCTION("SUBSTITUTE(REGEXEXTRACT(#REF!, ""[^-]+$""), ""x"", "" x "")"),"#REF!")</f>
        <v>#REF!</v>
      </c>
      <c r="E939" s="161"/>
      <c r="F939" s="161"/>
      <c r="G939" s="161"/>
      <c r="H939" s="161"/>
      <c r="I939" s="118"/>
      <c r="J939" s="118"/>
      <c r="K939" s="117"/>
      <c r="L939" s="119"/>
      <c r="M939" s="119"/>
      <c r="N939" s="166"/>
      <c r="O939" s="118"/>
      <c r="P939" s="118"/>
      <c r="Q939" s="167"/>
      <c r="R939" s="163"/>
      <c r="S939" s="163"/>
      <c r="T939" s="168"/>
      <c r="U939" s="123" t="str">
        <f t="shared" si="41"/>
        <v>#DIV/0!</v>
      </c>
      <c r="V939" s="168"/>
      <c r="W939" s="169"/>
    </row>
    <row r="940">
      <c r="A940" s="161"/>
      <c r="B940" s="161"/>
      <c r="C940" s="161"/>
      <c r="D940" s="160" t="str">
        <f>IFERROR(__xludf.DUMMYFUNCTION("SUBSTITUTE(REGEXEXTRACT(#REF!, ""[^-]+$""), ""x"", "" x "")"),"#REF!")</f>
        <v>#REF!</v>
      </c>
      <c r="E940" s="161"/>
      <c r="F940" s="161"/>
      <c r="G940" s="161"/>
      <c r="H940" s="161"/>
      <c r="I940" s="118"/>
      <c r="J940" s="118"/>
      <c r="K940" s="117"/>
      <c r="L940" s="119"/>
      <c r="M940" s="119"/>
      <c r="N940" s="119"/>
      <c r="O940" s="118"/>
      <c r="P940" s="118"/>
      <c r="Q940" s="167"/>
      <c r="R940" s="163"/>
      <c r="S940" s="163"/>
      <c r="T940" s="168"/>
      <c r="U940" s="123" t="str">
        <f t="shared" si="41"/>
        <v>#DIV/0!</v>
      </c>
      <c r="V940" s="168"/>
      <c r="W940" s="169"/>
    </row>
    <row r="941">
      <c r="A941" s="161"/>
      <c r="B941" s="161"/>
      <c r="C941" s="161"/>
      <c r="D941" s="160" t="str">
        <f>IFERROR(__xludf.DUMMYFUNCTION("SUBSTITUTE(REGEXEXTRACT(#REF!, ""[^-]+$""), ""x"", "" x "")"),"#REF!")</f>
        <v>#REF!</v>
      </c>
      <c r="E941" s="161"/>
      <c r="F941" s="161"/>
      <c r="G941" s="161"/>
      <c r="H941" s="161"/>
      <c r="I941" s="118"/>
      <c r="J941" s="118"/>
      <c r="K941" s="117"/>
      <c r="L941" s="119"/>
      <c r="M941" s="119"/>
      <c r="N941" s="119"/>
      <c r="O941" s="118"/>
      <c r="P941" s="118"/>
      <c r="Q941" s="167"/>
      <c r="R941" s="163"/>
      <c r="S941" s="163"/>
      <c r="T941" s="168"/>
      <c r="U941" s="123" t="str">
        <f t="shared" si="41"/>
        <v>#DIV/0!</v>
      </c>
      <c r="V941" s="168"/>
      <c r="W941" s="169"/>
    </row>
    <row r="942">
      <c r="A942" s="161"/>
      <c r="B942" s="161"/>
      <c r="C942" s="161"/>
      <c r="D942" s="160" t="str">
        <f>IFERROR(__xludf.DUMMYFUNCTION("SUBSTITUTE(REGEXEXTRACT(#REF!, ""[^-]+$""), ""x"", "" x "")"),"#REF!")</f>
        <v>#REF!</v>
      </c>
      <c r="E942" s="161"/>
      <c r="F942" s="161"/>
      <c r="G942" s="161"/>
      <c r="H942" s="161"/>
      <c r="I942" s="118"/>
      <c r="J942" s="118"/>
      <c r="K942" s="117"/>
      <c r="L942" s="119"/>
      <c r="M942" s="119"/>
      <c r="N942" s="119"/>
      <c r="O942" s="118"/>
      <c r="P942" s="118"/>
      <c r="Q942" s="167"/>
      <c r="R942" s="163"/>
      <c r="S942" s="163"/>
      <c r="T942" s="168"/>
      <c r="U942" s="123" t="str">
        <f t="shared" si="41"/>
        <v>#DIV/0!</v>
      </c>
      <c r="V942" s="168"/>
      <c r="W942" s="169"/>
    </row>
    <row r="943">
      <c r="A943" s="161"/>
      <c r="B943" s="161"/>
      <c r="C943" s="161"/>
      <c r="D943" s="160" t="str">
        <f>IFERROR(__xludf.DUMMYFUNCTION("SUBSTITUTE(REGEXEXTRACT(#REF!, ""[^-]+$""), ""x"", "" x "")"),"#REF!")</f>
        <v>#REF!</v>
      </c>
      <c r="E943" s="161"/>
      <c r="F943" s="161"/>
      <c r="G943" s="161"/>
      <c r="H943" s="161"/>
      <c r="I943" s="118"/>
      <c r="J943" s="118"/>
      <c r="K943" s="117"/>
      <c r="L943" s="119"/>
      <c r="M943" s="119"/>
      <c r="N943" s="119"/>
      <c r="O943" s="118"/>
      <c r="P943" s="118"/>
      <c r="Q943" s="167"/>
      <c r="R943" s="163"/>
      <c r="S943" s="163"/>
      <c r="T943" s="168"/>
      <c r="U943" s="123" t="str">
        <f t="shared" si="41"/>
        <v>#DIV/0!</v>
      </c>
      <c r="V943" s="168"/>
      <c r="W943" s="169"/>
    </row>
    <row r="944">
      <c r="A944" s="161"/>
      <c r="B944" s="161"/>
      <c r="C944" s="161"/>
      <c r="D944" s="160" t="str">
        <f>IFERROR(__xludf.DUMMYFUNCTION("SUBSTITUTE(REGEXEXTRACT(#REF!, ""[^-]+$""), ""x"", "" x "")"),"#REF!")</f>
        <v>#REF!</v>
      </c>
      <c r="E944" s="161"/>
      <c r="F944" s="161"/>
      <c r="G944" s="161"/>
      <c r="H944" s="161"/>
      <c r="I944" s="118"/>
      <c r="J944" s="118"/>
      <c r="K944" s="117"/>
      <c r="L944" s="119"/>
      <c r="M944" s="119"/>
      <c r="N944" s="119"/>
      <c r="O944" s="118"/>
      <c r="P944" s="118"/>
      <c r="Q944" s="167"/>
      <c r="R944" s="163"/>
      <c r="S944" s="163"/>
      <c r="T944" s="168"/>
      <c r="U944" s="123" t="str">
        <f t="shared" si="41"/>
        <v>#DIV/0!</v>
      </c>
      <c r="V944" s="168"/>
      <c r="W944" s="169"/>
    </row>
    <row r="945">
      <c r="A945" s="161"/>
      <c r="B945" s="161"/>
      <c r="C945" s="161"/>
      <c r="D945" s="160" t="str">
        <f>IFERROR(__xludf.DUMMYFUNCTION("SUBSTITUTE(REGEXEXTRACT(#REF!, ""[^-]+$""), ""x"", "" x "")"),"#REF!")</f>
        <v>#REF!</v>
      </c>
      <c r="E945" s="161"/>
      <c r="F945" s="161"/>
      <c r="G945" s="161"/>
      <c r="H945" s="161"/>
      <c r="I945" s="118"/>
      <c r="J945" s="118"/>
      <c r="K945" s="117"/>
      <c r="L945" s="119"/>
      <c r="M945" s="119"/>
      <c r="N945" s="119"/>
      <c r="O945" s="118"/>
      <c r="P945" s="118"/>
      <c r="Q945" s="167"/>
      <c r="R945" s="163"/>
      <c r="S945" s="163"/>
      <c r="T945" s="168"/>
      <c r="U945" s="123" t="str">
        <f t="shared" si="41"/>
        <v>#DIV/0!</v>
      </c>
      <c r="V945" s="168"/>
      <c r="W945" s="169"/>
    </row>
    <row r="946">
      <c r="A946" s="161"/>
      <c r="B946" s="161"/>
      <c r="C946" s="161"/>
      <c r="D946" s="160" t="str">
        <f>IFERROR(__xludf.DUMMYFUNCTION("SUBSTITUTE(REGEXEXTRACT(#REF!, ""[^-]+$""), ""x"", "" x "")"),"#REF!")</f>
        <v>#REF!</v>
      </c>
      <c r="E946" s="161"/>
      <c r="F946" s="161"/>
      <c r="G946" s="161"/>
      <c r="H946" s="161"/>
      <c r="I946" s="118"/>
      <c r="J946" s="118"/>
      <c r="K946" s="117"/>
      <c r="L946" s="119"/>
      <c r="M946" s="119"/>
      <c r="N946" s="119"/>
      <c r="O946" s="118"/>
      <c r="P946" s="118"/>
      <c r="Q946" s="167"/>
      <c r="R946" s="163"/>
      <c r="S946" s="163"/>
      <c r="T946" s="168"/>
      <c r="U946" s="123" t="str">
        <f t="shared" si="41"/>
        <v>#DIV/0!</v>
      </c>
      <c r="V946" s="168"/>
      <c r="W946" s="169"/>
    </row>
    <row r="947">
      <c r="A947" s="161"/>
      <c r="B947" s="161"/>
      <c r="C947" s="161"/>
      <c r="D947" s="160" t="str">
        <f>IFERROR(__xludf.DUMMYFUNCTION("SUBSTITUTE(REGEXEXTRACT(#REF!, ""[^-]+$""), ""x"", "" x "")"),"#REF!")</f>
        <v>#REF!</v>
      </c>
      <c r="E947" s="161"/>
      <c r="F947" s="161"/>
      <c r="G947" s="161"/>
      <c r="H947" s="161"/>
      <c r="I947" s="118"/>
      <c r="J947" s="118"/>
      <c r="K947" s="117"/>
      <c r="L947" s="119"/>
      <c r="M947" s="119"/>
      <c r="N947" s="119"/>
      <c r="O947" s="118"/>
      <c r="P947" s="118"/>
      <c r="Q947" s="167"/>
      <c r="R947" s="163"/>
      <c r="S947" s="163"/>
      <c r="T947" s="168"/>
      <c r="U947" s="123" t="str">
        <f t="shared" si="41"/>
        <v>#DIV/0!</v>
      </c>
      <c r="V947" s="168"/>
      <c r="W947" s="169"/>
    </row>
    <row r="948">
      <c r="A948" s="161"/>
      <c r="B948" s="161"/>
      <c r="C948" s="161"/>
      <c r="D948" s="160" t="str">
        <f>IFERROR(__xludf.DUMMYFUNCTION("SUBSTITUTE(REGEXEXTRACT(#REF!, ""[^-]+$""), ""x"", "" x "")"),"#REF!")</f>
        <v>#REF!</v>
      </c>
      <c r="E948" s="161"/>
      <c r="F948" s="161"/>
      <c r="G948" s="161"/>
      <c r="H948" s="161"/>
      <c r="I948" s="118"/>
      <c r="J948" s="118"/>
      <c r="K948" s="117"/>
      <c r="L948" s="119"/>
      <c r="M948" s="119"/>
      <c r="N948" s="119"/>
      <c r="O948" s="118"/>
      <c r="P948" s="118"/>
      <c r="Q948" s="167"/>
      <c r="R948" s="163"/>
      <c r="S948" s="163"/>
      <c r="T948" s="168"/>
      <c r="U948" s="123" t="str">
        <f t="shared" si="41"/>
        <v>#DIV/0!</v>
      </c>
      <c r="V948" s="168"/>
      <c r="W948" s="169"/>
    </row>
    <row r="949">
      <c r="A949" s="161"/>
      <c r="B949" s="161"/>
      <c r="C949" s="161"/>
      <c r="D949" s="160" t="str">
        <f>IFERROR(__xludf.DUMMYFUNCTION("SUBSTITUTE(REGEXEXTRACT(#REF!, ""[^-]+$""), ""x"", "" x "")"),"#REF!")</f>
        <v>#REF!</v>
      </c>
      <c r="E949" s="161"/>
      <c r="F949" s="161"/>
      <c r="G949" s="161"/>
      <c r="H949" s="161"/>
      <c r="I949" s="118"/>
      <c r="J949" s="118"/>
      <c r="K949" s="117"/>
      <c r="L949" s="119"/>
      <c r="M949" s="119"/>
      <c r="N949" s="119"/>
      <c r="O949" s="118"/>
      <c r="P949" s="118"/>
      <c r="Q949" s="167"/>
      <c r="R949" s="163"/>
      <c r="S949" s="163"/>
      <c r="T949" s="168"/>
      <c r="U949" s="123" t="str">
        <f t="shared" si="41"/>
        <v>#DIV/0!</v>
      </c>
      <c r="V949" s="168"/>
      <c r="W949" s="169"/>
    </row>
    <row r="950">
      <c r="A950" s="161"/>
      <c r="B950" s="161"/>
      <c r="C950" s="161"/>
      <c r="D950" s="160" t="str">
        <f>IFERROR(__xludf.DUMMYFUNCTION("SUBSTITUTE(REGEXEXTRACT(#REF!, ""[^-]+$""), ""x"", "" x "")"),"#REF!")</f>
        <v>#REF!</v>
      </c>
      <c r="E950" s="161"/>
      <c r="F950" s="161"/>
      <c r="G950" s="161"/>
      <c r="H950" s="161"/>
      <c r="I950" s="118"/>
      <c r="J950" s="118"/>
      <c r="K950" s="117"/>
      <c r="L950" s="119"/>
      <c r="M950" s="119"/>
      <c r="N950" s="119"/>
      <c r="O950" s="118"/>
      <c r="P950" s="118"/>
      <c r="Q950" s="167"/>
      <c r="R950" s="163"/>
      <c r="S950" s="163"/>
      <c r="T950" s="168"/>
      <c r="U950" s="123" t="str">
        <f t="shared" si="41"/>
        <v>#DIV/0!</v>
      </c>
      <c r="V950" s="168"/>
      <c r="W950" s="169"/>
    </row>
    <row r="951">
      <c r="A951" s="161"/>
      <c r="B951" s="161"/>
      <c r="C951" s="161"/>
      <c r="D951" s="160" t="str">
        <f>IFERROR(__xludf.DUMMYFUNCTION("SUBSTITUTE(REGEXEXTRACT(#REF!, ""[^-]+$""), ""x"", "" x "")"),"#REF!")</f>
        <v>#REF!</v>
      </c>
      <c r="E951" s="161"/>
      <c r="F951" s="161"/>
      <c r="G951" s="161"/>
      <c r="H951" s="161"/>
      <c r="I951" s="118"/>
      <c r="J951" s="118"/>
      <c r="K951" s="117"/>
      <c r="L951" s="119"/>
      <c r="M951" s="119"/>
      <c r="N951" s="119"/>
      <c r="O951" s="118"/>
      <c r="P951" s="118"/>
      <c r="Q951" s="167"/>
      <c r="R951" s="163"/>
      <c r="S951" s="163"/>
      <c r="T951" s="168"/>
      <c r="U951" s="123" t="str">
        <f t="shared" si="41"/>
        <v>#DIV/0!</v>
      </c>
      <c r="V951" s="168"/>
      <c r="W951" s="169"/>
    </row>
    <row r="952">
      <c r="A952" s="161"/>
      <c r="B952" s="161"/>
      <c r="C952" s="161"/>
      <c r="D952" s="160" t="str">
        <f>IFERROR(__xludf.DUMMYFUNCTION("SUBSTITUTE(REGEXEXTRACT(#REF!, ""[^-]+$""), ""x"", "" x "")"),"#REF!")</f>
        <v>#REF!</v>
      </c>
      <c r="E952" s="161"/>
      <c r="F952" s="161"/>
      <c r="G952" s="161"/>
      <c r="H952" s="161"/>
      <c r="I952" s="118"/>
      <c r="J952" s="118"/>
      <c r="K952" s="117"/>
      <c r="L952" s="119"/>
      <c r="M952" s="119"/>
      <c r="N952" s="119"/>
      <c r="O952" s="118"/>
      <c r="P952" s="118"/>
      <c r="Q952" s="167"/>
      <c r="R952" s="163"/>
      <c r="S952" s="163"/>
      <c r="T952" s="168"/>
      <c r="U952" s="123" t="str">
        <f t="shared" si="41"/>
        <v>#DIV/0!</v>
      </c>
      <c r="V952" s="168"/>
      <c r="W952" s="169"/>
    </row>
    <row r="953">
      <c r="A953" s="161"/>
      <c r="B953" s="161"/>
      <c r="C953" s="161"/>
      <c r="D953" s="160" t="str">
        <f>IFERROR(__xludf.DUMMYFUNCTION("SUBSTITUTE(REGEXEXTRACT(#REF!, ""[^-]+$""), ""x"", "" x "")"),"#REF!")</f>
        <v>#REF!</v>
      </c>
      <c r="E953" s="161"/>
      <c r="F953" s="161"/>
      <c r="G953" s="161"/>
      <c r="H953" s="161"/>
      <c r="I953" s="118"/>
      <c r="J953" s="118"/>
      <c r="K953" s="117"/>
      <c r="L953" s="119"/>
      <c r="M953" s="119"/>
      <c r="N953" s="119"/>
      <c r="O953" s="118"/>
      <c r="P953" s="118"/>
      <c r="Q953" s="167"/>
      <c r="R953" s="163"/>
      <c r="S953" s="163"/>
      <c r="T953" s="168"/>
      <c r="U953" s="123" t="str">
        <f t="shared" si="41"/>
        <v>#DIV/0!</v>
      </c>
      <c r="V953" s="168"/>
      <c r="W953" s="169"/>
    </row>
    <row r="954">
      <c r="A954" s="161"/>
      <c r="B954" s="161"/>
      <c r="C954" s="161"/>
      <c r="D954" s="160" t="str">
        <f>IFERROR(__xludf.DUMMYFUNCTION("SUBSTITUTE(REGEXEXTRACT(#REF!, ""[^-]+$""), ""x"", "" x "")"),"#REF!")</f>
        <v>#REF!</v>
      </c>
      <c r="E954" s="161"/>
      <c r="F954" s="161"/>
      <c r="G954" s="161"/>
      <c r="H954" s="161"/>
      <c r="I954" s="118"/>
      <c r="J954" s="118"/>
      <c r="K954" s="117"/>
      <c r="L954" s="119"/>
      <c r="M954" s="119"/>
      <c r="N954" s="119"/>
      <c r="O954" s="118"/>
      <c r="P954" s="118"/>
      <c r="Q954" s="167"/>
      <c r="R954" s="163"/>
      <c r="S954" s="163"/>
      <c r="T954" s="168"/>
      <c r="U954" s="123" t="str">
        <f t="shared" si="41"/>
        <v>#DIV/0!</v>
      </c>
      <c r="V954" s="168"/>
      <c r="W954" s="169"/>
    </row>
    <row r="955">
      <c r="A955" s="161"/>
      <c r="B955" s="161"/>
      <c r="C955" s="161"/>
      <c r="D955" s="160" t="str">
        <f>IFERROR(__xludf.DUMMYFUNCTION("SUBSTITUTE(REGEXEXTRACT(#REF!, ""[^-]+$""), ""x"", "" x "")"),"#REF!")</f>
        <v>#REF!</v>
      </c>
      <c r="E955" s="161"/>
      <c r="F955" s="161"/>
      <c r="G955" s="161"/>
      <c r="H955" s="161"/>
      <c r="I955" s="118"/>
      <c r="J955" s="118"/>
      <c r="K955" s="117"/>
      <c r="L955" s="119"/>
      <c r="M955" s="119"/>
      <c r="N955" s="166"/>
      <c r="O955" s="118"/>
      <c r="P955" s="118"/>
      <c r="Q955" s="167"/>
      <c r="R955" s="163"/>
      <c r="S955" s="163"/>
      <c r="T955" s="168"/>
      <c r="U955" s="123" t="str">
        <f t="shared" si="41"/>
        <v>#DIV/0!</v>
      </c>
      <c r="V955" s="168"/>
      <c r="W955" s="169"/>
    </row>
    <row r="956">
      <c r="A956" s="161"/>
      <c r="B956" s="161"/>
      <c r="C956" s="161"/>
      <c r="D956" s="160" t="str">
        <f>IFERROR(__xludf.DUMMYFUNCTION("SUBSTITUTE(REGEXEXTRACT(#REF!, ""[^-]+$""), ""x"", "" x "")"),"#REF!")</f>
        <v>#REF!</v>
      </c>
      <c r="E956" s="161"/>
      <c r="F956" s="161"/>
      <c r="G956" s="161"/>
      <c r="H956" s="161"/>
      <c r="I956" s="118"/>
      <c r="J956" s="118"/>
      <c r="K956" s="117"/>
      <c r="L956" s="119"/>
      <c r="M956" s="119"/>
      <c r="N956" s="166"/>
      <c r="O956" s="118"/>
      <c r="P956" s="118"/>
      <c r="Q956" s="167"/>
      <c r="R956" s="163"/>
      <c r="S956" s="163"/>
      <c r="T956" s="168"/>
      <c r="U956" s="123" t="str">
        <f t="shared" si="41"/>
        <v>#DIV/0!</v>
      </c>
      <c r="V956" s="168"/>
      <c r="W956" s="169"/>
    </row>
    <row r="957">
      <c r="A957" s="161"/>
      <c r="B957" s="161"/>
      <c r="C957" s="161"/>
      <c r="D957" s="160" t="str">
        <f>IFERROR(__xludf.DUMMYFUNCTION("SUBSTITUTE(REGEXEXTRACT(#REF!, ""[^-]+$""), ""x"", "" x "")"),"#REF!")</f>
        <v>#REF!</v>
      </c>
      <c r="E957" s="161"/>
      <c r="F957" s="161"/>
      <c r="G957" s="161"/>
      <c r="H957" s="161"/>
      <c r="I957" s="118"/>
      <c r="J957" s="118"/>
      <c r="K957" s="117"/>
      <c r="L957" s="119"/>
      <c r="M957" s="119"/>
      <c r="N957" s="166"/>
      <c r="O957" s="118"/>
      <c r="P957" s="118"/>
      <c r="Q957" s="167"/>
      <c r="R957" s="163"/>
      <c r="S957" s="163"/>
      <c r="T957" s="168"/>
      <c r="U957" s="123" t="str">
        <f t="shared" si="41"/>
        <v>#DIV/0!</v>
      </c>
      <c r="V957" s="168"/>
      <c r="W957" s="169"/>
    </row>
    <row r="958">
      <c r="A958" s="161"/>
      <c r="B958" s="161"/>
      <c r="C958" s="161"/>
      <c r="D958" s="160" t="str">
        <f>IFERROR(__xludf.DUMMYFUNCTION("SUBSTITUTE(REGEXEXTRACT(#REF!, ""[^-]+$""), ""x"", "" x "")"),"#REF!")</f>
        <v>#REF!</v>
      </c>
      <c r="E958" s="161"/>
      <c r="F958" s="161"/>
      <c r="G958" s="161"/>
      <c r="H958" s="161"/>
      <c r="I958" s="118"/>
      <c r="J958" s="118"/>
      <c r="K958" s="117"/>
      <c r="L958" s="119"/>
      <c r="M958" s="119"/>
      <c r="N958" s="166"/>
      <c r="O958" s="118"/>
      <c r="P958" s="118"/>
      <c r="Q958" s="167"/>
      <c r="R958" s="163"/>
      <c r="S958" s="163"/>
      <c r="T958" s="168"/>
      <c r="U958" s="123" t="str">
        <f t="shared" si="41"/>
        <v>#DIV/0!</v>
      </c>
      <c r="V958" s="168"/>
      <c r="W958" s="169"/>
    </row>
    <row r="959">
      <c r="A959" s="161"/>
      <c r="B959" s="161"/>
      <c r="C959" s="161"/>
      <c r="D959" s="160" t="str">
        <f>IFERROR(__xludf.DUMMYFUNCTION("SUBSTITUTE(REGEXEXTRACT(#REF!, ""[^-]+$""), ""x"", "" x "")"),"#REF!")</f>
        <v>#REF!</v>
      </c>
      <c r="E959" s="161"/>
      <c r="F959" s="161"/>
      <c r="G959" s="161"/>
      <c r="H959" s="161"/>
      <c r="I959" s="118"/>
      <c r="J959" s="118"/>
      <c r="K959" s="117"/>
      <c r="L959" s="119"/>
      <c r="M959" s="119"/>
      <c r="N959" s="166"/>
      <c r="O959" s="118"/>
      <c r="P959" s="118"/>
      <c r="Q959" s="167"/>
      <c r="R959" s="163"/>
      <c r="S959" s="163"/>
      <c r="T959" s="168"/>
      <c r="U959" s="123" t="str">
        <f t="shared" si="41"/>
        <v>#DIV/0!</v>
      </c>
      <c r="V959" s="168"/>
      <c r="W959" s="169"/>
    </row>
    <row r="960">
      <c r="A960" s="161"/>
      <c r="B960" s="161"/>
      <c r="C960" s="161"/>
      <c r="D960" s="160" t="str">
        <f>IFERROR(__xludf.DUMMYFUNCTION("SUBSTITUTE(REGEXEXTRACT(#REF!, ""[^-]+$""), ""x"", "" x "")"),"#REF!")</f>
        <v>#REF!</v>
      </c>
      <c r="E960" s="161"/>
      <c r="F960" s="161"/>
      <c r="G960" s="161"/>
      <c r="H960" s="161"/>
      <c r="I960" s="118"/>
      <c r="J960" s="118"/>
      <c r="K960" s="117"/>
      <c r="L960" s="119"/>
      <c r="M960" s="119"/>
      <c r="N960" s="166"/>
      <c r="O960" s="118"/>
      <c r="P960" s="118"/>
      <c r="Q960" s="167"/>
      <c r="R960" s="163"/>
      <c r="S960" s="163"/>
      <c r="T960" s="168"/>
      <c r="U960" s="123" t="str">
        <f t="shared" si="41"/>
        <v>#DIV/0!</v>
      </c>
      <c r="V960" s="168"/>
      <c r="W960" s="169"/>
    </row>
    <row r="961">
      <c r="A961" s="161"/>
      <c r="B961" s="161"/>
      <c r="C961" s="161"/>
      <c r="D961" s="160" t="str">
        <f>IFERROR(__xludf.DUMMYFUNCTION("SUBSTITUTE(REGEXEXTRACT(#REF!, ""[^-]+$""), ""x"", "" x "")"),"#REF!")</f>
        <v>#REF!</v>
      </c>
      <c r="E961" s="161"/>
      <c r="F961" s="161"/>
      <c r="G961" s="161"/>
      <c r="H961" s="161"/>
      <c r="I961" s="118"/>
      <c r="J961" s="118"/>
      <c r="K961" s="117"/>
      <c r="L961" s="119"/>
      <c r="M961" s="119"/>
      <c r="N961" s="166"/>
      <c r="O961" s="118"/>
      <c r="P961" s="118"/>
      <c r="Q961" s="167"/>
      <c r="R961" s="163"/>
      <c r="S961" s="163"/>
      <c r="T961" s="168"/>
      <c r="U961" s="123" t="str">
        <f t="shared" si="41"/>
        <v>#DIV/0!</v>
      </c>
      <c r="V961" s="168"/>
      <c r="W961" s="169"/>
    </row>
    <row r="962">
      <c r="A962" s="161"/>
      <c r="B962" s="161"/>
      <c r="C962" s="161"/>
      <c r="D962" s="160" t="str">
        <f>IFERROR(__xludf.DUMMYFUNCTION("SUBSTITUTE(REGEXEXTRACT(#REF!, ""[^-]+$""), ""x"", "" x "")"),"#REF!")</f>
        <v>#REF!</v>
      </c>
      <c r="E962" s="161"/>
      <c r="F962" s="161"/>
      <c r="G962" s="161"/>
      <c r="H962" s="161"/>
      <c r="I962" s="118"/>
      <c r="J962" s="118"/>
      <c r="K962" s="117"/>
      <c r="L962" s="119"/>
      <c r="M962" s="119"/>
      <c r="N962" s="166"/>
      <c r="O962" s="118"/>
      <c r="P962" s="118"/>
      <c r="Q962" s="167"/>
      <c r="R962" s="163"/>
      <c r="S962" s="163"/>
      <c r="T962" s="168"/>
      <c r="U962" s="123" t="str">
        <f t="shared" si="41"/>
        <v>#DIV/0!</v>
      </c>
      <c r="V962" s="168"/>
      <c r="W962" s="169"/>
    </row>
    <row r="963">
      <c r="A963" s="161"/>
      <c r="B963" s="161"/>
      <c r="C963" s="161"/>
      <c r="D963" s="160" t="str">
        <f>IFERROR(__xludf.DUMMYFUNCTION("SUBSTITUTE(REGEXEXTRACT(#REF!, ""[^-]+$""), ""x"", "" x "")"),"#REF!")</f>
        <v>#REF!</v>
      </c>
      <c r="E963" s="161"/>
      <c r="F963" s="161"/>
      <c r="G963" s="161"/>
      <c r="H963" s="161"/>
      <c r="I963" s="118"/>
      <c r="J963" s="118"/>
      <c r="K963" s="117"/>
      <c r="L963" s="119"/>
      <c r="M963" s="119"/>
      <c r="N963" s="119"/>
      <c r="O963" s="118"/>
      <c r="P963" s="118"/>
      <c r="Q963" s="167"/>
      <c r="R963" s="163"/>
      <c r="S963" s="163"/>
      <c r="T963" s="168"/>
      <c r="U963" s="123" t="str">
        <f t="shared" si="41"/>
        <v>#DIV/0!</v>
      </c>
      <c r="V963" s="168"/>
      <c r="W963" s="169"/>
    </row>
    <row r="964">
      <c r="A964" s="161"/>
      <c r="B964" s="161"/>
      <c r="C964" s="161"/>
      <c r="D964" s="160" t="str">
        <f>IFERROR(__xludf.DUMMYFUNCTION("SUBSTITUTE(REGEXEXTRACT(#REF!, ""[^-]+$""), ""x"", "" x "")"),"#REF!")</f>
        <v>#REF!</v>
      </c>
      <c r="E964" s="161"/>
      <c r="F964" s="161"/>
      <c r="G964" s="161"/>
      <c r="H964" s="161"/>
      <c r="I964" s="118"/>
      <c r="J964" s="118"/>
      <c r="K964" s="117"/>
      <c r="L964" s="119"/>
      <c r="M964" s="119"/>
      <c r="N964" s="119"/>
      <c r="O964" s="118"/>
      <c r="P964" s="118"/>
      <c r="Q964" s="167"/>
      <c r="R964" s="163"/>
      <c r="S964" s="163"/>
      <c r="T964" s="168"/>
      <c r="U964" s="123" t="str">
        <f t="shared" si="41"/>
        <v>#DIV/0!</v>
      </c>
      <c r="V964" s="168"/>
      <c r="W964" s="169"/>
    </row>
    <row r="965">
      <c r="Q965" s="174"/>
    </row>
    <row r="966">
      <c r="Q966" s="174"/>
    </row>
    <row r="967">
      <c r="Q967" s="174"/>
    </row>
    <row r="968">
      <c r="Q968" s="174"/>
    </row>
  </sheetData>
  <mergeCells count="6">
    <mergeCell ref="A1:B4"/>
    <mergeCell ref="C1:H4"/>
    <mergeCell ref="I1:Q2"/>
    <mergeCell ref="I3:K4"/>
    <mergeCell ref="L3:N4"/>
    <mergeCell ref="O3:Q4"/>
  </mergeCells>
  <dataValidations>
    <dataValidation type="list" allowBlank="1" showErrorMessage="1" sqref="G308:G368 G369:H964">
      <formula1>"RTU,Sablon,Custom"</formula1>
    </dataValidation>
    <dataValidation type="list" allowBlank="1" sqref="F6:F368">
      <formula1>"RTU,Sablon,Custom"</formula1>
    </dataValidation>
    <dataValidation type="custom" allowBlank="1" showDropDown="1" sqref="V6:W368">
      <formula1>AND(ISNUMBER(V6),(NOT(OR(NOT(ISERROR(DATEVALUE(V6))), AND(ISNUMBER(V6), LEFT(CELL("format", V6))="D")))))</formula1>
    </dataValidation>
    <dataValidation type="list" allowBlank="1" sqref="E6:E368">
      <formula1>"0/0,1/0,2/0,3/0,4/0"</formula1>
    </dataValidation>
    <dataValidation type="list" allowBlank="1" showErrorMessage="1" sqref="G6:G307">
      <formula1>"RTU,Sablon,Custom"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min="1" max="1" width="20.75"/>
    <col customWidth="1" min="2" max="2" width="15.38"/>
  </cols>
  <sheetData>
    <row r="1">
      <c r="A1" s="1"/>
      <c r="C1" s="2" t="s">
        <v>1269</v>
      </c>
      <c r="I1" s="3" t="s">
        <v>2</v>
      </c>
      <c r="R1" s="125" t="s">
        <v>4</v>
      </c>
    </row>
    <row r="3">
      <c r="I3" s="6" t="s">
        <v>1271</v>
      </c>
      <c r="J3" s="7"/>
      <c r="K3" s="8"/>
      <c r="L3" s="9" t="s">
        <v>1272</v>
      </c>
      <c r="M3" s="7"/>
      <c r="N3" s="8"/>
      <c r="O3" s="6" t="s">
        <v>1273</v>
      </c>
      <c r="P3" s="7"/>
      <c r="Q3" s="8"/>
      <c r="R3" s="10" t="s">
        <v>10</v>
      </c>
      <c r="S3" s="7"/>
      <c r="T3" s="8"/>
    </row>
    <row r="4">
      <c r="I4" s="11"/>
      <c r="J4" s="11"/>
      <c r="K4" s="12"/>
      <c r="L4" s="11"/>
      <c r="M4" s="11"/>
      <c r="N4" s="12"/>
      <c r="O4" s="11"/>
      <c r="P4" s="11"/>
      <c r="Q4" s="12"/>
      <c r="R4" s="11"/>
      <c r="S4" s="11"/>
      <c r="T4" s="12"/>
    </row>
    <row r="5" ht="22.5" customHeight="1">
      <c r="A5" s="126" t="s">
        <v>11</v>
      </c>
      <c r="B5" s="127" t="s">
        <v>13</v>
      </c>
      <c r="C5" s="32" t="s">
        <v>14</v>
      </c>
      <c r="D5" s="32" t="s">
        <v>15</v>
      </c>
      <c r="E5" s="32" t="s">
        <v>16</v>
      </c>
      <c r="F5" s="127" t="s">
        <v>18</v>
      </c>
      <c r="G5" s="32" t="s">
        <v>19</v>
      </c>
      <c r="H5" s="32" t="s">
        <v>20</v>
      </c>
      <c r="I5" s="24" t="s">
        <v>21</v>
      </c>
      <c r="J5" s="24" t="s">
        <v>22</v>
      </c>
      <c r="K5" s="24" t="s">
        <v>23</v>
      </c>
      <c r="L5" s="27" t="s">
        <v>24</v>
      </c>
      <c r="M5" s="27" t="s">
        <v>25</v>
      </c>
      <c r="N5" s="27" t="s">
        <v>26</v>
      </c>
      <c r="O5" s="24" t="s">
        <v>27</v>
      </c>
      <c r="P5" s="24" t="s">
        <v>28</v>
      </c>
      <c r="Q5" s="24" t="s">
        <v>29</v>
      </c>
      <c r="R5" s="32" t="s">
        <v>30</v>
      </c>
      <c r="S5" s="128" t="s">
        <v>10</v>
      </c>
      <c r="T5" s="35" t="s">
        <v>31</v>
      </c>
    </row>
    <row r="6" ht="22.5" customHeight="1">
      <c r="A6" s="30" t="s">
        <v>424</v>
      </c>
      <c r="B6" s="30" t="s">
        <v>1274</v>
      </c>
      <c r="C6" s="30" t="s">
        <v>106</v>
      </c>
      <c r="D6" s="31" t="s">
        <v>1275</v>
      </c>
      <c r="E6" s="33" t="s">
        <v>46</v>
      </c>
      <c r="F6" s="30" t="s">
        <v>1276</v>
      </c>
      <c r="G6" s="36" t="s">
        <v>41</v>
      </c>
      <c r="H6" s="30" t="s">
        <v>1012</v>
      </c>
      <c r="I6" s="39">
        <v>2000.0</v>
      </c>
      <c r="J6" s="39">
        <v>2000.0</v>
      </c>
      <c r="K6" s="39"/>
      <c r="L6" s="42">
        <v>2000.0</v>
      </c>
      <c r="M6" s="42">
        <v>2000.0</v>
      </c>
      <c r="N6" s="42">
        <v>1721.0</v>
      </c>
      <c r="O6" s="39">
        <v>2000.0</v>
      </c>
      <c r="P6" s="39">
        <v>2000.0</v>
      </c>
      <c r="Q6" s="39">
        <v>2500.0</v>
      </c>
      <c r="R6" s="129">
        <v>0.67</v>
      </c>
      <c r="S6" s="50">
        <f>IFERROR(__xludf.DUMMYFUNCTION("((IFERROR(MIN(FILTER({K6, N6, Q6}, ISNUMBER({K6, N6, Q6}), {K6, N6, Q6} &gt; 0)), """"))*R6)+IFERROR(MIN(FILTER({K6, N6, Q6}, ISNUMBER({K6, N6, Q6}), {K6, N6, Q6} &gt; 0)), """")"),2874.07)</f>
        <v>2874.07</v>
      </c>
      <c r="T6" s="53">
        <f>IFERROR(__xludf.DUMMYFUNCTION("(S6-(IFERROR(MIN(FILTER({K6, N6, Q6}, ISNUMBER({K6, N6, Q6}), {K6, N6, Q6} &gt; 0)), """")))/S6"),0.4011976047904192)</f>
        <v>0.4011976048</v>
      </c>
    </row>
    <row r="7" ht="22.5" customHeight="1">
      <c r="A7" s="30"/>
      <c r="B7" s="30"/>
      <c r="C7" s="30"/>
      <c r="D7" s="31"/>
      <c r="E7" s="33"/>
      <c r="F7" s="30"/>
      <c r="G7" s="36"/>
      <c r="H7" s="30"/>
      <c r="I7" s="39"/>
      <c r="J7" s="39"/>
      <c r="K7" s="41"/>
      <c r="L7" s="42"/>
      <c r="M7" s="42"/>
      <c r="N7" s="42"/>
      <c r="O7" s="39"/>
      <c r="P7" s="39"/>
      <c r="Q7" s="39"/>
      <c r="R7" s="129">
        <v>0.67</v>
      </c>
      <c r="S7" s="50">
        <f>IFERROR(__xludf.DUMMYFUNCTION("((IFERROR(MIN(FILTER({K7, N7, Q7}, ISNUMBER({K7, N7, Q7}), {K7, N7, Q7} &gt; 0)), """"))*R7)+IFERROR(MIN(FILTER({K7, N7, Q7}, ISNUMBER({K7, N7, Q7}), {K7, N7, Q7} &gt; 0)), """")"),0.0)</f>
        <v>0</v>
      </c>
      <c r="T7" s="53" t="str">
        <f>IFERROR(__xludf.DUMMYFUNCTION("(S7-(IFERROR(MIN(FILTER({K7, N7, Q7}, ISNUMBER({K7, N7, Q7}), {K7, N7, Q7} &gt; 0)), """")))/S7"),"#DIV/0!")</f>
        <v>#DIV/0!</v>
      </c>
    </row>
    <row r="8" ht="22.5" customHeight="1">
      <c r="A8" s="30"/>
      <c r="B8" s="30"/>
      <c r="C8" s="30"/>
      <c r="D8" s="31"/>
      <c r="E8" s="33"/>
      <c r="F8" s="30"/>
      <c r="G8" s="36"/>
      <c r="H8" s="30"/>
      <c r="I8" s="39"/>
      <c r="J8" s="39"/>
      <c r="K8" s="41"/>
      <c r="L8" s="42"/>
      <c r="M8" s="42"/>
      <c r="N8" s="60"/>
      <c r="O8" s="39"/>
      <c r="P8" s="39"/>
      <c r="Q8" s="39"/>
      <c r="R8" s="129">
        <v>0.67</v>
      </c>
      <c r="S8" s="50">
        <f>IFERROR(__xludf.DUMMYFUNCTION("((IFERROR(MIN(FILTER({K8, N8, Q8}, ISNUMBER({K8, N8, Q8}), {K8, N8, Q8} &gt; 0)), """"))*R8)+IFERROR(MIN(FILTER({K8, N8, Q8}, ISNUMBER({K8, N8, Q8}), {K8, N8, Q8} &gt; 0)), """")"),0.0)</f>
        <v>0</v>
      </c>
      <c r="T8" s="53" t="str">
        <f>IFERROR(__xludf.DUMMYFUNCTION("(S8-(IFERROR(MIN(FILTER({K8, N8, Q8}, ISNUMBER({K8, N8, Q8}), {K8, N8, Q8} &gt; 0)), """")))/S8"),"#DIV/0!")</f>
        <v>#DIV/0!</v>
      </c>
    </row>
    <row r="9" ht="22.5" customHeight="1">
      <c r="A9" s="131"/>
      <c r="B9" s="131"/>
      <c r="C9" s="131"/>
      <c r="D9" s="131"/>
      <c r="E9" s="132"/>
      <c r="F9" s="131"/>
      <c r="G9" s="36"/>
      <c r="H9" s="131"/>
      <c r="I9" s="133"/>
      <c r="J9" s="133"/>
      <c r="K9" s="133"/>
      <c r="L9" s="131"/>
      <c r="M9" s="131"/>
      <c r="N9" s="131"/>
      <c r="O9" s="133"/>
      <c r="P9" s="133"/>
      <c r="Q9" s="133"/>
      <c r="R9" s="131"/>
      <c r="S9" s="134"/>
      <c r="T9" s="134"/>
    </row>
    <row r="10" ht="22.5" customHeight="1">
      <c r="A10" s="131"/>
      <c r="B10" s="131"/>
      <c r="C10" s="131"/>
      <c r="D10" s="131"/>
      <c r="E10" s="132"/>
      <c r="F10" s="131"/>
      <c r="G10" s="36"/>
      <c r="H10" s="131"/>
      <c r="I10" s="133"/>
      <c r="J10" s="133"/>
      <c r="K10" s="133"/>
      <c r="L10" s="131"/>
      <c r="M10" s="131"/>
      <c r="N10" s="131"/>
      <c r="O10" s="133"/>
      <c r="P10" s="133"/>
      <c r="Q10" s="133"/>
      <c r="R10" s="131"/>
      <c r="S10" s="134"/>
      <c r="T10" s="134"/>
    </row>
    <row r="11" ht="22.5" customHeight="1">
      <c r="A11" s="131"/>
      <c r="B11" s="131"/>
      <c r="C11" s="131"/>
      <c r="D11" s="131"/>
      <c r="E11" s="132"/>
      <c r="F11" s="131"/>
      <c r="G11" s="36"/>
      <c r="H11" s="131"/>
      <c r="I11" s="133"/>
      <c r="J11" s="133"/>
      <c r="K11" s="133"/>
      <c r="L11" s="131"/>
      <c r="M11" s="131"/>
      <c r="N11" s="131"/>
      <c r="O11" s="133"/>
      <c r="P11" s="133"/>
      <c r="Q11" s="133"/>
      <c r="R11" s="131"/>
      <c r="S11" s="134"/>
      <c r="T11" s="134"/>
    </row>
    <row r="12" ht="22.5" customHeight="1">
      <c r="A12" s="131"/>
      <c r="B12" s="131"/>
      <c r="C12" s="131"/>
      <c r="D12" s="131"/>
      <c r="E12" s="132"/>
      <c r="F12" s="131"/>
      <c r="G12" s="36"/>
      <c r="H12" s="131"/>
      <c r="I12" s="133"/>
      <c r="J12" s="133"/>
      <c r="K12" s="133"/>
      <c r="L12" s="131"/>
      <c r="M12" s="131"/>
      <c r="N12" s="131"/>
      <c r="O12" s="133"/>
      <c r="P12" s="133"/>
      <c r="Q12" s="133"/>
      <c r="R12" s="131"/>
      <c r="S12" s="134"/>
      <c r="T12" s="134"/>
    </row>
    <row r="13" ht="22.5" customHeight="1">
      <c r="A13" s="131"/>
      <c r="B13" s="131"/>
      <c r="C13" s="131"/>
      <c r="D13" s="131"/>
      <c r="E13" s="132"/>
      <c r="F13" s="131"/>
      <c r="G13" s="36"/>
      <c r="H13" s="131"/>
      <c r="I13" s="133"/>
      <c r="J13" s="133"/>
      <c r="K13" s="133"/>
      <c r="L13" s="131"/>
      <c r="M13" s="131"/>
      <c r="N13" s="131"/>
      <c r="O13" s="133"/>
      <c r="P13" s="133"/>
      <c r="Q13" s="133"/>
      <c r="R13" s="131"/>
      <c r="S13" s="134"/>
      <c r="T13" s="134"/>
    </row>
    <row r="14" ht="22.5" customHeight="1">
      <c r="A14" s="131"/>
      <c r="B14" s="131"/>
      <c r="C14" s="131"/>
      <c r="D14" s="131"/>
      <c r="E14" s="132"/>
      <c r="F14" s="131"/>
      <c r="G14" s="36"/>
      <c r="H14" s="131"/>
      <c r="I14" s="133"/>
      <c r="J14" s="133"/>
      <c r="K14" s="133"/>
      <c r="L14" s="131"/>
      <c r="M14" s="131"/>
      <c r="N14" s="131"/>
      <c r="O14" s="133"/>
      <c r="P14" s="133"/>
      <c r="Q14" s="133"/>
      <c r="R14" s="131"/>
      <c r="S14" s="134"/>
      <c r="T14" s="134"/>
    </row>
    <row r="15" ht="22.5" customHeight="1">
      <c r="A15" s="131"/>
      <c r="B15" s="131"/>
      <c r="C15" s="131"/>
      <c r="D15" s="131"/>
      <c r="E15" s="132"/>
      <c r="F15" s="131"/>
      <c r="G15" s="36"/>
      <c r="H15" s="131"/>
      <c r="I15" s="133"/>
      <c r="J15" s="133"/>
      <c r="K15" s="133"/>
      <c r="L15" s="131"/>
      <c r="M15" s="131"/>
      <c r="N15" s="131"/>
      <c r="O15" s="133"/>
      <c r="P15" s="133"/>
      <c r="Q15" s="133"/>
      <c r="R15" s="131"/>
      <c r="S15" s="134"/>
      <c r="T15" s="134"/>
    </row>
    <row r="16" ht="22.5" customHeight="1">
      <c r="A16" s="131"/>
      <c r="B16" s="131"/>
      <c r="C16" s="131"/>
      <c r="D16" s="131"/>
      <c r="E16" s="132"/>
      <c r="F16" s="131"/>
      <c r="G16" s="36"/>
      <c r="H16" s="131"/>
      <c r="I16" s="133"/>
      <c r="J16" s="133"/>
      <c r="K16" s="133"/>
      <c r="L16" s="131"/>
      <c r="M16" s="131"/>
      <c r="N16" s="131"/>
      <c r="O16" s="133"/>
      <c r="P16" s="133"/>
      <c r="Q16" s="133"/>
      <c r="R16" s="131"/>
      <c r="S16" s="134"/>
      <c r="T16" s="134"/>
    </row>
    <row r="17" ht="22.5" customHeight="1">
      <c r="A17" s="131"/>
      <c r="B17" s="131"/>
      <c r="C17" s="131"/>
      <c r="D17" s="131"/>
      <c r="E17" s="132"/>
      <c r="F17" s="131"/>
      <c r="G17" s="36"/>
      <c r="H17" s="131"/>
      <c r="I17" s="133"/>
      <c r="J17" s="133"/>
      <c r="K17" s="133"/>
      <c r="L17" s="131"/>
      <c r="M17" s="131"/>
      <c r="N17" s="131"/>
      <c r="O17" s="133"/>
      <c r="P17" s="133"/>
      <c r="Q17" s="133"/>
      <c r="R17" s="131"/>
      <c r="S17" s="134"/>
      <c r="T17" s="134"/>
    </row>
    <row r="18" ht="22.5" customHeight="1">
      <c r="A18" s="131"/>
      <c r="B18" s="131"/>
      <c r="C18" s="131"/>
      <c r="D18" s="131"/>
      <c r="E18" s="132"/>
      <c r="F18" s="131"/>
      <c r="G18" s="36"/>
      <c r="H18" s="131"/>
      <c r="I18" s="133"/>
      <c r="J18" s="133"/>
      <c r="K18" s="133"/>
      <c r="L18" s="131"/>
      <c r="M18" s="131"/>
      <c r="N18" s="131"/>
      <c r="O18" s="133"/>
      <c r="P18" s="133"/>
      <c r="Q18" s="133"/>
      <c r="R18" s="131"/>
      <c r="S18" s="134"/>
      <c r="T18" s="134"/>
    </row>
    <row r="19" ht="22.5" customHeight="1">
      <c r="A19" s="131"/>
      <c r="B19" s="131"/>
      <c r="C19" s="131"/>
      <c r="D19" s="131"/>
      <c r="E19" s="132"/>
      <c r="F19" s="131"/>
      <c r="G19" s="36"/>
      <c r="H19" s="131"/>
      <c r="I19" s="133"/>
      <c r="J19" s="133"/>
      <c r="K19" s="133"/>
      <c r="L19" s="131"/>
      <c r="M19" s="131"/>
      <c r="N19" s="131"/>
      <c r="O19" s="133"/>
      <c r="P19" s="133"/>
      <c r="Q19" s="133"/>
      <c r="R19" s="131"/>
      <c r="S19" s="134"/>
      <c r="T19" s="134"/>
    </row>
    <row r="20" ht="22.5" customHeight="1">
      <c r="A20" s="131"/>
      <c r="B20" s="131"/>
      <c r="C20" s="131"/>
      <c r="D20" s="131"/>
      <c r="E20" s="132"/>
      <c r="F20" s="131"/>
      <c r="G20" s="36"/>
      <c r="H20" s="131"/>
      <c r="I20" s="133"/>
      <c r="J20" s="133"/>
      <c r="K20" s="133"/>
      <c r="L20" s="131"/>
      <c r="M20" s="131"/>
      <c r="N20" s="131"/>
      <c r="O20" s="133"/>
      <c r="P20" s="133"/>
      <c r="Q20" s="133"/>
      <c r="R20" s="131"/>
      <c r="S20" s="134"/>
      <c r="T20" s="134"/>
    </row>
    <row r="21" ht="22.5" customHeight="1">
      <c r="A21" s="131"/>
      <c r="B21" s="131"/>
      <c r="C21" s="131"/>
      <c r="D21" s="131"/>
      <c r="E21" s="132"/>
      <c r="F21" s="131"/>
      <c r="G21" s="36"/>
      <c r="H21" s="131"/>
      <c r="I21" s="133"/>
      <c r="J21" s="133"/>
      <c r="K21" s="133"/>
      <c r="L21" s="131"/>
      <c r="M21" s="131"/>
      <c r="N21" s="131"/>
      <c r="O21" s="133"/>
      <c r="P21" s="133"/>
      <c r="Q21" s="133"/>
      <c r="R21" s="131"/>
      <c r="S21" s="134"/>
      <c r="T21" s="134"/>
    </row>
    <row r="22" ht="22.5" customHeight="1">
      <c r="A22" s="131"/>
      <c r="B22" s="131"/>
      <c r="C22" s="131"/>
      <c r="D22" s="131"/>
      <c r="E22" s="132"/>
      <c r="F22" s="131"/>
      <c r="G22" s="36"/>
      <c r="H22" s="131"/>
      <c r="I22" s="133"/>
      <c r="J22" s="133"/>
      <c r="K22" s="133"/>
      <c r="L22" s="131"/>
      <c r="M22" s="131"/>
      <c r="N22" s="131"/>
      <c r="O22" s="133"/>
      <c r="P22" s="133"/>
      <c r="Q22" s="133"/>
      <c r="R22" s="131"/>
      <c r="S22" s="134"/>
      <c r="T22" s="134"/>
    </row>
    <row r="23" ht="22.5" customHeight="1">
      <c r="A23" s="131"/>
      <c r="B23" s="131"/>
      <c r="C23" s="131"/>
      <c r="D23" s="131"/>
      <c r="E23" s="132"/>
      <c r="F23" s="131"/>
      <c r="G23" s="36"/>
      <c r="H23" s="131"/>
      <c r="I23" s="133"/>
      <c r="J23" s="133"/>
      <c r="K23" s="133"/>
      <c r="L23" s="131"/>
      <c r="M23" s="131"/>
      <c r="N23" s="131"/>
      <c r="O23" s="133"/>
      <c r="P23" s="133"/>
      <c r="Q23" s="133"/>
      <c r="R23" s="131"/>
      <c r="S23" s="134"/>
      <c r="T23" s="134"/>
    </row>
    <row r="24" ht="22.5" customHeight="1">
      <c r="A24" s="131"/>
      <c r="B24" s="131"/>
      <c r="C24" s="131"/>
      <c r="D24" s="131"/>
      <c r="E24" s="132"/>
      <c r="F24" s="131"/>
      <c r="G24" s="36"/>
      <c r="H24" s="131"/>
      <c r="I24" s="133"/>
      <c r="J24" s="133"/>
      <c r="K24" s="133"/>
      <c r="L24" s="131"/>
      <c r="M24" s="131"/>
      <c r="N24" s="131"/>
      <c r="O24" s="133"/>
      <c r="P24" s="133"/>
      <c r="Q24" s="133"/>
      <c r="R24" s="131"/>
      <c r="S24" s="134"/>
      <c r="T24" s="134"/>
    </row>
    <row r="25" ht="22.5" customHeight="1">
      <c r="A25" s="131"/>
      <c r="B25" s="131"/>
      <c r="C25" s="131"/>
      <c r="D25" s="131"/>
      <c r="E25" s="132"/>
      <c r="F25" s="131"/>
      <c r="G25" s="36"/>
      <c r="H25" s="131"/>
      <c r="I25" s="133"/>
      <c r="J25" s="133"/>
      <c r="K25" s="133"/>
      <c r="L25" s="131"/>
      <c r="M25" s="131"/>
      <c r="N25" s="131"/>
      <c r="O25" s="133"/>
      <c r="P25" s="133"/>
      <c r="Q25" s="133"/>
      <c r="R25" s="131"/>
      <c r="S25" s="134"/>
      <c r="T25" s="134"/>
    </row>
    <row r="26" ht="22.5" customHeight="1">
      <c r="A26" s="131"/>
      <c r="B26" s="131"/>
      <c r="C26" s="131"/>
      <c r="D26" s="131"/>
      <c r="E26" s="132"/>
      <c r="F26" s="131"/>
      <c r="G26" s="36"/>
      <c r="H26" s="131"/>
      <c r="I26" s="133"/>
      <c r="J26" s="133"/>
      <c r="K26" s="133"/>
      <c r="L26" s="131"/>
      <c r="M26" s="131"/>
      <c r="N26" s="131"/>
      <c r="O26" s="133"/>
      <c r="P26" s="133"/>
      <c r="Q26" s="133"/>
      <c r="R26" s="131"/>
      <c r="S26" s="134"/>
      <c r="T26" s="134"/>
    </row>
    <row r="27" ht="22.5" customHeight="1">
      <c r="A27" s="131"/>
      <c r="B27" s="131"/>
      <c r="C27" s="131"/>
      <c r="D27" s="131"/>
      <c r="E27" s="132"/>
      <c r="F27" s="131"/>
      <c r="G27" s="36"/>
      <c r="H27" s="131"/>
      <c r="I27" s="133"/>
      <c r="J27" s="133"/>
      <c r="K27" s="133"/>
      <c r="L27" s="131"/>
      <c r="M27" s="131"/>
      <c r="N27" s="131"/>
      <c r="O27" s="133"/>
      <c r="P27" s="133"/>
      <c r="Q27" s="133"/>
      <c r="R27" s="131"/>
      <c r="S27" s="134"/>
      <c r="T27" s="134"/>
    </row>
    <row r="28" ht="22.5" customHeight="1">
      <c r="A28" s="131"/>
      <c r="B28" s="131"/>
      <c r="C28" s="131"/>
      <c r="D28" s="131"/>
      <c r="E28" s="132"/>
      <c r="F28" s="131"/>
      <c r="G28" s="36"/>
      <c r="H28" s="131"/>
      <c r="I28" s="133"/>
      <c r="J28" s="133"/>
      <c r="K28" s="133"/>
      <c r="L28" s="131"/>
      <c r="M28" s="131"/>
      <c r="N28" s="131"/>
      <c r="O28" s="133"/>
      <c r="P28" s="133"/>
      <c r="Q28" s="133"/>
      <c r="R28" s="131"/>
      <c r="S28" s="134"/>
      <c r="T28" s="134"/>
    </row>
    <row r="29" ht="22.5" customHeight="1">
      <c r="A29" s="131"/>
      <c r="B29" s="131"/>
      <c r="C29" s="131"/>
      <c r="D29" s="131"/>
      <c r="E29" s="132"/>
      <c r="F29" s="131"/>
      <c r="G29" s="36"/>
      <c r="H29" s="131"/>
      <c r="I29" s="133"/>
      <c r="J29" s="133"/>
      <c r="K29" s="133"/>
      <c r="L29" s="131"/>
      <c r="M29" s="131"/>
      <c r="N29" s="131"/>
      <c r="O29" s="133"/>
      <c r="P29" s="133"/>
      <c r="Q29" s="133"/>
      <c r="R29" s="131"/>
      <c r="S29" s="134"/>
      <c r="T29" s="134"/>
    </row>
    <row r="30" ht="22.5" customHeight="1">
      <c r="A30" s="131"/>
      <c r="B30" s="131"/>
      <c r="C30" s="131"/>
      <c r="D30" s="131"/>
      <c r="E30" s="132"/>
      <c r="F30" s="131"/>
      <c r="G30" s="36"/>
      <c r="H30" s="131"/>
      <c r="I30" s="133"/>
      <c r="J30" s="133"/>
      <c r="K30" s="133"/>
      <c r="L30" s="131"/>
      <c r="M30" s="131"/>
      <c r="N30" s="131"/>
      <c r="O30" s="133"/>
      <c r="P30" s="133"/>
      <c r="Q30" s="133"/>
      <c r="R30" s="131"/>
      <c r="S30" s="134"/>
      <c r="T30" s="134"/>
    </row>
    <row r="31" ht="22.5" customHeight="1">
      <c r="A31" s="131"/>
      <c r="B31" s="131"/>
      <c r="C31" s="131"/>
      <c r="D31" s="131"/>
      <c r="E31" s="132"/>
      <c r="F31" s="131"/>
      <c r="G31" s="36"/>
      <c r="H31" s="131"/>
      <c r="I31" s="133"/>
      <c r="J31" s="133"/>
      <c r="K31" s="133"/>
      <c r="L31" s="131"/>
      <c r="M31" s="131"/>
      <c r="N31" s="131"/>
      <c r="O31" s="133"/>
      <c r="P31" s="133"/>
      <c r="Q31" s="133"/>
      <c r="R31" s="131"/>
      <c r="S31" s="134"/>
      <c r="T31" s="134"/>
    </row>
    <row r="32" ht="22.5" customHeight="1">
      <c r="A32" s="131"/>
      <c r="B32" s="131"/>
      <c r="C32" s="131"/>
      <c r="D32" s="131"/>
      <c r="E32" s="132"/>
      <c r="F32" s="131"/>
      <c r="G32" s="36"/>
      <c r="H32" s="131"/>
      <c r="I32" s="133"/>
      <c r="J32" s="133"/>
      <c r="K32" s="133"/>
      <c r="L32" s="131"/>
      <c r="M32" s="131"/>
      <c r="N32" s="131"/>
      <c r="O32" s="133"/>
      <c r="P32" s="133"/>
      <c r="Q32" s="133"/>
      <c r="R32" s="131"/>
      <c r="S32" s="134"/>
      <c r="T32" s="134"/>
    </row>
    <row r="33" ht="22.5" customHeight="1">
      <c r="A33" s="131"/>
      <c r="B33" s="131"/>
      <c r="C33" s="131"/>
      <c r="D33" s="131"/>
      <c r="E33" s="132"/>
      <c r="F33" s="131"/>
      <c r="G33" s="36"/>
      <c r="H33" s="131"/>
      <c r="I33" s="133"/>
      <c r="J33" s="133"/>
      <c r="K33" s="133"/>
      <c r="L33" s="131"/>
      <c r="M33" s="131"/>
      <c r="N33" s="131"/>
      <c r="O33" s="133"/>
      <c r="P33" s="133"/>
      <c r="Q33" s="133"/>
      <c r="R33" s="131"/>
      <c r="S33" s="134"/>
      <c r="T33" s="134"/>
    </row>
    <row r="34" ht="22.5" customHeight="1">
      <c r="A34" s="131"/>
      <c r="B34" s="131"/>
      <c r="C34" s="131"/>
      <c r="D34" s="131"/>
      <c r="E34" s="132"/>
      <c r="F34" s="131"/>
      <c r="G34" s="36"/>
      <c r="H34" s="131"/>
      <c r="I34" s="133"/>
      <c r="J34" s="133"/>
      <c r="K34" s="133"/>
      <c r="L34" s="131"/>
      <c r="M34" s="131"/>
      <c r="N34" s="131"/>
      <c r="O34" s="133"/>
      <c r="P34" s="133"/>
      <c r="Q34" s="133"/>
      <c r="R34" s="131"/>
      <c r="S34" s="134"/>
      <c r="T34" s="134"/>
    </row>
    <row r="35" ht="22.5" customHeight="1">
      <c r="A35" s="131"/>
      <c r="B35" s="131"/>
      <c r="C35" s="131"/>
      <c r="D35" s="131"/>
      <c r="E35" s="132"/>
      <c r="F35" s="131"/>
      <c r="G35" s="36"/>
      <c r="H35" s="131"/>
      <c r="I35" s="133"/>
      <c r="J35" s="133"/>
      <c r="K35" s="133"/>
      <c r="L35" s="131"/>
      <c r="M35" s="131"/>
      <c r="N35" s="131"/>
      <c r="O35" s="133"/>
      <c r="P35" s="133"/>
      <c r="Q35" s="133"/>
      <c r="R35" s="131"/>
      <c r="S35" s="134"/>
      <c r="T35" s="134"/>
    </row>
    <row r="36" ht="22.5" customHeight="1">
      <c r="A36" s="131"/>
      <c r="B36" s="131"/>
      <c r="C36" s="131"/>
      <c r="D36" s="131"/>
      <c r="E36" s="132"/>
      <c r="F36" s="131"/>
      <c r="G36" s="36"/>
      <c r="H36" s="131"/>
      <c r="I36" s="133"/>
      <c r="J36" s="133"/>
      <c r="K36" s="133"/>
      <c r="L36" s="131"/>
      <c r="M36" s="131"/>
      <c r="N36" s="131"/>
      <c r="O36" s="133"/>
      <c r="P36" s="133"/>
      <c r="Q36" s="133"/>
      <c r="R36" s="131"/>
      <c r="S36" s="134"/>
      <c r="T36" s="134"/>
    </row>
    <row r="37" ht="22.5" customHeight="1">
      <c r="A37" s="131"/>
      <c r="B37" s="131"/>
      <c r="C37" s="131"/>
      <c r="D37" s="131"/>
      <c r="E37" s="132"/>
      <c r="F37" s="131"/>
      <c r="G37" s="36"/>
      <c r="H37" s="131"/>
      <c r="I37" s="133"/>
      <c r="J37" s="133"/>
      <c r="K37" s="133"/>
      <c r="L37" s="131"/>
      <c r="M37" s="131"/>
      <c r="N37" s="131"/>
      <c r="O37" s="133"/>
      <c r="P37" s="133"/>
      <c r="Q37" s="133"/>
      <c r="R37" s="131"/>
      <c r="S37" s="134"/>
      <c r="T37" s="134"/>
    </row>
    <row r="38" ht="22.5" customHeight="1">
      <c r="A38" s="131"/>
      <c r="B38" s="131"/>
      <c r="C38" s="131"/>
      <c r="D38" s="131"/>
      <c r="E38" s="132"/>
      <c r="F38" s="131"/>
      <c r="G38" s="36"/>
      <c r="H38" s="131"/>
      <c r="I38" s="133"/>
      <c r="J38" s="133"/>
      <c r="K38" s="133"/>
      <c r="L38" s="131"/>
      <c r="M38" s="131"/>
      <c r="N38" s="131"/>
      <c r="O38" s="133"/>
      <c r="P38" s="133"/>
      <c r="Q38" s="133"/>
      <c r="R38" s="131"/>
      <c r="S38" s="134"/>
      <c r="T38" s="134"/>
    </row>
    <row r="39" ht="22.5" customHeight="1">
      <c r="A39" s="131"/>
      <c r="B39" s="131"/>
      <c r="C39" s="131"/>
      <c r="D39" s="131"/>
      <c r="E39" s="132"/>
      <c r="F39" s="131"/>
      <c r="G39" s="36"/>
      <c r="H39" s="131"/>
      <c r="I39" s="133"/>
      <c r="J39" s="133"/>
      <c r="K39" s="133"/>
      <c r="L39" s="131"/>
      <c r="M39" s="131"/>
      <c r="N39" s="131"/>
      <c r="O39" s="133"/>
      <c r="P39" s="133"/>
      <c r="Q39" s="133"/>
      <c r="R39" s="131"/>
      <c r="S39" s="134"/>
      <c r="T39" s="134"/>
    </row>
    <row r="40" ht="22.5" customHeight="1">
      <c r="A40" s="131"/>
      <c r="B40" s="131"/>
      <c r="C40" s="131"/>
      <c r="D40" s="131"/>
      <c r="E40" s="132"/>
      <c r="F40" s="131"/>
      <c r="G40" s="36"/>
      <c r="H40" s="131"/>
      <c r="I40" s="133"/>
      <c r="J40" s="133"/>
      <c r="K40" s="133"/>
      <c r="L40" s="131"/>
      <c r="M40" s="131"/>
      <c r="N40" s="131"/>
      <c r="O40" s="133"/>
      <c r="P40" s="133"/>
      <c r="Q40" s="133"/>
      <c r="R40" s="131"/>
      <c r="S40" s="134"/>
      <c r="T40" s="134"/>
    </row>
    <row r="41" ht="22.5" customHeight="1">
      <c r="A41" s="131"/>
      <c r="B41" s="131"/>
      <c r="C41" s="131"/>
      <c r="D41" s="131"/>
      <c r="E41" s="132"/>
      <c r="F41" s="131"/>
      <c r="G41" s="36"/>
      <c r="H41" s="131"/>
      <c r="I41" s="133"/>
      <c r="J41" s="133"/>
      <c r="K41" s="133"/>
      <c r="L41" s="131"/>
      <c r="M41" s="131"/>
      <c r="N41" s="131"/>
      <c r="O41" s="133"/>
      <c r="P41" s="133"/>
      <c r="Q41" s="133"/>
      <c r="R41" s="131"/>
      <c r="S41" s="134"/>
      <c r="T41" s="134"/>
    </row>
    <row r="42" ht="22.5" customHeight="1">
      <c r="A42" s="131"/>
      <c r="B42" s="131"/>
      <c r="C42" s="131"/>
      <c r="D42" s="131"/>
      <c r="E42" s="132"/>
      <c r="F42" s="131"/>
      <c r="G42" s="36"/>
      <c r="H42" s="131"/>
      <c r="I42" s="133"/>
      <c r="J42" s="133"/>
      <c r="K42" s="133"/>
      <c r="L42" s="131"/>
      <c r="M42" s="131"/>
      <c r="N42" s="131"/>
      <c r="O42" s="133"/>
      <c r="P42" s="133"/>
      <c r="Q42" s="133"/>
      <c r="R42" s="131"/>
      <c r="S42" s="134"/>
      <c r="T42" s="134"/>
    </row>
    <row r="43" ht="22.5" customHeight="1">
      <c r="A43" s="131"/>
      <c r="B43" s="131"/>
      <c r="C43" s="131"/>
      <c r="D43" s="131"/>
      <c r="E43" s="132"/>
      <c r="F43" s="131"/>
      <c r="G43" s="36"/>
      <c r="H43" s="131"/>
      <c r="I43" s="133"/>
      <c r="J43" s="133"/>
      <c r="K43" s="133"/>
      <c r="L43" s="131"/>
      <c r="M43" s="131"/>
      <c r="N43" s="131"/>
      <c r="O43" s="133"/>
      <c r="P43" s="133"/>
      <c r="Q43" s="133"/>
      <c r="R43" s="131"/>
      <c r="S43" s="134"/>
      <c r="T43" s="134"/>
    </row>
    <row r="44" ht="22.5" customHeight="1">
      <c r="A44" s="131"/>
      <c r="B44" s="131"/>
      <c r="C44" s="131"/>
      <c r="D44" s="131"/>
      <c r="E44" s="132"/>
      <c r="F44" s="131"/>
      <c r="G44" s="36"/>
      <c r="H44" s="131"/>
      <c r="I44" s="133"/>
      <c r="J44" s="133"/>
      <c r="K44" s="133"/>
      <c r="L44" s="131"/>
      <c r="M44" s="131"/>
      <c r="N44" s="131"/>
      <c r="O44" s="133"/>
      <c r="P44" s="133"/>
      <c r="Q44" s="133"/>
      <c r="R44" s="131"/>
      <c r="S44" s="134"/>
      <c r="T44" s="134"/>
    </row>
    <row r="45" ht="22.5" customHeight="1">
      <c r="A45" s="131"/>
      <c r="B45" s="131"/>
      <c r="C45" s="131"/>
      <c r="D45" s="131"/>
      <c r="E45" s="132"/>
      <c r="F45" s="131"/>
      <c r="G45" s="36"/>
      <c r="H45" s="131"/>
      <c r="I45" s="133"/>
      <c r="J45" s="133"/>
      <c r="K45" s="133"/>
      <c r="L45" s="131"/>
      <c r="M45" s="131"/>
      <c r="N45" s="131"/>
      <c r="O45" s="133"/>
      <c r="P45" s="133"/>
      <c r="Q45" s="133"/>
      <c r="R45" s="131"/>
      <c r="S45" s="134"/>
      <c r="T45" s="134"/>
    </row>
    <row r="46" ht="22.5" customHeight="1">
      <c r="A46" s="131"/>
      <c r="B46" s="131"/>
      <c r="C46" s="131"/>
      <c r="D46" s="131"/>
      <c r="E46" s="132"/>
      <c r="F46" s="131"/>
      <c r="G46" s="36"/>
      <c r="H46" s="131"/>
      <c r="I46" s="133"/>
      <c r="J46" s="133"/>
      <c r="K46" s="133"/>
      <c r="L46" s="131"/>
      <c r="M46" s="131"/>
      <c r="N46" s="131"/>
      <c r="O46" s="133"/>
      <c r="P46" s="133"/>
      <c r="Q46" s="133"/>
      <c r="R46" s="131"/>
      <c r="S46" s="134"/>
      <c r="T46" s="134"/>
    </row>
    <row r="47" ht="22.5" customHeight="1">
      <c r="A47" s="131"/>
      <c r="B47" s="131"/>
      <c r="C47" s="131"/>
      <c r="D47" s="131"/>
      <c r="E47" s="132"/>
      <c r="F47" s="131"/>
      <c r="G47" s="36"/>
      <c r="H47" s="131"/>
      <c r="I47" s="133"/>
      <c r="J47" s="133"/>
      <c r="K47" s="133"/>
      <c r="L47" s="131"/>
      <c r="M47" s="131"/>
      <c r="N47" s="131"/>
      <c r="O47" s="133"/>
      <c r="P47" s="133"/>
      <c r="Q47" s="133"/>
      <c r="R47" s="131"/>
      <c r="S47" s="134"/>
      <c r="T47" s="134"/>
    </row>
    <row r="48" ht="22.5" customHeight="1">
      <c r="A48" s="131"/>
      <c r="B48" s="131"/>
      <c r="C48" s="131"/>
      <c r="D48" s="131"/>
      <c r="E48" s="132"/>
      <c r="F48" s="131"/>
      <c r="G48" s="36"/>
      <c r="H48" s="131"/>
      <c r="I48" s="133"/>
      <c r="J48" s="133"/>
      <c r="K48" s="133"/>
      <c r="L48" s="131"/>
      <c r="M48" s="131"/>
      <c r="N48" s="131"/>
      <c r="O48" s="133"/>
      <c r="P48" s="133"/>
      <c r="Q48" s="133"/>
      <c r="R48" s="131"/>
      <c r="S48" s="134"/>
      <c r="T48" s="134"/>
    </row>
    <row r="49" ht="22.5" customHeight="1">
      <c r="A49" s="131"/>
      <c r="B49" s="131"/>
      <c r="C49" s="131"/>
      <c r="D49" s="131"/>
      <c r="E49" s="132"/>
      <c r="F49" s="131"/>
      <c r="G49" s="36"/>
      <c r="H49" s="131"/>
      <c r="I49" s="133"/>
      <c r="J49" s="133"/>
      <c r="K49" s="133"/>
      <c r="L49" s="131"/>
      <c r="M49" s="131"/>
      <c r="N49" s="131"/>
      <c r="O49" s="133"/>
      <c r="P49" s="133"/>
      <c r="Q49" s="133"/>
      <c r="R49" s="131"/>
      <c r="S49" s="134"/>
      <c r="T49" s="134"/>
    </row>
    <row r="50" ht="22.5" customHeight="1">
      <c r="A50" s="131"/>
      <c r="B50" s="131"/>
      <c r="C50" s="131"/>
      <c r="D50" s="131"/>
      <c r="E50" s="132"/>
      <c r="F50" s="131"/>
      <c r="G50" s="36"/>
      <c r="H50" s="131"/>
      <c r="I50" s="133"/>
      <c r="J50" s="133"/>
      <c r="K50" s="133"/>
      <c r="L50" s="131"/>
      <c r="M50" s="131"/>
      <c r="N50" s="131"/>
      <c r="O50" s="133"/>
      <c r="P50" s="133"/>
      <c r="Q50" s="133"/>
      <c r="R50" s="131"/>
      <c r="S50" s="134"/>
      <c r="T50" s="134"/>
    </row>
    <row r="51" ht="22.5" customHeight="1">
      <c r="A51" s="131"/>
      <c r="B51" s="131"/>
      <c r="C51" s="131"/>
      <c r="D51" s="131"/>
      <c r="E51" s="132"/>
      <c r="F51" s="131"/>
      <c r="G51" s="36"/>
      <c r="H51" s="131"/>
      <c r="I51" s="133"/>
      <c r="J51" s="133"/>
      <c r="K51" s="133"/>
      <c r="L51" s="131"/>
      <c r="M51" s="131"/>
      <c r="N51" s="131"/>
      <c r="O51" s="133"/>
      <c r="P51" s="133"/>
      <c r="Q51" s="133"/>
      <c r="R51" s="131"/>
      <c r="S51" s="134"/>
      <c r="T51" s="134"/>
    </row>
    <row r="52" ht="22.5" customHeight="1">
      <c r="A52" s="131"/>
      <c r="B52" s="131"/>
      <c r="C52" s="131"/>
      <c r="D52" s="131"/>
      <c r="E52" s="132"/>
      <c r="F52" s="131"/>
      <c r="G52" s="36"/>
      <c r="H52" s="131"/>
      <c r="I52" s="133"/>
      <c r="J52" s="133"/>
      <c r="K52" s="133"/>
      <c r="L52" s="131"/>
      <c r="M52" s="131"/>
      <c r="N52" s="131"/>
      <c r="O52" s="133"/>
      <c r="P52" s="133"/>
      <c r="Q52" s="133"/>
      <c r="R52" s="131"/>
      <c r="S52" s="134"/>
      <c r="T52" s="134"/>
    </row>
    <row r="53" ht="22.5" customHeight="1">
      <c r="A53" s="131"/>
      <c r="B53" s="131"/>
      <c r="C53" s="131"/>
      <c r="D53" s="131"/>
      <c r="E53" s="132"/>
      <c r="F53" s="131"/>
      <c r="G53" s="36"/>
      <c r="H53" s="131"/>
      <c r="I53" s="133"/>
      <c r="J53" s="133"/>
      <c r="K53" s="133"/>
      <c r="L53" s="131"/>
      <c r="M53" s="131"/>
      <c r="N53" s="131"/>
      <c r="O53" s="133"/>
      <c r="P53" s="133"/>
      <c r="Q53" s="133"/>
      <c r="R53" s="131"/>
      <c r="S53" s="134"/>
      <c r="T53" s="134"/>
    </row>
    <row r="54" ht="22.5" customHeight="1">
      <c r="A54" s="131"/>
      <c r="B54" s="131"/>
      <c r="C54" s="131"/>
      <c r="D54" s="131"/>
      <c r="E54" s="132"/>
      <c r="F54" s="131"/>
      <c r="G54" s="36"/>
      <c r="H54" s="131"/>
      <c r="I54" s="133"/>
      <c r="J54" s="133"/>
      <c r="K54" s="133"/>
      <c r="L54" s="131"/>
      <c r="M54" s="131"/>
      <c r="N54" s="131"/>
      <c r="O54" s="133"/>
      <c r="P54" s="133"/>
      <c r="Q54" s="133"/>
      <c r="R54" s="131"/>
      <c r="S54" s="134"/>
      <c r="T54" s="134"/>
    </row>
    <row r="55" ht="22.5" customHeight="1">
      <c r="A55" s="131"/>
      <c r="B55" s="131"/>
      <c r="C55" s="131"/>
      <c r="D55" s="131"/>
      <c r="E55" s="132"/>
      <c r="F55" s="131"/>
      <c r="G55" s="36"/>
      <c r="H55" s="131"/>
      <c r="I55" s="133"/>
      <c r="J55" s="133"/>
      <c r="K55" s="133"/>
      <c r="L55" s="131"/>
      <c r="M55" s="131"/>
      <c r="N55" s="131"/>
      <c r="O55" s="133"/>
      <c r="P55" s="133"/>
      <c r="Q55" s="133"/>
      <c r="R55" s="131"/>
      <c r="S55" s="134"/>
      <c r="T55" s="134"/>
    </row>
    <row r="56" ht="22.5" customHeight="1">
      <c r="A56" s="131"/>
      <c r="B56" s="131"/>
      <c r="C56" s="131"/>
      <c r="D56" s="131"/>
      <c r="E56" s="132"/>
      <c r="F56" s="131"/>
      <c r="G56" s="36"/>
      <c r="H56" s="131"/>
      <c r="I56" s="133"/>
      <c r="J56" s="133"/>
      <c r="K56" s="133"/>
      <c r="L56" s="131"/>
      <c r="M56" s="131"/>
      <c r="N56" s="131"/>
      <c r="O56" s="133"/>
      <c r="P56" s="133"/>
      <c r="Q56" s="133"/>
      <c r="R56" s="131"/>
      <c r="S56" s="134"/>
      <c r="T56" s="134"/>
    </row>
    <row r="57" ht="22.5" customHeight="1">
      <c r="A57" s="131"/>
      <c r="B57" s="131"/>
      <c r="C57" s="131"/>
      <c r="D57" s="131"/>
      <c r="E57" s="132"/>
      <c r="F57" s="131"/>
      <c r="G57" s="36"/>
      <c r="H57" s="131"/>
      <c r="I57" s="133"/>
      <c r="J57" s="133"/>
      <c r="K57" s="133"/>
      <c r="L57" s="131"/>
      <c r="M57" s="131"/>
      <c r="N57" s="131"/>
      <c r="O57" s="133"/>
      <c r="P57" s="133"/>
      <c r="Q57" s="133"/>
      <c r="R57" s="131"/>
      <c r="S57" s="134"/>
      <c r="T57" s="134"/>
    </row>
    <row r="58" ht="22.5" customHeight="1">
      <c r="A58" s="131"/>
      <c r="B58" s="131"/>
      <c r="C58" s="131"/>
      <c r="D58" s="131"/>
      <c r="E58" s="132"/>
      <c r="F58" s="131"/>
      <c r="G58" s="36"/>
      <c r="H58" s="131"/>
      <c r="I58" s="133"/>
      <c r="J58" s="133"/>
      <c r="K58" s="133"/>
      <c r="L58" s="131"/>
      <c r="M58" s="131"/>
      <c r="N58" s="131"/>
      <c r="O58" s="133"/>
      <c r="P58" s="133"/>
      <c r="Q58" s="133"/>
      <c r="R58" s="131"/>
      <c r="S58" s="134"/>
      <c r="T58" s="134"/>
    </row>
    <row r="59" ht="22.5" customHeight="1">
      <c r="A59" s="131"/>
      <c r="B59" s="131"/>
      <c r="C59" s="131"/>
      <c r="D59" s="131"/>
      <c r="E59" s="132"/>
      <c r="F59" s="131"/>
      <c r="G59" s="36"/>
      <c r="H59" s="131"/>
      <c r="I59" s="133"/>
      <c r="J59" s="133"/>
      <c r="K59" s="133"/>
      <c r="L59" s="131"/>
      <c r="M59" s="131"/>
      <c r="N59" s="131"/>
      <c r="O59" s="133"/>
      <c r="P59" s="133"/>
      <c r="Q59" s="133"/>
      <c r="R59" s="131"/>
      <c r="S59" s="134"/>
      <c r="T59" s="134"/>
    </row>
    <row r="60" ht="22.5" customHeight="1">
      <c r="A60" s="131"/>
      <c r="B60" s="131"/>
      <c r="C60" s="131"/>
      <c r="D60" s="131"/>
      <c r="E60" s="132"/>
      <c r="F60" s="131"/>
      <c r="G60" s="36"/>
      <c r="H60" s="131"/>
      <c r="I60" s="133"/>
      <c r="J60" s="133"/>
      <c r="K60" s="133"/>
      <c r="L60" s="131"/>
      <c r="M60" s="131"/>
      <c r="N60" s="131"/>
      <c r="O60" s="133"/>
      <c r="P60" s="133"/>
      <c r="Q60" s="133"/>
      <c r="R60" s="131"/>
      <c r="S60" s="134"/>
      <c r="T60" s="134"/>
    </row>
    <row r="61" ht="22.5" customHeight="1">
      <c r="A61" s="131"/>
      <c r="B61" s="131"/>
      <c r="C61" s="131"/>
      <c r="D61" s="131"/>
      <c r="E61" s="132"/>
      <c r="F61" s="131"/>
      <c r="G61" s="36"/>
      <c r="H61" s="131"/>
      <c r="I61" s="133"/>
      <c r="J61" s="133"/>
      <c r="K61" s="133"/>
      <c r="L61" s="131"/>
      <c r="M61" s="131"/>
      <c r="N61" s="131"/>
      <c r="O61" s="133"/>
      <c r="P61" s="133"/>
      <c r="Q61" s="133"/>
      <c r="R61" s="131"/>
      <c r="S61" s="134"/>
      <c r="T61" s="134"/>
    </row>
    <row r="62" ht="22.5" customHeight="1">
      <c r="A62" s="131"/>
      <c r="B62" s="131"/>
      <c r="C62" s="131"/>
      <c r="D62" s="131"/>
      <c r="E62" s="132"/>
      <c r="F62" s="131"/>
      <c r="G62" s="36"/>
      <c r="H62" s="131"/>
      <c r="I62" s="133"/>
      <c r="J62" s="133"/>
      <c r="K62" s="133"/>
      <c r="L62" s="131"/>
      <c r="M62" s="131"/>
      <c r="N62" s="131"/>
      <c r="O62" s="133"/>
      <c r="P62" s="133"/>
      <c r="Q62" s="133"/>
      <c r="R62" s="131"/>
      <c r="S62" s="134"/>
      <c r="T62" s="134"/>
    </row>
    <row r="63" ht="22.5" customHeight="1">
      <c r="A63" s="131"/>
      <c r="B63" s="131"/>
      <c r="C63" s="131"/>
      <c r="D63" s="131"/>
      <c r="E63" s="132"/>
      <c r="F63" s="131"/>
      <c r="G63" s="36"/>
      <c r="H63" s="131"/>
      <c r="I63" s="133"/>
      <c r="J63" s="133"/>
      <c r="K63" s="133"/>
      <c r="L63" s="131"/>
      <c r="M63" s="131"/>
      <c r="N63" s="131"/>
      <c r="O63" s="133"/>
      <c r="P63" s="133"/>
      <c r="Q63" s="133"/>
      <c r="R63" s="131"/>
      <c r="S63" s="134"/>
      <c r="T63" s="134"/>
    </row>
    <row r="64" ht="22.5" customHeight="1">
      <c r="A64" s="131"/>
      <c r="B64" s="131"/>
      <c r="C64" s="131"/>
      <c r="D64" s="131"/>
      <c r="E64" s="132"/>
      <c r="F64" s="131"/>
      <c r="G64" s="36"/>
      <c r="H64" s="131"/>
      <c r="I64" s="133"/>
      <c r="J64" s="133"/>
      <c r="K64" s="133"/>
      <c r="L64" s="131"/>
      <c r="M64" s="131"/>
      <c r="N64" s="131"/>
      <c r="O64" s="133"/>
      <c r="P64" s="133"/>
      <c r="Q64" s="133"/>
      <c r="R64" s="131"/>
      <c r="S64" s="134"/>
      <c r="T64" s="134"/>
    </row>
    <row r="65" ht="22.5" customHeight="1">
      <c r="A65" s="131"/>
      <c r="B65" s="131"/>
      <c r="C65" s="131"/>
      <c r="D65" s="131"/>
      <c r="E65" s="132"/>
      <c r="F65" s="131"/>
      <c r="G65" s="36"/>
      <c r="H65" s="131"/>
      <c r="I65" s="133"/>
      <c r="J65" s="133"/>
      <c r="K65" s="133"/>
      <c r="L65" s="131"/>
      <c r="M65" s="131"/>
      <c r="N65" s="131"/>
      <c r="O65" s="133"/>
      <c r="P65" s="133"/>
      <c r="Q65" s="133"/>
      <c r="R65" s="131"/>
      <c r="S65" s="134"/>
      <c r="T65" s="134"/>
    </row>
    <row r="66" ht="22.5" customHeight="1">
      <c r="A66" s="131"/>
      <c r="B66" s="131"/>
      <c r="C66" s="131"/>
      <c r="D66" s="131"/>
      <c r="E66" s="132"/>
      <c r="F66" s="131"/>
      <c r="G66" s="36"/>
      <c r="H66" s="131"/>
      <c r="I66" s="133"/>
      <c r="J66" s="133"/>
      <c r="K66" s="133"/>
      <c r="L66" s="131"/>
      <c r="M66" s="131"/>
      <c r="N66" s="131"/>
      <c r="O66" s="133"/>
      <c r="P66" s="133"/>
      <c r="Q66" s="133"/>
      <c r="R66" s="131"/>
      <c r="S66" s="134"/>
      <c r="T66" s="134"/>
    </row>
    <row r="67" ht="22.5" customHeight="1">
      <c r="A67" s="131"/>
      <c r="B67" s="131"/>
      <c r="C67" s="131"/>
      <c r="D67" s="131"/>
      <c r="E67" s="132"/>
      <c r="F67" s="131"/>
      <c r="G67" s="36"/>
      <c r="H67" s="131"/>
      <c r="I67" s="133"/>
      <c r="J67" s="133"/>
      <c r="K67" s="133"/>
      <c r="L67" s="131"/>
      <c r="M67" s="131"/>
      <c r="N67" s="131"/>
      <c r="O67" s="133"/>
      <c r="P67" s="133"/>
      <c r="Q67" s="133"/>
      <c r="R67" s="131"/>
      <c r="S67" s="134"/>
      <c r="T67" s="134"/>
    </row>
    <row r="68" ht="22.5" customHeight="1">
      <c r="A68" s="131"/>
      <c r="B68" s="131"/>
      <c r="C68" s="131"/>
      <c r="D68" s="131"/>
      <c r="E68" s="132"/>
      <c r="F68" s="131"/>
      <c r="G68" s="36"/>
      <c r="H68" s="131"/>
      <c r="I68" s="133"/>
      <c r="J68" s="133"/>
      <c r="K68" s="133"/>
      <c r="L68" s="131"/>
      <c r="M68" s="131"/>
      <c r="N68" s="131"/>
      <c r="O68" s="133"/>
      <c r="P68" s="133"/>
      <c r="Q68" s="133"/>
      <c r="R68" s="131"/>
      <c r="S68" s="134"/>
      <c r="T68" s="134"/>
    </row>
    <row r="69" ht="22.5" customHeight="1">
      <c r="A69" s="131"/>
      <c r="B69" s="131"/>
      <c r="C69" s="131"/>
      <c r="D69" s="131"/>
      <c r="E69" s="132"/>
      <c r="F69" s="131"/>
      <c r="G69" s="36"/>
      <c r="H69" s="131"/>
      <c r="I69" s="133"/>
      <c r="J69" s="133"/>
      <c r="K69" s="133"/>
      <c r="L69" s="131"/>
      <c r="M69" s="131"/>
      <c r="N69" s="131"/>
      <c r="O69" s="133"/>
      <c r="P69" s="133"/>
      <c r="Q69" s="133"/>
      <c r="R69" s="131"/>
      <c r="S69" s="134"/>
      <c r="T69" s="134"/>
    </row>
    <row r="70" ht="22.5" customHeight="1">
      <c r="A70" s="131"/>
      <c r="B70" s="131"/>
      <c r="C70" s="131"/>
      <c r="D70" s="131"/>
      <c r="E70" s="132"/>
      <c r="F70" s="131"/>
      <c r="G70" s="36"/>
      <c r="H70" s="131"/>
      <c r="I70" s="133"/>
      <c r="J70" s="133"/>
      <c r="K70" s="133"/>
      <c r="L70" s="131"/>
      <c r="M70" s="131"/>
      <c r="N70" s="131"/>
      <c r="O70" s="133"/>
      <c r="P70" s="133"/>
      <c r="Q70" s="133"/>
      <c r="R70" s="131"/>
      <c r="S70" s="134"/>
      <c r="T70" s="134"/>
    </row>
    <row r="71" ht="22.5" customHeight="1">
      <c r="A71" s="131"/>
      <c r="B71" s="131"/>
      <c r="C71" s="131"/>
      <c r="D71" s="131"/>
      <c r="E71" s="132"/>
      <c r="F71" s="131"/>
      <c r="G71" s="36"/>
      <c r="H71" s="131"/>
      <c r="I71" s="133"/>
      <c r="J71" s="133"/>
      <c r="K71" s="133"/>
      <c r="L71" s="131"/>
      <c r="M71" s="131"/>
      <c r="N71" s="131"/>
      <c r="O71" s="133"/>
      <c r="P71" s="133"/>
      <c r="Q71" s="133"/>
      <c r="R71" s="131"/>
      <c r="S71" s="134"/>
      <c r="T71" s="134"/>
    </row>
    <row r="72" ht="22.5" customHeight="1">
      <c r="A72" s="131"/>
      <c r="B72" s="131"/>
      <c r="C72" s="131"/>
      <c r="D72" s="131"/>
      <c r="E72" s="132"/>
      <c r="F72" s="131"/>
      <c r="G72" s="36"/>
      <c r="H72" s="131"/>
      <c r="I72" s="133"/>
      <c r="J72" s="133"/>
      <c r="K72" s="133"/>
      <c r="L72" s="131"/>
      <c r="M72" s="131"/>
      <c r="N72" s="131"/>
      <c r="O72" s="133"/>
      <c r="P72" s="133"/>
      <c r="Q72" s="133"/>
      <c r="R72" s="131"/>
      <c r="S72" s="134"/>
      <c r="T72" s="134"/>
    </row>
    <row r="73" ht="22.5" customHeight="1">
      <c r="A73" s="131"/>
      <c r="B73" s="131"/>
      <c r="C73" s="131"/>
      <c r="D73" s="131"/>
      <c r="E73" s="132"/>
      <c r="F73" s="131"/>
      <c r="G73" s="36"/>
      <c r="H73" s="131"/>
      <c r="I73" s="133"/>
      <c r="J73" s="133"/>
      <c r="K73" s="133"/>
      <c r="L73" s="131"/>
      <c r="M73" s="131"/>
      <c r="N73" s="131"/>
      <c r="O73" s="133"/>
      <c r="P73" s="133"/>
      <c r="Q73" s="133"/>
      <c r="R73" s="131"/>
      <c r="S73" s="134"/>
      <c r="T73" s="134"/>
    </row>
    <row r="74" ht="22.5" customHeight="1">
      <c r="A74" s="131"/>
      <c r="B74" s="131"/>
      <c r="C74" s="131"/>
      <c r="D74" s="131"/>
      <c r="E74" s="132"/>
      <c r="F74" s="131"/>
      <c r="G74" s="36"/>
      <c r="H74" s="131"/>
      <c r="I74" s="133"/>
      <c r="J74" s="133"/>
      <c r="K74" s="133"/>
      <c r="L74" s="131"/>
      <c r="M74" s="131"/>
      <c r="N74" s="131"/>
      <c r="O74" s="133"/>
      <c r="P74" s="133"/>
      <c r="Q74" s="133"/>
      <c r="R74" s="131"/>
      <c r="S74" s="134"/>
      <c r="T74" s="134"/>
    </row>
    <row r="75" ht="22.5" customHeight="1">
      <c r="A75" s="131"/>
      <c r="B75" s="131"/>
      <c r="C75" s="131"/>
      <c r="D75" s="131"/>
      <c r="E75" s="132"/>
      <c r="F75" s="131"/>
      <c r="G75" s="36"/>
      <c r="H75" s="131"/>
      <c r="I75" s="133"/>
      <c r="J75" s="133"/>
      <c r="K75" s="133"/>
      <c r="L75" s="131"/>
      <c r="M75" s="131"/>
      <c r="N75" s="131"/>
      <c r="O75" s="133"/>
      <c r="P75" s="133"/>
      <c r="Q75" s="133"/>
      <c r="R75" s="131"/>
      <c r="S75" s="134"/>
      <c r="T75" s="134"/>
    </row>
    <row r="76" ht="22.5" customHeight="1">
      <c r="A76" s="131"/>
      <c r="B76" s="131"/>
      <c r="C76" s="131"/>
      <c r="D76" s="131"/>
      <c r="E76" s="132"/>
      <c r="F76" s="131"/>
      <c r="G76" s="36"/>
      <c r="H76" s="131"/>
      <c r="I76" s="133"/>
      <c r="J76" s="133"/>
      <c r="K76" s="133"/>
      <c r="L76" s="131"/>
      <c r="M76" s="131"/>
      <c r="N76" s="131"/>
      <c r="O76" s="133"/>
      <c r="P76" s="133"/>
      <c r="Q76" s="133"/>
      <c r="R76" s="131"/>
      <c r="S76" s="134"/>
      <c r="T76" s="134"/>
    </row>
    <row r="77" ht="22.5" customHeight="1">
      <c r="A77" s="131"/>
      <c r="B77" s="131"/>
      <c r="C77" s="131"/>
      <c r="D77" s="131"/>
      <c r="E77" s="132"/>
      <c r="F77" s="131"/>
      <c r="G77" s="36"/>
      <c r="H77" s="131"/>
      <c r="I77" s="133"/>
      <c r="J77" s="133"/>
      <c r="K77" s="133"/>
      <c r="L77" s="131"/>
      <c r="M77" s="131"/>
      <c r="N77" s="131"/>
      <c r="O77" s="133"/>
      <c r="P77" s="133"/>
      <c r="Q77" s="133"/>
      <c r="R77" s="131"/>
      <c r="S77" s="134"/>
      <c r="T77" s="134"/>
    </row>
    <row r="78" ht="22.5" customHeight="1">
      <c r="A78" s="131"/>
      <c r="B78" s="131"/>
      <c r="C78" s="131"/>
      <c r="D78" s="131"/>
      <c r="E78" s="132"/>
      <c r="F78" s="131"/>
      <c r="G78" s="36"/>
      <c r="H78" s="131"/>
      <c r="I78" s="133"/>
      <c r="J78" s="133"/>
      <c r="K78" s="133"/>
      <c r="L78" s="131"/>
      <c r="M78" s="131"/>
      <c r="N78" s="131"/>
      <c r="O78" s="133"/>
      <c r="P78" s="133"/>
      <c r="Q78" s="133"/>
      <c r="R78" s="131"/>
      <c r="S78" s="134"/>
      <c r="T78" s="134"/>
    </row>
    <row r="79" ht="22.5" customHeight="1">
      <c r="A79" s="131"/>
      <c r="B79" s="131"/>
      <c r="C79" s="131"/>
      <c r="D79" s="131"/>
      <c r="E79" s="132"/>
      <c r="F79" s="131"/>
      <c r="G79" s="36"/>
      <c r="H79" s="131"/>
      <c r="I79" s="133"/>
      <c r="J79" s="133"/>
      <c r="K79" s="133"/>
      <c r="L79" s="131"/>
      <c r="M79" s="131"/>
      <c r="N79" s="131"/>
      <c r="O79" s="133"/>
      <c r="P79" s="133"/>
      <c r="Q79" s="133"/>
      <c r="R79" s="131"/>
      <c r="S79" s="134"/>
      <c r="T79" s="134"/>
    </row>
    <row r="80" ht="22.5" customHeight="1">
      <c r="A80" s="131"/>
      <c r="B80" s="131"/>
      <c r="C80" s="131"/>
      <c r="D80" s="131"/>
      <c r="E80" s="132"/>
      <c r="F80" s="131"/>
      <c r="G80" s="36"/>
      <c r="H80" s="131"/>
      <c r="I80" s="133"/>
      <c r="J80" s="133"/>
      <c r="K80" s="133"/>
      <c r="L80" s="131"/>
      <c r="M80" s="131"/>
      <c r="N80" s="131"/>
      <c r="O80" s="133"/>
      <c r="P80" s="133"/>
      <c r="Q80" s="133"/>
      <c r="R80" s="131"/>
      <c r="S80" s="134"/>
      <c r="T80" s="134"/>
    </row>
    <row r="81" ht="22.5" customHeight="1">
      <c r="A81" s="131"/>
      <c r="B81" s="131"/>
      <c r="C81" s="131"/>
      <c r="D81" s="131"/>
      <c r="E81" s="132"/>
      <c r="F81" s="131"/>
      <c r="G81" s="36"/>
      <c r="H81" s="131"/>
      <c r="I81" s="133"/>
      <c r="J81" s="133"/>
      <c r="K81" s="133"/>
      <c r="L81" s="131"/>
      <c r="M81" s="131"/>
      <c r="N81" s="131"/>
      <c r="O81" s="133"/>
      <c r="P81" s="133"/>
      <c r="Q81" s="133"/>
      <c r="R81" s="131"/>
      <c r="S81" s="134"/>
      <c r="T81" s="134"/>
    </row>
    <row r="82" ht="22.5" customHeight="1">
      <c r="A82" s="131"/>
      <c r="B82" s="131"/>
      <c r="C82" s="131"/>
      <c r="D82" s="131"/>
      <c r="E82" s="132"/>
      <c r="F82" s="131"/>
      <c r="G82" s="36"/>
      <c r="H82" s="131"/>
      <c r="I82" s="133"/>
      <c r="J82" s="133"/>
      <c r="K82" s="133"/>
      <c r="L82" s="131"/>
      <c r="M82" s="131"/>
      <c r="N82" s="131"/>
      <c r="O82" s="133"/>
      <c r="P82" s="133"/>
      <c r="Q82" s="133"/>
      <c r="R82" s="131"/>
      <c r="S82" s="134"/>
      <c r="T82" s="134"/>
    </row>
    <row r="83" ht="22.5" customHeight="1">
      <c r="A83" s="131"/>
      <c r="B83" s="131"/>
      <c r="C83" s="131"/>
      <c r="D83" s="131"/>
      <c r="E83" s="132"/>
      <c r="F83" s="131"/>
      <c r="G83" s="36"/>
      <c r="H83" s="131"/>
      <c r="I83" s="133"/>
      <c r="J83" s="133"/>
      <c r="K83" s="133"/>
      <c r="L83" s="131"/>
      <c r="M83" s="131"/>
      <c r="N83" s="131"/>
      <c r="O83" s="133"/>
      <c r="P83" s="133"/>
      <c r="Q83" s="133"/>
      <c r="R83" s="131"/>
      <c r="S83" s="134"/>
      <c r="T83" s="134"/>
    </row>
    <row r="84" ht="22.5" customHeight="1">
      <c r="A84" s="131"/>
      <c r="B84" s="131"/>
      <c r="C84" s="131"/>
      <c r="D84" s="131"/>
      <c r="E84" s="132"/>
      <c r="F84" s="131"/>
      <c r="G84" s="36"/>
      <c r="H84" s="131"/>
      <c r="I84" s="133"/>
      <c r="J84" s="133"/>
      <c r="K84" s="133"/>
      <c r="L84" s="131"/>
      <c r="M84" s="131"/>
      <c r="N84" s="131"/>
      <c r="O84" s="133"/>
      <c r="P84" s="133"/>
      <c r="Q84" s="133"/>
      <c r="R84" s="131"/>
      <c r="S84" s="134"/>
      <c r="T84" s="134"/>
    </row>
    <row r="85" ht="22.5" customHeight="1">
      <c r="A85" s="131"/>
      <c r="B85" s="131"/>
      <c r="C85" s="131"/>
      <c r="D85" s="131"/>
      <c r="E85" s="132"/>
      <c r="F85" s="131"/>
      <c r="G85" s="36"/>
      <c r="H85" s="131"/>
      <c r="I85" s="133"/>
      <c r="J85" s="133"/>
      <c r="K85" s="133"/>
      <c r="L85" s="131"/>
      <c r="M85" s="131"/>
      <c r="N85" s="131"/>
      <c r="O85" s="133"/>
      <c r="P85" s="133"/>
      <c r="Q85" s="133"/>
      <c r="R85" s="131"/>
      <c r="S85" s="134"/>
      <c r="T85" s="134"/>
    </row>
    <row r="86" ht="22.5" customHeight="1">
      <c r="A86" s="131"/>
      <c r="B86" s="131"/>
      <c r="C86" s="131"/>
      <c r="D86" s="131"/>
      <c r="E86" s="132"/>
      <c r="F86" s="131"/>
      <c r="G86" s="36"/>
      <c r="H86" s="131"/>
      <c r="I86" s="133"/>
      <c r="J86" s="133"/>
      <c r="K86" s="133"/>
      <c r="L86" s="131"/>
      <c r="M86" s="131"/>
      <c r="N86" s="131"/>
      <c r="O86" s="133"/>
      <c r="P86" s="133"/>
      <c r="Q86" s="133"/>
      <c r="R86" s="131"/>
      <c r="S86" s="134"/>
      <c r="T86" s="134"/>
    </row>
    <row r="87" ht="22.5" customHeight="1">
      <c r="A87" s="131"/>
      <c r="B87" s="131"/>
      <c r="C87" s="131"/>
      <c r="D87" s="131"/>
      <c r="E87" s="132"/>
      <c r="F87" s="131"/>
      <c r="G87" s="36"/>
      <c r="H87" s="131"/>
      <c r="I87" s="133"/>
      <c r="J87" s="133"/>
      <c r="K87" s="133"/>
      <c r="L87" s="131"/>
      <c r="M87" s="131"/>
      <c r="N87" s="131"/>
      <c r="O87" s="133"/>
      <c r="P87" s="133"/>
      <c r="Q87" s="133"/>
      <c r="R87" s="131"/>
      <c r="S87" s="134"/>
      <c r="T87" s="134"/>
    </row>
    <row r="88" ht="22.5" customHeight="1">
      <c r="A88" s="131"/>
      <c r="B88" s="131"/>
      <c r="C88" s="131"/>
      <c r="D88" s="131"/>
      <c r="E88" s="132"/>
      <c r="F88" s="131"/>
      <c r="G88" s="36"/>
      <c r="H88" s="131"/>
      <c r="I88" s="133"/>
      <c r="J88" s="133"/>
      <c r="K88" s="133"/>
      <c r="L88" s="131"/>
      <c r="M88" s="131"/>
      <c r="N88" s="131"/>
      <c r="O88" s="133"/>
      <c r="P88" s="133"/>
      <c r="Q88" s="133"/>
      <c r="R88" s="131"/>
      <c r="S88" s="134"/>
      <c r="T88" s="134"/>
    </row>
    <row r="89" ht="22.5" customHeight="1">
      <c r="A89" s="131"/>
      <c r="B89" s="131"/>
      <c r="C89" s="131"/>
      <c r="D89" s="131"/>
      <c r="E89" s="132"/>
      <c r="F89" s="131"/>
      <c r="G89" s="36"/>
      <c r="H89" s="131"/>
      <c r="I89" s="133"/>
      <c r="J89" s="133"/>
      <c r="K89" s="133"/>
      <c r="L89" s="131"/>
      <c r="M89" s="131"/>
      <c r="N89" s="131"/>
      <c r="O89" s="133"/>
      <c r="P89" s="133"/>
      <c r="Q89" s="133"/>
      <c r="R89" s="131"/>
      <c r="S89" s="134"/>
      <c r="T89" s="134"/>
    </row>
    <row r="90" ht="22.5" customHeight="1">
      <c r="A90" s="131"/>
      <c r="B90" s="131"/>
      <c r="C90" s="131"/>
      <c r="D90" s="131"/>
      <c r="E90" s="132"/>
      <c r="F90" s="131"/>
      <c r="G90" s="36"/>
      <c r="H90" s="131"/>
      <c r="I90" s="133"/>
      <c r="J90" s="133"/>
      <c r="K90" s="133"/>
      <c r="L90" s="131"/>
      <c r="M90" s="131"/>
      <c r="N90" s="131"/>
      <c r="O90" s="133"/>
      <c r="P90" s="133"/>
      <c r="Q90" s="133"/>
      <c r="R90" s="131"/>
      <c r="S90" s="134"/>
      <c r="T90" s="134"/>
    </row>
    <row r="91" ht="22.5" customHeight="1">
      <c r="A91" s="131"/>
      <c r="B91" s="131"/>
      <c r="C91" s="131"/>
      <c r="D91" s="131"/>
      <c r="E91" s="132"/>
      <c r="F91" s="131"/>
      <c r="G91" s="36"/>
      <c r="H91" s="131"/>
      <c r="I91" s="133"/>
      <c r="J91" s="133"/>
      <c r="K91" s="133"/>
      <c r="L91" s="131"/>
      <c r="M91" s="131"/>
      <c r="N91" s="131"/>
      <c r="O91" s="133"/>
      <c r="P91" s="133"/>
      <c r="Q91" s="133"/>
      <c r="R91" s="131"/>
      <c r="S91" s="134"/>
      <c r="T91" s="134"/>
    </row>
    <row r="92" ht="22.5" customHeight="1">
      <c r="A92" s="131"/>
      <c r="B92" s="131"/>
      <c r="C92" s="131"/>
      <c r="D92" s="131"/>
      <c r="E92" s="132"/>
      <c r="F92" s="131"/>
      <c r="G92" s="36"/>
      <c r="H92" s="131"/>
      <c r="I92" s="133"/>
      <c r="J92" s="133"/>
      <c r="K92" s="133"/>
      <c r="L92" s="131"/>
      <c r="M92" s="131"/>
      <c r="N92" s="131"/>
      <c r="O92" s="133"/>
      <c r="P92" s="133"/>
      <c r="Q92" s="133"/>
      <c r="R92" s="131"/>
      <c r="S92" s="134"/>
      <c r="T92" s="134"/>
    </row>
    <row r="93" ht="22.5" customHeight="1">
      <c r="A93" s="131"/>
      <c r="B93" s="131"/>
      <c r="C93" s="131"/>
      <c r="D93" s="131"/>
      <c r="E93" s="132"/>
      <c r="F93" s="131"/>
      <c r="G93" s="36"/>
      <c r="H93" s="131"/>
      <c r="I93" s="133"/>
      <c r="J93" s="133"/>
      <c r="K93" s="133"/>
      <c r="L93" s="131"/>
      <c r="M93" s="131"/>
      <c r="N93" s="131"/>
      <c r="O93" s="133"/>
      <c r="P93" s="133"/>
      <c r="Q93" s="133"/>
      <c r="R93" s="131"/>
      <c r="S93" s="134"/>
      <c r="T93" s="134"/>
    </row>
    <row r="94" ht="22.5" customHeight="1">
      <c r="A94" s="131"/>
      <c r="B94" s="131"/>
      <c r="C94" s="131"/>
      <c r="D94" s="131"/>
      <c r="E94" s="132"/>
      <c r="F94" s="131"/>
      <c r="G94" s="36"/>
      <c r="H94" s="131"/>
      <c r="I94" s="133"/>
      <c r="J94" s="133"/>
      <c r="K94" s="133"/>
      <c r="L94" s="131"/>
      <c r="M94" s="131"/>
      <c r="N94" s="131"/>
      <c r="O94" s="133"/>
      <c r="P94" s="133"/>
      <c r="Q94" s="133"/>
      <c r="R94" s="131"/>
      <c r="S94" s="134"/>
      <c r="T94" s="134"/>
    </row>
    <row r="95" ht="22.5" customHeight="1">
      <c r="A95" s="131"/>
      <c r="B95" s="131"/>
      <c r="C95" s="131"/>
      <c r="D95" s="131"/>
      <c r="E95" s="132"/>
      <c r="F95" s="131"/>
      <c r="G95" s="36"/>
      <c r="H95" s="131"/>
      <c r="I95" s="133"/>
      <c r="J95" s="133"/>
      <c r="K95" s="133"/>
      <c r="L95" s="131"/>
      <c r="M95" s="131"/>
      <c r="N95" s="131"/>
      <c r="O95" s="133"/>
      <c r="P95" s="133"/>
      <c r="Q95" s="133"/>
      <c r="R95" s="131"/>
      <c r="S95" s="134"/>
      <c r="T95" s="134"/>
    </row>
    <row r="96" ht="22.5" customHeight="1">
      <c r="A96" s="131"/>
      <c r="B96" s="131"/>
      <c r="C96" s="131"/>
      <c r="D96" s="131"/>
      <c r="E96" s="132"/>
      <c r="F96" s="131"/>
      <c r="G96" s="36"/>
      <c r="H96" s="131"/>
      <c r="I96" s="133"/>
      <c r="J96" s="133"/>
      <c r="K96" s="133"/>
      <c r="L96" s="131"/>
      <c r="M96" s="131"/>
      <c r="N96" s="131"/>
      <c r="O96" s="133"/>
      <c r="P96" s="133"/>
      <c r="Q96" s="133"/>
      <c r="R96" s="131"/>
      <c r="S96" s="134"/>
      <c r="T96" s="134"/>
    </row>
    <row r="97" ht="22.5" customHeight="1">
      <c r="A97" s="131"/>
      <c r="B97" s="131"/>
      <c r="C97" s="131"/>
      <c r="D97" s="131"/>
      <c r="E97" s="132"/>
      <c r="F97" s="131"/>
      <c r="G97" s="36"/>
      <c r="H97" s="131"/>
      <c r="I97" s="133"/>
      <c r="J97" s="133"/>
      <c r="K97" s="133"/>
      <c r="L97" s="131"/>
      <c r="M97" s="131"/>
      <c r="N97" s="131"/>
      <c r="O97" s="133"/>
      <c r="P97" s="133"/>
      <c r="Q97" s="133"/>
      <c r="R97" s="131"/>
      <c r="S97" s="134"/>
      <c r="T97" s="134"/>
    </row>
    <row r="98" ht="22.5" customHeight="1">
      <c r="A98" s="131"/>
      <c r="B98" s="131"/>
      <c r="C98" s="131"/>
      <c r="D98" s="131"/>
      <c r="E98" s="132"/>
      <c r="F98" s="131"/>
      <c r="G98" s="36"/>
      <c r="H98" s="131"/>
      <c r="I98" s="133"/>
      <c r="J98" s="133"/>
      <c r="K98" s="133"/>
      <c r="L98" s="131"/>
      <c r="M98" s="131"/>
      <c r="N98" s="131"/>
      <c r="O98" s="133"/>
      <c r="P98" s="133"/>
      <c r="Q98" s="133"/>
      <c r="R98" s="131"/>
      <c r="S98" s="134"/>
      <c r="T98" s="134"/>
    </row>
    <row r="99" ht="22.5" customHeight="1">
      <c r="A99" s="131"/>
      <c r="B99" s="131"/>
      <c r="C99" s="131"/>
      <c r="D99" s="131"/>
      <c r="E99" s="132"/>
      <c r="F99" s="131"/>
      <c r="G99" s="36"/>
      <c r="H99" s="131"/>
      <c r="I99" s="133"/>
      <c r="J99" s="133"/>
      <c r="K99" s="133"/>
      <c r="L99" s="131"/>
      <c r="M99" s="131"/>
      <c r="N99" s="131"/>
      <c r="O99" s="133"/>
      <c r="P99" s="133"/>
      <c r="Q99" s="133"/>
      <c r="R99" s="131"/>
      <c r="S99" s="134"/>
      <c r="T99" s="134"/>
    </row>
    <row r="100" ht="22.5" customHeight="1">
      <c r="A100" s="131"/>
      <c r="B100" s="131"/>
      <c r="C100" s="131"/>
      <c r="D100" s="131"/>
      <c r="E100" s="132"/>
      <c r="F100" s="131"/>
      <c r="G100" s="36"/>
      <c r="H100" s="131"/>
      <c r="I100" s="133"/>
      <c r="J100" s="133"/>
      <c r="K100" s="133"/>
      <c r="L100" s="131"/>
      <c r="M100" s="131"/>
      <c r="N100" s="131"/>
      <c r="O100" s="133"/>
      <c r="P100" s="133"/>
      <c r="Q100" s="133"/>
      <c r="R100" s="131"/>
      <c r="S100" s="134"/>
      <c r="T100" s="134"/>
    </row>
    <row r="101" ht="22.5" customHeight="1">
      <c r="A101" s="131"/>
      <c r="B101" s="131"/>
      <c r="C101" s="131"/>
      <c r="D101" s="131"/>
      <c r="E101" s="132"/>
      <c r="F101" s="131"/>
      <c r="G101" s="36"/>
      <c r="H101" s="131"/>
      <c r="I101" s="133"/>
      <c r="J101" s="133"/>
      <c r="K101" s="133"/>
      <c r="L101" s="131"/>
      <c r="M101" s="131"/>
      <c r="N101" s="131"/>
      <c r="O101" s="133"/>
      <c r="P101" s="133"/>
      <c r="Q101" s="133"/>
      <c r="R101" s="131"/>
      <c r="S101" s="134"/>
      <c r="T101" s="134"/>
    </row>
    <row r="102" ht="22.5" customHeight="1">
      <c r="A102" s="131"/>
      <c r="B102" s="131"/>
      <c r="C102" s="131"/>
      <c r="D102" s="131"/>
      <c r="E102" s="132"/>
      <c r="F102" s="131"/>
      <c r="G102" s="36"/>
      <c r="H102" s="131"/>
      <c r="I102" s="133"/>
      <c r="J102" s="133"/>
      <c r="K102" s="133"/>
      <c r="L102" s="131"/>
      <c r="M102" s="131"/>
      <c r="N102" s="131"/>
      <c r="O102" s="133"/>
      <c r="P102" s="133"/>
      <c r="Q102" s="133"/>
      <c r="R102" s="131"/>
      <c r="S102" s="134"/>
      <c r="T102" s="134"/>
    </row>
    <row r="103" ht="22.5" customHeight="1">
      <c r="A103" s="131"/>
      <c r="B103" s="131"/>
      <c r="C103" s="131"/>
      <c r="D103" s="131"/>
      <c r="E103" s="132"/>
      <c r="F103" s="131"/>
      <c r="G103" s="36"/>
      <c r="H103" s="131"/>
      <c r="I103" s="133"/>
      <c r="J103" s="133"/>
      <c r="K103" s="133"/>
      <c r="L103" s="131"/>
      <c r="M103" s="131"/>
      <c r="N103" s="131"/>
      <c r="O103" s="133"/>
      <c r="P103" s="133"/>
      <c r="Q103" s="133"/>
      <c r="R103" s="131"/>
      <c r="S103" s="134"/>
      <c r="T103" s="134"/>
    </row>
    <row r="104" ht="22.5" customHeight="1">
      <c r="A104" s="131"/>
      <c r="B104" s="131"/>
      <c r="C104" s="131"/>
      <c r="D104" s="131"/>
      <c r="E104" s="132"/>
      <c r="F104" s="131"/>
      <c r="G104" s="36"/>
      <c r="H104" s="131"/>
      <c r="I104" s="133"/>
      <c r="J104" s="133"/>
      <c r="K104" s="133"/>
      <c r="L104" s="131"/>
      <c r="M104" s="131"/>
      <c r="N104" s="131"/>
      <c r="O104" s="133"/>
      <c r="P104" s="133"/>
      <c r="Q104" s="133"/>
      <c r="R104" s="131"/>
      <c r="S104" s="134"/>
      <c r="T104" s="134"/>
    </row>
    <row r="105" ht="22.5" customHeight="1">
      <c r="A105" s="131"/>
      <c r="B105" s="131"/>
      <c r="C105" s="131"/>
      <c r="D105" s="131"/>
      <c r="E105" s="132"/>
      <c r="F105" s="131"/>
      <c r="G105" s="36"/>
      <c r="H105" s="131"/>
      <c r="I105" s="133"/>
      <c r="J105" s="133"/>
      <c r="K105" s="133"/>
      <c r="L105" s="131"/>
      <c r="M105" s="131"/>
      <c r="N105" s="131"/>
      <c r="O105" s="133"/>
      <c r="P105" s="133"/>
      <c r="Q105" s="133"/>
      <c r="R105" s="131"/>
      <c r="S105" s="134"/>
      <c r="T105" s="134"/>
    </row>
    <row r="106" ht="22.5" customHeight="1">
      <c r="A106" s="131"/>
      <c r="B106" s="131"/>
      <c r="C106" s="131"/>
      <c r="D106" s="131"/>
      <c r="E106" s="132"/>
      <c r="F106" s="131"/>
      <c r="G106" s="36"/>
      <c r="H106" s="131"/>
      <c r="I106" s="133"/>
      <c r="J106" s="133"/>
      <c r="K106" s="133"/>
      <c r="L106" s="131"/>
      <c r="M106" s="131"/>
      <c r="N106" s="131"/>
      <c r="O106" s="133"/>
      <c r="P106" s="133"/>
      <c r="Q106" s="133"/>
      <c r="R106" s="131"/>
      <c r="S106" s="134"/>
      <c r="T106" s="134"/>
    </row>
    <row r="107" ht="22.5" customHeight="1">
      <c r="A107" s="131"/>
      <c r="B107" s="131"/>
      <c r="C107" s="131"/>
      <c r="D107" s="131"/>
      <c r="E107" s="132"/>
      <c r="F107" s="131"/>
      <c r="G107" s="36"/>
      <c r="H107" s="131"/>
      <c r="I107" s="133"/>
      <c r="J107" s="133"/>
      <c r="K107" s="133"/>
      <c r="L107" s="131"/>
      <c r="M107" s="131"/>
      <c r="N107" s="131"/>
      <c r="O107" s="133"/>
      <c r="P107" s="133"/>
      <c r="Q107" s="133"/>
      <c r="R107" s="131"/>
      <c r="S107" s="134"/>
      <c r="T107" s="134"/>
    </row>
    <row r="108" ht="22.5" customHeight="1">
      <c r="A108" s="131"/>
      <c r="B108" s="131"/>
      <c r="C108" s="131"/>
      <c r="D108" s="131"/>
      <c r="E108" s="132"/>
      <c r="F108" s="131"/>
      <c r="G108" s="36"/>
      <c r="H108" s="131"/>
      <c r="I108" s="133"/>
      <c r="J108" s="133"/>
      <c r="K108" s="133"/>
      <c r="L108" s="131"/>
      <c r="M108" s="131"/>
      <c r="N108" s="131"/>
      <c r="O108" s="133"/>
      <c r="P108" s="133"/>
      <c r="Q108" s="133"/>
      <c r="R108" s="131"/>
      <c r="S108" s="134"/>
      <c r="T108" s="134"/>
    </row>
    <row r="109" ht="22.5" customHeight="1">
      <c r="A109" s="131"/>
      <c r="B109" s="131"/>
      <c r="C109" s="131"/>
      <c r="D109" s="131"/>
      <c r="E109" s="132"/>
      <c r="F109" s="131"/>
      <c r="G109" s="36"/>
      <c r="H109" s="131"/>
      <c r="I109" s="133"/>
      <c r="J109" s="133"/>
      <c r="K109" s="133"/>
      <c r="L109" s="131"/>
      <c r="M109" s="131"/>
      <c r="N109" s="131"/>
      <c r="O109" s="133"/>
      <c r="P109" s="133"/>
      <c r="Q109" s="133"/>
      <c r="R109" s="131"/>
      <c r="S109" s="134"/>
      <c r="T109" s="134"/>
    </row>
    <row r="110" ht="22.5" customHeight="1">
      <c r="A110" s="131"/>
      <c r="B110" s="131"/>
      <c r="C110" s="131"/>
      <c r="D110" s="131"/>
      <c r="E110" s="132"/>
      <c r="F110" s="131"/>
      <c r="G110" s="36"/>
      <c r="H110" s="131"/>
      <c r="I110" s="133"/>
      <c r="J110" s="133"/>
      <c r="K110" s="133"/>
      <c r="L110" s="131"/>
      <c r="M110" s="131"/>
      <c r="N110" s="131"/>
      <c r="O110" s="133"/>
      <c r="P110" s="133"/>
      <c r="Q110" s="133"/>
      <c r="R110" s="131"/>
      <c r="S110" s="134"/>
      <c r="T110" s="134"/>
    </row>
    <row r="111" ht="22.5" customHeight="1">
      <c r="A111" s="131"/>
      <c r="B111" s="131"/>
      <c r="C111" s="131"/>
      <c r="D111" s="131"/>
      <c r="E111" s="132"/>
      <c r="F111" s="131"/>
      <c r="G111" s="36"/>
      <c r="H111" s="131"/>
      <c r="I111" s="133"/>
      <c r="J111" s="133"/>
      <c r="K111" s="133"/>
      <c r="L111" s="131"/>
      <c r="M111" s="131"/>
      <c r="N111" s="131"/>
      <c r="O111" s="133"/>
      <c r="P111" s="133"/>
      <c r="Q111" s="133"/>
      <c r="R111" s="131"/>
      <c r="S111" s="134"/>
      <c r="T111" s="134"/>
    </row>
    <row r="112" ht="22.5" customHeight="1">
      <c r="A112" s="131"/>
      <c r="B112" s="131"/>
      <c r="C112" s="131"/>
      <c r="D112" s="131"/>
      <c r="E112" s="132"/>
      <c r="F112" s="131"/>
      <c r="G112" s="36"/>
      <c r="H112" s="131"/>
      <c r="I112" s="133"/>
      <c r="J112" s="133"/>
      <c r="K112" s="133"/>
      <c r="L112" s="131"/>
      <c r="M112" s="131"/>
      <c r="N112" s="131"/>
      <c r="O112" s="133"/>
      <c r="P112" s="133"/>
      <c r="Q112" s="133"/>
      <c r="R112" s="131"/>
      <c r="S112" s="134"/>
      <c r="T112" s="134"/>
    </row>
    <row r="113" ht="22.5" customHeight="1">
      <c r="A113" s="131"/>
      <c r="B113" s="131"/>
      <c r="C113" s="131"/>
      <c r="D113" s="131"/>
      <c r="E113" s="132"/>
      <c r="F113" s="131"/>
      <c r="G113" s="36"/>
      <c r="H113" s="131"/>
      <c r="I113" s="133"/>
      <c r="J113" s="133"/>
      <c r="K113" s="133"/>
      <c r="L113" s="131"/>
      <c r="M113" s="131"/>
      <c r="N113" s="131"/>
      <c r="O113" s="133"/>
      <c r="P113" s="133"/>
      <c r="Q113" s="133"/>
      <c r="R113" s="131"/>
      <c r="S113" s="134"/>
      <c r="T113" s="134"/>
    </row>
    <row r="114" ht="22.5" customHeight="1">
      <c r="A114" s="131"/>
      <c r="B114" s="131"/>
      <c r="C114" s="131"/>
      <c r="D114" s="131"/>
      <c r="E114" s="132"/>
      <c r="F114" s="131"/>
      <c r="G114" s="36"/>
      <c r="H114" s="131"/>
      <c r="I114" s="133"/>
      <c r="J114" s="133"/>
      <c r="K114" s="133"/>
      <c r="L114" s="131"/>
      <c r="M114" s="131"/>
      <c r="N114" s="131"/>
      <c r="O114" s="133"/>
      <c r="P114" s="133"/>
      <c r="Q114" s="133"/>
      <c r="R114" s="131"/>
      <c r="S114" s="134"/>
      <c r="T114" s="134"/>
    </row>
    <row r="115" ht="22.5" customHeight="1">
      <c r="A115" s="131"/>
      <c r="B115" s="131"/>
      <c r="C115" s="131"/>
      <c r="D115" s="131"/>
      <c r="E115" s="132"/>
      <c r="F115" s="131"/>
      <c r="G115" s="36"/>
      <c r="H115" s="131"/>
      <c r="I115" s="133"/>
      <c r="J115" s="133"/>
      <c r="K115" s="133"/>
      <c r="L115" s="131"/>
      <c r="M115" s="131"/>
      <c r="N115" s="131"/>
      <c r="O115" s="133"/>
      <c r="P115" s="133"/>
      <c r="Q115" s="133"/>
      <c r="R115" s="131"/>
      <c r="S115" s="134"/>
      <c r="T115" s="134"/>
    </row>
    <row r="116" ht="22.5" customHeight="1">
      <c r="A116" s="131"/>
      <c r="B116" s="131"/>
      <c r="C116" s="131"/>
      <c r="D116" s="131"/>
      <c r="E116" s="132"/>
      <c r="F116" s="131"/>
      <c r="G116" s="36"/>
      <c r="H116" s="131"/>
      <c r="I116" s="133"/>
      <c r="J116" s="133"/>
      <c r="K116" s="133"/>
      <c r="L116" s="131"/>
      <c r="M116" s="131"/>
      <c r="N116" s="131"/>
      <c r="O116" s="133"/>
      <c r="P116" s="133"/>
      <c r="Q116" s="133"/>
      <c r="R116" s="131"/>
      <c r="S116" s="134"/>
      <c r="T116" s="134"/>
    </row>
    <row r="117" ht="22.5" customHeight="1">
      <c r="A117" s="131"/>
      <c r="B117" s="131"/>
      <c r="C117" s="131"/>
      <c r="D117" s="131"/>
      <c r="E117" s="132"/>
      <c r="F117" s="131"/>
      <c r="G117" s="36"/>
      <c r="H117" s="131"/>
      <c r="I117" s="133"/>
      <c r="J117" s="133"/>
      <c r="K117" s="133"/>
      <c r="L117" s="131"/>
      <c r="M117" s="131"/>
      <c r="N117" s="131"/>
      <c r="O117" s="133"/>
      <c r="P117" s="133"/>
      <c r="Q117" s="133"/>
      <c r="R117" s="131"/>
      <c r="S117" s="134"/>
      <c r="T117" s="134"/>
    </row>
    <row r="118" ht="22.5" customHeight="1">
      <c r="A118" s="131"/>
      <c r="B118" s="131"/>
      <c r="C118" s="131"/>
      <c r="D118" s="131"/>
      <c r="E118" s="132"/>
      <c r="F118" s="131"/>
      <c r="G118" s="36"/>
      <c r="H118" s="131"/>
      <c r="I118" s="133"/>
      <c r="J118" s="133"/>
      <c r="K118" s="133"/>
      <c r="L118" s="131"/>
      <c r="M118" s="131"/>
      <c r="N118" s="131"/>
      <c r="O118" s="133"/>
      <c r="P118" s="133"/>
      <c r="Q118" s="133"/>
      <c r="R118" s="131"/>
      <c r="S118" s="134"/>
      <c r="T118" s="134"/>
    </row>
    <row r="119" ht="22.5" customHeight="1">
      <c r="A119" s="131"/>
      <c r="B119" s="131"/>
      <c r="C119" s="131"/>
      <c r="D119" s="131"/>
      <c r="E119" s="132"/>
      <c r="F119" s="131"/>
      <c r="G119" s="36"/>
      <c r="H119" s="131"/>
      <c r="I119" s="133"/>
      <c r="J119" s="133"/>
      <c r="K119" s="133"/>
      <c r="L119" s="131"/>
      <c r="M119" s="131"/>
      <c r="N119" s="131"/>
      <c r="O119" s="133"/>
      <c r="P119" s="133"/>
      <c r="Q119" s="133"/>
      <c r="R119" s="131"/>
      <c r="S119" s="134"/>
      <c r="T119" s="134"/>
    </row>
    <row r="120" ht="22.5" customHeight="1">
      <c r="A120" s="131"/>
      <c r="B120" s="131"/>
      <c r="C120" s="131"/>
      <c r="D120" s="131"/>
      <c r="E120" s="132"/>
      <c r="F120" s="131"/>
      <c r="G120" s="36"/>
      <c r="H120" s="131"/>
      <c r="I120" s="133"/>
      <c r="J120" s="133"/>
      <c r="K120" s="133"/>
      <c r="L120" s="131"/>
      <c r="M120" s="131"/>
      <c r="N120" s="131"/>
      <c r="O120" s="133"/>
      <c r="P120" s="133"/>
      <c r="Q120" s="133"/>
      <c r="R120" s="131"/>
      <c r="S120" s="134"/>
      <c r="T120" s="134"/>
    </row>
    <row r="121" ht="22.5" customHeight="1">
      <c r="A121" s="131"/>
      <c r="B121" s="131"/>
      <c r="C121" s="131"/>
      <c r="D121" s="131"/>
      <c r="E121" s="132"/>
      <c r="F121" s="131"/>
      <c r="G121" s="36"/>
      <c r="H121" s="131"/>
      <c r="I121" s="133"/>
      <c r="J121" s="133"/>
      <c r="K121" s="133"/>
      <c r="L121" s="131"/>
      <c r="M121" s="131"/>
      <c r="N121" s="131"/>
      <c r="O121" s="133"/>
      <c r="P121" s="133"/>
      <c r="Q121" s="133"/>
      <c r="R121" s="131"/>
      <c r="S121" s="134"/>
      <c r="T121" s="134"/>
    </row>
    <row r="122" ht="22.5" customHeight="1">
      <c r="A122" s="131"/>
      <c r="B122" s="131"/>
      <c r="C122" s="131"/>
      <c r="D122" s="131"/>
      <c r="E122" s="132"/>
      <c r="F122" s="131"/>
      <c r="G122" s="36"/>
      <c r="H122" s="131"/>
      <c r="I122" s="133"/>
      <c r="J122" s="133"/>
      <c r="K122" s="133"/>
      <c r="L122" s="131"/>
      <c r="M122" s="131"/>
      <c r="N122" s="131"/>
      <c r="O122" s="133"/>
      <c r="P122" s="133"/>
      <c r="Q122" s="133"/>
      <c r="R122" s="131"/>
      <c r="S122" s="134"/>
      <c r="T122" s="134"/>
    </row>
    <row r="123" ht="22.5" customHeight="1">
      <c r="A123" s="131"/>
      <c r="B123" s="131"/>
      <c r="C123" s="131"/>
      <c r="D123" s="131"/>
      <c r="E123" s="132"/>
      <c r="F123" s="131"/>
      <c r="G123" s="36"/>
      <c r="H123" s="131"/>
      <c r="I123" s="133"/>
      <c r="J123" s="133"/>
      <c r="K123" s="133"/>
      <c r="L123" s="131"/>
      <c r="M123" s="131"/>
      <c r="N123" s="131"/>
      <c r="O123" s="133"/>
      <c r="P123" s="133"/>
      <c r="Q123" s="133"/>
      <c r="R123" s="131"/>
      <c r="S123" s="134"/>
      <c r="T123" s="134"/>
    </row>
    <row r="124" ht="22.5" customHeight="1">
      <c r="A124" s="131"/>
      <c r="B124" s="131"/>
      <c r="C124" s="131"/>
      <c r="D124" s="131"/>
      <c r="E124" s="132"/>
      <c r="F124" s="131"/>
      <c r="G124" s="36"/>
      <c r="H124" s="131"/>
      <c r="I124" s="133"/>
      <c r="J124" s="133"/>
      <c r="K124" s="133"/>
      <c r="L124" s="131"/>
      <c r="M124" s="131"/>
      <c r="N124" s="131"/>
      <c r="O124" s="133"/>
      <c r="P124" s="133"/>
      <c r="Q124" s="133"/>
      <c r="R124" s="131"/>
      <c r="S124" s="134"/>
      <c r="T124" s="134"/>
    </row>
    <row r="125" ht="22.5" customHeight="1">
      <c r="A125" s="131"/>
      <c r="B125" s="131"/>
      <c r="C125" s="131"/>
      <c r="D125" s="131"/>
      <c r="E125" s="132"/>
      <c r="F125" s="131"/>
      <c r="G125" s="36"/>
      <c r="H125" s="131"/>
      <c r="I125" s="133"/>
      <c r="J125" s="133"/>
      <c r="K125" s="133"/>
      <c r="L125" s="131"/>
      <c r="M125" s="131"/>
      <c r="N125" s="131"/>
      <c r="O125" s="133"/>
      <c r="P125" s="133"/>
      <c r="Q125" s="133"/>
      <c r="R125" s="131"/>
      <c r="S125" s="134"/>
      <c r="T125" s="134"/>
    </row>
    <row r="126" ht="22.5" customHeight="1">
      <c r="A126" s="131"/>
      <c r="B126" s="131"/>
      <c r="C126" s="131"/>
      <c r="D126" s="131"/>
      <c r="E126" s="132"/>
      <c r="F126" s="131"/>
      <c r="G126" s="36"/>
      <c r="H126" s="131"/>
      <c r="I126" s="133"/>
      <c r="J126" s="133"/>
      <c r="K126" s="133"/>
      <c r="L126" s="131"/>
      <c r="M126" s="131"/>
      <c r="N126" s="131"/>
      <c r="O126" s="133"/>
      <c r="P126" s="133"/>
      <c r="Q126" s="133"/>
      <c r="R126" s="131"/>
      <c r="S126" s="134"/>
      <c r="T126" s="134"/>
    </row>
    <row r="127" ht="22.5" customHeight="1">
      <c r="A127" s="131"/>
      <c r="B127" s="131"/>
      <c r="C127" s="131"/>
      <c r="D127" s="131"/>
      <c r="E127" s="132"/>
      <c r="F127" s="131"/>
      <c r="G127" s="36"/>
      <c r="H127" s="131"/>
      <c r="I127" s="133"/>
      <c r="J127" s="133"/>
      <c r="K127" s="133"/>
      <c r="L127" s="131"/>
      <c r="M127" s="131"/>
      <c r="N127" s="131"/>
      <c r="O127" s="133"/>
      <c r="P127" s="133"/>
      <c r="Q127" s="133"/>
      <c r="R127" s="131"/>
      <c r="S127" s="134"/>
      <c r="T127" s="134"/>
    </row>
    <row r="128" ht="22.5" customHeight="1">
      <c r="A128" s="131"/>
      <c r="B128" s="131"/>
      <c r="C128" s="131"/>
      <c r="D128" s="131"/>
      <c r="E128" s="132"/>
      <c r="F128" s="131"/>
      <c r="G128" s="36"/>
      <c r="H128" s="131"/>
      <c r="I128" s="133"/>
      <c r="J128" s="133"/>
      <c r="K128" s="133"/>
      <c r="L128" s="131"/>
      <c r="M128" s="131"/>
      <c r="N128" s="131"/>
      <c r="O128" s="133"/>
      <c r="P128" s="133"/>
      <c r="Q128" s="133"/>
      <c r="R128" s="131"/>
      <c r="S128" s="134"/>
      <c r="T128" s="134"/>
    </row>
    <row r="129" ht="22.5" customHeight="1">
      <c r="A129" s="131"/>
      <c r="B129" s="131"/>
      <c r="C129" s="131"/>
      <c r="D129" s="131"/>
      <c r="E129" s="132"/>
      <c r="F129" s="131"/>
      <c r="G129" s="36"/>
      <c r="H129" s="131"/>
      <c r="I129" s="133"/>
      <c r="J129" s="133"/>
      <c r="K129" s="133"/>
      <c r="L129" s="131"/>
      <c r="M129" s="131"/>
      <c r="N129" s="131"/>
      <c r="O129" s="133"/>
      <c r="P129" s="133"/>
      <c r="Q129" s="133"/>
      <c r="R129" s="131"/>
      <c r="S129" s="134"/>
      <c r="T129" s="134"/>
    </row>
    <row r="130" ht="22.5" customHeight="1">
      <c r="A130" s="131"/>
      <c r="B130" s="131"/>
      <c r="C130" s="131"/>
      <c r="D130" s="131"/>
      <c r="E130" s="132"/>
      <c r="F130" s="131"/>
      <c r="G130" s="36"/>
      <c r="H130" s="131"/>
      <c r="I130" s="133"/>
      <c r="J130" s="133"/>
      <c r="K130" s="133"/>
      <c r="L130" s="131"/>
      <c r="M130" s="131"/>
      <c r="N130" s="131"/>
      <c r="O130" s="133"/>
      <c r="P130" s="133"/>
      <c r="Q130" s="133"/>
      <c r="R130" s="131"/>
      <c r="S130" s="134"/>
      <c r="T130" s="134"/>
    </row>
    <row r="131" ht="22.5" customHeight="1">
      <c r="A131" s="131"/>
      <c r="B131" s="131"/>
      <c r="C131" s="131"/>
      <c r="D131" s="131"/>
      <c r="E131" s="132"/>
      <c r="F131" s="131"/>
      <c r="G131" s="36"/>
      <c r="H131" s="131"/>
      <c r="I131" s="133"/>
      <c r="J131" s="133"/>
      <c r="K131" s="133"/>
      <c r="L131" s="131"/>
      <c r="M131" s="131"/>
      <c r="N131" s="131"/>
      <c r="O131" s="133"/>
      <c r="P131" s="133"/>
      <c r="Q131" s="133"/>
      <c r="R131" s="131"/>
      <c r="S131" s="134"/>
      <c r="T131" s="134"/>
    </row>
    <row r="132" ht="22.5" customHeight="1">
      <c r="A132" s="131"/>
      <c r="B132" s="131"/>
      <c r="C132" s="131"/>
      <c r="D132" s="131"/>
      <c r="E132" s="132"/>
      <c r="F132" s="131"/>
      <c r="G132" s="36"/>
      <c r="H132" s="131"/>
      <c r="I132" s="133"/>
      <c r="J132" s="133"/>
      <c r="K132" s="133"/>
      <c r="L132" s="131"/>
      <c r="M132" s="131"/>
      <c r="N132" s="131"/>
      <c r="O132" s="133"/>
      <c r="P132" s="133"/>
      <c r="Q132" s="133"/>
      <c r="R132" s="131"/>
      <c r="S132" s="134"/>
      <c r="T132" s="134"/>
    </row>
    <row r="133" ht="22.5" customHeight="1">
      <c r="A133" s="131"/>
      <c r="B133" s="131"/>
      <c r="C133" s="131"/>
      <c r="D133" s="131"/>
      <c r="E133" s="132"/>
      <c r="F133" s="131"/>
      <c r="G133" s="36"/>
      <c r="H133" s="131"/>
      <c r="I133" s="133"/>
      <c r="J133" s="133"/>
      <c r="K133" s="133"/>
      <c r="L133" s="131"/>
      <c r="M133" s="131"/>
      <c r="N133" s="131"/>
      <c r="O133" s="133"/>
      <c r="P133" s="133"/>
      <c r="Q133" s="133"/>
      <c r="R133" s="131"/>
      <c r="S133" s="134"/>
      <c r="T133" s="134"/>
    </row>
    <row r="134" ht="22.5" customHeight="1">
      <c r="A134" s="131"/>
      <c r="B134" s="131"/>
      <c r="C134" s="131"/>
      <c r="D134" s="131"/>
      <c r="E134" s="132"/>
      <c r="F134" s="131"/>
      <c r="G134" s="36"/>
      <c r="H134" s="131"/>
      <c r="I134" s="133"/>
      <c r="J134" s="133"/>
      <c r="K134" s="133"/>
      <c r="L134" s="131"/>
      <c r="M134" s="131"/>
      <c r="N134" s="131"/>
      <c r="O134" s="133"/>
      <c r="P134" s="133"/>
      <c r="Q134" s="133"/>
      <c r="R134" s="131"/>
      <c r="S134" s="134"/>
      <c r="T134" s="134"/>
    </row>
    <row r="135" ht="22.5" customHeight="1">
      <c r="A135" s="131"/>
      <c r="B135" s="131"/>
      <c r="C135" s="131"/>
      <c r="D135" s="131"/>
      <c r="E135" s="132"/>
      <c r="F135" s="131"/>
      <c r="G135" s="36"/>
      <c r="H135" s="131"/>
      <c r="I135" s="133"/>
      <c r="J135" s="133"/>
      <c r="K135" s="133"/>
      <c r="L135" s="131"/>
      <c r="M135" s="131"/>
      <c r="N135" s="131"/>
      <c r="O135" s="133"/>
      <c r="P135" s="133"/>
      <c r="Q135" s="133"/>
      <c r="R135" s="131"/>
      <c r="S135" s="134"/>
      <c r="T135" s="134"/>
    </row>
    <row r="136" ht="22.5" customHeight="1">
      <c r="A136" s="131"/>
      <c r="B136" s="131"/>
      <c r="C136" s="131"/>
      <c r="D136" s="131"/>
      <c r="E136" s="132"/>
      <c r="F136" s="131"/>
      <c r="G136" s="36"/>
      <c r="H136" s="131"/>
      <c r="I136" s="133"/>
      <c r="J136" s="133"/>
      <c r="K136" s="133"/>
      <c r="L136" s="131"/>
      <c r="M136" s="131"/>
      <c r="N136" s="131"/>
      <c r="O136" s="133"/>
      <c r="P136" s="133"/>
      <c r="Q136" s="133"/>
      <c r="R136" s="131"/>
      <c r="S136" s="134"/>
      <c r="T136" s="134"/>
    </row>
    <row r="137" ht="22.5" customHeight="1">
      <c r="A137" s="131"/>
      <c r="B137" s="131"/>
      <c r="C137" s="131"/>
      <c r="D137" s="131"/>
      <c r="E137" s="132"/>
      <c r="F137" s="131"/>
      <c r="G137" s="36"/>
      <c r="H137" s="131"/>
      <c r="I137" s="133"/>
      <c r="J137" s="133"/>
      <c r="K137" s="133"/>
      <c r="L137" s="131"/>
      <c r="M137" s="131"/>
      <c r="N137" s="131"/>
      <c r="O137" s="133"/>
      <c r="P137" s="133"/>
      <c r="Q137" s="133"/>
      <c r="R137" s="131"/>
      <c r="S137" s="134"/>
      <c r="T137" s="134"/>
    </row>
    <row r="138" ht="22.5" customHeight="1">
      <c r="A138" s="131"/>
      <c r="B138" s="131"/>
      <c r="C138" s="131"/>
      <c r="D138" s="131"/>
      <c r="E138" s="132"/>
      <c r="F138" s="131"/>
      <c r="G138" s="36"/>
      <c r="H138" s="131"/>
      <c r="I138" s="133"/>
      <c r="J138" s="133"/>
      <c r="K138" s="133"/>
      <c r="L138" s="131"/>
      <c r="M138" s="131"/>
      <c r="N138" s="131"/>
      <c r="O138" s="133"/>
      <c r="P138" s="133"/>
      <c r="Q138" s="133"/>
      <c r="R138" s="131"/>
      <c r="S138" s="134"/>
      <c r="T138" s="134"/>
    </row>
    <row r="139" ht="22.5" customHeight="1">
      <c r="A139" s="131"/>
      <c r="B139" s="131"/>
      <c r="C139" s="131"/>
      <c r="D139" s="131"/>
      <c r="E139" s="132"/>
      <c r="F139" s="131"/>
      <c r="G139" s="36"/>
      <c r="H139" s="131"/>
      <c r="I139" s="133"/>
      <c r="J139" s="133"/>
      <c r="K139" s="133"/>
      <c r="L139" s="131"/>
      <c r="M139" s="131"/>
      <c r="N139" s="131"/>
      <c r="O139" s="133"/>
      <c r="P139" s="133"/>
      <c r="Q139" s="133"/>
      <c r="R139" s="131"/>
      <c r="S139" s="134"/>
      <c r="T139" s="134"/>
    </row>
    <row r="140" ht="22.5" customHeight="1">
      <c r="A140" s="131"/>
      <c r="B140" s="131"/>
      <c r="C140" s="131"/>
      <c r="D140" s="131"/>
      <c r="E140" s="132"/>
      <c r="F140" s="131"/>
      <c r="G140" s="36"/>
      <c r="H140" s="131"/>
      <c r="I140" s="133"/>
      <c r="J140" s="133"/>
      <c r="K140" s="133"/>
      <c r="L140" s="131"/>
      <c r="M140" s="131"/>
      <c r="N140" s="131"/>
      <c r="O140" s="133"/>
      <c r="P140" s="133"/>
      <c r="Q140" s="133"/>
      <c r="R140" s="131"/>
      <c r="S140" s="134"/>
      <c r="T140" s="134"/>
    </row>
    <row r="141" ht="22.5" customHeight="1">
      <c r="A141" s="131"/>
      <c r="B141" s="131"/>
      <c r="C141" s="131"/>
      <c r="D141" s="131"/>
      <c r="E141" s="132"/>
      <c r="F141" s="131"/>
      <c r="G141" s="36"/>
      <c r="H141" s="131"/>
      <c r="I141" s="133"/>
      <c r="J141" s="133"/>
      <c r="K141" s="133"/>
      <c r="L141" s="131"/>
      <c r="M141" s="131"/>
      <c r="N141" s="131"/>
      <c r="O141" s="133"/>
      <c r="P141" s="133"/>
      <c r="Q141" s="133"/>
      <c r="R141" s="131"/>
      <c r="S141" s="134"/>
      <c r="T141" s="134"/>
    </row>
    <row r="142" ht="22.5" customHeight="1">
      <c r="A142" s="131"/>
      <c r="B142" s="131"/>
      <c r="C142" s="131"/>
      <c r="D142" s="131"/>
      <c r="E142" s="132"/>
      <c r="F142" s="131"/>
      <c r="G142" s="36"/>
      <c r="H142" s="131"/>
      <c r="I142" s="133"/>
      <c r="J142" s="133"/>
      <c r="K142" s="133"/>
      <c r="L142" s="131"/>
      <c r="M142" s="131"/>
      <c r="N142" s="131"/>
      <c r="O142" s="133"/>
      <c r="P142" s="133"/>
      <c r="Q142" s="133"/>
      <c r="R142" s="131"/>
      <c r="S142" s="134"/>
      <c r="T142" s="134"/>
    </row>
    <row r="143" ht="22.5" customHeight="1">
      <c r="A143" s="131"/>
      <c r="B143" s="131"/>
      <c r="C143" s="131"/>
      <c r="D143" s="131"/>
      <c r="E143" s="132"/>
      <c r="F143" s="131"/>
      <c r="G143" s="36"/>
      <c r="H143" s="131"/>
      <c r="I143" s="133"/>
      <c r="J143" s="133"/>
      <c r="K143" s="133"/>
      <c r="L143" s="131"/>
      <c r="M143" s="131"/>
      <c r="N143" s="131"/>
      <c r="O143" s="133"/>
      <c r="P143" s="133"/>
      <c r="Q143" s="133"/>
      <c r="R143" s="131"/>
      <c r="S143" s="134"/>
      <c r="T143" s="134"/>
    </row>
    <row r="144" ht="22.5" customHeight="1">
      <c r="A144" s="131"/>
      <c r="B144" s="131"/>
      <c r="C144" s="131"/>
      <c r="D144" s="131"/>
      <c r="E144" s="132"/>
      <c r="F144" s="131"/>
      <c r="G144" s="36"/>
      <c r="H144" s="131"/>
      <c r="I144" s="133"/>
      <c r="J144" s="133"/>
      <c r="K144" s="133"/>
      <c r="L144" s="131"/>
      <c r="M144" s="131"/>
      <c r="N144" s="131"/>
      <c r="O144" s="133"/>
      <c r="P144" s="133"/>
      <c r="Q144" s="133"/>
      <c r="R144" s="131"/>
      <c r="S144" s="134"/>
      <c r="T144" s="134"/>
    </row>
    <row r="145" ht="22.5" customHeight="1">
      <c r="A145" s="131"/>
      <c r="B145" s="131"/>
      <c r="C145" s="131"/>
      <c r="D145" s="131"/>
      <c r="E145" s="132"/>
      <c r="F145" s="131"/>
      <c r="G145" s="36"/>
      <c r="H145" s="131"/>
      <c r="I145" s="133"/>
      <c r="J145" s="133"/>
      <c r="K145" s="133"/>
      <c r="L145" s="131"/>
      <c r="M145" s="131"/>
      <c r="N145" s="131"/>
      <c r="O145" s="133"/>
      <c r="P145" s="133"/>
      <c r="Q145" s="133"/>
      <c r="R145" s="131"/>
      <c r="S145" s="134"/>
      <c r="T145" s="134"/>
    </row>
    <row r="146" ht="22.5" customHeight="1">
      <c r="A146" s="131"/>
      <c r="B146" s="131"/>
      <c r="C146" s="131"/>
      <c r="D146" s="131"/>
      <c r="E146" s="132"/>
      <c r="F146" s="131"/>
      <c r="G146" s="36"/>
      <c r="H146" s="131"/>
      <c r="I146" s="133"/>
      <c r="J146" s="133"/>
      <c r="K146" s="133"/>
      <c r="L146" s="131"/>
      <c r="M146" s="131"/>
      <c r="N146" s="131"/>
      <c r="O146" s="133"/>
      <c r="P146" s="133"/>
      <c r="Q146" s="133"/>
      <c r="R146" s="131"/>
      <c r="S146" s="134"/>
      <c r="T146" s="134"/>
    </row>
    <row r="147" ht="22.5" customHeight="1">
      <c r="A147" s="131"/>
      <c r="B147" s="131"/>
      <c r="C147" s="131"/>
      <c r="D147" s="131"/>
      <c r="E147" s="132"/>
      <c r="F147" s="131"/>
      <c r="G147" s="36"/>
      <c r="H147" s="131"/>
      <c r="I147" s="133"/>
      <c r="J147" s="133"/>
      <c r="K147" s="133"/>
      <c r="L147" s="131"/>
      <c r="M147" s="131"/>
      <c r="N147" s="131"/>
      <c r="O147" s="133"/>
      <c r="P147" s="133"/>
      <c r="Q147" s="133"/>
      <c r="R147" s="131"/>
      <c r="S147" s="134"/>
      <c r="T147" s="134"/>
    </row>
    <row r="148" ht="22.5" customHeight="1">
      <c r="A148" s="131"/>
      <c r="B148" s="131"/>
      <c r="C148" s="131"/>
      <c r="D148" s="131"/>
      <c r="E148" s="132"/>
      <c r="F148" s="131"/>
      <c r="G148" s="36"/>
      <c r="H148" s="131"/>
      <c r="I148" s="133"/>
      <c r="J148" s="133"/>
      <c r="K148" s="133"/>
      <c r="L148" s="131"/>
      <c r="M148" s="131"/>
      <c r="N148" s="131"/>
      <c r="O148" s="133"/>
      <c r="P148" s="133"/>
      <c r="Q148" s="133"/>
      <c r="R148" s="131"/>
      <c r="S148" s="134"/>
      <c r="T148" s="134"/>
    </row>
    <row r="149" ht="22.5" customHeight="1">
      <c r="A149" s="131"/>
      <c r="B149" s="131"/>
      <c r="C149" s="131"/>
      <c r="D149" s="131"/>
      <c r="E149" s="132"/>
      <c r="F149" s="131"/>
      <c r="G149" s="36"/>
      <c r="H149" s="131"/>
      <c r="I149" s="133"/>
      <c r="J149" s="133"/>
      <c r="K149" s="133"/>
      <c r="L149" s="131"/>
      <c r="M149" s="131"/>
      <c r="N149" s="131"/>
      <c r="O149" s="133"/>
      <c r="P149" s="133"/>
      <c r="Q149" s="133"/>
      <c r="R149" s="131"/>
      <c r="S149" s="134"/>
      <c r="T149" s="134"/>
    </row>
    <row r="150" ht="22.5" customHeight="1">
      <c r="A150" s="131"/>
      <c r="B150" s="131"/>
      <c r="C150" s="131"/>
      <c r="D150" s="131"/>
      <c r="E150" s="132"/>
      <c r="F150" s="131"/>
      <c r="G150" s="36"/>
      <c r="H150" s="131"/>
      <c r="I150" s="133"/>
      <c r="J150" s="133"/>
      <c r="K150" s="133"/>
      <c r="L150" s="131"/>
      <c r="M150" s="131"/>
      <c r="N150" s="131"/>
      <c r="O150" s="133"/>
      <c r="P150" s="133"/>
      <c r="Q150" s="133"/>
      <c r="R150" s="131"/>
      <c r="S150" s="134"/>
      <c r="T150" s="134"/>
    </row>
    <row r="151" ht="22.5" customHeight="1">
      <c r="A151" s="131"/>
      <c r="B151" s="131"/>
      <c r="C151" s="131"/>
      <c r="D151" s="131"/>
      <c r="E151" s="132"/>
      <c r="F151" s="131"/>
      <c r="G151" s="36"/>
      <c r="H151" s="131"/>
      <c r="I151" s="133"/>
      <c r="J151" s="133"/>
      <c r="K151" s="133"/>
      <c r="L151" s="131"/>
      <c r="M151" s="131"/>
      <c r="N151" s="131"/>
      <c r="O151" s="133"/>
      <c r="P151" s="133"/>
      <c r="Q151" s="133"/>
      <c r="R151" s="131"/>
      <c r="S151" s="134"/>
      <c r="T151" s="134"/>
    </row>
    <row r="152" ht="22.5" customHeight="1">
      <c r="A152" s="131"/>
      <c r="B152" s="131"/>
      <c r="C152" s="131"/>
      <c r="D152" s="131"/>
      <c r="E152" s="132"/>
      <c r="F152" s="131"/>
      <c r="G152" s="36"/>
      <c r="H152" s="131"/>
      <c r="I152" s="133"/>
      <c r="J152" s="133"/>
      <c r="K152" s="133"/>
      <c r="L152" s="131"/>
      <c r="M152" s="131"/>
      <c r="N152" s="131"/>
      <c r="O152" s="133"/>
      <c r="P152" s="133"/>
      <c r="Q152" s="133"/>
      <c r="R152" s="131"/>
      <c r="S152" s="134"/>
      <c r="T152" s="134"/>
    </row>
    <row r="153" ht="22.5" customHeight="1">
      <c r="A153" s="131"/>
      <c r="B153" s="131"/>
      <c r="C153" s="131"/>
      <c r="D153" s="131"/>
      <c r="E153" s="132"/>
      <c r="F153" s="131"/>
      <c r="G153" s="36"/>
      <c r="H153" s="131"/>
      <c r="I153" s="133"/>
      <c r="J153" s="133"/>
      <c r="K153" s="133"/>
      <c r="L153" s="131"/>
      <c r="M153" s="131"/>
      <c r="N153" s="131"/>
      <c r="O153" s="133"/>
      <c r="P153" s="133"/>
      <c r="Q153" s="133"/>
      <c r="R153" s="131"/>
      <c r="S153" s="134"/>
      <c r="T153" s="134"/>
    </row>
    <row r="154" ht="22.5" customHeight="1">
      <c r="A154" s="131"/>
      <c r="B154" s="131"/>
      <c r="C154" s="131"/>
      <c r="D154" s="131"/>
      <c r="E154" s="132"/>
      <c r="F154" s="131"/>
      <c r="G154" s="36"/>
      <c r="H154" s="131"/>
      <c r="I154" s="133"/>
      <c r="J154" s="133"/>
      <c r="K154" s="133"/>
      <c r="L154" s="131"/>
      <c r="M154" s="131"/>
      <c r="N154" s="131"/>
      <c r="O154" s="133"/>
      <c r="P154" s="133"/>
      <c r="Q154" s="133"/>
      <c r="R154" s="131"/>
      <c r="S154" s="134"/>
      <c r="T154" s="134"/>
    </row>
    <row r="155" ht="22.5" customHeight="1">
      <c r="A155" s="131"/>
      <c r="B155" s="131"/>
      <c r="C155" s="131"/>
      <c r="D155" s="131"/>
      <c r="E155" s="132"/>
      <c r="F155" s="131"/>
      <c r="G155" s="36"/>
      <c r="H155" s="131"/>
      <c r="I155" s="133"/>
      <c r="J155" s="133"/>
      <c r="K155" s="133"/>
      <c r="L155" s="131"/>
      <c r="M155" s="131"/>
      <c r="N155" s="131"/>
      <c r="O155" s="133"/>
      <c r="P155" s="133"/>
      <c r="Q155" s="133"/>
      <c r="R155" s="131"/>
      <c r="S155" s="134"/>
      <c r="T155" s="134"/>
    </row>
    <row r="156" ht="22.5" customHeight="1">
      <c r="A156" s="131"/>
      <c r="B156" s="131"/>
      <c r="C156" s="131"/>
      <c r="D156" s="131"/>
      <c r="E156" s="132"/>
      <c r="F156" s="131"/>
      <c r="G156" s="36"/>
      <c r="H156" s="131"/>
      <c r="I156" s="133"/>
      <c r="J156" s="133"/>
      <c r="K156" s="133"/>
      <c r="L156" s="131"/>
      <c r="M156" s="131"/>
      <c r="N156" s="131"/>
      <c r="O156" s="133"/>
      <c r="P156" s="133"/>
      <c r="Q156" s="133"/>
      <c r="R156" s="131"/>
      <c r="S156" s="134"/>
      <c r="T156" s="134"/>
    </row>
    <row r="157" ht="22.5" customHeight="1">
      <c r="A157" s="131"/>
      <c r="B157" s="131"/>
      <c r="C157" s="131"/>
      <c r="D157" s="131"/>
      <c r="E157" s="132"/>
      <c r="F157" s="131"/>
      <c r="G157" s="36"/>
      <c r="H157" s="131"/>
      <c r="I157" s="133"/>
      <c r="J157" s="133"/>
      <c r="K157" s="133"/>
      <c r="L157" s="131"/>
      <c r="M157" s="131"/>
      <c r="N157" s="131"/>
      <c r="O157" s="133"/>
      <c r="P157" s="133"/>
      <c r="Q157" s="133"/>
      <c r="R157" s="131"/>
      <c r="S157" s="134"/>
      <c r="T157" s="134"/>
    </row>
    <row r="158" ht="22.5" customHeight="1">
      <c r="A158" s="131"/>
      <c r="B158" s="131"/>
      <c r="C158" s="131"/>
      <c r="D158" s="131"/>
      <c r="E158" s="132"/>
      <c r="F158" s="131"/>
      <c r="G158" s="36"/>
      <c r="H158" s="131"/>
      <c r="I158" s="133"/>
      <c r="J158" s="133"/>
      <c r="K158" s="133"/>
      <c r="L158" s="131"/>
      <c r="M158" s="131"/>
      <c r="N158" s="131"/>
      <c r="O158" s="133"/>
      <c r="P158" s="133"/>
      <c r="Q158" s="133"/>
      <c r="R158" s="131"/>
      <c r="S158" s="134"/>
      <c r="T158" s="134"/>
    </row>
    <row r="159" ht="22.5" customHeight="1">
      <c r="A159" s="131"/>
      <c r="B159" s="131"/>
      <c r="C159" s="131"/>
      <c r="D159" s="131"/>
      <c r="E159" s="132"/>
      <c r="F159" s="131"/>
      <c r="G159" s="36"/>
      <c r="H159" s="131"/>
      <c r="I159" s="133"/>
      <c r="J159" s="133"/>
      <c r="K159" s="133"/>
      <c r="L159" s="131"/>
      <c r="M159" s="131"/>
      <c r="N159" s="131"/>
      <c r="O159" s="133"/>
      <c r="P159" s="133"/>
      <c r="Q159" s="133"/>
      <c r="R159" s="131"/>
      <c r="S159" s="134"/>
      <c r="T159" s="134"/>
    </row>
    <row r="160" ht="22.5" customHeight="1">
      <c r="A160" s="131"/>
      <c r="B160" s="131"/>
      <c r="C160" s="131"/>
      <c r="D160" s="131"/>
      <c r="E160" s="132"/>
      <c r="F160" s="131"/>
      <c r="G160" s="36"/>
      <c r="H160" s="131"/>
      <c r="I160" s="133"/>
      <c r="J160" s="133"/>
      <c r="K160" s="133"/>
      <c r="L160" s="131"/>
      <c r="M160" s="131"/>
      <c r="N160" s="131"/>
      <c r="O160" s="133"/>
      <c r="P160" s="133"/>
      <c r="Q160" s="133"/>
      <c r="R160" s="131"/>
      <c r="S160" s="134"/>
      <c r="T160" s="134"/>
    </row>
    <row r="161" ht="22.5" customHeight="1">
      <c r="A161" s="131"/>
      <c r="B161" s="131"/>
      <c r="C161" s="131"/>
      <c r="D161" s="131"/>
      <c r="E161" s="132"/>
      <c r="F161" s="131"/>
      <c r="G161" s="36"/>
      <c r="H161" s="131"/>
      <c r="I161" s="133"/>
      <c r="J161" s="133"/>
      <c r="K161" s="133"/>
      <c r="L161" s="131"/>
      <c r="M161" s="131"/>
      <c r="N161" s="131"/>
      <c r="O161" s="133"/>
      <c r="P161" s="133"/>
      <c r="Q161" s="133"/>
      <c r="R161" s="131"/>
      <c r="S161" s="134"/>
      <c r="T161" s="134"/>
    </row>
    <row r="162" ht="22.5" customHeight="1">
      <c r="A162" s="131"/>
      <c r="B162" s="131"/>
      <c r="C162" s="131"/>
      <c r="D162" s="131"/>
      <c r="E162" s="132"/>
      <c r="F162" s="131"/>
      <c r="G162" s="36"/>
      <c r="H162" s="131"/>
      <c r="I162" s="133"/>
      <c r="J162" s="133"/>
      <c r="K162" s="133"/>
      <c r="L162" s="131"/>
      <c r="M162" s="131"/>
      <c r="N162" s="131"/>
      <c r="O162" s="133"/>
      <c r="P162" s="133"/>
      <c r="Q162" s="133"/>
      <c r="R162" s="131"/>
      <c r="S162" s="134"/>
      <c r="T162" s="134"/>
    </row>
    <row r="163" ht="22.5" customHeight="1">
      <c r="A163" s="131"/>
      <c r="B163" s="131"/>
      <c r="C163" s="131"/>
      <c r="D163" s="131"/>
      <c r="E163" s="132"/>
      <c r="F163" s="131"/>
      <c r="G163" s="36"/>
      <c r="H163" s="131"/>
      <c r="I163" s="133"/>
      <c r="J163" s="133"/>
      <c r="K163" s="133"/>
      <c r="L163" s="131"/>
      <c r="M163" s="131"/>
      <c r="N163" s="131"/>
      <c r="O163" s="133"/>
      <c r="P163" s="133"/>
      <c r="Q163" s="133"/>
      <c r="R163" s="131"/>
      <c r="S163" s="134"/>
      <c r="T163" s="134"/>
    </row>
    <row r="164" ht="22.5" customHeight="1">
      <c r="A164" s="131"/>
      <c r="B164" s="131"/>
      <c r="C164" s="131"/>
      <c r="D164" s="131"/>
      <c r="E164" s="132"/>
      <c r="F164" s="131"/>
      <c r="G164" s="36"/>
      <c r="H164" s="131"/>
      <c r="I164" s="133"/>
      <c r="J164" s="133"/>
      <c r="K164" s="133"/>
      <c r="L164" s="131"/>
      <c r="M164" s="131"/>
      <c r="N164" s="131"/>
      <c r="O164" s="133"/>
      <c r="P164" s="133"/>
      <c r="Q164" s="133"/>
      <c r="R164" s="131"/>
      <c r="S164" s="134"/>
      <c r="T164" s="134"/>
    </row>
    <row r="165" ht="22.5" customHeight="1">
      <c r="A165" s="131"/>
      <c r="B165" s="131"/>
      <c r="C165" s="131"/>
      <c r="D165" s="131"/>
      <c r="E165" s="132"/>
      <c r="F165" s="131"/>
      <c r="G165" s="36"/>
      <c r="H165" s="131"/>
      <c r="I165" s="133"/>
      <c r="J165" s="133"/>
      <c r="K165" s="133"/>
      <c r="L165" s="131"/>
      <c r="M165" s="131"/>
      <c r="N165" s="131"/>
      <c r="O165" s="133"/>
      <c r="P165" s="133"/>
      <c r="Q165" s="133"/>
      <c r="R165" s="131"/>
      <c r="S165" s="134"/>
      <c r="T165" s="134"/>
    </row>
    <row r="166" ht="22.5" customHeight="1">
      <c r="A166" s="131"/>
      <c r="B166" s="131"/>
      <c r="C166" s="131"/>
      <c r="D166" s="131"/>
      <c r="E166" s="132"/>
      <c r="F166" s="131"/>
      <c r="G166" s="36"/>
      <c r="H166" s="131"/>
      <c r="I166" s="133"/>
      <c r="J166" s="133"/>
      <c r="K166" s="133"/>
      <c r="L166" s="131"/>
      <c r="M166" s="131"/>
      <c r="N166" s="131"/>
      <c r="O166" s="133"/>
      <c r="P166" s="133"/>
      <c r="Q166" s="133"/>
      <c r="R166" s="131"/>
      <c r="S166" s="134"/>
      <c r="T166" s="134"/>
    </row>
    <row r="167" ht="22.5" customHeight="1">
      <c r="A167" s="131"/>
      <c r="B167" s="131"/>
      <c r="C167" s="131"/>
      <c r="D167" s="131"/>
      <c r="E167" s="132"/>
      <c r="F167" s="131"/>
      <c r="G167" s="36"/>
      <c r="H167" s="131"/>
      <c r="I167" s="133"/>
      <c r="J167" s="133"/>
      <c r="K167" s="133"/>
      <c r="L167" s="131"/>
      <c r="M167" s="131"/>
      <c r="N167" s="131"/>
      <c r="O167" s="133"/>
      <c r="P167" s="133"/>
      <c r="Q167" s="133"/>
      <c r="R167" s="131"/>
      <c r="S167" s="134"/>
      <c r="T167" s="134"/>
    </row>
    <row r="168" ht="22.5" customHeight="1">
      <c r="A168" s="131"/>
      <c r="B168" s="131"/>
      <c r="C168" s="131"/>
      <c r="D168" s="131"/>
      <c r="E168" s="132"/>
      <c r="F168" s="131"/>
      <c r="G168" s="36"/>
      <c r="H168" s="131"/>
      <c r="I168" s="133"/>
      <c r="J168" s="133"/>
      <c r="K168" s="133"/>
      <c r="L168" s="131"/>
      <c r="M168" s="131"/>
      <c r="N168" s="131"/>
      <c r="O168" s="133"/>
      <c r="P168" s="133"/>
      <c r="Q168" s="133"/>
      <c r="R168" s="131"/>
      <c r="S168" s="134"/>
      <c r="T168" s="134"/>
    </row>
    <row r="169" ht="22.5" customHeight="1">
      <c r="A169" s="131"/>
      <c r="B169" s="131"/>
      <c r="C169" s="131"/>
      <c r="D169" s="131"/>
      <c r="E169" s="132"/>
      <c r="F169" s="131"/>
      <c r="G169" s="36"/>
      <c r="H169" s="131"/>
      <c r="I169" s="133"/>
      <c r="J169" s="133"/>
      <c r="K169" s="133"/>
      <c r="L169" s="131"/>
      <c r="M169" s="131"/>
      <c r="N169" s="131"/>
      <c r="O169" s="133"/>
      <c r="P169" s="133"/>
      <c r="Q169" s="133"/>
      <c r="R169" s="131"/>
      <c r="S169" s="134"/>
      <c r="T169" s="134"/>
    </row>
    <row r="170" ht="22.5" customHeight="1">
      <c r="A170" s="131"/>
      <c r="B170" s="131"/>
      <c r="C170" s="131"/>
      <c r="D170" s="131"/>
      <c r="E170" s="132"/>
      <c r="F170" s="131"/>
      <c r="G170" s="36"/>
      <c r="H170" s="131"/>
      <c r="I170" s="133"/>
      <c r="J170" s="133"/>
      <c r="K170" s="133"/>
      <c r="L170" s="131"/>
      <c r="M170" s="131"/>
      <c r="N170" s="131"/>
      <c r="O170" s="133"/>
      <c r="P170" s="133"/>
      <c r="Q170" s="133"/>
      <c r="R170" s="131"/>
      <c r="S170" s="134"/>
      <c r="T170" s="134"/>
    </row>
    <row r="171" ht="22.5" customHeight="1">
      <c r="A171" s="131"/>
      <c r="B171" s="131"/>
      <c r="C171" s="131"/>
      <c r="D171" s="131"/>
      <c r="E171" s="132"/>
      <c r="F171" s="131"/>
      <c r="G171" s="36"/>
      <c r="H171" s="131"/>
      <c r="I171" s="133"/>
      <c r="J171" s="133"/>
      <c r="K171" s="133"/>
      <c r="L171" s="131"/>
      <c r="M171" s="131"/>
      <c r="N171" s="131"/>
      <c r="O171" s="133"/>
      <c r="P171" s="133"/>
      <c r="Q171" s="133"/>
      <c r="R171" s="131"/>
      <c r="S171" s="134"/>
      <c r="T171" s="134"/>
    </row>
    <row r="172" ht="22.5" customHeight="1">
      <c r="A172" s="131"/>
      <c r="B172" s="131"/>
      <c r="C172" s="131"/>
      <c r="D172" s="131"/>
      <c r="E172" s="132"/>
      <c r="F172" s="131"/>
      <c r="G172" s="36"/>
      <c r="H172" s="131"/>
      <c r="I172" s="133"/>
      <c r="J172" s="133"/>
      <c r="K172" s="133"/>
      <c r="L172" s="131"/>
      <c r="M172" s="131"/>
      <c r="N172" s="131"/>
      <c r="O172" s="133"/>
      <c r="P172" s="133"/>
      <c r="Q172" s="133"/>
      <c r="R172" s="131"/>
      <c r="S172" s="134"/>
      <c r="T172" s="134"/>
    </row>
    <row r="173" ht="22.5" customHeight="1">
      <c r="A173" s="131"/>
      <c r="B173" s="131"/>
      <c r="C173" s="131"/>
      <c r="D173" s="131"/>
      <c r="E173" s="132"/>
      <c r="F173" s="131"/>
      <c r="G173" s="36"/>
      <c r="H173" s="131"/>
      <c r="I173" s="133"/>
      <c r="J173" s="133"/>
      <c r="K173" s="133"/>
      <c r="L173" s="131"/>
      <c r="M173" s="131"/>
      <c r="N173" s="131"/>
      <c r="O173" s="133"/>
      <c r="P173" s="133"/>
      <c r="Q173" s="133"/>
      <c r="R173" s="131"/>
      <c r="S173" s="134"/>
      <c r="T173" s="134"/>
    </row>
    <row r="174" ht="22.5" customHeight="1">
      <c r="A174" s="131"/>
      <c r="B174" s="131"/>
      <c r="C174" s="131"/>
      <c r="D174" s="131"/>
      <c r="E174" s="132"/>
      <c r="F174" s="131"/>
      <c r="G174" s="36"/>
      <c r="H174" s="131"/>
      <c r="I174" s="133"/>
      <c r="J174" s="133"/>
      <c r="K174" s="133"/>
      <c r="L174" s="131"/>
      <c r="M174" s="131"/>
      <c r="N174" s="131"/>
      <c r="O174" s="133"/>
      <c r="P174" s="133"/>
      <c r="Q174" s="133"/>
      <c r="R174" s="131"/>
      <c r="S174" s="134"/>
      <c r="T174" s="134"/>
    </row>
    <row r="175" ht="22.5" customHeight="1">
      <c r="A175" s="131"/>
      <c r="B175" s="131"/>
      <c r="C175" s="131"/>
      <c r="D175" s="131"/>
      <c r="E175" s="132"/>
      <c r="F175" s="131"/>
      <c r="G175" s="36"/>
      <c r="H175" s="131"/>
      <c r="I175" s="133"/>
      <c r="J175" s="133"/>
      <c r="K175" s="133"/>
      <c r="L175" s="131"/>
      <c r="M175" s="131"/>
      <c r="N175" s="131"/>
      <c r="O175" s="133"/>
      <c r="P175" s="133"/>
      <c r="Q175" s="133"/>
      <c r="R175" s="131"/>
      <c r="S175" s="134"/>
      <c r="T175" s="134"/>
    </row>
    <row r="176" ht="22.5" customHeight="1">
      <c r="A176" s="131"/>
      <c r="B176" s="131"/>
      <c r="C176" s="131"/>
      <c r="D176" s="131"/>
      <c r="E176" s="132"/>
      <c r="F176" s="131"/>
      <c r="G176" s="36"/>
      <c r="H176" s="131"/>
      <c r="I176" s="133"/>
      <c r="J176" s="133"/>
      <c r="K176" s="133"/>
      <c r="L176" s="131"/>
      <c r="M176" s="131"/>
      <c r="N176" s="131"/>
      <c r="O176" s="133"/>
      <c r="P176" s="133"/>
      <c r="Q176" s="133"/>
      <c r="R176" s="131"/>
      <c r="S176" s="134"/>
      <c r="T176" s="134"/>
    </row>
    <row r="177" ht="22.5" customHeight="1">
      <c r="A177" s="131"/>
      <c r="B177" s="131"/>
      <c r="C177" s="131"/>
      <c r="D177" s="131"/>
      <c r="E177" s="132"/>
      <c r="F177" s="131"/>
      <c r="G177" s="36"/>
      <c r="H177" s="131"/>
      <c r="I177" s="133"/>
      <c r="J177" s="133"/>
      <c r="K177" s="133"/>
      <c r="L177" s="131"/>
      <c r="M177" s="131"/>
      <c r="N177" s="131"/>
      <c r="O177" s="133"/>
      <c r="P177" s="133"/>
      <c r="Q177" s="133"/>
      <c r="R177" s="131"/>
      <c r="S177" s="134"/>
      <c r="T177" s="134"/>
    </row>
    <row r="178" ht="22.5" customHeight="1">
      <c r="A178" s="131"/>
      <c r="B178" s="131"/>
      <c r="C178" s="131"/>
      <c r="D178" s="131"/>
      <c r="E178" s="132"/>
      <c r="F178" s="131"/>
      <c r="G178" s="36"/>
      <c r="H178" s="131"/>
      <c r="I178" s="133"/>
      <c r="J178" s="133"/>
      <c r="K178" s="133"/>
      <c r="L178" s="131"/>
      <c r="M178" s="131"/>
      <c r="N178" s="131"/>
      <c r="O178" s="133"/>
      <c r="P178" s="133"/>
      <c r="Q178" s="133"/>
      <c r="R178" s="131"/>
      <c r="S178" s="134"/>
      <c r="T178" s="134"/>
    </row>
    <row r="179" ht="22.5" customHeight="1">
      <c r="A179" s="131"/>
      <c r="B179" s="131"/>
      <c r="C179" s="131"/>
      <c r="D179" s="131"/>
      <c r="E179" s="132"/>
      <c r="F179" s="131"/>
      <c r="G179" s="36"/>
      <c r="H179" s="131"/>
      <c r="I179" s="133"/>
      <c r="J179" s="133"/>
      <c r="K179" s="133"/>
      <c r="L179" s="131"/>
      <c r="M179" s="131"/>
      <c r="N179" s="131"/>
      <c r="O179" s="133"/>
      <c r="P179" s="133"/>
      <c r="Q179" s="133"/>
      <c r="R179" s="131"/>
      <c r="S179" s="134"/>
      <c r="T179" s="134"/>
    </row>
    <row r="180" ht="22.5" customHeight="1">
      <c r="A180" s="131"/>
      <c r="B180" s="131"/>
      <c r="C180" s="131"/>
      <c r="D180" s="131"/>
      <c r="E180" s="132"/>
      <c r="F180" s="131"/>
      <c r="G180" s="36"/>
      <c r="H180" s="131"/>
      <c r="I180" s="133"/>
      <c r="J180" s="133"/>
      <c r="K180" s="133"/>
      <c r="L180" s="131"/>
      <c r="M180" s="131"/>
      <c r="N180" s="131"/>
      <c r="O180" s="133"/>
      <c r="P180" s="133"/>
      <c r="Q180" s="133"/>
      <c r="R180" s="131"/>
      <c r="S180" s="134"/>
      <c r="T180" s="134"/>
    </row>
    <row r="181" ht="22.5" customHeight="1">
      <c r="A181" s="131"/>
      <c r="B181" s="131"/>
      <c r="C181" s="131"/>
      <c r="D181" s="131"/>
      <c r="E181" s="132"/>
      <c r="F181" s="131"/>
      <c r="G181" s="36"/>
      <c r="H181" s="131"/>
      <c r="I181" s="133"/>
      <c r="J181" s="133"/>
      <c r="K181" s="133"/>
      <c r="L181" s="131"/>
      <c r="M181" s="131"/>
      <c r="N181" s="131"/>
      <c r="O181" s="133"/>
      <c r="P181" s="133"/>
      <c r="Q181" s="133"/>
      <c r="R181" s="131"/>
      <c r="S181" s="134"/>
      <c r="T181" s="134"/>
    </row>
    <row r="182" ht="22.5" customHeight="1">
      <c r="A182" s="131"/>
      <c r="B182" s="131"/>
      <c r="C182" s="131"/>
      <c r="D182" s="131"/>
      <c r="E182" s="132"/>
      <c r="F182" s="131"/>
      <c r="G182" s="36"/>
      <c r="H182" s="131"/>
      <c r="I182" s="133"/>
      <c r="J182" s="133"/>
      <c r="K182" s="133"/>
      <c r="L182" s="131"/>
      <c r="M182" s="131"/>
      <c r="N182" s="131"/>
      <c r="O182" s="133"/>
      <c r="P182" s="133"/>
      <c r="Q182" s="133"/>
      <c r="R182" s="131"/>
      <c r="S182" s="134"/>
      <c r="T182" s="134"/>
    </row>
    <row r="183" ht="22.5" customHeight="1">
      <c r="A183" s="131"/>
      <c r="B183" s="131"/>
      <c r="C183" s="131"/>
      <c r="D183" s="131"/>
      <c r="E183" s="132"/>
      <c r="F183" s="131"/>
      <c r="G183" s="36"/>
      <c r="H183" s="131"/>
      <c r="I183" s="133"/>
      <c r="J183" s="133"/>
      <c r="K183" s="133"/>
      <c r="L183" s="131"/>
      <c r="M183" s="131"/>
      <c r="N183" s="131"/>
      <c r="O183" s="133"/>
      <c r="P183" s="133"/>
      <c r="Q183" s="133"/>
      <c r="R183" s="131"/>
      <c r="S183" s="134"/>
      <c r="T183" s="134"/>
    </row>
    <row r="184" ht="22.5" customHeight="1">
      <c r="A184" s="131"/>
      <c r="B184" s="131"/>
      <c r="C184" s="131"/>
      <c r="D184" s="131"/>
      <c r="E184" s="132"/>
      <c r="F184" s="131"/>
      <c r="G184" s="36"/>
      <c r="H184" s="131"/>
      <c r="I184" s="133"/>
      <c r="J184" s="133"/>
      <c r="K184" s="133"/>
      <c r="L184" s="131"/>
      <c r="M184" s="131"/>
      <c r="N184" s="131"/>
      <c r="O184" s="133"/>
      <c r="P184" s="133"/>
      <c r="Q184" s="133"/>
      <c r="R184" s="131"/>
      <c r="S184" s="134"/>
      <c r="T184" s="134"/>
    </row>
    <row r="185" ht="22.5" customHeight="1">
      <c r="A185" s="131"/>
      <c r="B185" s="131"/>
      <c r="C185" s="131"/>
      <c r="D185" s="131"/>
      <c r="E185" s="132"/>
      <c r="F185" s="131"/>
      <c r="G185" s="36"/>
      <c r="H185" s="131"/>
      <c r="I185" s="133"/>
      <c r="J185" s="133"/>
      <c r="K185" s="133"/>
      <c r="L185" s="131"/>
      <c r="M185" s="131"/>
      <c r="N185" s="131"/>
      <c r="O185" s="133"/>
      <c r="P185" s="133"/>
      <c r="Q185" s="133"/>
      <c r="R185" s="131"/>
      <c r="S185" s="134"/>
      <c r="T185" s="134"/>
    </row>
    <row r="186" ht="22.5" customHeight="1">
      <c r="A186" s="131"/>
      <c r="B186" s="131"/>
      <c r="C186" s="131"/>
      <c r="D186" s="131"/>
      <c r="E186" s="132"/>
      <c r="F186" s="131"/>
      <c r="G186" s="36"/>
      <c r="H186" s="131"/>
      <c r="I186" s="133"/>
      <c r="J186" s="133"/>
      <c r="K186" s="133"/>
      <c r="L186" s="131"/>
      <c r="M186" s="131"/>
      <c r="N186" s="131"/>
      <c r="O186" s="133"/>
      <c r="P186" s="133"/>
      <c r="Q186" s="133"/>
      <c r="R186" s="131"/>
      <c r="S186" s="134"/>
      <c r="T186" s="134"/>
    </row>
    <row r="187" ht="22.5" customHeight="1">
      <c r="A187" s="131"/>
      <c r="B187" s="131"/>
      <c r="C187" s="131"/>
      <c r="D187" s="131"/>
      <c r="E187" s="132"/>
      <c r="F187" s="131"/>
      <c r="G187" s="36"/>
      <c r="H187" s="131"/>
      <c r="I187" s="133"/>
      <c r="J187" s="133"/>
      <c r="K187" s="133"/>
      <c r="L187" s="131"/>
      <c r="M187" s="131"/>
      <c r="N187" s="131"/>
      <c r="O187" s="133"/>
      <c r="P187" s="133"/>
      <c r="Q187" s="133"/>
      <c r="R187" s="131"/>
      <c r="S187" s="134"/>
      <c r="T187" s="134"/>
    </row>
    <row r="188" ht="22.5" customHeight="1">
      <c r="A188" s="131"/>
      <c r="B188" s="131"/>
      <c r="C188" s="131"/>
      <c r="D188" s="131"/>
      <c r="E188" s="132"/>
      <c r="F188" s="131"/>
      <c r="G188" s="36"/>
      <c r="H188" s="131"/>
      <c r="I188" s="133"/>
      <c r="J188" s="133"/>
      <c r="K188" s="133"/>
      <c r="L188" s="131"/>
      <c r="M188" s="131"/>
      <c r="N188" s="131"/>
      <c r="O188" s="133"/>
      <c r="P188" s="133"/>
      <c r="Q188" s="133"/>
      <c r="R188" s="131"/>
      <c r="S188" s="134"/>
      <c r="T188" s="134"/>
    </row>
    <row r="189" ht="22.5" customHeight="1">
      <c r="A189" s="131"/>
      <c r="B189" s="131"/>
      <c r="C189" s="131"/>
      <c r="D189" s="131"/>
      <c r="E189" s="132"/>
      <c r="F189" s="131"/>
      <c r="G189" s="36"/>
      <c r="H189" s="131"/>
      <c r="I189" s="133"/>
      <c r="J189" s="133"/>
      <c r="K189" s="133"/>
      <c r="L189" s="131"/>
      <c r="M189" s="131"/>
      <c r="N189" s="131"/>
      <c r="O189" s="133"/>
      <c r="P189" s="133"/>
      <c r="Q189" s="133"/>
      <c r="R189" s="131"/>
      <c r="S189" s="134"/>
      <c r="T189" s="134"/>
    </row>
    <row r="190" ht="22.5" customHeight="1">
      <c r="A190" s="131"/>
      <c r="B190" s="131"/>
      <c r="C190" s="131"/>
      <c r="D190" s="131"/>
      <c r="E190" s="132"/>
      <c r="F190" s="131"/>
      <c r="G190" s="36"/>
      <c r="H190" s="131"/>
      <c r="I190" s="133"/>
      <c r="J190" s="133"/>
      <c r="K190" s="133"/>
      <c r="L190" s="131"/>
      <c r="M190" s="131"/>
      <c r="N190" s="131"/>
      <c r="O190" s="133"/>
      <c r="P190" s="133"/>
      <c r="Q190" s="133"/>
      <c r="R190" s="131"/>
      <c r="S190" s="134"/>
      <c r="T190" s="134"/>
    </row>
    <row r="191" ht="22.5" customHeight="1">
      <c r="A191" s="131"/>
      <c r="B191" s="131"/>
      <c r="C191" s="131"/>
      <c r="D191" s="131"/>
      <c r="E191" s="132"/>
      <c r="F191" s="131"/>
      <c r="G191" s="36"/>
      <c r="H191" s="131"/>
      <c r="I191" s="133"/>
      <c r="J191" s="133"/>
      <c r="K191" s="133"/>
      <c r="L191" s="131"/>
      <c r="M191" s="131"/>
      <c r="N191" s="131"/>
      <c r="O191" s="133"/>
      <c r="P191" s="133"/>
      <c r="Q191" s="133"/>
      <c r="R191" s="131"/>
      <c r="S191" s="134"/>
      <c r="T191" s="134"/>
    </row>
    <row r="192" ht="22.5" customHeight="1">
      <c r="A192" s="131"/>
      <c r="B192" s="131"/>
      <c r="C192" s="131"/>
      <c r="D192" s="131"/>
      <c r="E192" s="132"/>
      <c r="F192" s="131"/>
      <c r="G192" s="36"/>
      <c r="H192" s="131"/>
      <c r="I192" s="133"/>
      <c r="J192" s="133"/>
      <c r="K192" s="133"/>
      <c r="L192" s="131"/>
      <c r="M192" s="131"/>
      <c r="N192" s="131"/>
      <c r="O192" s="133"/>
      <c r="P192" s="133"/>
      <c r="Q192" s="133"/>
      <c r="R192" s="131"/>
      <c r="S192" s="134"/>
      <c r="T192" s="134"/>
    </row>
    <row r="193" ht="22.5" customHeight="1">
      <c r="A193" s="131"/>
      <c r="B193" s="131"/>
      <c r="C193" s="131"/>
      <c r="D193" s="131"/>
      <c r="E193" s="132"/>
      <c r="F193" s="131"/>
      <c r="G193" s="36"/>
      <c r="H193" s="131"/>
      <c r="I193" s="133"/>
      <c r="J193" s="133"/>
      <c r="K193" s="133"/>
      <c r="L193" s="131"/>
      <c r="M193" s="131"/>
      <c r="N193" s="131"/>
      <c r="O193" s="133"/>
      <c r="P193" s="133"/>
      <c r="Q193" s="133"/>
      <c r="R193" s="131"/>
      <c r="S193" s="134"/>
      <c r="T193" s="134"/>
    </row>
    <row r="194" ht="22.5" customHeight="1">
      <c r="A194" s="131"/>
      <c r="B194" s="131"/>
      <c r="C194" s="131"/>
      <c r="D194" s="131"/>
      <c r="E194" s="132"/>
      <c r="F194" s="131"/>
      <c r="G194" s="36"/>
      <c r="H194" s="131"/>
      <c r="I194" s="133"/>
      <c r="J194" s="133"/>
      <c r="K194" s="133"/>
      <c r="L194" s="131"/>
      <c r="M194" s="131"/>
      <c r="N194" s="131"/>
      <c r="O194" s="133"/>
      <c r="P194" s="133"/>
      <c r="Q194" s="133"/>
      <c r="R194" s="131"/>
      <c r="S194" s="134"/>
      <c r="T194" s="134"/>
    </row>
    <row r="195" ht="22.5" customHeight="1">
      <c r="A195" s="131"/>
      <c r="B195" s="131"/>
      <c r="C195" s="131"/>
      <c r="D195" s="131"/>
      <c r="E195" s="132"/>
      <c r="F195" s="131"/>
      <c r="G195" s="36"/>
      <c r="H195" s="131"/>
      <c r="I195" s="133"/>
      <c r="J195" s="133"/>
      <c r="K195" s="133"/>
      <c r="L195" s="131"/>
      <c r="M195" s="131"/>
      <c r="N195" s="131"/>
      <c r="O195" s="133"/>
      <c r="P195" s="133"/>
      <c r="Q195" s="133"/>
      <c r="R195" s="131"/>
      <c r="S195" s="134"/>
      <c r="T195" s="134"/>
    </row>
    <row r="196" ht="22.5" customHeight="1">
      <c r="A196" s="131"/>
      <c r="B196" s="131"/>
      <c r="C196" s="131"/>
      <c r="D196" s="131"/>
      <c r="E196" s="132"/>
      <c r="F196" s="131"/>
      <c r="G196" s="36"/>
      <c r="H196" s="131"/>
      <c r="I196" s="133"/>
      <c r="J196" s="133"/>
      <c r="K196" s="133"/>
      <c r="L196" s="131"/>
      <c r="M196" s="131"/>
      <c r="N196" s="131"/>
      <c r="O196" s="133"/>
      <c r="P196" s="133"/>
      <c r="Q196" s="133"/>
      <c r="R196" s="131"/>
      <c r="S196" s="134"/>
      <c r="T196" s="134"/>
    </row>
    <row r="197" ht="22.5" customHeight="1">
      <c r="A197" s="131"/>
      <c r="B197" s="131"/>
      <c r="C197" s="131"/>
      <c r="D197" s="131"/>
      <c r="E197" s="132"/>
      <c r="F197" s="131"/>
      <c r="G197" s="36"/>
      <c r="H197" s="131"/>
      <c r="I197" s="133"/>
      <c r="J197" s="133"/>
      <c r="K197" s="133"/>
      <c r="L197" s="131"/>
      <c r="M197" s="131"/>
      <c r="N197" s="131"/>
      <c r="O197" s="133"/>
      <c r="P197" s="133"/>
      <c r="Q197" s="133"/>
      <c r="R197" s="131"/>
      <c r="S197" s="134"/>
      <c r="T197" s="134"/>
    </row>
    <row r="198" ht="22.5" customHeight="1">
      <c r="A198" s="131"/>
      <c r="B198" s="131"/>
      <c r="C198" s="131"/>
      <c r="D198" s="131"/>
      <c r="E198" s="132"/>
      <c r="F198" s="131"/>
      <c r="G198" s="36"/>
      <c r="H198" s="131"/>
      <c r="I198" s="133"/>
      <c r="J198" s="133"/>
      <c r="K198" s="133"/>
      <c r="L198" s="131"/>
      <c r="M198" s="131"/>
      <c r="N198" s="131"/>
      <c r="O198" s="133"/>
      <c r="P198" s="133"/>
      <c r="Q198" s="133"/>
      <c r="R198" s="131"/>
      <c r="S198" s="134"/>
      <c r="T198" s="134"/>
    </row>
    <row r="199" ht="22.5" customHeight="1">
      <c r="A199" s="131"/>
      <c r="B199" s="131"/>
      <c r="C199" s="131"/>
      <c r="D199" s="131"/>
      <c r="E199" s="132"/>
      <c r="F199" s="131"/>
      <c r="G199" s="36"/>
      <c r="H199" s="131"/>
      <c r="I199" s="133"/>
      <c r="J199" s="133"/>
      <c r="K199" s="133"/>
      <c r="L199" s="131"/>
      <c r="M199" s="131"/>
      <c r="N199" s="131"/>
      <c r="O199" s="133"/>
      <c r="P199" s="133"/>
      <c r="Q199" s="133"/>
      <c r="R199" s="131"/>
      <c r="S199" s="134"/>
      <c r="T199" s="134"/>
    </row>
    <row r="200" ht="22.5" customHeight="1">
      <c r="A200" s="131"/>
      <c r="B200" s="131"/>
      <c r="C200" s="131"/>
      <c r="D200" s="131"/>
      <c r="E200" s="132"/>
      <c r="F200" s="131"/>
      <c r="G200" s="36"/>
      <c r="H200" s="131"/>
      <c r="I200" s="133"/>
      <c r="J200" s="133"/>
      <c r="K200" s="133"/>
      <c r="L200" s="131"/>
      <c r="M200" s="131"/>
      <c r="N200" s="131"/>
      <c r="O200" s="133"/>
      <c r="P200" s="133"/>
      <c r="Q200" s="133"/>
      <c r="R200" s="131"/>
      <c r="S200" s="134"/>
      <c r="T200" s="134"/>
    </row>
    <row r="201" ht="22.5" customHeight="1">
      <c r="A201" s="131"/>
      <c r="B201" s="131"/>
      <c r="C201" s="131"/>
      <c r="D201" s="131"/>
      <c r="E201" s="132"/>
      <c r="F201" s="131"/>
      <c r="G201" s="36"/>
      <c r="H201" s="131"/>
      <c r="I201" s="133"/>
      <c r="J201" s="133"/>
      <c r="K201" s="133"/>
      <c r="L201" s="131"/>
      <c r="M201" s="131"/>
      <c r="N201" s="131"/>
      <c r="O201" s="133"/>
      <c r="P201" s="133"/>
      <c r="Q201" s="133"/>
      <c r="R201" s="131"/>
      <c r="S201" s="134"/>
      <c r="T201" s="134"/>
    </row>
    <row r="202" ht="22.5" customHeight="1">
      <c r="A202" s="131"/>
      <c r="B202" s="131"/>
      <c r="C202" s="131"/>
      <c r="D202" s="131"/>
      <c r="E202" s="132"/>
      <c r="F202" s="131"/>
      <c r="G202" s="36"/>
      <c r="H202" s="131"/>
      <c r="I202" s="133"/>
      <c r="J202" s="133"/>
      <c r="K202" s="133"/>
      <c r="L202" s="131"/>
      <c r="M202" s="131"/>
      <c r="N202" s="131"/>
      <c r="O202" s="133"/>
      <c r="P202" s="133"/>
      <c r="Q202" s="133"/>
      <c r="R202" s="131"/>
      <c r="S202" s="134"/>
      <c r="T202" s="134"/>
    </row>
    <row r="203" ht="22.5" customHeight="1">
      <c r="A203" s="131"/>
      <c r="B203" s="131"/>
      <c r="C203" s="131"/>
      <c r="D203" s="131"/>
      <c r="E203" s="132"/>
      <c r="F203" s="131"/>
      <c r="G203" s="36"/>
      <c r="H203" s="131"/>
      <c r="I203" s="133"/>
      <c r="J203" s="133"/>
      <c r="K203" s="133"/>
      <c r="L203" s="131"/>
      <c r="M203" s="131"/>
      <c r="N203" s="131"/>
      <c r="O203" s="133"/>
      <c r="P203" s="133"/>
      <c r="Q203" s="133"/>
      <c r="R203" s="131"/>
      <c r="S203" s="134"/>
      <c r="T203" s="134"/>
    </row>
    <row r="204" ht="22.5" customHeight="1">
      <c r="A204" s="131"/>
      <c r="B204" s="131"/>
      <c r="C204" s="131"/>
      <c r="D204" s="131"/>
      <c r="E204" s="132"/>
      <c r="F204" s="131"/>
      <c r="G204" s="36"/>
      <c r="H204" s="131"/>
      <c r="I204" s="133"/>
      <c r="J204" s="133"/>
      <c r="K204" s="133"/>
      <c r="L204" s="131"/>
      <c r="M204" s="131"/>
      <c r="N204" s="131"/>
      <c r="O204" s="133"/>
      <c r="P204" s="133"/>
      <c r="Q204" s="133"/>
      <c r="R204" s="131"/>
      <c r="S204" s="134"/>
      <c r="T204" s="134"/>
    </row>
    <row r="205" ht="22.5" customHeight="1">
      <c r="A205" s="131"/>
      <c r="B205" s="131"/>
      <c r="C205" s="131"/>
      <c r="D205" s="131"/>
      <c r="E205" s="132"/>
      <c r="F205" s="131"/>
      <c r="G205" s="36"/>
      <c r="H205" s="131"/>
      <c r="I205" s="133"/>
      <c r="J205" s="133"/>
      <c r="K205" s="133"/>
      <c r="L205" s="131"/>
      <c r="M205" s="131"/>
      <c r="N205" s="131"/>
      <c r="O205" s="133"/>
      <c r="P205" s="133"/>
      <c r="Q205" s="133"/>
      <c r="R205" s="131"/>
      <c r="S205" s="134"/>
      <c r="T205" s="134"/>
    </row>
    <row r="206" ht="22.5" customHeight="1">
      <c r="A206" s="131"/>
      <c r="B206" s="131"/>
      <c r="C206" s="131"/>
      <c r="D206" s="131"/>
      <c r="E206" s="132"/>
      <c r="F206" s="131"/>
      <c r="G206" s="36"/>
      <c r="H206" s="131"/>
      <c r="I206" s="133"/>
      <c r="J206" s="133"/>
      <c r="K206" s="133"/>
      <c r="L206" s="131"/>
      <c r="M206" s="131"/>
      <c r="N206" s="131"/>
      <c r="O206" s="133"/>
      <c r="P206" s="133"/>
      <c r="Q206" s="133"/>
      <c r="R206" s="131"/>
      <c r="S206" s="134"/>
      <c r="T206" s="134"/>
    </row>
    <row r="207" ht="22.5" customHeight="1">
      <c r="A207" s="131"/>
      <c r="B207" s="131"/>
      <c r="C207" s="131"/>
      <c r="D207" s="131"/>
      <c r="E207" s="132"/>
      <c r="F207" s="131"/>
      <c r="G207" s="36"/>
      <c r="H207" s="131"/>
      <c r="I207" s="133"/>
      <c r="J207" s="133"/>
      <c r="K207" s="133"/>
      <c r="L207" s="131"/>
      <c r="M207" s="131"/>
      <c r="N207" s="131"/>
      <c r="O207" s="133"/>
      <c r="P207" s="133"/>
      <c r="Q207" s="133"/>
      <c r="R207" s="131"/>
      <c r="S207" s="134"/>
      <c r="T207" s="134"/>
    </row>
    <row r="208" ht="22.5" customHeight="1">
      <c r="A208" s="131"/>
      <c r="B208" s="131"/>
      <c r="C208" s="131"/>
      <c r="D208" s="131"/>
      <c r="E208" s="132"/>
      <c r="F208" s="131"/>
      <c r="G208" s="36"/>
      <c r="H208" s="131"/>
      <c r="I208" s="133"/>
      <c r="J208" s="133"/>
      <c r="K208" s="133"/>
      <c r="L208" s="131"/>
      <c r="M208" s="131"/>
      <c r="N208" s="131"/>
      <c r="O208" s="133"/>
      <c r="P208" s="133"/>
      <c r="Q208" s="133"/>
      <c r="R208" s="131"/>
      <c r="S208" s="134"/>
      <c r="T208" s="134"/>
    </row>
    <row r="209" ht="22.5" customHeight="1">
      <c r="A209" s="131"/>
      <c r="B209" s="131"/>
      <c r="C209" s="131"/>
      <c r="D209" s="131"/>
      <c r="E209" s="132"/>
      <c r="F209" s="131"/>
      <c r="G209" s="36"/>
      <c r="H209" s="131"/>
      <c r="I209" s="133"/>
      <c r="J209" s="133"/>
      <c r="K209" s="133"/>
      <c r="L209" s="131"/>
      <c r="M209" s="131"/>
      <c r="N209" s="131"/>
      <c r="O209" s="133"/>
      <c r="P209" s="133"/>
      <c r="Q209" s="133"/>
      <c r="R209" s="131"/>
      <c r="S209" s="134"/>
      <c r="T209" s="134"/>
    </row>
    <row r="210" ht="22.5" customHeight="1">
      <c r="A210" s="131"/>
      <c r="B210" s="131"/>
      <c r="C210" s="131"/>
      <c r="D210" s="131"/>
      <c r="E210" s="132"/>
      <c r="F210" s="131"/>
      <c r="G210" s="36"/>
      <c r="H210" s="131"/>
      <c r="I210" s="133"/>
      <c r="J210" s="133"/>
      <c r="K210" s="133"/>
      <c r="L210" s="131"/>
      <c r="M210" s="131"/>
      <c r="N210" s="131"/>
      <c r="O210" s="133"/>
      <c r="P210" s="133"/>
      <c r="Q210" s="133"/>
      <c r="R210" s="131"/>
      <c r="S210" s="134"/>
      <c r="T210" s="134"/>
    </row>
    <row r="211" ht="22.5" customHeight="1">
      <c r="A211" s="131"/>
      <c r="B211" s="131"/>
      <c r="C211" s="131"/>
      <c r="D211" s="131"/>
      <c r="E211" s="132"/>
      <c r="F211" s="131"/>
      <c r="G211" s="36"/>
      <c r="H211" s="131"/>
      <c r="I211" s="133"/>
      <c r="J211" s="133"/>
      <c r="K211" s="133"/>
      <c r="L211" s="131"/>
      <c r="M211" s="131"/>
      <c r="N211" s="131"/>
      <c r="O211" s="133"/>
      <c r="P211" s="133"/>
      <c r="Q211" s="133"/>
      <c r="R211" s="131"/>
      <c r="S211" s="134"/>
      <c r="T211" s="134"/>
    </row>
    <row r="212" ht="22.5" customHeight="1">
      <c r="A212" s="131"/>
      <c r="B212" s="131"/>
      <c r="C212" s="131"/>
      <c r="D212" s="131"/>
      <c r="E212" s="132"/>
      <c r="F212" s="131"/>
      <c r="G212" s="36"/>
      <c r="H212" s="131"/>
      <c r="I212" s="133"/>
      <c r="J212" s="133"/>
      <c r="K212" s="133"/>
      <c r="L212" s="131"/>
      <c r="M212" s="131"/>
      <c r="N212" s="131"/>
      <c r="O212" s="133"/>
      <c r="P212" s="133"/>
      <c r="Q212" s="133"/>
      <c r="R212" s="131"/>
      <c r="S212" s="134"/>
      <c r="T212" s="134"/>
    </row>
    <row r="213" ht="22.5" customHeight="1">
      <c r="A213" s="131"/>
      <c r="B213" s="131"/>
      <c r="C213" s="131"/>
      <c r="D213" s="131"/>
      <c r="E213" s="132"/>
      <c r="F213" s="131"/>
      <c r="G213" s="36"/>
      <c r="H213" s="131"/>
      <c r="I213" s="133"/>
      <c r="J213" s="133"/>
      <c r="K213" s="133"/>
      <c r="L213" s="131"/>
      <c r="M213" s="131"/>
      <c r="N213" s="131"/>
      <c r="O213" s="133"/>
      <c r="P213" s="133"/>
      <c r="Q213" s="133"/>
      <c r="R213" s="131"/>
      <c r="S213" s="134"/>
      <c r="T213" s="134"/>
    </row>
    <row r="214" ht="22.5" customHeight="1">
      <c r="A214" s="131"/>
      <c r="B214" s="131"/>
      <c r="C214" s="131"/>
      <c r="D214" s="131"/>
      <c r="E214" s="132"/>
      <c r="F214" s="131"/>
      <c r="G214" s="36"/>
      <c r="H214" s="131"/>
      <c r="I214" s="133"/>
      <c r="J214" s="133"/>
      <c r="K214" s="133"/>
      <c r="L214" s="131"/>
      <c r="M214" s="131"/>
      <c r="N214" s="131"/>
      <c r="O214" s="133"/>
      <c r="P214" s="133"/>
      <c r="Q214" s="133"/>
      <c r="R214" s="131"/>
      <c r="S214" s="134"/>
      <c r="T214" s="134"/>
    </row>
    <row r="215" ht="22.5" customHeight="1">
      <c r="A215" s="131"/>
      <c r="B215" s="131"/>
      <c r="C215" s="131"/>
      <c r="D215" s="131"/>
      <c r="E215" s="132"/>
      <c r="F215" s="131"/>
      <c r="G215" s="36"/>
      <c r="H215" s="131"/>
      <c r="I215" s="133"/>
      <c r="J215" s="133"/>
      <c r="K215" s="133"/>
      <c r="L215" s="131"/>
      <c r="M215" s="131"/>
      <c r="N215" s="131"/>
      <c r="O215" s="133"/>
      <c r="P215" s="133"/>
      <c r="Q215" s="133"/>
      <c r="R215" s="131"/>
      <c r="S215" s="134"/>
      <c r="T215" s="134"/>
    </row>
    <row r="216" ht="22.5" customHeight="1">
      <c r="A216" s="131"/>
      <c r="B216" s="131"/>
      <c r="C216" s="131"/>
      <c r="D216" s="131"/>
      <c r="E216" s="132"/>
      <c r="F216" s="131"/>
      <c r="G216" s="36"/>
      <c r="H216" s="131"/>
      <c r="I216" s="133"/>
      <c r="J216" s="133"/>
      <c r="K216" s="133"/>
      <c r="L216" s="131"/>
      <c r="M216" s="131"/>
      <c r="N216" s="131"/>
      <c r="O216" s="133"/>
      <c r="P216" s="133"/>
      <c r="Q216" s="133"/>
      <c r="R216" s="131"/>
      <c r="S216" s="134"/>
      <c r="T216" s="134"/>
    </row>
    <row r="217" ht="22.5" customHeight="1">
      <c r="A217" s="131"/>
      <c r="B217" s="131"/>
      <c r="C217" s="131"/>
      <c r="D217" s="131"/>
      <c r="E217" s="132"/>
      <c r="F217" s="131"/>
      <c r="G217" s="36"/>
      <c r="H217" s="131"/>
      <c r="I217" s="133"/>
      <c r="J217" s="133"/>
      <c r="K217" s="133"/>
      <c r="L217" s="131"/>
      <c r="M217" s="131"/>
      <c r="N217" s="131"/>
      <c r="O217" s="133"/>
      <c r="P217" s="133"/>
      <c r="Q217" s="133"/>
      <c r="R217" s="131"/>
      <c r="S217" s="134"/>
      <c r="T217" s="134"/>
    </row>
    <row r="218" ht="22.5" customHeight="1">
      <c r="A218" s="131"/>
      <c r="B218" s="131"/>
      <c r="C218" s="131"/>
      <c r="D218" s="131"/>
      <c r="E218" s="132"/>
      <c r="F218" s="131"/>
      <c r="G218" s="36"/>
      <c r="H218" s="131"/>
      <c r="I218" s="133"/>
      <c r="J218" s="133"/>
      <c r="K218" s="133"/>
      <c r="L218" s="131"/>
      <c r="M218" s="131"/>
      <c r="N218" s="131"/>
      <c r="O218" s="133"/>
      <c r="P218" s="133"/>
      <c r="Q218" s="133"/>
      <c r="R218" s="131"/>
      <c r="S218" s="134"/>
      <c r="T218" s="134"/>
    </row>
    <row r="219" ht="22.5" customHeight="1">
      <c r="A219" s="131"/>
      <c r="B219" s="131"/>
      <c r="C219" s="131"/>
      <c r="D219" s="131"/>
      <c r="E219" s="132"/>
      <c r="F219" s="131"/>
      <c r="G219" s="36"/>
      <c r="H219" s="131"/>
      <c r="I219" s="133"/>
      <c r="J219" s="133"/>
      <c r="K219" s="133"/>
      <c r="L219" s="131"/>
      <c r="M219" s="131"/>
      <c r="N219" s="131"/>
      <c r="O219" s="133"/>
      <c r="P219" s="133"/>
      <c r="Q219" s="133"/>
      <c r="R219" s="131"/>
      <c r="S219" s="134"/>
      <c r="T219" s="134"/>
    </row>
    <row r="220" ht="22.5" customHeight="1">
      <c r="A220" s="131"/>
      <c r="B220" s="131"/>
      <c r="C220" s="131"/>
      <c r="D220" s="131"/>
      <c r="E220" s="132"/>
      <c r="F220" s="131"/>
      <c r="G220" s="36"/>
      <c r="H220" s="131"/>
      <c r="I220" s="133"/>
      <c r="J220" s="133"/>
      <c r="K220" s="133"/>
      <c r="L220" s="131"/>
      <c r="M220" s="131"/>
      <c r="N220" s="131"/>
      <c r="O220" s="133"/>
      <c r="P220" s="133"/>
      <c r="Q220" s="133"/>
      <c r="R220" s="131"/>
      <c r="S220" s="134"/>
      <c r="T220" s="134"/>
    </row>
    <row r="221" ht="22.5" customHeight="1">
      <c r="A221" s="131"/>
      <c r="B221" s="131"/>
      <c r="C221" s="131"/>
      <c r="D221" s="131"/>
      <c r="E221" s="132"/>
      <c r="F221" s="131"/>
      <c r="G221" s="36"/>
      <c r="H221" s="131"/>
      <c r="I221" s="133"/>
      <c r="J221" s="133"/>
      <c r="K221" s="133"/>
      <c r="L221" s="131"/>
      <c r="M221" s="131"/>
      <c r="N221" s="131"/>
      <c r="O221" s="133"/>
      <c r="P221" s="133"/>
      <c r="Q221" s="133"/>
      <c r="R221" s="131"/>
      <c r="S221" s="134"/>
      <c r="T221" s="134"/>
    </row>
    <row r="222" ht="22.5" customHeight="1">
      <c r="A222" s="131"/>
      <c r="B222" s="131"/>
      <c r="C222" s="131"/>
      <c r="D222" s="131"/>
      <c r="E222" s="132"/>
      <c r="F222" s="131"/>
      <c r="G222" s="36"/>
      <c r="H222" s="131"/>
      <c r="I222" s="133"/>
      <c r="J222" s="133"/>
      <c r="K222" s="133"/>
      <c r="L222" s="131"/>
      <c r="M222" s="131"/>
      <c r="N222" s="131"/>
      <c r="O222" s="133"/>
      <c r="P222" s="133"/>
      <c r="Q222" s="133"/>
      <c r="R222" s="131"/>
      <c r="S222" s="134"/>
      <c r="T222" s="134"/>
    </row>
    <row r="223" ht="22.5" customHeight="1">
      <c r="A223" s="131"/>
      <c r="B223" s="131"/>
      <c r="C223" s="131"/>
      <c r="D223" s="131"/>
      <c r="E223" s="132"/>
      <c r="F223" s="131"/>
      <c r="G223" s="36"/>
      <c r="H223" s="131"/>
      <c r="I223" s="133"/>
      <c r="J223" s="133"/>
      <c r="K223" s="133"/>
      <c r="L223" s="131"/>
      <c r="M223" s="131"/>
      <c r="N223" s="131"/>
      <c r="O223" s="133"/>
      <c r="P223" s="133"/>
      <c r="Q223" s="133"/>
      <c r="R223" s="131"/>
      <c r="S223" s="134"/>
      <c r="T223" s="134"/>
    </row>
    <row r="224" ht="22.5" customHeight="1">
      <c r="A224" s="131"/>
      <c r="B224" s="131"/>
      <c r="C224" s="131"/>
      <c r="D224" s="131"/>
      <c r="E224" s="132"/>
      <c r="F224" s="131"/>
      <c r="G224" s="36"/>
      <c r="H224" s="131"/>
      <c r="I224" s="133"/>
      <c r="J224" s="133"/>
      <c r="K224" s="133"/>
      <c r="L224" s="131"/>
      <c r="M224" s="131"/>
      <c r="N224" s="131"/>
      <c r="O224" s="133"/>
      <c r="P224" s="133"/>
      <c r="Q224" s="133"/>
      <c r="R224" s="131"/>
      <c r="S224" s="134"/>
      <c r="T224" s="134"/>
    </row>
    <row r="225" ht="22.5" customHeight="1">
      <c r="A225" s="131"/>
      <c r="B225" s="131"/>
      <c r="C225" s="131"/>
      <c r="D225" s="131"/>
      <c r="E225" s="132"/>
      <c r="F225" s="131"/>
      <c r="G225" s="36"/>
      <c r="H225" s="131"/>
      <c r="I225" s="133"/>
      <c r="J225" s="133"/>
      <c r="K225" s="133"/>
      <c r="L225" s="131"/>
      <c r="M225" s="131"/>
      <c r="N225" s="131"/>
      <c r="O225" s="133"/>
      <c r="P225" s="133"/>
      <c r="Q225" s="133"/>
      <c r="R225" s="131"/>
      <c r="S225" s="134"/>
      <c r="T225" s="134"/>
    </row>
    <row r="226" ht="22.5" customHeight="1">
      <c r="A226" s="131"/>
      <c r="B226" s="131"/>
      <c r="C226" s="131"/>
      <c r="D226" s="131"/>
      <c r="E226" s="132"/>
      <c r="F226" s="131"/>
      <c r="G226" s="36"/>
      <c r="H226" s="131"/>
      <c r="I226" s="133"/>
      <c r="J226" s="133"/>
      <c r="K226" s="133"/>
      <c r="L226" s="131"/>
      <c r="M226" s="131"/>
      <c r="N226" s="131"/>
      <c r="O226" s="133"/>
      <c r="P226" s="133"/>
      <c r="Q226" s="133"/>
      <c r="R226" s="131"/>
      <c r="S226" s="134"/>
      <c r="T226" s="134"/>
    </row>
    <row r="227" ht="22.5" customHeight="1">
      <c r="A227" s="131"/>
      <c r="B227" s="131"/>
      <c r="C227" s="131"/>
      <c r="D227" s="131"/>
      <c r="E227" s="132"/>
      <c r="F227" s="131"/>
      <c r="G227" s="36"/>
      <c r="H227" s="131"/>
      <c r="I227" s="133"/>
      <c r="J227" s="133"/>
      <c r="K227" s="133"/>
      <c r="L227" s="131"/>
      <c r="M227" s="131"/>
      <c r="N227" s="131"/>
      <c r="O227" s="133"/>
      <c r="P227" s="133"/>
      <c r="Q227" s="133"/>
      <c r="R227" s="131"/>
      <c r="S227" s="134"/>
      <c r="T227" s="134"/>
    </row>
    <row r="228" ht="22.5" customHeight="1">
      <c r="A228" s="131"/>
      <c r="B228" s="131"/>
      <c r="C228" s="131"/>
      <c r="D228" s="131"/>
      <c r="E228" s="132"/>
      <c r="F228" s="131"/>
      <c r="G228" s="36"/>
      <c r="H228" s="131"/>
      <c r="I228" s="133"/>
      <c r="J228" s="133"/>
      <c r="K228" s="133"/>
      <c r="L228" s="131"/>
      <c r="M228" s="131"/>
      <c r="N228" s="131"/>
      <c r="O228" s="133"/>
      <c r="P228" s="133"/>
      <c r="Q228" s="133"/>
      <c r="R228" s="131"/>
      <c r="S228" s="134"/>
      <c r="T228" s="134"/>
    </row>
    <row r="229" ht="22.5" customHeight="1">
      <c r="A229" s="131"/>
      <c r="B229" s="131"/>
      <c r="C229" s="131"/>
      <c r="D229" s="131"/>
      <c r="E229" s="132"/>
      <c r="F229" s="131"/>
      <c r="G229" s="36"/>
      <c r="H229" s="131"/>
      <c r="I229" s="133"/>
      <c r="J229" s="133"/>
      <c r="K229" s="133"/>
      <c r="L229" s="131"/>
      <c r="M229" s="131"/>
      <c r="N229" s="131"/>
      <c r="O229" s="133"/>
      <c r="P229" s="133"/>
      <c r="Q229" s="133"/>
      <c r="R229" s="131"/>
      <c r="S229" s="134"/>
      <c r="T229" s="134"/>
    </row>
    <row r="230" ht="22.5" customHeight="1">
      <c r="A230" s="131"/>
      <c r="B230" s="131"/>
      <c r="C230" s="131"/>
      <c r="D230" s="131"/>
      <c r="E230" s="132"/>
      <c r="F230" s="131"/>
      <c r="G230" s="36"/>
      <c r="H230" s="131"/>
      <c r="I230" s="133"/>
      <c r="J230" s="133"/>
      <c r="K230" s="133"/>
      <c r="L230" s="131"/>
      <c r="M230" s="131"/>
      <c r="N230" s="131"/>
      <c r="O230" s="133"/>
      <c r="P230" s="133"/>
      <c r="Q230" s="133"/>
      <c r="R230" s="131"/>
      <c r="S230" s="134"/>
      <c r="T230" s="134"/>
    </row>
    <row r="231" ht="22.5" customHeight="1">
      <c r="A231" s="131"/>
      <c r="B231" s="131"/>
      <c r="C231" s="131"/>
      <c r="D231" s="131"/>
      <c r="E231" s="132"/>
      <c r="F231" s="131"/>
      <c r="G231" s="36"/>
      <c r="H231" s="131"/>
      <c r="I231" s="133"/>
      <c r="J231" s="133"/>
      <c r="K231" s="133"/>
      <c r="L231" s="131"/>
      <c r="M231" s="131"/>
      <c r="N231" s="131"/>
      <c r="O231" s="133"/>
      <c r="P231" s="133"/>
      <c r="Q231" s="133"/>
      <c r="R231" s="131"/>
      <c r="S231" s="134"/>
      <c r="T231" s="134"/>
    </row>
    <row r="232" ht="22.5" customHeight="1">
      <c r="A232" s="131"/>
      <c r="B232" s="131"/>
      <c r="C232" s="131"/>
      <c r="D232" s="131"/>
      <c r="E232" s="132"/>
      <c r="F232" s="131"/>
      <c r="G232" s="36"/>
      <c r="H232" s="131"/>
      <c r="I232" s="133"/>
      <c r="J232" s="133"/>
      <c r="K232" s="133"/>
      <c r="L232" s="131"/>
      <c r="M232" s="131"/>
      <c r="N232" s="131"/>
      <c r="O232" s="133"/>
      <c r="P232" s="133"/>
      <c r="Q232" s="133"/>
      <c r="R232" s="131"/>
      <c r="S232" s="134"/>
      <c r="T232" s="134"/>
    </row>
    <row r="233" ht="22.5" customHeight="1">
      <c r="A233" s="131"/>
      <c r="B233" s="131"/>
      <c r="C233" s="131"/>
      <c r="D233" s="131"/>
      <c r="E233" s="132"/>
      <c r="F233" s="131"/>
      <c r="G233" s="36"/>
      <c r="H233" s="131"/>
      <c r="I233" s="133"/>
      <c r="J233" s="133"/>
      <c r="K233" s="133"/>
      <c r="L233" s="131"/>
      <c r="M233" s="131"/>
      <c r="N233" s="131"/>
      <c r="O233" s="133"/>
      <c r="P233" s="133"/>
      <c r="Q233" s="133"/>
      <c r="R233" s="131"/>
      <c r="S233" s="134"/>
      <c r="T233" s="134"/>
    </row>
    <row r="234" ht="22.5" customHeight="1">
      <c r="A234" s="131"/>
      <c r="B234" s="131"/>
      <c r="C234" s="131"/>
      <c r="D234" s="131"/>
      <c r="E234" s="132"/>
      <c r="F234" s="131"/>
      <c r="G234" s="36"/>
      <c r="H234" s="131"/>
      <c r="I234" s="133"/>
      <c r="J234" s="133"/>
      <c r="K234" s="133"/>
      <c r="L234" s="131"/>
      <c r="M234" s="131"/>
      <c r="N234" s="131"/>
      <c r="O234" s="133"/>
      <c r="P234" s="133"/>
      <c r="Q234" s="133"/>
      <c r="R234" s="131"/>
      <c r="S234" s="134"/>
      <c r="T234" s="134"/>
    </row>
    <row r="235" ht="22.5" customHeight="1">
      <c r="A235" s="131"/>
      <c r="B235" s="131"/>
      <c r="C235" s="131"/>
      <c r="D235" s="131"/>
      <c r="E235" s="132"/>
      <c r="F235" s="131"/>
      <c r="G235" s="36"/>
      <c r="H235" s="131"/>
      <c r="I235" s="133"/>
      <c r="J235" s="133"/>
      <c r="K235" s="133"/>
      <c r="L235" s="131"/>
      <c r="M235" s="131"/>
      <c r="N235" s="131"/>
      <c r="O235" s="133"/>
      <c r="P235" s="133"/>
      <c r="Q235" s="133"/>
      <c r="R235" s="131"/>
      <c r="S235" s="134"/>
      <c r="T235" s="134"/>
    </row>
    <row r="236" ht="22.5" customHeight="1">
      <c r="A236" s="131"/>
      <c r="B236" s="131"/>
      <c r="C236" s="131"/>
      <c r="D236" s="131"/>
      <c r="E236" s="132"/>
      <c r="F236" s="131"/>
      <c r="G236" s="36"/>
      <c r="H236" s="131"/>
      <c r="I236" s="133"/>
      <c r="J236" s="133"/>
      <c r="K236" s="133"/>
      <c r="L236" s="131"/>
      <c r="M236" s="131"/>
      <c r="N236" s="131"/>
      <c r="O236" s="133"/>
      <c r="P236" s="133"/>
      <c r="Q236" s="133"/>
      <c r="R236" s="131"/>
      <c r="S236" s="134"/>
      <c r="T236" s="134"/>
    </row>
    <row r="237" ht="22.5" customHeight="1">
      <c r="A237" s="131"/>
      <c r="B237" s="131"/>
      <c r="C237" s="131"/>
      <c r="D237" s="131"/>
      <c r="E237" s="132"/>
      <c r="F237" s="131"/>
      <c r="G237" s="36"/>
      <c r="H237" s="131"/>
      <c r="I237" s="133"/>
      <c r="J237" s="133"/>
      <c r="K237" s="133"/>
      <c r="L237" s="131"/>
      <c r="M237" s="131"/>
      <c r="N237" s="131"/>
      <c r="O237" s="133"/>
      <c r="P237" s="133"/>
      <c r="Q237" s="133"/>
      <c r="R237" s="131"/>
      <c r="S237" s="134"/>
      <c r="T237" s="134"/>
    </row>
    <row r="238" ht="22.5" customHeight="1">
      <c r="A238" s="131"/>
      <c r="B238" s="131"/>
      <c r="C238" s="131"/>
      <c r="D238" s="131"/>
      <c r="E238" s="132"/>
      <c r="F238" s="131"/>
      <c r="G238" s="36"/>
      <c r="H238" s="131"/>
      <c r="I238" s="133"/>
      <c r="J238" s="133"/>
      <c r="K238" s="133"/>
      <c r="L238" s="131"/>
      <c r="M238" s="131"/>
      <c r="N238" s="131"/>
      <c r="O238" s="133"/>
      <c r="P238" s="133"/>
      <c r="Q238" s="133"/>
      <c r="R238" s="131"/>
      <c r="S238" s="134"/>
      <c r="T238" s="134"/>
    </row>
    <row r="239" ht="22.5" customHeight="1">
      <c r="A239" s="131"/>
      <c r="B239" s="131"/>
      <c r="C239" s="131"/>
      <c r="D239" s="131"/>
      <c r="E239" s="132"/>
      <c r="F239" s="131"/>
      <c r="G239" s="36"/>
      <c r="H239" s="131"/>
      <c r="I239" s="133"/>
      <c r="J239" s="133"/>
      <c r="K239" s="133"/>
      <c r="L239" s="131"/>
      <c r="M239" s="131"/>
      <c r="N239" s="131"/>
      <c r="O239" s="133"/>
      <c r="P239" s="133"/>
      <c r="Q239" s="133"/>
      <c r="R239" s="131"/>
      <c r="S239" s="134"/>
      <c r="T239" s="134"/>
    </row>
    <row r="240" ht="22.5" customHeight="1">
      <c r="A240" s="131"/>
      <c r="B240" s="131"/>
      <c r="C240" s="131"/>
      <c r="D240" s="131"/>
      <c r="E240" s="132"/>
      <c r="F240" s="131"/>
      <c r="G240" s="36"/>
      <c r="H240" s="131"/>
      <c r="I240" s="133"/>
      <c r="J240" s="133"/>
      <c r="K240" s="133"/>
      <c r="L240" s="131"/>
      <c r="M240" s="131"/>
      <c r="N240" s="131"/>
      <c r="O240" s="133"/>
      <c r="P240" s="133"/>
      <c r="Q240" s="133"/>
      <c r="R240" s="131"/>
      <c r="S240" s="134"/>
      <c r="T240" s="134"/>
    </row>
    <row r="241" ht="22.5" customHeight="1">
      <c r="A241" s="131"/>
      <c r="B241" s="131"/>
      <c r="C241" s="131"/>
      <c r="D241" s="131"/>
      <c r="E241" s="132"/>
      <c r="F241" s="131"/>
      <c r="G241" s="36"/>
      <c r="H241" s="131"/>
      <c r="I241" s="133"/>
      <c r="J241" s="133"/>
      <c r="K241" s="133"/>
      <c r="L241" s="131"/>
      <c r="M241" s="131"/>
      <c r="N241" s="131"/>
      <c r="O241" s="133"/>
      <c r="P241" s="133"/>
      <c r="Q241" s="133"/>
      <c r="R241" s="131"/>
      <c r="S241" s="134"/>
      <c r="T241" s="134"/>
    </row>
    <row r="242" ht="22.5" customHeight="1">
      <c r="A242" s="131"/>
      <c r="B242" s="131"/>
      <c r="C242" s="131"/>
      <c r="D242" s="131"/>
      <c r="E242" s="132"/>
      <c r="F242" s="131"/>
      <c r="G242" s="36"/>
      <c r="H242" s="131"/>
      <c r="I242" s="133"/>
      <c r="J242" s="133"/>
      <c r="K242" s="133"/>
      <c r="L242" s="131"/>
      <c r="M242" s="131"/>
      <c r="N242" s="131"/>
      <c r="O242" s="133"/>
      <c r="P242" s="133"/>
      <c r="Q242" s="133"/>
      <c r="R242" s="131"/>
      <c r="S242" s="134"/>
      <c r="T242" s="134"/>
    </row>
    <row r="243" ht="22.5" customHeight="1">
      <c r="A243" s="131"/>
      <c r="B243" s="131"/>
      <c r="C243" s="131"/>
      <c r="D243" s="131"/>
      <c r="E243" s="132"/>
      <c r="F243" s="131"/>
      <c r="G243" s="36"/>
      <c r="H243" s="131"/>
      <c r="I243" s="133"/>
      <c r="J243" s="133"/>
      <c r="K243" s="133"/>
      <c r="L243" s="131"/>
      <c r="M243" s="131"/>
      <c r="N243" s="131"/>
      <c r="O243" s="133"/>
      <c r="P243" s="133"/>
      <c r="Q243" s="133"/>
      <c r="R243" s="131"/>
      <c r="S243" s="134"/>
      <c r="T243" s="134"/>
    </row>
    <row r="244" ht="22.5" customHeight="1">
      <c r="A244" s="131"/>
      <c r="B244" s="131"/>
      <c r="C244" s="131"/>
      <c r="D244" s="131"/>
      <c r="E244" s="132"/>
      <c r="F244" s="131"/>
      <c r="G244" s="36"/>
      <c r="H244" s="131"/>
      <c r="I244" s="133"/>
      <c r="J244" s="133"/>
      <c r="K244" s="133"/>
      <c r="L244" s="131"/>
      <c r="M244" s="131"/>
      <c r="N244" s="131"/>
      <c r="O244" s="133"/>
      <c r="P244" s="133"/>
      <c r="Q244" s="133"/>
      <c r="R244" s="131"/>
      <c r="S244" s="134"/>
      <c r="T244" s="134"/>
    </row>
    <row r="245" ht="22.5" customHeight="1">
      <c r="A245" s="131"/>
      <c r="B245" s="131"/>
      <c r="C245" s="131"/>
      <c r="D245" s="131"/>
      <c r="E245" s="132"/>
      <c r="F245" s="131"/>
      <c r="G245" s="36"/>
      <c r="H245" s="131"/>
      <c r="I245" s="133"/>
      <c r="J245" s="133"/>
      <c r="K245" s="133"/>
      <c r="L245" s="131"/>
      <c r="M245" s="131"/>
      <c r="N245" s="131"/>
      <c r="O245" s="133"/>
      <c r="P245" s="133"/>
      <c r="Q245" s="133"/>
      <c r="R245" s="131"/>
      <c r="S245" s="134"/>
      <c r="T245" s="134"/>
    </row>
    <row r="246" ht="22.5" customHeight="1">
      <c r="A246" s="131"/>
      <c r="B246" s="131"/>
      <c r="C246" s="131"/>
      <c r="D246" s="131"/>
      <c r="E246" s="132"/>
      <c r="F246" s="131"/>
      <c r="G246" s="36"/>
      <c r="H246" s="131"/>
      <c r="I246" s="133"/>
      <c r="J246" s="133"/>
      <c r="K246" s="133"/>
      <c r="L246" s="131"/>
      <c r="M246" s="131"/>
      <c r="N246" s="131"/>
      <c r="O246" s="133"/>
      <c r="P246" s="133"/>
      <c r="Q246" s="133"/>
      <c r="R246" s="131"/>
      <c r="S246" s="134"/>
      <c r="T246" s="134"/>
    </row>
    <row r="247" ht="22.5" customHeight="1">
      <c r="A247" s="131"/>
      <c r="B247" s="131"/>
      <c r="C247" s="131"/>
      <c r="D247" s="131"/>
      <c r="E247" s="132"/>
      <c r="F247" s="131"/>
      <c r="G247" s="36"/>
      <c r="H247" s="131"/>
      <c r="I247" s="133"/>
      <c r="J247" s="133"/>
      <c r="K247" s="133"/>
      <c r="L247" s="131"/>
      <c r="M247" s="131"/>
      <c r="N247" s="131"/>
      <c r="O247" s="133"/>
      <c r="P247" s="133"/>
      <c r="Q247" s="133"/>
      <c r="R247" s="131"/>
      <c r="S247" s="134"/>
      <c r="T247" s="134"/>
    </row>
    <row r="248" ht="22.5" customHeight="1">
      <c r="A248" s="131"/>
      <c r="B248" s="131"/>
      <c r="C248" s="131"/>
      <c r="D248" s="131"/>
      <c r="E248" s="132"/>
      <c r="F248" s="131"/>
      <c r="G248" s="36"/>
      <c r="H248" s="131"/>
      <c r="I248" s="133"/>
      <c r="J248" s="133"/>
      <c r="K248" s="133"/>
      <c r="L248" s="131"/>
      <c r="M248" s="131"/>
      <c r="N248" s="131"/>
      <c r="O248" s="133"/>
      <c r="P248" s="133"/>
      <c r="Q248" s="133"/>
      <c r="R248" s="131"/>
      <c r="S248" s="134"/>
      <c r="T248" s="134"/>
    </row>
    <row r="249" ht="22.5" customHeight="1">
      <c r="A249" s="131"/>
      <c r="B249" s="131"/>
      <c r="C249" s="131"/>
      <c r="D249" s="131"/>
      <c r="E249" s="132"/>
      <c r="F249" s="131"/>
      <c r="G249" s="36"/>
      <c r="H249" s="131"/>
      <c r="I249" s="133"/>
      <c r="J249" s="133"/>
      <c r="K249" s="133"/>
      <c r="L249" s="131"/>
      <c r="M249" s="131"/>
      <c r="N249" s="131"/>
      <c r="O249" s="133"/>
      <c r="P249" s="133"/>
      <c r="Q249" s="133"/>
      <c r="R249" s="131"/>
      <c r="S249" s="134"/>
      <c r="T249" s="134"/>
    </row>
    <row r="250" ht="22.5" customHeight="1">
      <c r="A250" s="131"/>
      <c r="B250" s="131"/>
      <c r="C250" s="131"/>
      <c r="D250" s="131"/>
      <c r="E250" s="132"/>
      <c r="F250" s="131"/>
      <c r="G250" s="36"/>
      <c r="H250" s="131"/>
      <c r="I250" s="133"/>
      <c r="J250" s="133"/>
      <c r="K250" s="133"/>
      <c r="L250" s="131"/>
      <c r="M250" s="131"/>
      <c r="N250" s="131"/>
      <c r="O250" s="133"/>
      <c r="P250" s="133"/>
      <c r="Q250" s="133"/>
      <c r="R250" s="131"/>
      <c r="S250" s="134"/>
      <c r="T250" s="134"/>
    </row>
    <row r="251" ht="22.5" customHeight="1">
      <c r="A251" s="131"/>
      <c r="B251" s="131"/>
      <c r="C251" s="131"/>
      <c r="D251" s="131"/>
      <c r="E251" s="132"/>
      <c r="F251" s="131"/>
      <c r="G251" s="36"/>
      <c r="H251" s="131"/>
      <c r="I251" s="133"/>
      <c r="J251" s="133"/>
      <c r="K251" s="133"/>
      <c r="L251" s="131"/>
      <c r="M251" s="131"/>
      <c r="N251" s="131"/>
      <c r="O251" s="133"/>
      <c r="P251" s="133"/>
      <c r="Q251" s="133"/>
      <c r="R251" s="131"/>
      <c r="S251" s="134"/>
      <c r="T251" s="134"/>
    </row>
    <row r="252" ht="22.5" customHeight="1">
      <c r="A252" s="131"/>
      <c r="B252" s="131"/>
      <c r="C252" s="131"/>
      <c r="D252" s="131"/>
      <c r="E252" s="132"/>
      <c r="F252" s="131"/>
      <c r="G252" s="36"/>
      <c r="H252" s="131"/>
      <c r="I252" s="133"/>
      <c r="J252" s="133"/>
      <c r="K252" s="133"/>
      <c r="L252" s="131"/>
      <c r="M252" s="131"/>
      <c r="N252" s="131"/>
      <c r="O252" s="133"/>
      <c r="P252" s="133"/>
      <c r="Q252" s="133"/>
      <c r="R252" s="131"/>
      <c r="S252" s="134"/>
      <c r="T252" s="134"/>
    </row>
    <row r="253" ht="22.5" customHeight="1">
      <c r="A253" s="131"/>
      <c r="B253" s="131"/>
      <c r="C253" s="131"/>
      <c r="D253" s="131"/>
      <c r="E253" s="132"/>
      <c r="F253" s="131"/>
      <c r="G253" s="36"/>
      <c r="H253" s="131"/>
      <c r="I253" s="133"/>
      <c r="J253" s="133"/>
      <c r="K253" s="133"/>
      <c r="L253" s="131"/>
      <c r="M253" s="131"/>
      <c r="N253" s="131"/>
      <c r="O253" s="133"/>
      <c r="P253" s="133"/>
      <c r="Q253" s="133"/>
      <c r="R253" s="131"/>
      <c r="S253" s="134"/>
      <c r="T253" s="134"/>
    </row>
    <row r="254" ht="22.5" customHeight="1">
      <c r="A254" s="131"/>
      <c r="B254" s="131"/>
      <c r="C254" s="131"/>
      <c r="D254" s="131"/>
      <c r="E254" s="132"/>
      <c r="F254" s="131"/>
      <c r="G254" s="36"/>
      <c r="H254" s="131"/>
      <c r="I254" s="133"/>
      <c r="J254" s="133"/>
      <c r="K254" s="133"/>
      <c r="L254" s="131"/>
      <c r="M254" s="131"/>
      <c r="N254" s="131"/>
      <c r="O254" s="133"/>
      <c r="P254" s="133"/>
      <c r="Q254" s="133"/>
      <c r="R254" s="131"/>
      <c r="S254" s="134"/>
      <c r="T254" s="134"/>
    </row>
    <row r="255" ht="22.5" customHeight="1">
      <c r="A255" s="131"/>
      <c r="B255" s="131"/>
      <c r="C255" s="131"/>
      <c r="D255" s="131"/>
      <c r="E255" s="132"/>
      <c r="F255" s="131"/>
      <c r="G255" s="36"/>
      <c r="H255" s="131"/>
      <c r="I255" s="133"/>
      <c r="J255" s="133"/>
      <c r="K255" s="133"/>
      <c r="L255" s="131"/>
      <c r="M255" s="131"/>
      <c r="N255" s="131"/>
      <c r="O255" s="133"/>
      <c r="P255" s="133"/>
      <c r="Q255" s="133"/>
      <c r="R255" s="131"/>
      <c r="S255" s="134"/>
      <c r="T255" s="134"/>
    </row>
    <row r="256" ht="22.5" customHeight="1">
      <c r="A256" s="131"/>
      <c r="B256" s="131"/>
      <c r="C256" s="131"/>
      <c r="D256" s="131"/>
      <c r="E256" s="132"/>
      <c r="F256" s="131"/>
      <c r="G256" s="36"/>
      <c r="H256" s="131"/>
      <c r="I256" s="133"/>
      <c r="J256" s="133"/>
      <c r="K256" s="133"/>
      <c r="L256" s="131"/>
      <c r="M256" s="131"/>
      <c r="N256" s="131"/>
      <c r="O256" s="133"/>
      <c r="P256" s="133"/>
      <c r="Q256" s="133"/>
      <c r="R256" s="131"/>
      <c r="S256" s="134"/>
      <c r="T256" s="134"/>
    </row>
    <row r="257" ht="22.5" customHeight="1">
      <c r="A257" s="131"/>
      <c r="B257" s="131"/>
      <c r="C257" s="131"/>
      <c r="D257" s="131"/>
      <c r="E257" s="132"/>
      <c r="F257" s="131"/>
      <c r="G257" s="36"/>
      <c r="H257" s="131"/>
      <c r="I257" s="133"/>
      <c r="J257" s="133"/>
      <c r="K257" s="133"/>
      <c r="L257" s="131"/>
      <c r="M257" s="131"/>
      <c r="N257" s="131"/>
      <c r="O257" s="133"/>
      <c r="P257" s="133"/>
      <c r="Q257" s="133"/>
      <c r="R257" s="131"/>
      <c r="S257" s="134"/>
      <c r="T257" s="134"/>
    </row>
    <row r="258" ht="22.5" customHeight="1">
      <c r="A258" s="131"/>
      <c r="B258" s="131"/>
      <c r="C258" s="131"/>
      <c r="D258" s="131"/>
      <c r="E258" s="132"/>
      <c r="F258" s="131"/>
      <c r="G258" s="36"/>
      <c r="H258" s="131"/>
      <c r="I258" s="133"/>
      <c r="J258" s="133"/>
      <c r="K258" s="133"/>
      <c r="L258" s="131"/>
      <c r="M258" s="131"/>
      <c r="N258" s="131"/>
      <c r="O258" s="133"/>
      <c r="P258" s="133"/>
      <c r="Q258" s="133"/>
      <c r="R258" s="131"/>
      <c r="S258" s="134"/>
      <c r="T258" s="134"/>
    </row>
    <row r="259" ht="22.5" customHeight="1">
      <c r="A259" s="131"/>
      <c r="B259" s="131"/>
      <c r="C259" s="131"/>
      <c r="D259" s="131"/>
      <c r="E259" s="132"/>
      <c r="F259" s="131"/>
      <c r="G259" s="36"/>
      <c r="H259" s="131"/>
      <c r="I259" s="133"/>
      <c r="J259" s="133"/>
      <c r="K259" s="133"/>
      <c r="L259" s="131"/>
      <c r="M259" s="131"/>
      <c r="N259" s="131"/>
      <c r="O259" s="133"/>
      <c r="P259" s="133"/>
      <c r="Q259" s="133"/>
      <c r="R259" s="131"/>
      <c r="S259" s="134"/>
      <c r="T259" s="134"/>
    </row>
    <row r="260" ht="22.5" customHeight="1">
      <c r="A260" s="131"/>
      <c r="B260" s="131"/>
      <c r="C260" s="131"/>
      <c r="D260" s="131"/>
      <c r="E260" s="132"/>
      <c r="F260" s="131"/>
      <c r="G260" s="36"/>
      <c r="H260" s="131"/>
      <c r="I260" s="133"/>
      <c r="J260" s="133"/>
      <c r="K260" s="133"/>
      <c r="L260" s="131"/>
      <c r="M260" s="131"/>
      <c r="N260" s="131"/>
      <c r="O260" s="133"/>
      <c r="P260" s="133"/>
      <c r="Q260" s="133"/>
      <c r="R260" s="131"/>
      <c r="S260" s="134"/>
      <c r="T260" s="134"/>
    </row>
    <row r="261" ht="22.5" customHeight="1">
      <c r="A261" s="131"/>
      <c r="B261" s="131"/>
      <c r="C261" s="131"/>
      <c r="D261" s="131"/>
      <c r="E261" s="132"/>
      <c r="F261" s="131"/>
      <c r="G261" s="36"/>
      <c r="H261" s="131"/>
      <c r="I261" s="133"/>
      <c r="J261" s="133"/>
      <c r="K261" s="133"/>
      <c r="L261" s="131"/>
      <c r="M261" s="131"/>
      <c r="N261" s="131"/>
      <c r="O261" s="133"/>
      <c r="P261" s="133"/>
      <c r="Q261" s="133"/>
      <c r="R261" s="131"/>
      <c r="S261" s="134"/>
      <c r="T261" s="134"/>
    </row>
    <row r="262" ht="22.5" customHeight="1">
      <c r="A262" s="131"/>
      <c r="B262" s="131"/>
      <c r="C262" s="131"/>
      <c r="D262" s="131"/>
      <c r="E262" s="132"/>
      <c r="F262" s="131"/>
      <c r="G262" s="36"/>
      <c r="H262" s="131"/>
      <c r="I262" s="133"/>
      <c r="J262" s="133"/>
      <c r="K262" s="133"/>
      <c r="L262" s="131"/>
      <c r="M262" s="131"/>
      <c r="N262" s="131"/>
      <c r="O262" s="133"/>
      <c r="P262" s="133"/>
      <c r="Q262" s="133"/>
      <c r="R262" s="131"/>
      <c r="S262" s="134"/>
      <c r="T262" s="134"/>
    </row>
    <row r="263" ht="22.5" customHeight="1">
      <c r="A263" s="131"/>
      <c r="B263" s="131"/>
      <c r="C263" s="131"/>
      <c r="D263" s="131"/>
      <c r="E263" s="132"/>
      <c r="F263" s="131"/>
      <c r="G263" s="36"/>
      <c r="H263" s="131"/>
      <c r="I263" s="133"/>
      <c r="J263" s="133"/>
      <c r="K263" s="133"/>
      <c r="L263" s="131"/>
      <c r="M263" s="131"/>
      <c r="N263" s="131"/>
      <c r="O263" s="133"/>
      <c r="P263" s="133"/>
      <c r="Q263" s="133"/>
      <c r="R263" s="131"/>
      <c r="S263" s="134"/>
      <c r="T263" s="134"/>
    </row>
    <row r="264" ht="22.5" customHeight="1">
      <c r="A264" s="131"/>
      <c r="B264" s="131"/>
      <c r="C264" s="131"/>
      <c r="D264" s="131"/>
      <c r="E264" s="132"/>
      <c r="F264" s="131"/>
      <c r="G264" s="36"/>
      <c r="H264" s="131"/>
      <c r="I264" s="133"/>
      <c r="J264" s="133"/>
      <c r="K264" s="133"/>
      <c r="L264" s="131"/>
      <c r="M264" s="131"/>
      <c r="N264" s="131"/>
      <c r="O264" s="133"/>
      <c r="P264" s="133"/>
      <c r="Q264" s="133"/>
      <c r="R264" s="131"/>
      <c r="S264" s="134"/>
      <c r="T264" s="134"/>
    </row>
    <row r="265" ht="22.5" customHeight="1">
      <c r="A265" s="131"/>
      <c r="B265" s="131"/>
      <c r="C265" s="131"/>
      <c r="D265" s="131"/>
      <c r="E265" s="132"/>
      <c r="F265" s="131"/>
      <c r="G265" s="36"/>
      <c r="H265" s="131"/>
      <c r="I265" s="133"/>
      <c r="J265" s="133"/>
      <c r="K265" s="133"/>
      <c r="L265" s="131"/>
      <c r="M265" s="131"/>
      <c r="N265" s="131"/>
      <c r="O265" s="133"/>
      <c r="P265" s="133"/>
      <c r="Q265" s="133"/>
      <c r="R265" s="131"/>
      <c r="S265" s="134"/>
      <c r="T265" s="134"/>
    </row>
    <row r="266" ht="22.5" customHeight="1">
      <c r="A266" s="131"/>
      <c r="B266" s="131"/>
      <c r="C266" s="131"/>
      <c r="D266" s="131"/>
      <c r="E266" s="132"/>
      <c r="F266" s="131"/>
      <c r="G266" s="36"/>
      <c r="H266" s="131"/>
      <c r="I266" s="133"/>
      <c r="J266" s="133"/>
      <c r="K266" s="133"/>
      <c r="L266" s="131"/>
      <c r="M266" s="131"/>
      <c r="N266" s="131"/>
      <c r="O266" s="133"/>
      <c r="P266" s="133"/>
      <c r="Q266" s="133"/>
      <c r="R266" s="131"/>
      <c r="S266" s="134"/>
      <c r="T266" s="134"/>
    </row>
    <row r="267" ht="22.5" customHeight="1">
      <c r="A267" s="131"/>
      <c r="B267" s="131"/>
      <c r="C267" s="131"/>
      <c r="D267" s="131"/>
      <c r="E267" s="132"/>
      <c r="F267" s="131"/>
      <c r="G267" s="36"/>
      <c r="H267" s="131"/>
      <c r="I267" s="133"/>
      <c r="J267" s="133"/>
      <c r="K267" s="133"/>
      <c r="L267" s="131"/>
      <c r="M267" s="131"/>
      <c r="N267" s="131"/>
      <c r="O267" s="133"/>
      <c r="P267" s="133"/>
      <c r="Q267" s="133"/>
      <c r="R267" s="131"/>
      <c r="S267" s="134"/>
      <c r="T267" s="134"/>
    </row>
    <row r="268" ht="22.5" customHeight="1">
      <c r="A268" s="131"/>
      <c r="B268" s="131"/>
      <c r="C268" s="131"/>
      <c r="D268" s="131"/>
      <c r="E268" s="132"/>
      <c r="F268" s="131"/>
      <c r="G268" s="36"/>
      <c r="H268" s="131"/>
      <c r="I268" s="133"/>
      <c r="J268" s="133"/>
      <c r="K268" s="133"/>
      <c r="L268" s="131"/>
      <c r="M268" s="131"/>
      <c r="N268" s="131"/>
      <c r="O268" s="133"/>
      <c r="P268" s="133"/>
      <c r="Q268" s="133"/>
      <c r="R268" s="131"/>
      <c r="S268" s="134"/>
      <c r="T268" s="134"/>
    </row>
    <row r="269" ht="22.5" customHeight="1">
      <c r="A269" s="131"/>
      <c r="B269" s="131"/>
      <c r="C269" s="131"/>
      <c r="D269" s="131"/>
      <c r="E269" s="132"/>
      <c r="F269" s="131"/>
      <c r="G269" s="36"/>
      <c r="H269" s="131"/>
      <c r="I269" s="133"/>
      <c r="J269" s="133"/>
      <c r="K269" s="133"/>
      <c r="L269" s="131"/>
      <c r="M269" s="131"/>
      <c r="N269" s="131"/>
      <c r="O269" s="133"/>
      <c r="P269" s="133"/>
      <c r="Q269" s="133"/>
      <c r="R269" s="131"/>
      <c r="S269" s="134"/>
      <c r="T269" s="134"/>
    </row>
    <row r="270" ht="22.5" customHeight="1">
      <c r="A270" s="131"/>
      <c r="B270" s="131"/>
      <c r="C270" s="131"/>
      <c r="D270" s="131"/>
      <c r="E270" s="132"/>
      <c r="F270" s="131"/>
      <c r="G270" s="36"/>
      <c r="H270" s="131"/>
      <c r="I270" s="133"/>
      <c r="J270" s="133"/>
      <c r="K270" s="133"/>
      <c r="L270" s="131"/>
      <c r="M270" s="131"/>
      <c r="N270" s="131"/>
      <c r="O270" s="133"/>
      <c r="P270" s="133"/>
      <c r="Q270" s="133"/>
      <c r="R270" s="131"/>
      <c r="S270" s="134"/>
      <c r="T270" s="134"/>
    </row>
    <row r="271" ht="22.5" customHeight="1">
      <c r="A271" s="131"/>
      <c r="B271" s="131"/>
      <c r="C271" s="131"/>
      <c r="D271" s="131"/>
      <c r="E271" s="132"/>
      <c r="F271" s="131"/>
      <c r="G271" s="36"/>
      <c r="H271" s="131"/>
      <c r="I271" s="133"/>
      <c r="J271" s="133"/>
      <c r="K271" s="133"/>
      <c r="L271" s="131"/>
      <c r="M271" s="131"/>
      <c r="N271" s="131"/>
      <c r="O271" s="133"/>
      <c r="P271" s="133"/>
      <c r="Q271" s="133"/>
      <c r="R271" s="131"/>
      <c r="S271" s="134"/>
      <c r="T271" s="134"/>
    </row>
    <row r="272" ht="22.5" customHeight="1">
      <c r="A272" s="131"/>
      <c r="B272" s="131"/>
      <c r="C272" s="131"/>
      <c r="D272" s="131"/>
      <c r="E272" s="132"/>
      <c r="F272" s="131"/>
      <c r="G272" s="36"/>
      <c r="H272" s="131"/>
      <c r="I272" s="133"/>
      <c r="J272" s="133"/>
      <c r="K272" s="133"/>
      <c r="L272" s="131"/>
      <c r="M272" s="131"/>
      <c r="N272" s="131"/>
      <c r="O272" s="133"/>
      <c r="P272" s="133"/>
      <c r="Q272" s="133"/>
      <c r="R272" s="131"/>
      <c r="S272" s="134"/>
      <c r="T272" s="134"/>
    </row>
    <row r="273" ht="22.5" customHeight="1">
      <c r="A273" s="131"/>
      <c r="B273" s="131"/>
      <c r="C273" s="131"/>
      <c r="D273" s="131"/>
      <c r="E273" s="132"/>
      <c r="F273" s="131"/>
      <c r="G273" s="36"/>
      <c r="H273" s="131"/>
      <c r="I273" s="133"/>
      <c r="J273" s="133"/>
      <c r="K273" s="133"/>
      <c r="L273" s="131"/>
      <c r="M273" s="131"/>
      <c r="N273" s="131"/>
      <c r="O273" s="133"/>
      <c r="P273" s="133"/>
      <c r="Q273" s="133"/>
      <c r="R273" s="131"/>
      <c r="S273" s="134"/>
      <c r="T273" s="134"/>
    </row>
    <row r="274" ht="22.5" customHeight="1">
      <c r="A274" s="131"/>
      <c r="B274" s="131"/>
      <c r="C274" s="131"/>
      <c r="D274" s="131"/>
      <c r="E274" s="132"/>
      <c r="F274" s="131"/>
      <c r="G274" s="36"/>
      <c r="H274" s="131"/>
      <c r="I274" s="133"/>
      <c r="J274" s="133"/>
      <c r="K274" s="133"/>
      <c r="L274" s="131"/>
      <c r="M274" s="131"/>
      <c r="N274" s="131"/>
      <c r="O274" s="133"/>
      <c r="P274" s="133"/>
      <c r="Q274" s="133"/>
      <c r="R274" s="131"/>
      <c r="S274" s="134"/>
      <c r="T274" s="134"/>
    </row>
    <row r="275" ht="22.5" customHeight="1">
      <c r="A275" s="131"/>
      <c r="B275" s="131"/>
      <c r="C275" s="131"/>
      <c r="D275" s="131"/>
      <c r="E275" s="132"/>
      <c r="F275" s="131"/>
      <c r="G275" s="36"/>
      <c r="H275" s="131"/>
      <c r="I275" s="133"/>
      <c r="J275" s="133"/>
      <c r="K275" s="133"/>
      <c r="L275" s="131"/>
      <c r="M275" s="131"/>
      <c r="N275" s="131"/>
      <c r="O275" s="133"/>
      <c r="P275" s="133"/>
      <c r="Q275" s="133"/>
      <c r="R275" s="131"/>
      <c r="S275" s="134"/>
      <c r="T275" s="134"/>
    </row>
    <row r="276" ht="22.5" customHeight="1">
      <c r="A276" s="131"/>
      <c r="B276" s="131"/>
      <c r="C276" s="131"/>
      <c r="D276" s="131"/>
      <c r="E276" s="132"/>
      <c r="F276" s="131"/>
      <c r="G276" s="36"/>
      <c r="H276" s="131"/>
      <c r="I276" s="133"/>
      <c r="J276" s="133"/>
      <c r="K276" s="133"/>
      <c r="L276" s="131"/>
      <c r="M276" s="131"/>
      <c r="N276" s="131"/>
      <c r="O276" s="133"/>
      <c r="P276" s="133"/>
      <c r="Q276" s="133"/>
      <c r="R276" s="131"/>
      <c r="S276" s="134"/>
      <c r="T276" s="134"/>
    </row>
    <row r="277" ht="22.5" customHeight="1">
      <c r="A277" s="131"/>
      <c r="B277" s="131"/>
      <c r="C277" s="131"/>
      <c r="D277" s="131"/>
      <c r="E277" s="132"/>
      <c r="F277" s="131"/>
      <c r="G277" s="36"/>
      <c r="H277" s="131"/>
      <c r="I277" s="133"/>
      <c r="J277" s="133"/>
      <c r="K277" s="133"/>
      <c r="L277" s="131"/>
      <c r="M277" s="131"/>
      <c r="N277" s="131"/>
      <c r="O277" s="133"/>
      <c r="P277" s="133"/>
      <c r="Q277" s="133"/>
      <c r="R277" s="131"/>
      <c r="S277" s="134"/>
      <c r="T277" s="134"/>
    </row>
    <row r="278" ht="22.5" customHeight="1">
      <c r="A278" s="131"/>
      <c r="B278" s="131"/>
      <c r="C278" s="131"/>
      <c r="D278" s="131"/>
      <c r="E278" s="132"/>
      <c r="F278" s="131"/>
      <c r="G278" s="36"/>
      <c r="H278" s="131"/>
      <c r="I278" s="133"/>
      <c r="J278" s="133"/>
      <c r="K278" s="133"/>
      <c r="L278" s="131"/>
      <c r="M278" s="131"/>
      <c r="N278" s="131"/>
      <c r="O278" s="133"/>
      <c r="P278" s="133"/>
      <c r="Q278" s="133"/>
      <c r="R278" s="131"/>
      <c r="S278" s="134"/>
      <c r="T278" s="134"/>
    </row>
    <row r="279" ht="22.5" customHeight="1">
      <c r="A279" s="131"/>
      <c r="B279" s="131"/>
      <c r="C279" s="131"/>
      <c r="D279" s="131"/>
      <c r="E279" s="132"/>
      <c r="F279" s="131"/>
      <c r="G279" s="36"/>
      <c r="H279" s="131"/>
      <c r="I279" s="133"/>
      <c r="J279" s="133"/>
      <c r="K279" s="133"/>
      <c r="L279" s="131"/>
      <c r="M279" s="131"/>
      <c r="N279" s="131"/>
      <c r="O279" s="133"/>
      <c r="P279" s="133"/>
      <c r="Q279" s="133"/>
      <c r="R279" s="131"/>
      <c r="S279" s="134"/>
      <c r="T279" s="134"/>
    </row>
    <row r="280" ht="22.5" customHeight="1">
      <c r="A280" s="131"/>
      <c r="B280" s="131"/>
      <c r="C280" s="131"/>
      <c r="D280" s="131"/>
      <c r="E280" s="132"/>
      <c r="F280" s="131"/>
      <c r="G280" s="36"/>
      <c r="H280" s="131"/>
      <c r="I280" s="133"/>
      <c r="J280" s="133"/>
      <c r="K280" s="133"/>
      <c r="L280" s="131"/>
      <c r="M280" s="131"/>
      <c r="N280" s="131"/>
      <c r="O280" s="133"/>
      <c r="P280" s="133"/>
      <c r="Q280" s="133"/>
      <c r="R280" s="131"/>
      <c r="S280" s="134"/>
      <c r="T280" s="134"/>
    </row>
    <row r="281" ht="22.5" customHeight="1">
      <c r="A281" s="131"/>
      <c r="B281" s="131"/>
      <c r="C281" s="131"/>
      <c r="D281" s="131"/>
      <c r="E281" s="132"/>
      <c r="F281" s="131"/>
      <c r="G281" s="36"/>
      <c r="H281" s="131"/>
      <c r="I281" s="133"/>
      <c r="J281" s="133"/>
      <c r="K281" s="133"/>
      <c r="L281" s="131"/>
      <c r="M281" s="131"/>
      <c r="N281" s="131"/>
      <c r="O281" s="133"/>
      <c r="P281" s="133"/>
      <c r="Q281" s="133"/>
      <c r="R281" s="131"/>
      <c r="S281" s="134"/>
      <c r="T281" s="134"/>
    </row>
    <row r="282" ht="22.5" customHeight="1">
      <c r="A282" s="131"/>
      <c r="B282" s="131"/>
      <c r="C282" s="131"/>
      <c r="D282" s="131"/>
      <c r="E282" s="132"/>
      <c r="F282" s="131"/>
      <c r="G282" s="36"/>
      <c r="H282" s="131"/>
      <c r="I282" s="133"/>
      <c r="J282" s="133"/>
      <c r="K282" s="133"/>
      <c r="L282" s="131"/>
      <c r="M282" s="131"/>
      <c r="N282" s="131"/>
      <c r="O282" s="133"/>
      <c r="P282" s="133"/>
      <c r="Q282" s="133"/>
      <c r="R282" s="131"/>
      <c r="S282" s="134"/>
      <c r="T282" s="134"/>
    </row>
    <row r="283" ht="22.5" customHeight="1">
      <c r="A283" s="131"/>
      <c r="B283" s="131"/>
      <c r="C283" s="131"/>
      <c r="D283" s="131"/>
      <c r="E283" s="132"/>
      <c r="F283" s="131"/>
      <c r="G283" s="36"/>
      <c r="H283" s="131"/>
      <c r="I283" s="133"/>
      <c r="J283" s="133"/>
      <c r="K283" s="133"/>
      <c r="L283" s="131"/>
      <c r="M283" s="131"/>
      <c r="N283" s="131"/>
      <c r="O283" s="133"/>
      <c r="P283" s="133"/>
      <c r="Q283" s="133"/>
      <c r="R283" s="131"/>
      <c r="S283" s="134"/>
      <c r="T283" s="134"/>
    </row>
    <row r="284" ht="22.5" customHeight="1">
      <c r="A284" s="131"/>
      <c r="B284" s="131"/>
      <c r="C284" s="131"/>
      <c r="D284" s="131"/>
      <c r="E284" s="132"/>
      <c r="F284" s="131"/>
      <c r="G284" s="36"/>
      <c r="H284" s="131"/>
      <c r="I284" s="133"/>
      <c r="J284" s="133"/>
      <c r="K284" s="133"/>
      <c r="L284" s="131"/>
      <c r="M284" s="131"/>
      <c r="N284" s="131"/>
      <c r="O284" s="133"/>
      <c r="P284" s="133"/>
      <c r="Q284" s="133"/>
      <c r="R284" s="131"/>
      <c r="S284" s="134"/>
      <c r="T284" s="134"/>
    </row>
    <row r="285" ht="22.5" customHeight="1">
      <c r="A285" s="131"/>
      <c r="B285" s="131"/>
      <c r="C285" s="131"/>
      <c r="D285" s="131"/>
      <c r="E285" s="132"/>
      <c r="F285" s="131"/>
      <c r="G285" s="36"/>
      <c r="H285" s="131"/>
      <c r="I285" s="133"/>
      <c r="J285" s="133"/>
      <c r="K285" s="133"/>
      <c r="L285" s="131"/>
      <c r="M285" s="131"/>
      <c r="N285" s="131"/>
      <c r="O285" s="133"/>
      <c r="P285" s="133"/>
      <c r="Q285" s="133"/>
      <c r="R285" s="131"/>
      <c r="S285" s="134"/>
      <c r="T285" s="134"/>
    </row>
    <row r="286" ht="22.5" customHeight="1">
      <c r="A286" s="131"/>
      <c r="B286" s="131"/>
      <c r="C286" s="131"/>
      <c r="D286" s="131"/>
      <c r="E286" s="132"/>
      <c r="F286" s="131"/>
      <c r="G286" s="36"/>
      <c r="H286" s="131"/>
      <c r="I286" s="133"/>
      <c r="J286" s="133"/>
      <c r="K286" s="133"/>
      <c r="L286" s="131"/>
      <c r="M286" s="131"/>
      <c r="N286" s="131"/>
      <c r="O286" s="133"/>
      <c r="P286" s="133"/>
      <c r="Q286" s="133"/>
      <c r="R286" s="131"/>
      <c r="S286" s="134"/>
      <c r="T286" s="134"/>
    </row>
    <row r="287" ht="22.5" customHeight="1">
      <c r="A287" s="131"/>
      <c r="B287" s="131"/>
      <c r="C287" s="131"/>
      <c r="D287" s="131"/>
      <c r="E287" s="132"/>
      <c r="F287" s="131"/>
      <c r="G287" s="36"/>
      <c r="H287" s="131"/>
      <c r="I287" s="133"/>
      <c r="J287" s="133"/>
      <c r="K287" s="133"/>
      <c r="L287" s="131"/>
      <c r="M287" s="131"/>
      <c r="N287" s="131"/>
      <c r="O287" s="133"/>
      <c r="P287" s="133"/>
      <c r="Q287" s="133"/>
      <c r="R287" s="131"/>
      <c r="S287" s="134"/>
      <c r="T287" s="134"/>
    </row>
    <row r="288" ht="22.5" customHeight="1">
      <c r="A288" s="131"/>
      <c r="B288" s="131"/>
      <c r="C288" s="131"/>
      <c r="D288" s="131"/>
      <c r="E288" s="132"/>
      <c r="F288" s="131"/>
      <c r="G288" s="36"/>
      <c r="H288" s="131"/>
      <c r="I288" s="133"/>
      <c r="J288" s="133"/>
      <c r="K288" s="133"/>
      <c r="L288" s="131"/>
      <c r="M288" s="131"/>
      <c r="N288" s="131"/>
      <c r="O288" s="133"/>
      <c r="P288" s="133"/>
      <c r="Q288" s="133"/>
      <c r="R288" s="131"/>
      <c r="S288" s="134"/>
      <c r="T288" s="134"/>
    </row>
    <row r="289" ht="22.5" customHeight="1">
      <c r="A289" s="131"/>
      <c r="B289" s="131"/>
      <c r="C289" s="131"/>
      <c r="D289" s="131"/>
      <c r="E289" s="132"/>
      <c r="F289" s="131"/>
      <c r="G289" s="36"/>
      <c r="H289" s="131"/>
      <c r="I289" s="133"/>
      <c r="J289" s="133"/>
      <c r="K289" s="133"/>
      <c r="L289" s="131"/>
      <c r="M289" s="131"/>
      <c r="N289" s="131"/>
      <c r="O289" s="133"/>
      <c r="P289" s="133"/>
      <c r="Q289" s="133"/>
      <c r="R289" s="131"/>
      <c r="S289" s="134"/>
      <c r="T289" s="134"/>
    </row>
    <row r="290" ht="22.5" customHeight="1">
      <c r="A290" s="131"/>
      <c r="B290" s="131"/>
      <c r="C290" s="131"/>
      <c r="D290" s="131"/>
      <c r="E290" s="132"/>
      <c r="F290" s="131"/>
      <c r="G290" s="36"/>
      <c r="H290" s="131"/>
      <c r="I290" s="133"/>
      <c r="J290" s="133"/>
      <c r="K290" s="133"/>
      <c r="L290" s="131"/>
      <c r="M290" s="131"/>
      <c r="N290" s="131"/>
      <c r="O290" s="133"/>
      <c r="P290" s="133"/>
      <c r="Q290" s="133"/>
      <c r="R290" s="131"/>
      <c r="S290" s="134"/>
      <c r="T290" s="134"/>
    </row>
    <row r="291" ht="22.5" customHeight="1">
      <c r="A291" s="131"/>
      <c r="B291" s="131"/>
      <c r="C291" s="131"/>
      <c r="D291" s="131"/>
      <c r="E291" s="132"/>
      <c r="F291" s="131"/>
      <c r="G291" s="36"/>
      <c r="H291" s="131"/>
      <c r="I291" s="133"/>
      <c r="J291" s="133"/>
      <c r="K291" s="133"/>
      <c r="L291" s="131"/>
      <c r="M291" s="131"/>
      <c r="N291" s="131"/>
      <c r="O291" s="133"/>
      <c r="P291" s="133"/>
      <c r="Q291" s="133"/>
      <c r="R291" s="131"/>
      <c r="S291" s="134"/>
      <c r="T291" s="134"/>
    </row>
    <row r="292" ht="22.5" customHeight="1">
      <c r="A292" s="131"/>
      <c r="B292" s="131"/>
      <c r="C292" s="131"/>
      <c r="D292" s="131"/>
      <c r="E292" s="132"/>
      <c r="F292" s="131"/>
      <c r="G292" s="36"/>
      <c r="H292" s="131"/>
      <c r="I292" s="133"/>
      <c r="J292" s="133"/>
      <c r="K292" s="133"/>
      <c r="L292" s="131"/>
      <c r="M292" s="131"/>
      <c r="N292" s="131"/>
      <c r="O292" s="133"/>
      <c r="P292" s="133"/>
      <c r="Q292" s="133"/>
      <c r="R292" s="131"/>
      <c r="S292" s="134"/>
      <c r="T292" s="134"/>
    </row>
    <row r="293" ht="22.5" customHeight="1">
      <c r="A293" s="131"/>
      <c r="B293" s="131"/>
      <c r="C293" s="131"/>
      <c r="D293" s="131"/>
      <c r="E293" s="132"/>
      <c r="F293" s="131"/>
      <c r="G293" s="36"/>
      <c r="H293" s="131"/>
      <c r="I293" s="133"/>
      <c r="J293" s="133"/>
      <c r="K293" s="133"/>
      <c r="L293" s="131"/>
      <c r="M293" s="131"/>
      <c r="N293" s="131"/>
      <c r="O293" s="133"/>
      <c r="P293" s="133"/>
      <c r="Q293" s="133"/>
      <c r="R293" s="131"/>
      <c r="S293" s="134"/>
      <c r="T293" s="134"/>
    </row>
    <row r="294" ht="22.5" customHeight="1">
      <c r="A294" s="131"/>
      <c r="B294" s="131"/>
      <c r="C294" s="131"/>
      <c r="D294" s="131"/>
      <c r="E294" s="132"/>
      <c r="F294" s="131"/>
      <c r="G294" s="36"/>
      <c r="H294" s="131"/>
      <c r="I294" s="133"/>
      <c r="J294" s="133"/>
      <c r="K294" s="133"/>
      <c r="L294" s="131"/>
      <c r="M294" s="131"/>
      <c r="N294" s="131"/>
      <c r="O294" s="133"/>
      <c r="P294" s="133"/>
      <c r="Q294" s="133"/>
      <c r="R294" s="131"/>
      <c r="S294" s="134"/>
      <c r="T294" s="134"/>
    </row>
    <row r="295" ht="22.5" customHeight="1">
      <c r="A295" s="131"/>
      <c r="B295" s="131"/>
      <c r="C295" s="131"/>
      <c r="D295" s="131"/>
      <c r="E295" s="132"/>
      <c r="F295" s="131"/>
      <c r="G295" s="36"/>
      <c r="H295" s="131"/>
      <c r="I295" s="133"/>
      <c r="J295" s="133"/>
      <c r="K295" s="133"/>
      <c r="L295" s="131"/>
      <c r="M295" s="131"/>
      <c r="N295" s="131"/>
      <c r="O295" s="133"/>
      <c r="P295" s="133"/>
      <c r="Q295" s="133"/>
      <c r="R295" s="131"/>
      <c r="S295" s="134"/>
      <c r="T295" s="134"/>
    </row>
    <row r="296" ht="22.5" customHeight="1">
      <c r="A296" s="131"/>
      <c r="B296" s="131"/>
      <c r="C296" s="131"/>
      <c r="D296" s="131"/>
      <c r="E296" s="132"/>
      <c r="F296" s="131"/>
      <c r="G296" s="36"/>
      <c r="H296" s="131"/>
      <c r="I296" s="133"/>
      <c r="J296" s="133"/>
      <c r="K296" s="133"/>
      <c r="L296" s="131"/>
      <c r="M296" s="131"/>
      <c r="N296" s="131"/>
      <c r="O296" s="133"/>
      <c r="P296" s="133"/>
      <c r="Q296" s="133"/>
      <c r="R296" s="131"/>
      <c r="S296" s="134"/>
      <c r="T296" s="134"/>
    </row>
    <row r="297" ht="22.5" customHeight="1">
      <c r="A297" s="131"/>
      <c r="B297" s="131"/>
      <c r="C297" s="131"/>
      <c r="D297" s="131"/>
      <c r="E297" s="132"/>
      <c r="F297" s="131"/>
      <c r="G297" s="36"/>
      <c r="H297" s="131"/>
      <c r="I297" s="133"/>
      <c r="J297" s="133"/>
      <c r="K297" s="133"/>
      <c r="L297" s="131"/>
      <c r="M297" s="131"/>
      <c r="N297" s="131"/>
      <c r="O297" s="133"/>
      <c r="P297" s="133"/>
      <c r="Q297" s="133"/>
      <c r="R297" s="131"/>
      <c r="S297" s="134"/>
      <c r="T297" s="134"/>
    </row>
    <row r="298" ht="22.5" customHeight="1">
      <c r="A298" s="131"/>
      <c r="B298" s="131"/>
      <c r="C298" s="131"/>
      <c r="D298" s="131"/>
      <c r="E298" s="132"/>
      <c r="F298" s="131"/>
      <c r="G298" s="36"/>
      <c r="H298" s="131"/>
      <c r="I298" s="133"/>
      <c r="J298" s="133"/>
      <c r="K298" s="133"/>
      <c r="L298" s="131"/>
      <c r="M298" s="131"/>
      <c r="N298" s="131"/>
      <c r="O298" s="133"/>
      <c r="P298" s="133"/>
      <c r="Q298" s="133"/>
      <c r="R298" s="131"/>
      <c r="S298" s="134"/>
      <c r="T298" s="134"/>
    </row>
    <row r="299" ht="22.5" customHeight="1">
      <c r="A299" s="131"/>
      <c r="B299" s="131"/>
      <c r="C299" s="131"/>
      <c r="D299" s="131"/>
      <c r="E299" s="132"/>
      <c r="F299" s="131"/>
      <c r="G299" s="36"/>
      <c r="H299" s="131"/>
      <c r="I299" s="133"/>
      <c r="J299" s="133"/>
      <c r="K299" s="133"/>
      <c r="L299" s="131"/>
      <c r="M299" s="131"/>
      <c r="N299" s="131"/>
      <c r="O299" s="133"/>
      <c r="P299" s="133"/>
      <c r="Q299" s="133"/>
      <c r="R299" s="131"/>
      <c r="S299" s="134"/>
      <c r="T299" s="134"/>
    </row>
    <row r="300" ht="22.5" customHeight="1">
      <c r="A300" s="131"/>
      <c r="B300" s="131"/>
      <c r="C300" s="131"/>
      <c r="D300" s="131"/>
      <c r="E300" s="132"/>
      <c r="F300" s="131"/>
      <c r="G300" s="36"/>
      <c r="H300" s="131"/>
      <c r="I300" s="133"/>
      <c r="J300" s="133"/>
      <c r="K300" s="133"/>
      <c r="L300" s="131"/>
      <c r="M300" s="131"/>
      <c r="N300" s="131"/>
      <c r="O300" s="133"/>
      <c r="P300" s="133"/>
      <c r="Q300" s="133"/>
      <c r="R300" s="131"/>
      <c r="S300" s="134"/>
      <c r="T300" s="134"/>
    </row>
    <row r="301" ht="22.5" customHeight="1">
      <c r="A301" s="131"/>
      <c r="B301" s="131"/>
      <c r="C301" s="131"/>
      <c r="D301" s="131"/>
      <c r="E301" s="132"/>
      <c r="F301" s="131"/>
      <c r="G301" s="36"/>
      <c r="H301" s="131"/>
      <c r="I301" s="133"/>
      <c r="J301" s="133"/>
      <c r="K301" s="133"/>
      <c r="L301" s="131"/>
      <c r="M301" s="131"/>
      <c r="N301" s="131"/>
      <c r="O301" s="133"/>
      <c r="P301" s="133"/>
      <c r="Q301" s="133"/>
      <c r="R301" s="131"/>
      <c r="S301" s="134"/>
      <c r="T301" s="134"/>
    </row>
    <row r="302" ht="22.5" customHeight="1">
      <c r="A302" s="131"/>
      <c r="B302" s="131"/>
      <c r="C302" s="131"/>
      <c r="D302" s="131"/>
      <c r="E302" s="132"/>
      <c r="F302" s="131"/>
      <c r="G302" s="36"/>
      <c r="H302" s="131"/>
      <c r="I302" s="133"/>
      <c r="J302" s="133"/>
      <c r="K302" s="133"/>
      <c r="L302" s="131"/>
      <c r="M302" s="131"/>
      <c r="N302" s="131"/>
      <c r="O302" s="133"/>
      <c r="P302" s="133"/>
      <c r="Q302" s="133"/>
      <c r="R302" s="131"/>
      <c r="S302" s="134"/>
      <c r="T302" s="134"/>
    </row>
    <row r="303" ht="22.5" customHeight="1">
      <c r="A303" s="131"/>
      <c r="B303" s="131"/>
      <c r="C303" s="131"/>
      <c r="D303" s="131"/>
      <c r="E303" s="132"/>
      <c r="F303" s="131"/>
      <c r="G303" s="36"/>
      <c r="H303" s="131"/>
      <c r="I303" s="133"/>
      <c r="J303" s="133"/>
      <c r="K303" s="133"/>
      <c r="L303" s="131"/>
      <c r="M303" s="131"/>
      <c r="N303" s="131"/>
      <c r="O303" s="133"/>
      <c r="P303" s="133"/>
      <c r="Q303" s="133"/>
      <c r="R303" s="131"/>
      <c r="S303" s="134"/>
      <c r="T303" s="134"/>
    </row>
    <row r="304" ht="22.5" customHeight="1">
      <c r="A304" s="131"/>
      <c r="B304" s="131"/>
      <c r="C304" s="131"/>
      <c r="D304" s="131"/>
      <c r="E304" s="132"/>
      <c r="F304" s="131"/>
      <c r="G304" s="36"/>
      <c r="H304" s="131"/>
      <c r="I304" s="133"/>
      <c r="J304" s="133"/>
      <c r="K304" s="133"/>
      <c r="L304" s="131"/>
      <c r="M304" s="131"/>
      <c r="N304" s="131"/>
      <c r="O304" s="133"/>
      <c r="P304" s="133"/>
      <c r="Q304" s="133"/>
      <c r="R304" s="131"/>
      <c r="S304" s="134"/>
      <c r="T304" s="134"/>
    </row>
    <row r="305" ht="22.5" customHeight="1">
      <c r="A305" s="131"/>
      <c r="B305" s="131"/>
      <c r="C305" s="131"/>
      <c r="D305" s="131"/>
      <c r="E305" s="132"/>
      <c r="F305" s="131"/>
      <c r="G305" s="36"/>
      <c r="H305" s="131"/>
      <c r="I305" s="133"/>
      <c r="J305" s="133"/>
      <c r="K305" s="133"/>
      <c r="L305" s="131"/>
      <c r="M305" s="131"/>
      <c r="N305" s="131"/>
      <c r="O305" s="133"/>
      <c r="P305" s="133"/>
      <c r="Q305" s="133"/>
      <c r="R305" s="131"/>
      <c r="S305" s="134"/>
      <c r="T305" s="134"/>
    </row>
    <row r="306" ht="22.5" customHeight="1">
      <c r="A306" s="131"/>
      <c r="B306" s="131"/>
      <c r="C306" s="131"/>
      <c r="D306" s="131"/>
      <c r="E306" s="132"/>
      <c r="F306" s="131"/>
      <c r="G306" s="36"/>
      <c r="H306" s="131"/>
      <c r="I306" s="133"/>
      <c r="J306" s="133"/>
      <c r="K306" s="133"/>
      <c r="L306" s="131"/>
      <c r="M306" s="131"/>
      <c r="N306" s="131"/>
      <c r="O306" s="133"/>
      <c r="P306" s="133"/>
      <c r="Q306" s="133"/>
      <c r="R306" s="131"/>
      <c r="S306" s="134"/>
      <c r="T306" s="134"/>
    </row>
    <row r="307" ht="22.5" customHeight="1">
      <c r="A307" s="131"/>
      <c r="B307" s="131"/>
      <c r="C307" s="131"/>
      <c r="D307" s="131"/>
      <c r="E307" s="132"/>
      <c r="F307" s="131"/>
      <c r="G307" s="36"/>
      <c r="H307" s="131"/>
      <c r="I307" s="133"/>
      <c r="J307" s="133"/>
      <c r="K307" s="133"/>
      <c r="L307" s="131"/>
      <c r="M307" s="131"/>
      <c r="N307" s="131"/>
      <c r="O307" s="133"/>
      <c r="P307" s="133"/>
      <c r="Q307" s="133"/>
      <c r="R307" s="131"/>
      <c r="S307" s="134"/>
      <c r="T307" s="134"/>
    </row>
    <row r="308" ht="22.5" customHeight="1">
      <c r="A308" s="131"/>
      <c r="B308" s="131"/>
      <c r="C308" s="131"/>
      <c r="D308" s="131"/>
      <c r="E308" s="132"/>
      <c r="F308" s="131"/>
      <c r="G308" s="36"/>
      <c r="H308" s="131"/>
      <c r="I308" s="133"/>
      <c r="J308" s="133"/>
      <c r="K308" s="133"/>
      <c r="L308" s="131"/>
      <c r="M308" s="131"/>
      <c r="N308" s="131"/>
      <c r="O308" s="133"/>
      <c r="P308" s="133"/>
      <c r="Q308" s="133"/>
      <c r="R308" s="131"/>
      <c r="S308" s="134"/>
      <c r="T308" s="134"/>
    </row>
    <row r="309" ht="22.5" customHeight="1">
      <c r="A309" s="131"/>
      <c r="B309" s="131"/>
      <c r="C309" s="131"/>
      <c r="D309" s="131"/>
      <c r="E309" s="132"/>
      <c r="F309" s="131"/>
      <c r="G309" s="36"/>
      <c r="H309" s="131"/>
      <c r="I309" s="133"/>
      <c r="J309" s="133"/>
      <c r="K309" s="133"/>
      <c r="L309" s="131"/>
      <c r="M309" s="131"/>
      <c r="N309" s="131"/>
      <c r="O309" s="133"/>
      <c r="P309" s="133"/>
      <c r="Q309" s="133"/>
      <c r="R309" s="131"/>
      <c r="S309" s="134"/>
      <c r="T309" s="134"/>
    </row>
    <row r="310" ht="22.5" customHeight="1">
      <c r="A310" s="131"/>
      <c r="B310" s="131"/>
      <c r="C310" s="131"/>
      <c r="D310" s="131"/>
      <c r="E310" s="132"/>
      <c r="F310" s="131"/>
      <c r="G310" s="36"/>
      <c r="H310" s="131"/>
      <c r="I310" s="133"/>
      <c r="J310" s="133"/>
      <c r="K310" s="133"/>
      <c r="L310" s="131"/>
      <c r="M310" s="131"/>
      <c r="N310" s="131"/>
      <c r="O310" s="133"/>
      <c r="P310" s="133"/>
      <c r="Q310" s="133"/>
      <c r="R310" s="131"/>
      <c r="S310" s="134"/>
      <c r="T310" s="134"/>
    </row>
    <row r="311" ht="22.5" customHeight="1">
      <c r="A311" s="131"/>
      <c r="B311" s="131"/>
      <c r="C311" s="131"/>
      <c r="D311" s="131"/>
      <c r="E311" s="132"/>
      <c r="F311" s="131"/>
      <c r="G311" s="36"/>
      <c r="H311" s="131"/>
      <c r="I311" s="133"/>
      <c r="J311" s="133"/>
      <c r="K311" s="133"/>
      <c r="L311" s="131"/>
      <c r="M311" s="131"/>
      <c r="N311" s="131"/>
      <c r="O311" s="133"/>
      <c r="P311" s="133"/>
      <c r="Q311" s="133"/>
      <c r="R311" s="131"/>
      <c r="S311" s="134"/>
      <c r="T311" s="134"/>
    </row>
    <row r="312" ht="22.5" customHeight="1">
      <c r="A312" s="131"/>
      <c r="B312" s="131"/>
      <c r="C312" s="131"/>
      <c r="D312" s="131"/>
      <c r="E312" s="132"/>
      <c r="F312" s="131"/>
      <c r="G312" s="36"/>
      <c r="H312" s="131"/>
      <c r="I312" s="133"/>
      <c r="J312" s="133"/>
      <c r="K312" s="133"/>
      <c r="L312" s="131"/>
      <c r="M312" s="131"/>
      <c r="N312" s="131"/>
      <c r="O312" s="133"/>
      <c r="P312" s="133"/>
      <c r="Q312" s="133"/>
      <c r="R312" s="131"/>
      <c r="S312" s="134"/>
      <c r="T312" s="134"/>
    </row>
    <row r="313" ht="22.5" customHeight="1">
      <c r="A313" s="131"/>
      <c r="B313" s="131"/>
      <c r="C313" s="131"/>
      <c r="D313" s="131"/>
      <c r="E313" s="132"/>
      <c r="F313" s="131"/>
      <c r="G313" s="36"/>
      <c r="H313" s="131"/>
      <c r="I313" s="133"/>
      <c r="J313" s="133"/>
      <c r="K313" s="133"/>
      <c r="L313" s="131"/>
      <c r="M313" s="131"/>
      <c r="N313" s="131"/>
      <c r="O313" s="133"/>
      <c r="P313" s="133"/>
      <c r="Q313" s="133"/>
      <c r="R313" s="131"/>
      <c r="S313" s="134"/>
      <c r="T313" s="134"/>
    </row>
    <row r="314" ht="22.5" customHeight="1">
      <c r="A314" s="131"/>
      <c r="B314" s="131"/>
      <c r="C314" s="131"/>
      <c r="D314" s="131"/>
      <c r="E314" s="132"/>
      <c r="F314" s="131"/>
      <c r="G314" s="36"/>
      <c r="H314" s="131"/>
      <c r="I314" s="133"/>
      <c r="J314" s="133"/>
      <c r="K314" s="133"/>
      <c r="L314" s="131"/>
      <c r="M314" s="131"/>
      <c r="N314" s="131"/>
      <c r="O314" s="133"/>
      <c r="P314" s="133"/>
      <c r="Q314" s="133"/>
      <c r="R314" s="131"/>
      <c r="S314" s="134"/>
      <c r="T314" s="134"/>
    </row>
    <row r="315" ht="22.5" customHeight="1">
      <c r="A315" s="131"/>
      <c r="B315" s="131"/>
      <c r="C315" s="131"/>
      <c r="D315" s="131"/>
      <c r="E315" s="132"/>
      <c r="F315" s="131"/>
      <c r="G315" s="36"/>
      <c r="H315" s="131"/>
      <c r="I315" s="133"/>
      <c r="J315" s="133"/>
      <c r="K315" s="133"/>
      <c r="L315" s="131"/>
      <c r="M315" s="131"/>
      <c r="N315" s="131"/>
      <c r="O315" s="133"/>
      <c r="P315" s="133"/>
      <c r="Q315" s="133"/>
      <c r="R315" s="131"/>
      <c r="S315" s="134"/>
      <c r="T315" s="134"/>
    </row>
    <row r="316" ht="22.5" customHeight="1">
      <c r="A316" s="131"/>
      <c r="B316" s="131"/>
      <c r="C316" s="131"/>
      <c r="D316" s="131"/>
      <c r="E316" s="132"/>
      <c r="F316" s="131"/>
      <c r="G316" s="36"/>
      <c r="H316" s="131"/>
      <c r="I316" s="133"/>
      <c r="J316" s="133"/>
      <c r="K316" s="133"/>
      <c r="L316" s="131"/>
      <c r="M316" s="131"/>
      <c r="N316" s="131"/>
      <c r="O316" s="133"/>
      <c r="P316" s="133"/>
      <c r="Q316" s="133"/>
      <c r="R316" s="131"/>
      <c r="S316" s="134"/>
      <c r="T316" s="134"/>
    </row>
    <row r="317" ht="22.5" customHeight="1">
      <c r="A317" s="131"/>
      <c r="B317" s="131"/>
      <c r="C317" s="131"/>
      <c r="D317" s="131"/>
      <c r="E317" s="132"/>
      <c r="F317" s="131"/>
      <c r="G317" s="36"/>
      <c r="H317" s="131"/>
      <c r="I317" s="133"/>
      <c r="J317" s="133"/>
      <c r="K317" s="133"/>
      <c r="L317" s="131"/>
      <c r="M317" s="131"/>
      <c r="N317" s="131"/>
      <c r="O317" s="133"/>
      <c r="P317" s="133"/>
      <c r="Q317" s="133"/>
      <c r="R317" s="131"/>
      <c r="S317" s="134"/>
      <c r="T317" s="134"/>
    </row>
    <row r="318" ht="22.5" customHeight="1">
      <c r="A318" s="131"/>
      <c r="B318" s="131"/>
      <c r="C318" s="131"/>
      <c r="D318" s="131"/>
      <c r="E318" s="132"/>
      <c r="F318" s="131"/>
      <c r="G318" s="36"/>
      <c r="H318" s="131"/>
      <c r="I318" s="133"/>
      <c r="J318" s="133"/>
      <c r="K318" s="133"/>
      <c r="L318" s="131"/>
      <c r="M318" s="131"/>
      <c r="N318" s="131"/>
      <c r="O318" s="133"/>
      <c r="P318" s="133"/>
      <c r="Q318" s="133"/>
      <c r="R318" s="131"/>
      <c r="S318" s="134"/>
      <c r="T318" s="134"/>
    </row>
    <row r="319" ht="22.5" customHeight="1">
      <c r="A319" s="131"/>
      <c r="B319" s="131"/>
      <c r="C319" s="131"/>
      <c r="D319" s="131"/>
      <c r="E319" s="132"/>
      <c r="F319" s="131"/>
      <c r="G319" s="36"/>
      <c r="H319" s="131"/>
      <c r="I319" s="133"/>
      <c r="J319" s="133"/>
      <c r="K319" s="133"/>
      <c r="L319" s="131"/>
      <c r="M319" s="131"/>
      <c r="N319" s="131"/>
      <c r="O319" s="133"/>
      <c r="P319" s="133"/>
      <c r="Q319" s="133"/>
      <c r="R319" s="131"/>
      <c r="S319" s="134"/>
      <c r="T319" s="134"/>
    </row>
    <row r="320" ht="22.5" customHeight="1">
      <c r="A320" s="131"/>
      <c r="B320" s="131"/>
      <c r="C320" s="131"/>
      <c r="D320" s="131"/>
      <c r="E320" s="132"/>
      <c r="F320" s="131"/>
      <c r="G320" s="36"/>
      <c r="H320" s="131"/>
      <c r="I320" s="133"/>
      <c r="J320" s="133"/>
      <c r="K320" s="133"/>
      <c r="L320" s="131"/>
      <c r="M320" s="131"/>
      <c r="N320" s="131"/>
      <c r="O320" s="133"/>
      <c r="P320" s="133"/>
      <c r="Q320" s="133"/>
      <c r="R320" s="131"/>
      <c r="S320" s="134"/>
      <c r="T320" s="134"/>
    </row>
    <row r="321" ht="22.5" customHeight="1">
      <c r="A321" s="131"/>
      <c r="B321" s="131"/>
      <c r="C321" s="131"/>
      <c r="D321" s="131"/>
      <c r="E321" s="132"/>
      <c r="F321" s="131"/>
      <c r="G321" s="36"/>
      <c r="H321" s="131"/>
      <c r="I321" s="133"/>
      <c r="J321" s="133"/>
      <c r="K321" s="133"/>
      <c r="L321" s="131"/>
      <c r="M321" s="131"/>
      <c r="N321" s="131"/>
      <c r="O321" s="133"/>
      <c r="P321" s="133"/>
      <c r="Q321" s="133"/>
      <c r="R321" s="131"/>
      <c r="S321" s="134"/>
      <c r="T321" s="134"/>
    </row>
    <row r="322" ht="22.5" customHeight="1">
      <c r="A322" s="131"/>
      <c r="B322" s="131"/>
      <c r="C322" s="131"/>
      <c r="D322" s="131"/>
      <c r="E322" s="132"/>
      <c r="F322" s="131"/>
      <c r="G322" s="36"/>
      <c r="H322" s="131"/>
      <c r="I322" s="133"/>
      <c r="J322" s="133"/>
      <c r="K322" s="133"/>
      <c r="L322" s="131"/>
      <c r="M322" s="131"/>
      <c r="N322" s="131"/>
      <c r="O322" s="133"/>
      <c r="P322" s="133"/>
      <c r="Q322" s="133"/>
      <c r="R322" s="131"/>
      <c r="S322" s="134"/>
      <c r="T322" s="134"/>
    </row>
    <row r="323" ht="22.5" customHeight="1">
      <c r="A323" s="131"/>
      <c r="B323" s="131"/>
      <c r="C323" s="131"/>
      <c r="D323" s="131"/>
      <c r="E323" s="132"/>
      <c r="F323" s="131"/>
      <c r="G323" s="36"/>
      <c r="H323" s="131"/>
      <c r="I323" s="133"/>
      <c r="J323" s="133"/>
      <c r="K323" s="133"/>
      <c r="L323" s="131"/>
      <c r="M323" s="131"/>
      <c r="N323" s="131"/>
      <c r="O323" s="133"/>
      <c r="P323" s="133"/>
      <c r="Q323" s="133"/>
      <c r="R323" s="131"/>
      <c r="S323" s="134"/>
      <c r="T323" s="134"/>
    </row>
    <row r="324" ht="22.5" customHeight="1">
      <c r="A324" s="131"/>
      <c r="B324" s="131"/>
      <c r="C324" s="131"/>
      <c r="D324" s="131"/>
      <c r="E324" s="132"/>
      <c r="F324" s="131"/>
      <c r="G324" s="36"/>
      <c r="H324" s="131"/>
      <c r="I324" s="133"/>
      <c r="J324" s="133"/>
      <c r="K324" s="133"/>
      <c r="L324" s="131"/>
      <c r="M324" s="131"/>
      <c r="N324" s="131"/>
      <c r="O324" s="133"/>
      <c r="P324" s="133"/>
      <c r="Q324" s="133"/>
      <c r="R324" s="131"/>
      <c r="S324" s="134"/>
      <c r="T324" s="134"/>
    </row>
    <row r="325" ht="22.5" customHeight="1">
      <c r="A325" s="131"/>
      <c r="B325" s="131"/>
      <c r="C325" s="131"/>
      <c r="D325" s="131"/>
      <c r="E325" s="132"/>
      <c r="F325" s="131"/>
      <c r="G325" s="36"/>
      <c r="H325" s="131"/>
      <c r="I325" s="133"/>
      <c r="J325" s="133"/>
      <c r="K325" s="133"/>
      <c r="L325" s="131"/>
      <c r="M325" s="131"/>
      <c r="N325" s="131"/>
      <c r="O325" s="133"/>
      <c r="P325" s="133"/>
      <c r="Q325" s="133"/>
      <c r="R325" s="131"/>
      <c r="S325" s="134"/>
      <c r="T325" s="134"/>
    </row>
    <row r="326" ht="22.5" customHeight="1">
      <c r="A326" s="131"/>
      <c r="B326" s="131"/>
      <c r="C326" s="131"/>
      <c r="D326" s="131"/>
      <c r="E326" s="132"/>
      <c r="F326" s="131"/>
      <c r="G326" s="36"/>
      <c r="H326" s="131"/>
      <c r="I326" s="133"/>
      <c r="J326" s="133"/>
      <c r="K326" s="133"/>
      <c r="L326" s="131"/>
      <c r="M326" s="131"/>
      <c r="N326" s="131"/>
      <c r="O326" s="133"/>
      <c r="P326" s="133"/>
      <c r="Q326" s="133"/>
      <c r="R326" s="131"/>
      <c r="S326" s="134"/>
      <c r="T326" s="134"/>
    </row>
    <row r="327" ht="22.5" customHeight="1">
      <c r="A327" s="131"/>
      <c r="B327" s="131"/>
      <c r="C327" s="131"/>
      <c r="D327" s="131"/>
      <c r="E327" s="132"/>
      <c r="F327" s="131"/>
      <c r="G327" s="36"/>
      <c r="H327" s="131"/>
      <c r="I327" s="133"/>
      <c r="J327" s="133"/>
      <c r="K327" s="133"/>
      <c r="L327" s="131"/>
      <c r="M327" s="131"/>
      <c r="N327" s="131"/>
      <c r="O327" s="133"/>
      <c r="P327" s="133"/>
      <c r="Q327" s="133"/>
      <c r="R327" s="131"/>
      <c r="S327" s="134"/>
      <c r="T327" s="134"/>
    </row>
    <row r="328" ht="22.5" customHeight="1">
      <c r="A328" s="131"/>
      <c r="B328" s="131"/>
      <c r="C328" s="131"/>
      <c r="D328" s="131"/>
      <c r="E328" s="132"/>
      <c r="F328" s="131"/>
      <c r="G328" s="36"/>
      <c r="H328" s="131"/>
      <c r="I328" s="133"/>
      <c r="J328" s="133"/>
      <c r="K328" s="133"/>
      <c r="L328" s="131"/>
      <c r="M328" s="131"/>
      <c r="N328" s="131"/>
      <c r="O328" s="133"/>
      <c r="P328" s="133"/>
      <c r="Q328" s="133"/>
      <c r="R328" s="131"/>
      <c r="S328" s="134"/>
      <c r="T328" s="134"/>
    </row>
    <row r="329" ht="22.5" customHeight="1">
      <c r="A329" s="131"/>
      <c r="B329" s="131"/>
      <c r="C329" s="131"/>
      <c r="D329" s="131"/>
      <c r="E329" s="132"/>
      <c r="F329" s="131"/>
      <c r="G329" s="36"/>
      <c r="H329" s="131"/>
      <c r="I329" s="133"/>
      <c r="J329" s="133"/>
      <c r="K329" s="133"/>
      <c r="L329" s="131"/>
      <c r="M329" s="131"/>
      <c r="N329" s="131"/>
      <c r="O329" s="133"/>
      <c r="P329" s="133"/>
      <c r="Q329" s="133"/>
      <c r="R329" s="131"/>
      <c r="S329" s="134"/>
      <c r="T329" s="134"/>
    </row>
    <row r="330" ht="22.5" customHeight="1">
      <c r="A330" s="131"/>
      <c r="B330" s="131"/>
      <c r="C330" s="131"/>
      <c r="D330" s="131"/>
      <c r="E330" s="132"/>
      <c r="F330" s="131"/>
      <c r="G330" s="36"/>
      <c r="H330" s="131"/>
      <c r="I330" s="133"/>
      <c r="J330" s="133"/>
      <c r="K330" s="133"/>
      <c r="L330" s="131"/>
      <c r="M330" s="131"/>
      <c r="N330" s="131"/>
      <c r="O330" s="133"/>
      <c r="P330" s="133"/>
      <c r="Q330" s="133"/>
      <c r="R330" s="131"/>
      <c r="S330" s="134"/>
      <c r="T330" s="134"/>
    </row>
    <row r="331" ht="22.5" customHeight="1">
      <c r="A331" s="131"/>
      <c r="B331" s="131"/>
      <c r="C331" s="131"/>
      <c r="D331" s="131"/>
      <c r="E331" s="132"/>
      <c r="F331" s="131"/>
      <c r="G331" s="36"/>
      <c r="H331" s="131"/>
      <c r="I331" s="133"/>
      <c r="J331" s="133"/>
      <c r="K331" s="133"/>
      <c r="L331" s="131"/>
      <c r="M331" s="131"/>
      <c r="N331" s="131"/>
      <c r="O331" s="133"/>
      <c r="P331" s="133"/>
      <c r="Q331" s="133"/>
      <c r="R331" s="131"/>
      <c r="S331" s="134"/>
      <c r="T331" s="134"/>
    </row>
    <row r="332" ht="22.5" customHeight="1">
      <c r="A332" s="131"/>
      <c r="B332" s="131"/>
      <c r="C332" s="131"/>
      <c r="D332" s="131"/>
      <c r="E332" s="132"/>
      <c r="F332" s="131"/>
      <c r="G332" s="36"/>
      <c r="H332" s="131"/>
      <c r="I332" s="133"/>
      <c r="J332" s="133"/>
      <c r="K332" s="133"/>
      <c r="L332" s="131"/>
      <c r="M332" s="131"/>
      <c r="N332" s="131"/>
      <c r="O332" s="133"/>
      <c r="P332" s="133"/>
      <c r="Q332" s="133"/>
      <c r="R332" s="131"/>
      <c r="S332" s="134"/>
      <c r="T332" s="134"/>
    </row>
    <row r="333" ht="22.5" customHeight="1">
      <c r="A333" s="131"/>
      <c r="B333" s="131"/>
      <c r="C333" s="131"/>
      <c r="D333" s="131"/>
      <c r="E333" s="132"/>
      <c r="F333" s="131"/>
      <c r="G333" s="36"/>
      <c r="H333" s="131"/>
      <c r="I333" s="133"/>
      <c r="J333" s="133"/>
      <c r="K333" s="133"/>
      <c r="L333" s="131"/>
      <c r="M333" s="131"/>
      <c r="N333" s="131"/>
      <c r="O333" s="133"/>
      <c r="P333" s="133"/>
      <c r="Q333" s="133"/>
      <c r="R333" s="131"/>
      <c r="S333" s="134"/>
      <c r="T333" s="134"/>
    </row>
    <row r="334" ht="22.5" customHeight="1">
      <c r="A334" s="131"/>
      <c r="B334" s="131"/>
      <c r="C334" s="131"/>
      <c r="D334" s="131"/>
      <c r="E334" s="132"/>
      <c r="F334" s="131"/>
      <c r="G334" s="36"/>
      <c r="H334" s="131"/>
      <c r="I334" s="133"/>
      <c r="J334" s="133"/>
      <c r="K334" s="133"/>
      <c r="L334" s="131"/>
      <c r="M334" s="131"/>
      <c r="N334" s="131"/>
      <c r="O334" s="133"/>
      <c r="P334" s="133"/>
      <c r="Q334" s="133"/>
      <c r="R334" s="131"/>
      <c r="S334" s="134"/>
      <c r="T334" s="134"/>
    </row>
    <row r="335" ht="22.5" customHeight="1">
      <c r="A335" s="131"/>
      <c r="B335" s="131"/>
      <c r="C335" s="131"/>
      <c r="D335" s="131"/>
      <c r="E335" s="132"/>
      <c r="F335" s="131"/>
      <c r="G335" s="36"/>
      <c r="H335" s="131"/>
      <c r="I335" s="133"/>
      <c r="J335" s="133"/>
      <c r="K335" s="133"/>
      <c r="L335" s="131"/>
      <c r="M335" s="131"/>
      <c r="N335" s="131"/>
      <c r="O335" s="133"/>
      <c r="P335" s="133"/>
      <c r="Q335" s="133"/>
      <c r="R335" s="131"/>
      <c r="S335" s="134"/>
      <c r="T335" s="134"/>
    </row>
    <row r="336" ht="22.5" customHeight="1">
      <c r="A336" s="131"/>
      <c r="B336" s="131"/>
      <c r="C336" s="131"/>
      <c r="D336" s="131"/>
      <c r="E336" s="132"/>
      <c r="F336" s="131"/>
      <c r="G336" s="36"/>
      <c r="H336" s="131"/>
      <c r="I336" s="133"/>
      <c r="J336" s="133"/>
      <c r="K336" s="133"/>
      <c r="L336" s="131"/>
      <c r="M336" s="131"/>
      <c r="N336" s="131"/>
      <c r="O336" s="133"/>
      <c r="P336" s="133"/>
      <c r="Q336" s="133"/>
      <c r="R336" s="131"/>
      <c r="S336" s="134"/>
      <c r="T336" s="134"/>
    </row>
    <row r="337" ht="22.5" customHeight="1">
      <c r="A337" s="131"/>
      <c r="B337" s="131"/>
      <c r="C337" s="131"/>
      <c r="D337" s="131"/>
      <c r="E337" s="132"/>
      <c r="F337" s="131"/>
      <c r="G337" s="36"/>
      <c r="H337" s="131"/>
      <c r="I337" s="133"/>
      <c r="J337" s="133"/>
      <c r="K337" s="133"/>
      <c r="L337" s="131"/>
      <c r="M337" s="131"/>
      <c r="N337" s="131"/>
      <c r="O337" s="133"/>
      <c r="P337" s="133"/>
      <c r="Q337" s="133"/>
      <c r="R337" s="131"/>
      <c r="S337" s="134"/>
      <c r="T337" s="134"/>
    </row>
    <row r="338" ht="22.5" customHeight="1">
      <c r="A338" s="131"/>
      <c r="B338" s="131"/>
      <c r="C338" s="131"/>
      <c r="D338" s="131"/>
      <c r="E338" s="132"/>
      <c r="F338" s="131"/>
      <c r="G338" s="36"/>
      <c r="H338" s="131"/>
      <c r="I338" s="133"/>
      <c r="J338" s="133"/>
      <c r="K338" s="133"/>
      <c r="L338" s="131"/>
      <c r="M338" s="131"/>
      <c r="N338" s="131"/>
      <c r="O338" s="133"/>
      <c r="P338" s="133"/>
      <c r="Q338" s="133"/>
      <c r="R338" s="131"/>
      <c r="S338" s="134"/>
      <c r="T338" s="134"/>
    </row>
    <row r="339" ht="22.5" customHeight="1">
      <c r="A339" s="131"/>
      <c r="B339" s="131"/>
      <c r="C339" s="131"/>
      <c r="D339" s="131"/>
      <c r="E339" s="132"/>
      <c r="F339" s="131"/>
      <c r="G339" s="36"/>
      <c r="H339" s="131"/>
      <c r="I339" s="133"/>
      <c r="J339" s="133"/>
      <c r="K339" s="133"/>
      <c r="L339" s="131"/>
      <c r="M339" s="131"/>
      <c r="N339" s="131"/>
      <c r="O339" s="133"/>
      <c r="P339" s="133"/>
      <c r="Q339" s="133"/>
      <c r="R339" s="131"/>
      <c r="S339" s="134"/>
      <c r="T339" s="134"/>
    </row>
    <row r="340" ht="22.5" customHeight="1">
      <c r="A340" s="131"/>
      <c r="B340" s="131"/>
      <c r="C340" s="131"/>
      <c r="D340" s="131"/>
      <c r="E340" s="132"/>
      <c r="F340" s="131"/>
      <c r="G340" s="36"/>
      <c r="H340" s="131"/>
      <c r="I340" s="133"/>
      <c r="J340" s="133"/>
      <c r="K340" s="133"/>
      <c r="L340" s="131"/>
      <c r="M340" s="131"/>
      <c r="N340" s="131"/>
      <c r="O340" s="133"/>
      <c r="P340" s="133"/>
      <c r="Q340" s="133"/>
      <c r="R340" s="131"/>
      <c r="S340" s="134"/>
      <c r="T340" s="134"/>
    </row>
    <row r="341" ht="22.5" customHeight="1">
      <c r="A341" s="131"/>
      <c r="B341" s="131"/>
      <c r="C341" s="131"/>
      <c r="D341" s="131"/>
      <c r="E341" s="132"/>
      <c r="F341" s="131"/>
      <c r="G341" s="36"/>
      <c r="H341" s="131"/>
      <c r="I341" s="133"/>
      <c r="J341" s="133"/>
      <c r="K341" s="133"/>
      <c r="L341" s="131"/>
      <c r="M341" s="131"/>
      <c r="N341" s="131"/>
      <c r="O341" s="133"/>
      <c r="P341" s="133"/>
      <c r="Q341" s="133"/>
      <c r="R341" s="131"/>
      <c r="S341" s="134"/>
      <c r="T341" s="134"/>
    </row>
    <row r="342" ht="22.5" customHeight="1">
      <c r="A342" s="131"/>
      <c r="B342" s="131"/>
      <c r="C342" s="131"/>
      <c r="D342" s="131"/>
      <c r="E342" s="132"/>
      <c r="F342" s="131"/>
      <c r="G342" s="36"/>
      <c r="H342" s="131"/>
      <c r="I342" s="133"/>
      <c r="J342" s="133"/>
      <c r="K342" s="133"/>
      <c r="L342" s="131"/>
      <c r="M342" s="131"/>
      <c r="N342" s="131"/>
      <c r="O342" s="133"/>
      <c r="P342" s="133"/>
      <c r="Q342" s="133"/>
      <c r="R342" s="131"/>
      <c r="S342" s="134"/>
      <c r="T342" s="134"/>
    </row>
    <row r="343" ht="22.5" customHeight="1">
      <c r="A343" s="131"/>
      <c r="B343" s="131"/>
      <c r="C343" s="131"/>
      <c r="D343" s="131"/>
      <c r="E343" s="132"/>
      <c r="F343" s="131"/>
      <c r="G343" s="36"/>
      <c r="H343" s="131"/>
      <c r="I343" s="133"/>
      <c r="J343" s="133"/>
      <c r="K343" s="133"/>
      <c r="L343" s="131"/>
      <c r="M343" s="131"/>
      <c r="N343" s="131"/>
      <c r="O343" s="133"/>
      <c r="P343" s="133"/>
      <c r="Q343" s="133"/>
      <c r="R343" s="131"/>
      <c r="S343" s="134"/>
      <c r="T343" s="134"/>
    </row>
    <row r="344" ht="22.5" customHeight="1">
      <c r="A344" s="131"/>
      <c r="B344" s="131"/>
      <c r="C344" s="131"/>
      <c r="D344" s="131"/>
      <c r="E344" s="132"/>
      <c r="F344" s="131"/>
      <c r="G344" s="36"/>
      <c r="H344" s="131"/>
      <c r="I344" s="133"/>
      <c r="J344" s="133"/>
      <c r="K344" s="133"/>
      <c r="L344" s="131"/>
      <c r="M344" s="131"/>
      <c r="N344" s="131"/>
      <c r="O344" s="133"/>
      <c r="P344" s="133"/>
      <c r="Q344" s="133"/>
      <c r="R344" s="131"/>
      <c r="S344" s="134"/>
      <c r="T344" s="134"/>
    </row>
    <row r="345" ht="22.5" customHeight="1">
      <c r="A345" s="131"/>
      <c r="B345" s="131"/>
      <c r="C345" s="131"/>
      <c r="D345" s="131"/>
      <c r="E345" s="132"/>
      <c r="F345" s="131"/>
      <c r="G345" s="36"/>
      <c r="H345" s="131"/>
      <c r="I345" s="133"/>
      <c r="J345" s="133"/>
      <c r="K345" s="133"/>
      <c r="L345" s="131"/>
      <c r="M345" s="131"/>
      <c r="N345" s="131"/>
      <c r="O345" s="133"/>
      <c r="P345" s="133"/>
      <c r="Q345" s="133"/>
      <c r="R345" s="131"/>
      <c r="S345" s="134"/>
      <c r="T345" s="134"/>
    </row>
    <row r="346" ht="22.5" customHeight="1">
      <c r="A346" s="131"/>
      <c r="B346" s="131"/>
      <c r="C346" s="131"/>
      <c r="D346" s="131"/>
      <c r="E346" s="132"/>
      <c r="F346" s="131"/>
      <c r="G346" s="36"/>
      <c r="H346" s="131"/>
      <c r="I346" s="133"/>
      <c r="J346" s="133"/>
      <c r="K346" s="133"/>
      <c r="L346" s="131"/>
      <c r="M346" s="131"/>
      <c r="N346" s="131"/>
      <c r="O346" s="133"/>
      <c r="P346" s="133"/>
      <c r="Q346" s="133"/>
      <c r="R346" s="131"/>
      <c r="S346" s="134"/>
      <c r="T346" s="134"/>
    </row>
    <row r="347" ht="22.5" customHeight="1">
      <c r="A347" s="131"/>
      <c r="B347" s="131"/>
      <c r="C347" s="131"/>
      <c r="D347" s="131"/>
      <c r="E347" s="132"/>
      <c r="F347" s="131"/>
      <c r="G347" s="36"/>
      <c r="H347" s="131"/>
      <c r="I347" s="133"/>
      <c r="J347" s="133"/>
      <c r="K347" s="133"/>
      <c r="L347" s="131"/>
      <c r="M347" s="131"/>
      <c r="N347" s="131"/>
      <c r="O347" s="133"/>
      <c r="P347" s="133"/>
      <c r="Q347" s="133"/>
      <c r="R347" s="131"/>
      <c r="S347" s="134"/>
      <c r="T347" s="134"/>
    </row>
    <row r="348" ht="22.5" customHeight="1">
      <c r="A348" s="131"/>
      <c r="B348" s="131"/>
      <c r="C348" s="131"/>
      <c r="D348" s="131"/>
      <c r="E348" s="132"/>
      <c r="F348" s="131"/>
      <c r="G348" s="36"/>
      <c r="H348" s="131"/>
      <c r="I348" s="133"/>
      <c r="J348" s="133"/>
      <c r="K348" s="133"/>
      <c r="L348" s="131"/>
      <c r="M348" s="131"/>
      <c r="N348" s="131"/>
      <c r="O348" s="133"/>
      <c r="P348" s="133"/>
      <c r="Q348" s="133"/>
      <c r="R348" s="131"/>
      <c r="S348" s="134"/>
      <c r="T348" s="134"/>
    </row>
    <row r="349" ht="22.5" customHeight="1">
      <c r="A349" s="131"/>
      <c r="B349" s="131"/>
      <c r="C349" s="131"/>
      <c r="D349" s="131"/>
      <c r="E349" s="132"/>
      <c r="F349" s="131"/>
      <c r="G349" s="36"/>
      <c r="H349" s="131"/>
      <c r="I349" s="133"/>
      <c r="J349" s="133"/>
      <c r="K349" s="133"/>
      <c r="L349" s="131"/>
      <c r="M349" s="131"/>
      <c r="N349" s="131"/>
      <c r="O349" s="133"/>
      <c r="P349" s="133"/>
      <c r="Q349" s="133"/>
      <c r="R349" s="131"/>
      <c r="S349" s="134"/>
      <c r="T349" s="134"/>
    </row>
    <row r="350" ht="22.5" customHeight="1">
      <c r="A350" s="131"/>
      <c r="B350" s="131"/>
      <c r="C350" s="131"/>
      <c r="D350" s="131"/>
      <c r="E350" s="132"/>
      <c r="F350" s="131"/>
      <c r="G350" s="36"/>
      <c r="H350" s="131"/>
      <c r="I350" s="133"/>
      <c r="J350" s="133"/>
      <c r="K350" s="133"/>
      <c r="L350" s="131"/>
      <c r="M350" s="131"/>
      <c r="N350" s="131"/>
      <c r="O350" s="133"/>
      <c r="P350" s="133"/>
      <c r="Q350" s="133"/>
      <c r="R350" s="131"/>
      <c r="S350" s="134"/>
      <c r="T350" s="134"/>
    </row>
    <row r="351" ht="22.5" customHeight="1">
      <c r="A351" s="131"/>
      <c r="B351" s="131"/>
      <c r="C351" s="131"/>
      <c r="D351" s="131"/>
      <c r="E351" s="132"/>
      <c r="F351" s="131"/>
      <c r="G351" s="36"/>
      <c r="H351" s="131"/>
      <c r="I351" s="133"/>
      <c r="J351" s="133"/>
      <c r="K351" s="133"/>
      <c r="L351" s="131"/>
      <c r="M351" s="131"/>
      <c r="N351" s="131"/>
      <c r="O351" s="133"/>
      <c r="P351" s="133"/>
      <c r="Q351" s="133"/>
      <c r="R351" s="131"/>
      <c r="S351" s="134"/>
      <c r="T351" s="134"/>
    </row>
    <row r="352" ht="22.5" customHeight="1">
      <c r="A352" s="131"/>
      <c r="B352" s="131"/>
      <c r="C352" s="131"/>
      <c r="D352" s="131"/>
      <c r="E352" s="132"/>
      <c r="F352" s="131"/>
      <c r="G352" s="36"/>
      <c r="H352" s="131"/>
      <c r="I352" s="133"/>
      <c r="J352" s="133"/>
      <c r="K352" s="133"/>
      <c r="L352" s="131"/>
      <c r="M352" s="131"/>
      <c r="N352" s="131"/>
      <c r="O352" s="133"/>
      <c r="P352" s="133"/>
      <c r="Q352" s="133"/>
      <c r="R352" s="131"/>
      <c r="S352" s="134"/>
      <c r="T352" s="134"/>
    </row>
    <row r="353" ht="22.5" customHeight="1">
      <c r="A353" s="131"/>
      <c r="B353" s="131"/>
      <c r="C353" s="131"/>
      <c r="D353" s="131"/>
      <c r="E353" s="132"/>
      <c r="F353" s="131"/>
      <c r="G353" s="36"/>
      <c r="H353" s="131"/>
      <c r="I353" s="133"/>
      <c r="J353" s="133"/>
      <c r="K353" s="133"/>
      <c r="L353" s="131"/>
      <c r="M353" s="131"/>
      <c r="N353" s="131"/>
      <c r="O353" s="133"/>
      <c r="P353" s="133"/>
      <c r="Q353" s="133"/>
      <c r="R353" s="131"/>
      <c r="S353" s="134"/>
      <c r="T353" s="134"/>
    </row>
    <row r="354" ht="22.5" customHeight="1">
      <c r="A354" s="131"/>
      <c r="B354" s="131"/>
      <c r="C354" s="131"/>
      <c r="D354" s="131"/>
      <c r="E354" s="132"/>
      <c r="F354" s="131"/>
      <c r="G354" s="36"/>
      <c r="H354" s="131"/>
      <c r="I354" s="133"/>
      <c r="J354" s="133"/>
      <c r="K354" s="133"/>
      <c r="L354" s="131"/>
      <c r="M354" s="131"/>
      <c r="N354" s="131"/>
      <c r="O354" s="133"/>
      <c r="P354" s="133"/>
      <c r="Q354" s="133"/>
      <c r="R354" s="131"/>
      <c r="S354" s="134"/>
      <c r="T354" s="134"/>
    </row>
    <row r="355" ht="22.5" customHeight="1">
      <c r="A355" s="131"/>
      <c r="B355" s="131"/>
      <c r="C355" s="131"/>
      <c r="D355" s="131"/>
      <c r="E355" s="132"/>
      <c r="F355" s="131"/>
      <c r="G355" s="36"/>
      <c r="H355" s="131"/>
      <c r="I355" s="133"/>
      <c r="J355" s="133"/>
      <c r="K355" s="133"/>
      <c r="L355" s="131"/>
      <c r="M355" s="131"/>
      <c r="N355" s="131"/>
      <c r="O355" s="133"/>
      <c r="P355" s="133"/>
      <c r="Q355" s="133"/>
      <c r="R355" s="131"/>
      <c r="S355" s="134"/>
      <c r="T355" s="134"/>
    </row>
    <row r="356" ht="22.5" customHeight="1">
      <c r="A356" s="131"/>
      <c r="B356" s="131"/>
      <c r="C356" s="131"/>
      <c r="D356" s="131"/>
      <c r="E356" s="132"/>
      <c r="F356" s="131"/>
      <c r="G356" s="36"/>
      <c r="H356" s="131"/>
      <c r="I356" s="133"/>
      <c r="J356" s="133"/>
      <c r="K356" s="133"/>
      <c r="L356" s="131"/>
      <c r="M356" s="131"/>
      <c r="N356" s="131"/>
      <c r="O356" s="133"/>
      <c r="P356" s="133"/>
      <c r="Q356" s="133"/>
      <c r="R356" s="131"/>
      <c r="S356" s="134"/>
      <c r="T356" s="134"/>
    </row>
    <row r="357" ht="22.5" customHeight="1">
      <c r="A357" s="131"/>
      <c r="B357" s="131"/>
      <c r="C357" s="131"/>
      <c r="D357" s="131"/>
      <c r="E357" s="132"/>
      <c r="F357" s="131"/>
      <c r="G357" s="36"/>
      <c r="H357" s="131"/>
      <c r="I357" s="133"/>
      <c r="J357" s="133"/>
      <c r="K357" s="133"/>
      <c r="L357" s="131"/>
      <c r="M357" s="131"/>
      <c r="N357" s="131"/>
      <c r="O357" s="133"/>
      <c r="P357" s="133"/>
      <c r="Q357" s="133"/>
      <c r="R357" s="131"/>
      <c r="S357" s="134"/>
      <c r="T357" s="134"/>
    </row>
    <row r="358" ht="22.5" customHeight="1">
      <c r="A358" s="131"/>
      <c r="B358" s="131"/>
      <c r="C358" s="131"/>
      <c r="D358" s="131"/>
      <c r="E358" s="132"/>
      <c r="F358" s="131"/>
      <c r="G358" s="36"/>
      <c r="H358" s="131"/>
      <c r="I358" s="133"/>
      <c r="J358" s="133"/>
      <c r="K358" s="133"/>
      <c r="L358" s="131"/>
      <c r="M358" s="131"/>
      <c r="N358" s="131"/>
      <c r="O358" s="133"/>
      <c r="P358" s="133"/>
      <c r="Q358" s="133"/>
      <c r="R358" s="131"/>
      <c r="S358" s="134"/>
      <c r="T358" s="134"/>
    </row>
    <row r="359" ht="22.5" customHeight="1">
      <c r="A359" s="131"/>
      <c r="B359" s="131"/>
      <c r="C359" s="131"/>
      <c r="D359" s="131"/>
      <c r="E359" s="132"/>
      <c r="F359" s="131"/>
      <c r="G359" s="36"/>
      <c r="H359" s="131"/>
      <c r="I359" s="133"/>
      <c r="J359" s="133"/>
      <c r="K359" s="133"/>
      <c r="L359" s="131"/>
      <c r="M359" s="131"/>
      <c r="N359" s="131"/>
      <c r="O359" s="133"/>
      <c r="P359" s="133"/>
      <c r="Q359" s="133"/>
      <c r="R359" s="131"/>
      <c r="S359" s="134"/>
      <c r="T359" s="134"/>
    </row>
    <row r="360" ht="22.5" customHeight="1">
      <c r="A360" s="131"/>
      <c r="B360" s="131"/>
      <c r="C360" s="131"/>
      <c r="D360" s="131"/>
      <c r="E360" s="132"/>
      <c r="F360" s="131"/>
      <c r="G360" s="36"/>
      <c r="H360" s="131"/>
      <c r="I360" s="133"/>
      <c r="J360" s="133"/>
      <c r="K360" s="133"/>
      <c r="L360" s="131"/>
      <c r="M360" s="131"/>
      <c r="N360" s="131"/>
      <c r="O360" s="133"/>
      <c r="P360" s="133"/>
      <c r="Q360" s="133"/>
      <c r="R360" s="131"/>
      <c r="S360" s="134"/>
      <c r="T360" s="134"/>
    </row>
    <row r="361" ht="22.5" customHeight="1">
      <c r="A361" s="131"/>
      <c r="B361" s="131"/>
      <c r="C361" s="131"/>
      <c r="D361" s="131"/>
      <c r="E361" s="132"/>
      <c r="F361" s="131"/>
      <c r="G361" s="36"/>
      <c r="H361" s="131"/>
      <c r="I361" s="133"/>
      <c r="J361" s="133"/>
      <c r="K361" s="133"/>
      <c r="L361" s="131"/>
      <c r="M361" s="131"/>
      <c r="N361" s="131"/>
      <c r="O361" s="133"/>
      <c r="P361" s="133"/>
      <c r="Q361" s="133"/>
      <c r="R361" s="131"/>
      <c r="S361" s="134"/>
      <c r="T361" s="134"/>
    </row>
    <row r="362" ht="22.5" customHeight="1">
      <c r="A362" s="131"/>
      <c r="B362" s="131"/>
      <c r="C362" s="131"/>
      <c r="D362" s="131"/>
      <c r="E362" s="132"/>
      <c r="F362" s="131"/>
      <c r="G362" s="36"/>
      <c r="H362" s="131"/>
      <c r="I362" s="133"/>
      <c r="J362" s="133"/>
      <c r="K362" s="133"/>
      <c r="L362" s="131"/>
      <c r="M362" s="131"/>
      <c r="N362" s="131"/>
      <c r="O362" s="133"/>
      <c r="P362" s="133"/>
      <c r="Q362" s="133"/>
      <c r="R362" s="131"/>
      <c r="S362" s="134"/>
      <c r="T362" s="134"/>
    </row>
    <row r="363" ht="22.5" customHeight="1">
      <c r="A363" s="131"/>
      <c r="B363" s="131"/>
      <c r="C363" s="131"/>
      <c r="D363" s="131"/>
      <c r="E363" s="132"/>
      <c r="F363" s="131"/>
      <c r="G363" s="36"/>
      <c r="H363" s="131"/>
      <c r="I363" s="133"/>
      <c r="J363" s="133"/>
      <c r="K363" s="133"/>
      <c r="L363" s="131"/>
      <c r="M363" s="131"/>
      <c r="N363" s="131"/>
      <c r="O363" s="133"/>
      <c r="P363" s="133"/>
      <c r="Q363" s="133"/>
      <c r="R363" s="131"/>
      <c r="S363" s="134"/>
      <c r="T363" s="134"/>
    </row>
    <row r="364" ht="22.5" customHeight="1">
      <c r="A364" s="131"/>
      <c r="B364" s="131"/>
      <c r="C364" s="131"/>
      <c r="D364" s="131"/>
      <c r="E364" s="132"/>
      <c r="F364" s="131"/>
      <c r="G364" s="36"/>
      <c r="H364" s="131"/>
      <c r="I364" s="133"/>
      <c r="J364" s="133"/>
      <c r="K364" s="133"/>
      <c r="L364" s="131"/>
      <c r="M364" s="131"/>
      <c r="N364" s="131"/>
      <c r="O364" s="133"/>
      <c r="P364" s="133"/>
      <c r="Q364" s="133"/>
      <c r="R364" s="131"/>
      <c r="S364" s="134"/>
      <c r="T364" s="134"/>
    </row>
    <row r="365" ht="22.5" customHeight="1">
      <c r="A365" s="131"/>
      <c r="B365" s="131"/>
      <c r="C365" s="131"/>
      <c r="D365" s="131"/>
      <c r="E365" s="132"/>
      <c r="F365" s="131"/>
      <c r="G365" s="36"/>
      <c r="H365" s="131"/>
      <c r="I365" s="133"/>
      <c r="J365" s="133"/>
      <c r="K365" s="133"/>
      <c r="L365" s="131"/>
      <c r="M365" s="131"/>
      <c r="N365" s="131"/>
      <c r="O365" s="133"/>
      <c r="P365" s="133"/>
      <c r="Q365" s="133"/>
      <c r="R365" s="131"/>
      <c r="S365" s="134"/>
      <c r="T365" s="134"/>
    </row>
    <row r="366" ht="22.5" customHeight="1">
      <c r="A366" s="131"/>
      <c r="B366" s="131"/>
      <c r="C366" s="131"/>
      <c r="D366" s="131"/>
      <c r="E366" s="132"/>
      <c r="F366" s="131"/>
      <c r="G366" s="36"/>
      <c r="H366" s="131"/>
      <c r="I366" s="133"/>
      <c r="J366" s="133"/>
      <c r="K366" s="133"/>
      <c r="L366" s="131"/>
      <c r="M366" s="131"/>
      <c r="N366" s="131"/>
      <c r="O366" s="133"/>
      <c r="P366" s="133"/>
      <c r="Q366" s="133"/>
      <c r="R366" s="131"/>
      <c r="S366" s="134"/>
      <c r="T366" s="134"/>
    </row>
    <row r="367" ht="22.5" customHeight="1">
      <c r="A367" s="131"/>
      <c r="B367" s="131"/>
      <c r="C367" s="131"/>
      <c r="D367" s="131"/>
      <c r="E367" s="132"/>
      <c r="F367" s="131"/>
      <c r="G367" s="36"/>
      <c r="H367" s="131"/>
      <c r="I367" s="133"/>
      <c r="J367" s="133"/>
      <c r="K367" s="133"/>
      <c r="L367" s="131"/>
      <c r="M367" s="131"/>
      <c r="N367" s="131"/>
      <c r="O367" s="133"/>
      <c r="P367" s="133"/>
      <c r="Q367" s="133"/>
      <c r="R367" s="131"/>
      <c r="S367" s="134"/>
      <c r="T367" s="134"/>
    </row>
    <row r="368" ht="22.5" customHeight="1">
      <c r="A368" s="131"/>
      <c r="B368" s="131"/>
      <c r="C368" s="131"/>
      <c r="D368" s="131"/>
      <c r="E368" s="132"/>
      <c r="F368" s="131"/>
      <c r="G368" s="36"/>
      <c r="H368" s="131"/>
      <c r="I368" s="133"/>
      <c r="J368" s="133"/>
      <c r="K368" s="133"/>
      <c r="L368" s="131"/>
      <c r="M368" s="131"/>
      <c r="N368" s="131"/>
      <c r="O368" s="133"/>
      <c r="P368" s="133"/>
      <c r="Q368" s="133"/>
      <c r="R368" s="131"/>
      <c r="S368" s="134"/>
      <c r="T368" s="134"/>
    </row>
    <row r="369" ht="22.5" customHeight="1">
      <c r="A369" s="131"/>
      <c r="B369" s="131"/>
      <c r="C369" s="131"/>
      <c r="D369" s="131"/>
      <c r="E369" s="132"/>
      <c r="F369" s="131"/>
      <c r="G369" s="36"/>
      <c r="H369" s="131"/>
      <c r="I369" s="133"/>
      <c r="J369" s="133"/>
      <c r="K369" s="133"/>
      <c r="L369" s="131"/>
      <c r="M369" s="131"/>
      <c r="N369" s="131"/>
      <c r="O369" s="133"/>
      <c r="P369" s="133"/>
      <c r="Q369" s="133"/>
      <c r="R369" s="131"/>
      <c r="S369" s="134"/>
      <c r="T369" s="134"/>
    </row>
    <row r="370" ht="22.5" customHeight="1">
      <c r="A370" s="131"/>
      <c r="B370" s="131"/>
      <c r="C370" s="131"/>
      <c r="D370" s="131"/>
      <c r="E370" s="132"/>
      <c r="F370" s="131"/>
      <c r="G370" s="36"/>
      <c r="H370" s="131"/>
      <c r="I370" s="133"/>
      <c r="J370" s="133"/>
      <c r="K370" s="133"/>
      <c r="L370" s="131"/>
      <c r="M370" s="131"/>
      <c r="N370" s="131"/>
      <c r="O370" s="133"/>
      <c r="P370" s="133"/>
      <c r="Q370" s="133"/>
      <c r="R370" s="131"/>
      <c r="S370" s="134"/>
      <c r="T370" s="134"/>
    </row>
    <row r="371" ht="22.5" customHeight="1">
      <c r="A371" s="131"/>
      <c r="B371" s="131"/>
      <c r="C371" s="131"/>
      <c r="D371" s="131"/>
      <c r="E371" s="132"/>
      <c r="F371" s="131"/>
      <c r="G371" s="36"/>
      <c r="H371" s="131"/>
      <c r="I371" s="133"/>
      <c r="J371" s="133"/>
      <c r="K371" s="133"/>
      <c r="L371" s="131"/>
      <c r="M371" s="131"/>
      <c r="N371" s="131"/>
      <c r="O371" s="133"/>
      <c r="P371" s="133"/>
      <c r="Q371" s="133"/>
      <c r="R371" s="131"/>
      <c r="S371" s="134"/>
      <c r="T371" s="134"/>
    </row>
    <row r="372" ht="22.5" customHeight="1">
      <c r="A372" s="131"/>
      <c r="B372" s="131"/>
      <c r="C372" s="131"/>
      <c r="D372" s="131"/>
      <c r="E372" s="132"/>
      <c r="F372" s="131"/>
      <c r="G372" s="36"/>
      <c r="H372" s="131"/>
      <c r="I372" s="133"/>
      <c r="J372" s="133"/>
      <c r="K372" s="133"/>
      <c r="L372" s="131"/>
      <c r="M372" s="131"/>
      <c r="N372" s="131"/>
      <c r="O372" s="133"/>
      <c r="P372" s="133"/>
      <c r="Q372" s="133"/>
      <c r="R372" s="131"/>
      <c r="S372" s="134"/>
      <c r="T372" s="134"/>
    </row>
    <row r="373" ht="22.5" customHeight="1">
      <c r="A373" s="131"/>
      <c r="B373" s="131"/>
      <c r="C373" s="131"/>
      <c r="D373" s="131"/>
      <c r="E373" s="132"/>
      <c r="F373" s="131"/>
      <c r="G373" s="36"/>
      <c r="H373" s="131"/>
      <c r="I373" s="133"/>
      <c r="J373" s="133"/>
      <c r="K373" s="133"/>
      <c r="L373" s="131"/>
      <c r="M373" s="131"/>
      <c r="N373" s="131"/>
      <c r="O373" s="133"/>
      <c r="P373" s="133"/>
      <c r="Q373" s="133"/>
      <c r="R373" s="131"/>
      <c r="S373" s="134"/>
      <c r="T373" s="134"/>
    </row>
    <row r="374" ht="22.5" customHeight="1">
      <c r="A374" s="131"/>
      <c r="B374" s="131"/>
      <c r="C374" s="131"/>
      <c r="D374" s="131"/>
      <c r="E374" s="132"/>
      <c r="F374" s="131"/>
      <c r="G374" s="36"/>
      <c r="H374" s="131"/>
      <c r="I374" s="133"/>
      <c r="J374" s="133"/>
      <c r="K374" s="133"/>
      <c r="L374" s="131"/>
      <c r="M374" s="131"/>
      <c r="N374" s="131"/>
      <c r="O374" s="133"/>
      <c r="P374" s="133"/>
      <c r="Q374" s="133"/>
      <c r="R374" s="131"/>
      <c r="S374" s="134"/>
      <c r="T374" s="134"/>
    </row>
    <row r="375" ht="22.5" customHeight="1">
      <c r="A375" s="131"/>
      <c r="B375" s="131"/>
      <c r="C375" s="131"/>
      <c r="D375" s="131"/>
      <c r="E375" s="132"/>
      <c r="F375" s="131"/>
      <c r="G375" s="36"/>
      <c r="H375" s="131"/>
      <c r="I375" s="133"/>
      <c r="J375" s="133"/>
      <c r="K375" s="133"/>
      <c r="L375" s="131"/>
      <c r="M375" s="131"/>
      <c r="N375" s="131"/>
      <c r="O375" s="133"/>
      <c r="P375" s="133"/>
      <c r="Q375" s="133"/>
      <c r="R375" s="131"/>
      <c r="S375" s="134"/>
      <c r="T375" s="134"/>
    </row>
    <row r="376" ht="22.5" customHeight="1">
      <c r="A376" s="131"/>
      <c r="B376" s="131"/>
      <c r="C376" s="131"/>
      <c r="D376" s="131"/>
      <c r="E376" s="132"/>
      <c r="F376" s="131"/>
      <c r="G376" s="36"/>
      <c r="H376" s="131"/>
      <c r="I376" s="133"/>
      <c r="J376" s="133"/>
      <c r="K376" s="133"/>
      <c r="L376" s="131"/>
      <c r="M376" s="131"/>
      <c r="N376" s="131"/>
      <c r="O376" s="133"/>
      <c r="P376" s="133"/>
      <c r="Q376" s="133"/>
      <c r="R376" s="131"/>
      <c r="S376" s="134"/>
      <c r="T376" s="134"/>
    </row>
    <row r="377" ht="22.5" customHeight="1">
      <c r="A377" s="131"/>
      <c r="B377" s="131"/>
      <c r="C377" s="131"/>
      <c r="D377" s="131"/>
      <c r="E377" s="132"/>
      <c r="F377" s="131"/>
      <c r="G377" s="36"/>
      <c r="H377" s="131"/>
      <c r="I377" s="133"/>
      <c r="J377" s="133"/>
      <c r="K377" s="133"/>
      <c r="L377" s="131"/>
      <c r="M377" s="131"/>
      <c r="N377" s="131"/>
      <c r="O377" s="133"/>
      <c r="P377" s="133"/>
      <c r="Q377" s="133"/>
      <c r="R377" s="131"/>
      <c r="S377" s="134"/>
      <c r="T377" s="134"/>
    </row>
    <row r="378" ht="22.5" customHeight="1">
      <c r="A378" s="131"/>
      <c r="B378" s="131"/>
      <c r="C378" s="131"/>
      <c r="D378" s="131"/>
      <c r="E378" s="132"/>
      <c r="F378" s="131"/>
      <c r="G378" s="36"/>
      <c r="H378" s="131"/>
      <c r="I378" s="133"/>
      <c r="J378" s="133"/>
      <c r="K378" s="133"/>
      <c r="L378" s="131"/>
      <c r="M378" s="131"/>
      <c r="N378" s="131"/>
      <c r="O378" s="133"/>
      <c r="P378" s="133"/>
      <c r="Q378" s="133"/>
      <c r="R378" s="131"/>
      <c r="S378" s="134"/>
      <c r="T378" s="134"/>
    </row>
    <row r="379" ht="22.5" customHeight="1">
      <c r="A379" s="131"/>
      <c r="B379" s="131"/>
      <c r="C379" s="131"/>
      <c r="D379" s="131"/>
      <c r="E379" s="132"/>
      <c r="F379" s="131"/>
      <c r="G379" s="36"/>
      <c r="H379" s="131"/>
      <c r="I379" s="133"/>
      <c r="J379" s="133"/>
      <c r="K379" s="133"/>
      <c r="L379" s="131"/>
      <c r="M379" s="131"/>
      <c r="N379" s="131"/>
      <c r="O379" s="133"/>
      <c r="P379" s="133"/>
      <c r="Q379" s="133"/>
      <c r="R379" s="131"/>
      <c r="S379" s="134"/>
      <c r="T379" s="134"/>
    </row>
    <row r="380" ht="22.5" customHeight="1">
      <c r="A380" s="131"/>
      <c r="B380" s="131"/>
      <c r="C380" s="131"/>
      <c r="D380" s="131"/>
      <c r="E380" s="132"/>
      <c r="F380" s="131"/>
      <c r="G380" s="36"/>
      <c r="H380" s="131"/>
      <c r="I380" s="133"/>
      <c r="J380" s="133"/>
      <c r="K380" s="133"/>
      <c r="L380" s="131"/>
      <c r="M380" s="131"/>
      <c r="N380" s="131"/>
      <c r="O380" s="133"/>
      <c r="P380" s="133"/>
      <c r="Q380" s="133"/>
      <c r="R380" s="131"/>
      <c r="S380" s="134"/>
      <c r="T380" s="134"/>
    </row>
    <row r="381" ht="22.5" customHeight="1">
      <c r="A381" s="131"/>
      <c r="B381" s="131"/>
      <c r="C381" s="131"/>
      <c r="D381" s="131"/>
      <c r="E381" s="132"/>
      <c r="F381" s="131"/>
      <c r="G381" s="36"/>
      <c r="H381" s="131"/>
      <c r="I381" s="133"/>
      <c r="J381" s="133"/>
      <c r="K381" s="133"/>
      <c r="L381" s="131"/>
      <c r="M381" s="131"/>
      <c r="N381" s="131"/>
      <c r="O381" s="133"/>
      <c r="P381" s="133"/>
      <c r="Q381" s="133"/>
      <c r="R381" s="131"/>
      <c r="S381" s="134"/>
      <c r="T381" s="134"/>
    </row>
    <row r="382" ht="22.5" customHeight="1">
      <c r="A382" s="131"/>
      <c r="B382" s="131"/>
      <c r="C382" s="131"/>
      <c r="D382" s="131"/>
      <c r="E382" s="132"/>
      <c r="F382" s="131"/>
      <c r="G382" s="36"/>
      <c r="H382" s="131"/>
      <c r="I382" s="133"/>
      <c r="J382" s="133"/>
      <c r="K382" s="133"/>
      <c r="L382" s="131"/>
      <c r="M382" s="131"/>
      <c r="N382" s="131"/>
      <c r="O382" s="133"/>
      <c r="P382" s="133"/>
      <c r="Q382" s="133"/>
      <c r="R382" s="131"/>
      <c r="S382" s="134"/>
      <c r="T382" s="134"/>
    </row>
    <row r="383" ht="22.5" customHeight="1">
      <c r="A383" s="131"/>
      <c r="B383" s="131"/>
      <c r="C383" s="131"/>
      <c r="D383" s="131"/>
      <c r="E383" s="132"/>
      <c r="F383" s="131"/>
      <c r="G383" s="36"/>
      <c r="H383" s="131"/>
      <c r="I383" s="133"/>
      <c r="J383" s="133"/>
      <c r="K383" s="133"/>
      <c r="L383" s="131"/>
      <c r="M383" s="131"/>
      <c r="N383" s="131"/>
      <c r="O383" s="133"/>
      <c r="P383" s="133"/>
      <c r="Q383" s="133"/>
      <c r="R383" s="131"/>
      <c r="S383" s="134"/>
      <c r="T383" s="134"/>
    </row>
    <row r="384" ht="22.5" customHeight="1">
      <c r="A384" s="131"/>
      <c r="B384" s="131"/>
      <c r="C384" s="131"/>
      <c r="D384" s="131"/>
      <c r="E384" s="132"/>
      <c r="F384" s="131"/>
      <c r="G384" s="36"/>
      <c r="H384" s="131"/>
      <c r="I384" s="133"/>
      <c r="J384" s="133"/>
      <c r="K384" s="133"/>
      <c r="L384" s="131"/>
      <c r="M384" s="131"/>
      <c r="N384" s="131"/>
      <c r="O384" s="133"/>
      <c r="P384" s="133"/>
      <c r="Q384" s="133"/>
      <c r="R384" s="131"/>
      <c r="S384" s="134"/>
      <c r="T384" s="134"/>
    </row>
    <row r="385" ht="22.5" customHeight="1">
      <c r="A385" s="131"/>
      <c r="B385" s="131"/>
      <c r="C385" s="131"/>
      <c r="D385" s="131"/>
      <c r="E385" s="132"/>
      <c r="F385" s="131"/>
      <c r="G385" s="36"/>
      <c r="H385" s="131"/>
      <c r="I385" s="133"/>
      <c r="J385" s="133"/>
      <c r="K385" s="133"/>
      <c r="L385" s="131"/>
      <c r="M385" s="131"/>
      <c r="N385" s="131"/>
      <c r="O385" s="133"/>
      <c r="P385" s="133"/>
      <c r="Q385" s="133"/>
      <c r="R385" s="131"/>
      <c r="S385" s="134"/>
      <c r="T385" s="134"/>
    </row>
    <row r="386" ht="22.5" customHeight="1">
      <c r="A386" s="131"/>
      <c r="B386" s="131"/>
      <c r="C386" s="131"/>
      <c r="D386" s="131"/>
      <c r="E386" s="132"/>
      <c r="F386" s="131"/>
      <c r="G386" s="36"/>
      <c r="H386" s="131"/>
      <c r="I386" s="133"/>
      <c r="J386" s="133"/>
      <c r="K386" s="133"/>
      <c r="L386" s="131"/>
      <c r="M386" s="131"/>
      <c r="N386" s="131"/>
      <c r="O386" s="133"/>
      <c r="P386" s="133"/>
      <c r="Q386" s="133"/>
      <c r="R386" s="131"/>
      <c r="S386" s="134"/>
      <c r="T386" s="134"/>
    </row>
    <row r="387" ht="22.5" customHeight="1">
      <c r="A387" s="131"/>
      <c r="B387" s="131"/>
      <c r="C387" s="131"/>
      <c r="D387" s="131"/>
      <c r="E387" s="132"/>
      <c r="F387" s="131"/>
      <c r="G387" s="36"/>
      <c r="H387" s="131"/>
      <c r="I387" s="133"/>
      <c r="J387" s="133"/>
      <c r="K387" s="133"/>
      <c r="L387" s="131"/>
      <c r="M387" s="131"/>
      <c r="N387" s="131"/>
      <c r="O387" s="133"/>
      <c r="P387" s="133"/>
      <c r="Q387" s="133"/>
      <c r="R387" s="131"/>
      <c r="S387" s="134"/>
      <c r="T387" s="134"/>
    </row>
    <row r="388" ht="22.5" customHeight="1">
      <c r="A388" s="131"/>
      <c r="B388" s="131"/>
      <c r="C388" s="131"/>
      <c r="D388" s="131"/>
      <c r="E388" s="132"/>
      <c r="F388" s="131"/>
      <c r="G388" s="36"/>
      <c r="H388" s="131"/>
      <c r="I388" s="133"/>
      <c r="J388" s="133"/>
      <c r="K388" s="133"/>
      <c r="L388" s="131"/>
      <c r="M388" s="131"/>
      <c r="N388" s="131"/>
      <c r="O388" s="133"/>
      <c r="P388" s="133"/>
      <c r="Q388" s="133"/>
      <c r="R388" s="131"/>
      <c r="S388" s="134"/>
      <c r="T388" s="134"/>
    </row>
    <row r="389" ht="22.5" customHeight="1">
      <c r="A389" s="131"/>
      <c r="B389" s="131"/>
      <c r="C389" s="131"/>
      <c r="D389" s="131"/>
      <c r="E389" s="132"/>
      <c r="F389" s="131"/>
      <c r="G389" s="36"/>
      <c r="H389" s="131"/>
      <c r="I389" s="133"/>
      <c r="J389" s="133"/>
      <c r="K389" s="133"/>
      <c r="L389" s="131"/>
      <c r="M389" s="131"/>
      <c r="N389" s="131"/>
      <c r="O389" s="133"/>
      <c r="P389" s="133"/>
      <c r="Q389" s="133"/>
      <c r="R389" s="131"/>
      <c r="S389" s="134"/>
      <c r="T389" s="134"/>
    </row>
    <row r="390" ht="22.5" customHeight="1">
      <c r="A390" s="131"/>
      <c r="B390" s="131"/>
      <c r="C390" s="131"/>
      <c r="D390" s="131"/>
      <c r="E390" s="132"/>
      <c r="F390" s="131"/>
      <c r="G390" s="36"/>
      <c r="H390" s="131"/>
      <c r="I390" s="133"/>
      <c r="J390" s="133"/>
      <c r="K390" s="133"/>
      <c r="L390" s="131"/>
      <c r="M390" s="131"/>
      <c r="N390" s="131"/>
      <c r="O390" s="133"/>
      <c r="P390" s="133"/>
      <c r="Q390" s="133"/>
      <c r="R390" s="131"/>
      <c r="S390" s="134"/>
      <c r="T390" s="134"/>
    </row>
    <row r="391" ht="22.5" customHeight="1">
      <c r="A391" s="131"/>
      <c r="B391" s="131"/>
      <c r="C391" s="131"/>
      <c r="D391" s="131"/>
      <c r="E391" s="132"/>
      <c r="F391" s="131"/>
      <c r="G391" s="36"/>
      <c r="H391" s="131"/>
      <c r="I391" s="133"/>
      <c r="J391" s="133"/>
      <c r="K391" s="133"/>
      <c r="L391" s="131"/>
      <c r="M391" s="131"/>
      <c r="N391" s="131"/>
      <c r="O391" s="133"/>
      <c r="P391" s="133"/>
      <c r="Q391" s="133"/>
      <c r="R391" s="131"/>
      <c r="S391" s="134"/>
      <c r="T391" s="134"/>
    </row>
    <row r="392" ht="22.5" customHeight="1">
      <c r="A392" s="131"/>
      <c r="B392" s="131"/>
      <c r="C392" s="131"/>
      <c r="D392" s="131"/>
      <c r="E392" s="132"/>
      <c r="F392" s="131"/>
      <c r="G392" s="36"/>
      <c r="H392" s="131"/>
      <c r="I392" s="133"/>
      <c r="J392" s="133"/>
      <c r="K392" s="133"/>
      <c r="L392" s="131"/>
      <c r="M392" s="131"/>
      <c r="N392" s="131"/>
      <c r="O392" s="133"/>
      <c r="P392" s="133"/>
      <c r="Q392" s="133"/>
      <c r="R392" s="131"/>
      <c r="S392" s="134"/>
      <c r="T392" s="134"/>
    </row>
    <row r="393" ht="22.5" customHeight="1">
      <c r="A393" s="131"/>
      <c r="B393" s="131"/>
      <c r="C393" s="131"/>
      <c r="D393" s="131"/>
      <c r="E393" s="132"/>
      <c r="F393" s="131"/>
      <c r="G393" s="36"/>
      <c r="H393" s="131"/>
      <c r="I393" s="133"/>
      <c r="J393" s="133"/>
      <c r="K393" s="133"/>
      <c r="L393" s="131"/>
      <c r="M393" s="131"/>
      <c r="N393" s="131"/>
      <c r="O393" s="133"/>
      <c r="P393" s="133"/>
      <c r="Q393" s="133"/>
      <c r="R393" s="131"/>
      <c r="S393" s="134"/>
      <c r="T393" s="134"/>
    </row>
    <row r="394" ht="22.5" customHeight="1">
      <c r="A394" s="131"/>
      <c r="B394" s="131"/>
      <c r="C394" s="131"/>
      <c r="D394" s="131"/>
      <c r="E394" s="132"/>
      <c r="F394" s="131"/>
      <c r="G394" s="36"/>
      <c r="H394" s="131"/>
      <c r="I394" s="133"/>
      <c r="J394" s="133"/>
      <c r="K394" s="133"/>
      <c r="L394" s="131"/>
      <c r="M394" s="131"/>
      <c r="N394" s="131"/>
      <c r="O394" s="133"/>
      <c r="P394" s="133"/>
      <c r="Q394" s="133"/>
      <c r="R394" s="131"/>
      <c r="S394" s="134"/>
      <c r="T394" s="134"/>
    </row>
    <row r="395" ht="22.5" customHeight="1">
      <c r="A395" s="131"/>
      <c r="B395" s="131"/>
      <c r="C395" s="131"/>
      <c r="D395" s="131"/>
      <c r="E395" s="132"/>
      <c r="F395" s="131"/>
      <c r="G395" s="36"/>
      <c r="H395" s="131"/>
      <c r="I395" s="133"/>
      <c r="J395" s="133"/>
      <c r="K395" s="133"/>
      <c r="L395" s="131"/>
      <c r="M395" s="131"/>
      <c r="N395" s="131"/>
      <c r="O395" s="133"/>
      <c r="P395" s="133"/>
      <c r="Q395" s="133"/>
      <c r="R395" s="131"/>
      <c r="S395" s="134"/>
      <c r="T395" s="134"/>
    </row>
    <row r="396" ht="22.5" customHeight="1">
      <c r="A396" s="131"/>
      <c r="B396" s="131"/>
      <c r="C396" s="131"/>
      <c r="D396" s="131"/>
      <c r="E396" s="132"/>
      <c r="F396" s="131"/>
      <c r="G396" s="36"/>
      <c r="H396" s="131"/>
      <c r="I396" s="133"/>
      <c r="J396" s="133"/>
      <c r="K396" s="133"/>
      <c r="L396" s="131"/>
      <c r="M396" s="131"/>
      <c r="N396" s="131"/>
      <c r="O396" s="133"/>
      <c r="P396" s="133"/>
      <c r="Q396" s="133"/>
      <c r="R396" s="131"/>
      <c r="S396" s="134"/>
      <c r="T396" s="134"/>
    </row>
    <row r="397" ht="22.5" customHeight="1">
      <c r="A397" s="131"/>
      <c r="B397" s="131"/>
      <c r="C397" s="131"/>
      <c r="D397" s="131"/>
      <c r="E397" s="132"/>
      <c r="F397" s="131"/>
      <c r="G397" s="36"/>
      <c r="H397" s="131"/>
      <c r="I397" s="133"/>
      <c r="J397" s="133"/>
      <c r="K397" s="133"/>
      <c r="L397" s="131"/>
      <c r="M397" s="131"/>
      <c r="N397" s="131"/>
      <c r="O397" s="133"/>
      <c r="P397" s="133"/>
      <c r="Q397" s="133"/>
      <c r="R397" s="131"/>
      <c r="S397" s="134"/>
      <c r="T397" s="134"/>
    </row>
    <row r="398" ht="22.5" customHeight="1">
      <c r="A398" s="131"/>
      <c r="B398" s="131"/>
      <c r="C398" s="131"/>
      <c r="D398" s="131"/>
      <c r="E398" s="132"/>
      <c r="F398" s="131"/>
      <c r="G398" s="36"/>
      <c r="H398" s="131"/>
      <c r="I398" s="133"/>
      <c r="J398" s="133"/>
      <c r="K398" s="133"/>
      <c r="L398" s="131"/>
      <c r="M398" s="131"/>
      <c r="N398" s="131"/>
      <c r="O398" s="133"/>
      <c r="P398" s="133"/>
      <c r="Q398" s="133"/>
      <c r="R398" s="131"/>
      <c r="S398" s="134"/>
      <c r="T398" s="134"/>
    </row>
    <row r="399" ht="22.5" customHeight="1">
      <c r="A399" s="131"/>
      <c r="B399" s="131"/>
      <c r="C399" s="131"/>
      <c r="D399" s="131"/>
      <c r="E399" s="132"/>
      <c r="F399" s="131"/>
      <c r="G399" s="36"/>
      <c r="H399" s="131"/>
      <c r="I399" s="133"/>
      <c r="J399" s="133"/>
      <c r="K399" s="133"/>
      <c r="L399" s="131"/>
      <c r="M399" s="131"/>
      <c r="N399" s="131"/>
      <c r="O399" s="133"/>
      <c r="P399" s="133"/>
      <c r="Q399" s="133"/>
      <c r="R399" s="131"/>
      <c r="S399" s="134"/>
      <c r="T399" s="134"/>
    </row>
    <row r="400" ht="22.5" customHeight="1">
      <c r="A400" s="131"/>
      <c r="B400" s="131"/>
      <c r="C400" s="131"/>
      <c r="D400" s="131"/>
      <c r="E400" s="132"/>
      <c r="F400" s="131"/>
      <c r="G400" s="36"/>
      <c r="H400" s="131"/>
      <c r="I400" s="133"/>
      <c r="J400" s="133"/>
      <c r="K400" s="133"/>
      <c r="L400" s="131"/>
      <c r="M400" s="131"/>
      <c r="N400" s="131"/>
      <c r="O400" s="133"/>
      <c r="P400" s="133"/>
      <c r="Q400" s="133"/>
      <c r="R400" s="131"/>
      <c r="S400" s="134"/>
      <c r="T400" s="134"/>
    </row>
    <row r="401" ht="22.5" customHeight="1">
      <c r="A401" s="131"/>
      <c r="B401" s="131"/>
      <c r="C401" s="131"/>
      <c r="D401" s="131"/>
      <c r="E401" s="132"/>
      <c r="F401" s="131"/>
      <c r="G401" s="36"/>
      <c r="H401" s="131"/>
      <c r="I401" s="133"/>
      <c r="J401" s="133"/>
      <c r="K401" s="133"/>
      <c r="L401" s="131"/>
      <c r="M401" s="131"/>
      <c r="N401" s="131"/>
      <c r="O401" s="133"/>
      <c r="P401" s="133"/>
      <c r="Q401" s="133"/>
      <c r="R401" s="131"/>
      <c r="S401" s="134"/>
      <c r="T401" s="134"/>
    </row>
    <row r="402" ht="22.5" customHeight="1">
      <c r="A402" s="131"/>
      <c r="B402" s="131"/>
      <c r="C402" s="131"/>
      <c r="D402" s="131"/>
      <c r="E402" s="132"/>
      <c r="F402" s="131"/>
      <c r="G402" s="36"/>
      <c r="H402" s="131"/>
      <c r="I402" s="133"/>
      <c r="J402" s="133"/>
      <c r="K402" s="133"/>
      <c r="L402" s="131"/>
      <c r="M402" s="131"/>
      <c r="N402" s="131"/>
      <c r="O402" s="133"/>
      <c r="P402" s="133"/>
      <c r="Q402" s="133"/>
      <c r="R402" s="131"/>
      <c r="S402" s="134"/>
      <c r="T402" s="134"/>
    </row>
    <row r="403" ht="22.5" customHeight="1">
      <c r="A403" s="131"/>
      <c r="B403" s="131"/>
      <c r="C403" s="131"/>
      <c r="D403" s="131"/>
      <c r="E403" s="132"/>
      <c r="F403" s="131"/>
      <c r="G403" s="36"/>
      <c r="H403" s="131"/>
      <c r="I403" s="133"/>
      <c r="J403" s="133"/>
      <c r="K403" s="133"/>
      <c r="L403" s="131"/>
      <c r="M403" s="131"/>
      <c r="N403" s="131"/>
      <c r="O403" s="133"/>
      <c r="P403" s="133"/>
      <c r="Q403" s="133"/>
      <c r="R403" s="131"/>
      <c r="S403" s="134"/>
      <c r="T403" s="134"/>
    </row>
    <row r="404" ht="22.5" customHeight="1">
      <c r="A404" s="131"/>
      <c r="B404" s="131"/>
      <c r="C404" s="131"/>
      <c r="D404" s="131"/>
      <c r="E404" s="132"/>
      <c r="F404" s="131"/>
      <c r="G404" s="36"/>
      <c r="H404" s="131"/>
      <c r="I404" s="133"/>
      <c r="J404" s="133"/>
      <c r="K404" s="133"/>
      <c r="L404" s="131"/>
      <c r="M404" s="131"/>
      <c r="N404" s="131"/>
      <c r="O404" s="133"/>
      <c r="P404" s="133"/>
      <c r="Q404" s="133"/>
      <c r="R404" s="131"/>
      <c r="S404" s="134"/>
      <c r="T404" s="134"/>
    </row>
    <row r="405" ht="22.5" customHeight="1">
      <c r="A405" s="131"/>
      <c r="B405" s="131"/>
      <c r="C405" s="131"/>
      <c r="D405" s="131"/>
      <c r="E405" s="132"/>
      <c r="F405" s="131"/>
      <c r="G405" s="36"/>
      <c r="H405" s="131"/>
      <c r="I405" s="133"/>
      <c r="J405" s="133"/>
      <c r="K405" s="133"/>
      <c r="L405" s="131"/>
      <c r="M405" s="131"/>
      <c r="N405" s="131"/>
      <c r="O405" s="133"/>
      <c r="P405" s="133"/>
      <c r="Q405" s="133"/>
      <c r="R405" s="131"/>
      <c r="S405" s="134"/>
      <c r="T405" s="134"/>
    </row>
    <row r="406" ht="22.5" customHeight="1">
      <c r="A406" s="131"/>
      <c r="B406" s="131"/>
      <c r="C406" s="131"/>
      <c r="D406" s="131"/>
      <c r="E406" s="132"/>
      <c r="F406" s="131"/>
      <c r="G406" s="36"/>
      <c r="H406" s="131"/>
      <c r="I406" s="133"/>
      <c r="J406" s="133"/>
      <c r="K406" s="133"/>
      <c r="L406" s="131"/>
      <c r="M406" s="131"/>
      <c r="N406" s="131"/>
      <c r="O406" s="133"/>
      <c r="P406" s="133"/>
      <c r="Q406" s="133"/>
      <c r="R406" s="131"/>
      <c r="S406" s="134"/>
      <c r="T406" s="134"/>
    </row>
    <row r="407" ht="22.5" customHeight="1">
      <c r="A407" s="131"/>
      <c r="B407" s="131"/>
      <c r="C407" s="131"/>
      <c r="D407" s="131"/>
      <c r="E407" s="132"/>
      <c r="F407" s="131"/>
      <c r="G407" s="36"/>
      <c r="H407" s="131"/>
      <c r="I407" s="133"/>
      <c r="J407" s="133"/>
      <c r="K407" s="133"/>
      <c r="L407" s="131"/>
      <c r="M407" s="131"/>
      <c r="N407" s="131"/>
      <c r="O407" s="133"/>
      <c r="P407" s="133"/>
      <c r="Q407" s="133"/>
      <c r="R407" s="131"/>
      <c r="S407" s="134"/>
      <c r="T407" s="134"/>
    </row>
    <row r="408" ht="22.5" customHeight="1">
      <c r="A408" s="131"/>
      <c r="B408" s="131"/>
      <c r="C408" s="131"/>
      <c r="D408" s="131"/>
      <c r="E408" s="132"/>
      <c r="F408" s="131"/>
      <c r="G408" s="36"/>
      <c r="H408" s="131"/>
      <c r="I408" s="133"/>
      <c r="J408" s="133"/>
      <c r="K408" s="133"/>
      <c r="L408" s="131"/>
      <c r="M408" s="131"/>
      <c r="N408" s="131"/>
      <c r="O408" s="133"/>
      <c r="P408" s="133"/>
      <c r="Q408" s="133"/>
      <c r="R408" s="131"/>
      <c r="S408" s="134"/>
      <c r="T408" s="134"/>
    </row>
    <row r="409" ht="22.5" customHeight="1">
      <c r="A409" s="131"/>
      <c r="B409" s="131"/>
      <c r="C409" s="131"/>
      <c r="D409" s="131"/>
      <c r="E409" s="132"/>
      <c r="F409" s="131"/>
      <c r="G409" s="36"/>
      <c r="H409" s="131"/>
      <c r="I409" s="133"/>
      <c r="J409" s="133"/>
      <c r="K409" s="133"/>
      <c r="L409" s="131"/>
      <c r="M409" s="131"/>
      <c r="N409" s="131"/>
      <c r="O409" s="133"/>
      <c r="P409" s="133"/>
      <c r="Q409" s="133"/>
      <c r="R409" s="131"/>
      <c r="S409" s="134"/>
      <c r="T409" s="134"/>
    </row>
    <row r="410" ht="22.5" customHeight="1">
      <c r="A410" s="131"/>
      <c r="B410" s="131"/>
      <c r="C410" s="131"/>
      <c r="D410" s="131"/>
      <c r="E410" s="132"/>
      <c r="F410" s="131"/>
      <c r="G410" s="36"/>
      <c r="H410" s="131"/>
      <c r="I410" s="133"/>
      <c r="J410" s="133"/>
      <c r="K410" s="133"/>
      <c r="L410" s="131"/>
      <c r="M410" s="131"/>
      <c r="N410" s="131"/>
      <c r="O410" s="133"/>
      <c r="P410" s="133"/>
      <c r="Q410" s="133"/>
      <c r="R410" s="131"/>
      <c r="S410" s="134"/>
      <c r="T410" s="134"/>
    </row>
    <row r="411" ht="22.5" customHeight="1">
      <c r="A411" s="131"/>
      <c r="B411" s="131"/>
      <c r="C411" s="131"/>
      <c r="D411" s="131"/>
      <c r="E411" s="132"/>
      <c r="F411" s="131"/>
      <c r="G411" s="36"/>
      <c r="H411" s="131"/>
      <c r="I411" s="133"/>
      <c r="J411" s="133"/>
      <c r="K411" s="133"/>
      <c r="L411" s="131"/>
      <c r="M411" s="131"/>
      <c r="N411" s="131"/>
      <c r="O411" s="133"/>
      <c r="P411" s="133"/>
      <c r="Q411" s="133"/>
      <c r="R411" s="131"/>
      <c r="S411" s="134"/>
      <c r="T411" s="134"/>
    </row>
    <row r="412" ht="22.5" customHeight="1">
      <c r="A412" s="131"/>
      <c r="B412" s="131"/>
      <c r="C412" s="131"/>
      <c r="D412" s="131"/>
      <c r="E412" s="132"/>
      <c r="F412" s="131"/>
      <c r="G412" s="36"/>
      <c r="H412" s="131"/>
      <c r="I412" s="133"/>
      <c r="J412" s="133"/>
      <c r="K412" s="133"/>
      <c r="L412" s="131"/>
      <c r="M412" s="131"/>
      <c r="N412" s="131"/>
      <c r="O412" s="133"/>
      <c r="P412" s="133"/>
      <c r="Q412" s="133"/>
      <c r="R412" s="131"/>
      <c r="S412" s="134"/>
      <c r="T412" s="134"/>
    </row>
    <row r="413" ht="22.5" customHeight="1">
      <c r="A413" s="131"/>
      <c r="B413" s="131"/>
      <c r="C413" s="131"/>
      <c r="D413" s="131"/>
      <c r="E413" s="132"/>
      <c r="F413" s="131"/>
      <c r="G413" s="36"/>
      <c r="H413" s="131"/>
      <c r="I413" s="133"/>
      <c r="J413" s="133"/>
      <c r="K413" s="133"/>
      <c r="L413" s="131"/>
      <c r="M413" s="131"/>
      <c r="N413" s="131"/>
      <c r="O413" s="133"/>
      <c r="P413" s="133"/>
      <c r="Q413" s="133"/>
      <c r="R413" s="131"/>
      <c r="S413" s="134"/>
      <c r="T413" s="134"/>
    </row>
    <row r="414" ht="22.5" customHeight="1">
      <c r="A414" s="131"/>
      <c r="B414" s="131"/>
      <c r="C414" s="131"/>
      <c r="D414" s="131"/>
      <c r="E414" s="132"/>
      <c r="F414" s="131"/>
      <c r="G414" s="36"/>
      <c r="H414" s="131"/>
      <c r="I414" s="133"/>
      <c r="J414" s="133"/>
      <c r="K414" s="133"/>
      <c r="L414" s="131"/>
      <c r="M414" s="131"/>
      <c r="N414" s="131"/>
      <c r="O414" s="133"/>
      <c r="P414" s="133"/>
      <c r="Q414" s="133"/>
      <c r="R414" s="131"/>
      <c r="S414" s="134"/>
      <c r="T414" s="134"/>
    </row>
    <row r="415" ht="22.5" customHeight="1">
      <c r="A415" s="131"/>
      <c r="B415" s="131"/>
      <c r="C415" s="131"/>
      <c r="D415" s="131"/>
      <c r="E415" s="132"/>
      <c r="F415" s="131"/>
      <c r="G415" s="36"/>
      <c r="H415" s="131"/>
      <c r="I415" s="133"/>
      <c r="J415" s="133"/>
      <c r="K415" s="133"/>
      <c r="L415" s="131"/>
      <c r="M415" s="131"/>
      <c r="N415" s="131"/>
      <c r="O415" s="133"/>
      <c r="P415" s="133"/>
      <c r="Q415" s="133"/>
      <c r="R415" s="131"/>
      <c r="S415" s="134"/>
      <c r="T415" s="134"/>
    </row>
    <row r="416" ht="22.5" customHeight="1">
      <c r="A416" s="131"/>
      <c r="B416" s="131"/>
      <c r="C416" s="131"/>
      <c r="D416" s="131"/>
      <c r="E416" s="132"/>
      <c r="F416" s="131"/>
      <c r="G416" s="36"/>
      <c r="H416" s="131"/>
      <c r="I416" s="133"/>
      <c r="J416" s="133"/>
      <c r="K416" s="133"/>
      <c r="L416" s="131"/>
      <c r="M416" s="131"/>
      <c r="N416" s="131"/>
      <c r="O416" s="133"/>
      <c r="P416" s="133"/>
      <c r="Q416" s="133"/>
      <c r="R416" s="131"/>
      <c r="S416" s="134"/>
      <c r="T416" s="134"/>
    </row>
    <row r="417" ht="22.5" customHeight="1">
      <c r="A417" s="131"/>
      <c r="B417" s="131"/>
      <c r="C417" s="131"/>
      <c r="D417" s="131"/>
      <c r="E417" s="132"/>
      <c r="F417" s="131"/>
      <c r="G417" s="36"/>
      <c r="H417" s="131"/>
      <c r="I417" s="133"/>
      <c r="J417" s="133"/>
      <c r="K417" s="133"/>
      <c r="L417" s="131"/>
      <c r="M417" s="131"/>
      <c r="N417" s="131"/>
      <c r="O417" s="133"/>
      <c r="P417" s="133"/>
      <c r="Q417" s="133"/>
      <c r="R417" s="131"/>
      <c r="S417" s="134"/>
      <c r="T417" s="134"/>
    </row>
    <row r="418" ht="22.5" customHeight="1">
      <c r="A418" s="131"/>
      <c r="B418" s="131"/>
      <c r="C418" s="131"/>
      <c r="D418" s="131"/>
      <c r="E418" s="132"/>
      <c r="F418" s="131"/>
      <c r="G418" s="36"/>
      <c r="H418" s="131"/>
      <c r="I418" s="133"/>
      <c r="J418" s="133"/>
      <c r="K418" s="133"/>
      <c r="L418" s="131"/>
      <c r="M418" s="131"/>
      <c r="N418" s="131"/>
      <c r="O418" s="133"/>
      <c r="P418" s="133"/>
      <c r="Q418" s="133"/>
      <c r="R418" s="131"/>
      <c r="S418" s="134"/>
      <c r="T418" s="134"/>
    </row>
    <row r="419" ht="22.5" customHeight="1">
      <c r="A419" s="131"/>
      <c r="B419" s="131"/>
      <c r="C419" s="131"/>
      <c r="D419" s="131"/>
      <c r="E419" s="132"/>
      <c r="F419" s="131"/>
      <c r="G419" s="36"/>
      <c r="H419" s="131"/>
      <c r="I419" s="133"/>
      <c r="J419" s="133"/>
      <c r="K419" s="133"/>
      <c r="L419" s="131"/>
      <c r="M419" s="131"/>
      <c r="N419" s="131"/>
      <c r="O419" s="133"/>
      <c r="P419" s="133"/>
      <c r="Q419" s="133"/>
      <c r="R419" s="131"/>
      <c r="S419" s="134"/>
      <c r="T419" s="134"/>
    </row>
    <row r="420" ht="22.5" customHeight="1">
      <c r="A420" s="131"/>
      <c r="B420" s="131"/>
      <c r="C420" s="131"/>
      <c r="D420" s="131"/>
      <c r="E420" s="132"/>
      <c r="F420" s="131"/>
      <c r="G420" s="36"/>
      <c r="H420" s="131"/>
      <c r="I420" s="133"/>
      <c r="J420" s="133"/>
      <c r="K420" s="133"/>
      <c r="L420" s="131"/>
      <c r="M420" s="131"/>
      <c r="N420" s="131"/>
      <c r="O420" s="133"/>
      <c r="P420" s="133"/>
      <c r="Q420" s="133"/>
      <c r="R420" s="131"/>
      <c r="S420" s="134"/>
      <c r="T420" s="134"/>
    </row>
    <row r="421" ht="22.5" customHeight="1">
      <c r="A421" s="131"/>
      <c r="B421" s="131"/>
      <c r="C421" s="131"/>
      <c r="D421" s="131"/>
      <c r="E421" s="132"/>
      <c r="F421" s="131"/>
      <c r="G421" s="36"/>
      <c r="H421" s="131"/>
      <c r="I421" s="133"/>
      <c r="J421" s="133"/>
      <c r="K421" s="133"/>
      <c r="L421" s="131"/>
      <c r="M421" s="131"/>
      <c r="N421" s="131"/>
      <c r="O421" s="133"/>
      <c r="P421" s="133"/>
      <c r="Q421" s="133"/>
      <c r="R421" s="131"/>
      <c r="S421" s="134"/>
      <c r="T421" s="134"/>
    </row>
    <row r="422" ht="22.5" customHeight="1">
      <c r="A422" s="131"/>
      <c r="B422" s="131"/>
      <c r="C422" s="131"/>
      <c r="D422" s="131"/>
      <c r="E422" s="132"/>
      <c r="F422" s="131"/>
      <c r="G422" s="36"/>
      <c r="H422" s="131"/>
      <c r="I422" s="133"/>
      <c r="J422" s="133"/>
      <c r="K422" s="133"/>
      <c r="L422" s="131"/>
      <c r="M422" s="131"/>
      <c r="N422" s="131"/>
      <c r="O422" s="133"/>
      <c r="P422" s="133"/>
      <c r="Q422" s="133"/>
      <c r="R422" s="131"/>
      <c r="S422" s="134"/>
      <c r="T422" s="134"/>
    </row>
    <row r="423" ht="22.5" customHeight="1">
      <c r="A423" s="131"/>
      <c r="B423" s="131"/>
      <c r="C423" s="131"/>
      <c r="D423" s="131"/>
      <c r="E423" s="132"/>
      <c r="F423" s="131"/>
      <c r="G423" s="36"/>
      <c r="H423" s="131"/>
      <c r="I423" s="133"/>
      <c r="J423" s="133"/>
      <c r="K423" s="133"/>
      <c r="L423" s="131"/>
      <c r="M423" s="131"/>
      <c r="N423" s="131"/>
      <c r="O423" s="133"/>
      <c r="P423" s="133"/>
      <c r="Q423" s="133"/>
      <c r="R423" s="131"/>
      <c r="S423" s="134"/>
      <c r="T423" s="134"/>
    </row>
    <row r="424" ht="22.5" customHeight="1">
      <c r="A424" s="131"/>
      <c r="B424" s="131"/>
      <c r="C424" s="131"/>
      <c r="D424" s="131"/>
      <c r="E424" s="132"/>
      <c r="F424" s="131"/>
      <c r="G424" s="36"/>
      <c r="H424" s="131"/>
      <c r="I424" s="133"/>
      <c r="J424" s="133"/>
      <c r="K424" s="133"/>
      <c r="L424" s="131"/>
      <c r="M424" s="131"/>
      <c r="N424" s="131"/>
      <c r="O424" s="133"/>
      <c r="P424" s="133"/>
      <c r="Q424" s="133"/>
      <c r="R424" s="131"/>
      <c r="S424" s="134"/>
      <c r="T424" s="134"/>
    </row>
    <row r="425" ht="22.5" customHeight="1">
      <c r="A425" s="131"/>
      <c r="B425" s="131"/>
      <c r="C425" s="131"/>
      <c r="D425" s="131"/>
      <c r="E425" s="132"/>
      <c r="F425" s="131"/>
      <c r="G425" s="36"/>
      <c r="H425" s="131"/>
      <c r="I425" s="133"/>
      <c r="J425" s="133"/>
      <c r="K425" s="133"/>
      <c r="L425" s="131"/>
      <c r="M425" s="131"/>
      <c r="N425" s="131"/>
      <c r="O425" s="133"/>
      <c r="P425" s="133"/>
      <c r="Q425" s="133"/>
      <c r="R425" s="131"/>
      <c r="S425" s="134"/>
      <c r="T425" s="134"/>
    </row>
    <row r="426" ht="22.5" customHeight="1">
      <c r="A426" s="131"/>
      <c r="B426" s="131"/>
      <c r="C426" s="131"/>
      <c r="D426" s="131"/>
      <c r="E426" s="132"/>
      <c r="F426" s="131"/>
      <c r="G426" s="36"/>
      <c r="H426" s="131"/>
      <c r="I426" s="133"/>
      <c r="J426" s="133"/>
      <c r="K426" s="133"/>
      <c r="L426" s="131"/>
      <c r="M426" s="131"/>
      <c r="N426" s="131"/>
      <c r="O426" s="133"/>
      <c r="P426" s="133"/>
      <c r="Q426" s="133"/>
      <c r="R426" s="131"/>
      <c r="S426" s="134"/>
      <c r="T426" s="134"/>
    </row>
    <row r="427" ht="22.5" customHeight="1">
      <c r="A427" s="131"/>
      <c r="B427" s="131"/>
      <c r="C427" s="131"/>
      <c r="D427" s="131"/>
      <c r="E427" s="132"/>
      <c r="F427" s="131"/>
      <c r="G427" s="36"/>
      <c r="H427" s="131"/>
      <c r="I427" s="133"/>
      <c r="J427" s="133"/>
      <c r="K427" s="133"/>
      <c r="L427" s="131"/>
      <c r="M427" s="131"/>
      <c r="N427" s="131"/>
      <c r="O427" s="133"/>
      <c r="P427" s="133"/>
      <c r="Q427" s="133"/>
      <c r="R427" s="131"/>
      <c r="S427" s="134"/>
      <c r="T427" s="134"/>
    </row>
    <row r="428" ht="22.5" customHeight="1">
      <c r="A428" s="131"/>
      <c r="B428" s="131"/>
      <c r="C428" s="131"/>
      <c r="D428" s="131"/>
      <c r="E428" s="132"/>
      <c r="F428" s="131"/>
      <c r="G428" s="36"/>
      <c r="H428" s="131"/>
      <c r="I428" s="133"/>
      <c r="J428" s="133"/>
      <c r="K428" s="133"/>
      <c r="L428" s="131"/>
      <c r="M428" s="131"/>
      <c r="N428" s="131"/>
      <c r="O428" s="133"/>
      <c r="P428" s="133"/>
      <c r="Q428" s="133"/>
      <c r="R428" s="131"/>
      <c r="S428" s="134"/>
      <c r="T428" s="134"/>
    </row>
    <row r="429" ht="22.5" customHeight="1">
      <c r="A429" s="131"/>
      <c r="B429" s="131"/>
      <c r="C429" s="131"/>
      <c r="D429" s="131"/>
      <c r="E429" s="132"/>
      <c r="F429" s="131"/>
      <c r="G429" s="36"/>
      <c r="H429" s="131"/>
      <c r="I429" s="133"/>
      <c r="J429" s="133"/>
      <c r="K429" s="133"/>
      <c r="L429" s="131"/>
      <c r="M429" s="131"/>
      <c r="N429" s="131"/>
      <c r="O429" s="133"/>
      <c r="P429" s="133"/>
      <c r="Q429" s="133"/>
      <c r="R429" s="131"/>
      <c r="S429" s="134"/>
      <c r="T429" s="134"/>
    </row>
    <row r="430" ht="22.5" customHeight="1">
      <c r="A430" s="131"/>
      <c r="B430" s="131"/>
      <c r="C430" s="131"/>
      <c r="D430" s="131"/>
      <c r="E430" s="132"/>
      <c r="F430" s="131"/>
      <c r="G430" s="36"/>
      <c r="H430" s="131"/>
      <c r="I430" s="133"/>
      <c r="J430" s="133"/>
      <c r="K430" s="133"/>
      <c r="L430" s="131"/>
      <c r="M430" s="131"/>
      <c r="N430" s="131"/>
      <c r="O430" s="133"/>
      <c r="P430" s="133"/>
      <c r="Q430" s="133"/>
      <c r="R430" s="131"/>
      <c r="S430" s="134"/>
      <c r="T430" s="134"/>
    </row>
    <row r="431" ht="22.5" customHeight="1">
      <c r="A431" s="131"/>
      <c r="B431" s="131"/>
      <c r="C431" s="131"/>
      <c r="D431" s="131"/>
      <c r="E431" s="132"/>
      <c r="F431" s="131"/>
      <c r="G431" s="36"/>
      <c r="H431" s="131"/>
      <c r="I431" s="133"/>
      <c r="J431" s="133"/>
      <c r="K431" s="133"/>
      <c r="L431" s="131"/>
      <c r="M431" s="131"/>
      <c r="N431" s="131"/>
      <c r="O431" s="133"/>
      <c r="P431" s="133"/>
      <c r="Q431" s="133"/>
      <c r="R431" s="131"/>
      <c r="S431" s="134"/>
      <c r="T431" s="134"/>
    </row>
    <row r="432" ht="22.5" customHeight="1">
      <c r="A432" s="131"/>
      <c r="B432" s="131"/>
      <c r="C432" s="131"/>
      <c r="D432" s="131"/>
      <c r="E432" s="132"/>
      <c r="F432" s="131"/>
      <c r="G432" s="36"/>
      <c r="H432" s="131"/>
      <c r="I432" s="133"/>
      <c r="J432" s="133"/>
      <c r="K432" s="133"/>
      <c r="L432" s="131"/>
      <c r="M432" s="131"/>
      <c r="N432" s="131"/>
      <c r="O432" s="133"/>
      <c r="P432" s="133"/>
      <c r="Q432" s="133"/>
      <c r="R432" s="131"/>
      <c r="S432" s="134"/>
      <c r="T432" s="134"/>
    </row>
    <row r="433" ht="22.5" customHeight="1">
      <c r="A433" s="131"/>
      <c r="B433" s="131"/>
      <c r="C433" s="131"/>
      <c r="D433" s="131"/>
      <c r="E433" s="132"/>
      <c r="F433" s="131"/>
      <c r="G433" s="36"/>
      <c r="H433" s="131"/>
      <c r="I433" s="133"/>
      <c r="J433" s="133"/>
      <c r="K433" s="133"/>
      <c r="L433" s="131"/>
      <c r="M433" s="131"/>
      <c r="N433" s="131"/>
      <c r="O433" s="133"/>
      <c r="P433" s="133"/>
      <c r="Q433" s="133"/>
      <c r="R433" s="131"/>
      <c r="S433" s="134"/>
      <c r="T433" s="134"/>
    </row>
    <row r="434" ht="22.5" customHeight="1">
      <c r="A434" s="131"/>
      <c r="B434" s="131"/>
      <c r="C434" s="131"/>
      <c r="D434" s="131"/>
      <c r="E434" s="132"/>
      <c r="F434" s="131"/>
      <c r="G434" s="36"/>
      <c r="H434" s="131"/>
      <c r="I434" s="133"/>
      <c r="J434" s="133"/>
      <c r="K434" s="133"/>
      <c r="L434" s="131"/>
      <c r="M434" s="131"/>
      <c r="N434" s="131"/>
      <c r="O434" s="133"/>
      <c r="P434" s="133"/>
      <c r="Q434" s="133"/>
      <c r="R434" s="131"/>
      <c r="S434" s="134"/>
      <c r="T434" s="134"/>
    </row>
    <row r="435" ht="22.5" customHeight="1">
      <c r="A435" s="131"/>
      <c r="B435" s="131"/>
      <c r="C435" s="131"/>
      <c r="D435" s="131"/>
      <c r="E435" s="132"/>
      <c r="F435" s="131"/>
      <c r="G435" s="36"/>
      <c r="H435" s="131"/>
      <c r="I435" s="133"/>
      <c r="J435" s="133"/>
      <c r="K435" s="133"/>
      <c r="L435" s="131"/>
      <c r="M435" s="131"/>
      <c r="N435" s="131"/>
      <c r="O435" s="133"/>
      <c r="P435" s="133"/>
      <c r="Q435" s="133"/>
      <c r="R435" s="131"/>
      <c r="S435" s="134"/>
      <c r="T435" s="134"/>
    </row>
    <row r="436" ht="22.5" customHeight="1">
      <c r="A436" s="131"/>
      <c r="B436" s="131"/>
      <c r="C436" s="131"/>
      <c r="D436" s="131"/>
      <c r="E436" s="132"/>
      <c r="F436" s="131"/>
      <c r="G436" s="36"/>
      <c r="H436" s="131"/>
      <c r="I436" s="133"/>
      <c r="J436" s="133"/>
      <c r="K436" s="133"/>
      <c r="L436" s="131"/>
      <c r="M436" s="131"/>
      <c r="N436" s="131"/>
      <c r="O436" s="133"/>
      <c r="P436" s="133"/>
      <c r="Q436" s="133"/>
      <c r="R436" s="131"/>
      <c r="S436" s="134"/>
      <c r="T436" s="134"/>
    </row>
    <row r="437" ht="22.5" customHeight="1">
      <c r="A437" s="131"/>
      <c r="B437" s="131"/>
      <c r="C437" s="131"/>
      <c r="D437" s="131"/>
      <c r="E437" s="132"/>
      <c r="F437" s="131"/>
      <c r="G437" s="36"/>
      <c r="H437" s="131"/>
      <c r="I437" s="133"/>
      <c r="J437" s="133"/>
      <c r="K437" s="133"/>
      <c r="L437" s="131"/>
      <c r="M437" s="131"/>
      <c r="N437" s="131"/>
      <c r="O437" s="133"/>
      <c r="P437" s="133"/>
      <c r="Q437" s="133"/>
      <c r="R437" s="131"/>
      <c r="S437" s="134"/>
      <c r="T437" s="134"/>
    </row>
    <row r="438" ht="22.5" customHeight="1">
      <c r="A438" s="131"/>
      <c r="B438" s="131"/>
      <c r="C438" s="131"/>
      <c r="D438" s="131"/>
      <c r="E438" s="132"/>
      <c r="F438" s="131"/>
      <c r="G438" s="36"/>
      <c r="H438" s="131"/>
      <c r="I438" s="133"/>
      <c r="J438" s="133"/>
      <c r="K438" s="133"/>
      <c r="L438" s="131"/>
      <c r="M438" s="131"/>
      <c r="N438" s="131"/>
      <c r="O438" s="133"/>
      <c r="P438" s="133"/>
      <c r="Q438" s="133"/>
      <c r="R438" s="131"/>
      <c r="S438" s="134"/>
      <c r="T438" s="134"/>
    </row>
    <row r="439" ht="22.5" customHeight="1">
      <c r="A439" s="131"/>
      <c r="B439" s="131"/>
      <c r="C439" s="131"/>
      <c r="D439" s="131"/>
      <c r="E439" s="132"/>
      <c r="F439" s="131"/>
      <c r="G439" s="36"/>
      <c r="H439" s="131"/>
      <c r="I439" s="133"/>
      <c r="J439" s="133"/>
      <c r="K439" s="133"/>
      <c r="L439" s="131"/>
      <c r="M439" s="131"/>
      <c r="N439" s="131"/>
      <c r="O439" s="133"/>
      <c r="P439" s="133"/>
      <c r="Q439" s="133"/>
      <c r="R439" s="131"/>
      <c r="S439" s="134"/>
      <c r="T439" s="134"/>
    </row>
    <row r="440" ht="22.5" customHeight="1">
      <c r="A440" s="131"/>
      <c r="B440" s="131"/>
      <c r="C440" s="131"/>
      <c r="D440" s="131"/>
      <c r="E440" s="132"/>
      <c r="F440" s="131"/>
      <c r="G440" s="36"/>
      <c r="H440" s="131"/>
      <c r="I440" s="133"/>
      <c r="J440" s="133"/>
      <c r="K440" s="133"/>
      <c r="L440" s="131"/>
      <c r="M440" s="131"/>
      <c r="N440" s="131"/>
      <c r="O440" s="133"/>
      <c r="P440" s="133"/>
      <c r="Q440" s="133"/>
      <c r="R440" s="131"/>
      <c r="S440" s="134"/>
      <c r="T440" s="134"/>
    </row>
    <row r="441" ht="22.5" customHeight="1">
      <c r="A441" s="131"/>
      <c r="B441" s="131"/>
      <c r="C441" s="131"/>
      <c r="D441" s="131"/>
      <c r="E441" s="132"/>
      <c r="F441" s="131"/>
      <c r="G441" s="36"/>
      <c r="H441" s="131"/>
      <c r="I441" s="133"/>
      <c r="J441" s="133"/>
      <c r="K441" s="133"/>
      <c r="L441" s="131"/>
      <c r="M441" s="131"/>
      <c r="N441" s="131"/>
      <c r="O441" s="133"/>
      <c r="P441" s="133"/>
      <c r="Q441" s="133"/>
      <c r="R441" s="131"/>
      <c r="S441" s="134"/>
      <c r="T441" s="134"/>
    </row>
    <row r="442" ht="22.5" customHeight="1">
      <c r="A442" s="131"/>
      <c r="B442" s="131"/>
      <c r="C442" s="131"/>
      <c r="D442" s="131"/>
      <c r="E442" s="132"/>
      <c r="F442" s="131"/>
      <c r="G442" s="36"/>
      <c r="H442" s="131"/>
      <c r="I442" s="133"/>
      <c r="J442" s="133"/>
      <c r="K442" s="133"/>
      <c r="L442" s="131"/>
      <c r="M442" s="131"/>
      <c r="N442" s="131"/>
      <c r="O442" s="133"/>
      <c r="P442" s="133"/>
      <c r="Q442" s="133"/>
      <c r="R442" s="131"/>
      <c r="S442" s="134"/>
      <c r="T442" s="134"/>
    </row>
    <row r="443" ht="22.5" customHeight="1">
      <c r="A443" s="131"/>
      <c r="B443" s="131"/>
      <c r="C443" s="131"/>
      <c r="D443" s="131"/>
      <c r="E443" s="132"/>
      <c r="F443" s="131"/>
      <c r="G443" s="36"/>
      <c r="H443" s="131"/>
      <c r="I443" s="133"/>
      <c r="J443" s="133"/>
      <c r="K443" s="133"/>
      <c r="L443" s="131"/>
      <c r="M443" s="131"/>
      <c r="N443" s="131"/>
      <c r="O443" s="133"/>
      <c r="P443" s="133"/>
      <c r="Q443" s="133"/>
      <c r="R443" s="131"/>
      <c r="S443" s="134"/>
      <c r="T443" s="134"/>
    </row>
    <row r="444" ht="22.5" customHeight="1">
      <c r="A444" s="131"/>
      <c r="B444" s="131"/>
      <c r="C444" s="131"/>
      <c r="D444" s="131"/>
      <c r="E444" s="132"/>
      <c r="F444" s="131"/>
      <c r="G444" s="36"/>
      <c r="H444" s="131"/>
      <c r="I444" s="133"/>
      <c r="J444" s="133"/>
      <c r="K444" s="133"/>
      <c r="L444" s="131"/>
      <c r="M444" s="131"/>
      <c r="N444" s="131"/>
      <c r="O444" s="133"/>
      <c r="P444" s="133"/>
      <c r="Q444" s="133"/>
      <c r="R444" s="131"/>
      <c r="S444" s="134"/>
      <c r="T444" s="134"/>
    </row>
    <row r="445" ht="22.5" customHeight="1">
      <c r="A445" s="131"/>
      <c r="B445" s="131"/>
      <c r="C445" s="131"/>
      <c r="D445" s="131"/>
      <c r="E445" s="132"/>
      <c r="F445" s="131"/>
      <c r="G445" s="36"/>
      <c r="H445" s="131"/>
      <c r="I445" s="133"/>
      <c r="J445" s="133"/>
      <c r="K445" s="133"/>
      <c r="L445" s="131"/>
      <c r="M445" s="131"/>
      <c r="N445" s="131"/>
      <c r="O445" s="133"/>
      <c r="P445" s="133"/>
      <c r="Q445" s="133"/>
      <c r="R445" s="131"/>
      <c r="S445" s="134"/>
      <c r="T445" s="134"/>
    </row>
    <row r="446" ht="22.5" customHeight="1">
      <c r="A446" s="131"/>
      <c r="B446" s="131"/>
      <c r="C446" s="131"/>
      <c r="D446" s="131"/>
      <c r="E446" s="132"/>
      <c r="F446" s="131"/>
      <c r="G446" s="36"/>
      <c r="H446" s="131"/>
      <c r="I446" s="133"/>
      <c r="J446" s="133"/>
      <c r="K446" s="133"/>
      <c r="L446" s="131"/>
      <c r="M446" s="131"/>
      <c r="N446" s="131"/>
      <c r="O446" s="133"/>
      <c r="P446" s="133"/>
      <c r="Q446" s="133"/>
      <c r="R446" s="131"/>
      <c r="S446" s="134"/>
      <c r="T446" s="134"/>
    </row>
    <row r="447" ht="22.5" customHeight="1">
      <c r="A447" s="131"/>
      <c r="B447" s="131"/>
      <c r="C447" s="131"/>
      <c r="D447" s="131"/>
      <c r="E447" s="132"/>
      <c r="F447" s="131"/>
      <c r="G447" s="36"/>
      <c r="H447" s="131"/>
      <c r="I447" s="133"/>
      <c r="J447" s="133"/>
      <c r="K447" s="133"/>
      <c r="L447" s="131"/>
      <c r="M447" s="131"/>
      <c r="N447" s="131"/>
      <c r="O447" s="133"/>
      <c r="P447" s="133"/>
      <c r="Q447" s="133"/>
      <c r="R447" s="131"/>
      <c r="S447" s="134"/>
      <c r="T447" s="134"/>
    </row>
    <row r="448" ht="22.5" customHeight="1">
      <c r="A448" s="131"/>
      <c r="B448" s="131"/>
      <c r="C448" s="131"/>
      <c r="D448" s="131"/>
      <c r="E448" s="132"/>
      <c r="F448" s="131"/>
      <c r="G448" s="36"/>
      <c r="H448" s="131"/>
      <c r="I448" s="133"/>
      <c r="J448" s="133"/>
      <c r="K448" s="133"/>
      <c r="L448" s="131"/>
      <c r="M448" s="131"/>
      <c r="N448" s="131"/>
      <c r="O448" s="133"/>
      <c r="P448" s="133"/>
      <c r="Q448" s="133"/>
      <c r="R448" s="131"/>
      <c r="S448" s="134"/>
      <c r="T448" s="134"/>
    </row>
    <row r="449" ht="22.5" customHeight="1">
      <c r="A449" s="131"/>
      <c r="B449" s="131"/>
      <c r="C449" s="131"/>
      <c r="D449" s="131"/>
      <c r="E449" s="132"/>
      <c r="F449" s="131"/>
      <c r="G449" s="36"/>
      <c r="H449" s="131"/>
      <c r="I449" s="133"/>
      <c r="J449" s="133"/>
      <c r="K449" s="133"/>
      <c r="L449" s="131"/>
      <c r="M449" s="131"/>
      <c r="N449" s="131"/>
      <c r="O449" s="133"/>
      <c r="P449" s="133"/>
      <c r="Q449" s="133"/>
      <c r="R449" s="131"/>
      <c r="S449" s="134"/>
      <c r="T449" s="134"/>
    </row>
    <row r="450" ht="22.5" customHeight="1">
      <c r="A450" s="131"/>
      <c r="B450" s="131"/>
      <c r="C450" s="131"/>
      <c r="D450" s="131"/>
      <c r="E450" s="132"/>
      <c r="F450" s="131"/>
      <c r="G450" s="36"/>
      <c r="H450" s="131"/>
      <c r="I450" s="133"/>
      <c r="J450" s="133"/>
      <c r="K450" s="133"/>
      <c r="L450" s="131"/>
      <c r="M450" s="131"/>
      <c r="N450" s="131"/>
      <c r="O450" s="133"/>
      <c r="P450" s="133"/>
      <c r="Q450" s="133"/>
      <c r="R450" s="131"/>
      <c r="S450" s="134"/>
      <c r="T450" s="134"/>
    </row>
    <row r="451" ht="22.5" customHeight="1">
      <c r="A451" s="131"/>
      <c r="B451" s="131"/>
      <c r="C451" s="131"/>
      <c r="D451" s="131"/>
      <c r="E451" s="132"/>
      <c r="F451" s="131"/>
      <c r="G451" s="36"/>
      <c r="H451" s="131"/>
      <c r="I451" s="133"/>
      <c r="J451" s="133"/>
      <c r="K451" s="133"/>
      <c r="L451" s="131"/>
      <c r="M451" s="131"/>
      <c r="N451" s="131"/>
      <c r="O451" s="133"/>
      <c r="P451" s="133"/>
      <c r="Q451" s="133"/>
      <c r="R451" s="131"/>
      <c r="S451" s="134"/>
      <c r="T451" s="134"/>
    </row>
    <row r="452" ht="22.5" customHeight="1">
      <c r="A452" s="131"/>
      <c r="B452" s="131"/>
      <c r="C452" s="131"/>
      <c r="D452" s="131"/>
      <c r="E452" s="132"/>
      <c r="F452" s="131"/>
      <c r="G452" s="36"/>
      <c r="H452" s="131"/>
      <c r="I452" s="133"/>
      <c r="J452" s="133"/>
      <c r="K452" s="133"/>
      <c r="L452" s="131"/>
      <c r="M452" s="131"/>
      <c r="N452" s="131"/>
      <c r="O452" s="133"/>
      <c r="P452" s="133"/>
      <c r="Q452" s="133"/>
      <c r="R452" s="131"/>
      <c r="S452" s="134"/>
      <c r="T452" s="134"/>
    </row>
    <row r="453" ht="22.5" customHeight="1">
      <c r="A453" s="131"/>
      <c r="B453" s="131"/>
      <c r="C453" s="131"/>
      <c r="D453" s="131"/>
      <c r="E453" s="132"/>
      <c r="F453" s="131"/>
      <c r="G453" s="36"/>
      <c r="H453" s="131"/>
      <c r="I453" s="133"/>
      <c r="J453" s="133"/>
      <c r="K453" s="133"/>
      <c r="L453" s="131"/>
      <c r="M453" s="131"/>
      <c r="N453" s="131"/>
      <c r="O453" s="133"/>
      <c r="P453" s="133"/>
      <c r="Q453" s="133"/>
      <c r="R453" s="131"/>
      <c r="S453" s="134"/>
      <c r="T453" s="134"/>
    </row>
    <row r="454" ht="22.5" customHeight="1">
      <c r="A454" s="131"/>
      <c r="B454" s="131"/>
      <c r="C454" s="131"/>
      <c r="D454" s="131"/>
      <c r="E454" s="132"/>
      <c r="F454" s="131"/>
      <c r="G454" s="36"/>
      <c r="H454" s="131"/>
      <c r="I454" s="133"/>
      <c r="J454" s="133"/>
      <c r="K454" s="133"/>
      <c r="L454" s="131"/>
      <c r="M454" s="131"/>
      <c r="N454" s="131"/>
      <c r="O454" s="133"/>
      <c r="P454" s="133"/>
      <c r="Q454" s="133"/>
      <c r="R454" s="131"/>
      <c r="S454" s="134"/>
      <c r="T454" s="134"/>
    </row>
    <row r="455" ht="22.5" customHeight="1">
      <c r="A455" s="131"/>
      <c r="B455" s="131"/>
      <c r="C455" s="131"/>
      <c r="D455" s="131"/>
      <c r="E455" s="132"/>
      <c r="F455" s="131"/>
      <c r="G455" s="36"/>
      <c r="H455" s="131"/>
      <c r="I455" s="133"/>
      <c r="J455" s="133"/>
      <c r="K455" s="133"/>
      <c r="L455" s="131"/>
      <c r="M455" s="131"/>
      <c r="N455" s="131"/>
      <c r="O455" s="133"/>
      <c r="P455" s="133"/>
      <c r="Q455" s="133"/>
      <c r="R455" s="131"/>
      <c r="S455" s="134"/>
      <c r="T455" s="134"/>
    </row>
    <row r="456" ht="22.5" customHeight="1">
      <c r="A456" s="131"/>
      <c r="B456" s="131"/>
      <c r="C456" s="131"/>
      <c r="D456" s="131"/>
      <c r="E456" s="132"/>
      <c r="F456" s="131"/>
      <c r="G456" s="36"/>
      <c r="H456" s="131"/>
      <c r="I456" s="133"/>
      <c r="J456" s="133"/>
      <c r="K456" s="133"/>
      <c r="L456" s="131"/>
      <c r="M456" s="131"/>
      <c r="N456" s="131"/>
      <c r="O456" s="133"/>
      <c r="P456" s="133"/>
      <c r="Q456" s="133"/>
      <c r="R456" s="131"/>
      <c r="S456" s="134"/>
      <c r="T456" s="134"/>
    </row>
    <row r="457" ht="22.5" customHeight="1">
      <c r="A457" s="131"/>
      <c r="B457" s="131"/>
      <c r="C457" s="131"/>
      <c r="D457" s="131"/>
      <c r="E457" s="132"/>
      <c r="F457" s="131"/>
      <c r="G457" s="36"/>
      <c r="H457" s="131"/>
      <c r="I457" s="133"/>
      <c r="J457" s="133"/>
      <c r="K457" s="133"/>
      <c r="L457" s="131"/>
      <c r="M457" s="131"/>
      <c r="N457" s="131"/>
      <c r="O457" s="133"/>
      <c r="P457" s="133"/>
      <c r="Q457" s="133"/>
      <c r="R457" s="131"/>
      <c r="S457" s="134"/>
      <c r="T457" s="134"/>
    </row>
    <row r="458" ht="22.5" customHeight="1">
      <c r="A458" s="131"/>
      <c r="B458" s="131"/>
      <c r="C458" s="131"/>
      <c r="D458" s="131"/>
      <c r="E458" s="132"/>
      <c r="F458" s="131"/>
      <c r="G458" s="36"/>
      <c r="H458" s="131"/>
      <c r="I458" s="133"/>
      <c r="J458" s="133"/>
      <c r="K458" s="133"/>
      <c r="L458" s="131"/>
      <c r="M458" s="131"/>
      <c r="N458" s="131"/>
      <c r="O458" s="133"/>
      <c r="P458" s="133"/>
      <c r="Q458" s="133"/>
      <c r="R458" s="131"/>
      <c r="S458" s="134"/>
      <c r="T458" s="134"/>
    </row>
    <row r="459" ht="22.5" customHeight="1">
      <c r="A459" s="131"/>
      <c r="B459" s="131"/>
      <c r="C459" s="131"/>
      <c r="D459" s="131"/>
      <c r="E459" s="132"/>
      <c r="F459" s="131"/>
      <c r="G459" s="36"/>
      <c r="H459" s="131"/>
      <c r="I459" s="133"/>
      <c r="J459" s="133"/>
      <c r="K459" s="133"/>
      <c r="L459" s="131"/>
      <c r="M459" s="131"/>
      <c r="N459" s="131"/>
      <c r="O459" s="133"/>
      <c r="P459" s="133"/>
      <c r="Q459" s="133"/>
      <c r="R459" s="131"/>
      <c r="S459" s="134"/>
      <c r="T459" s="134"/>
    </row>
    <row r="460" ht="22.5" customHeight="1">
      <c r="A460" s="131"/>
      <c r="B460" s="131"/>
      <c r="C460" s="131"/>
      <c r="D460" s="131"/>
      <c r="E460" s="132"/>
      <c r="F460" s="131"/>
      <c r="G460" s="36"/>
      <c r="H460" s="131"/>
      <c r="I460" s="133"/>
      <c r="J460" s="133"/>
      <c r="K460" s="133"/>
      <c r="L460" s="131"/>
      <c r="M460" s="131"/>
      <c r="N460" s="131"/>
      <c r="O460" s="133"/>
      <c r="P460" s="133"/>
      <c r="Q460" s="133"/>
      <c r="R460" s="131"/>
      <c r="S460" s="134"/>
      <c r="T460" s="134"/>
    </row>
    <row r="461" ht="22.5" customHeight="1">
      <c r="A461" s="131"/>
      <c r="B461" s="131"/>
      <c r="C461" s="131"/>
      <c r="D461" s="131"/>
      <c r="E461" s="132"/>
      <c r="F461" s="131"/>
      <c r="G461" s="36"/>
      <c r="H461" s="131"/>
      <c r="I461" s="133"/>
      <c r="J461" s="133"/>
      <c r="K461" s="133"/>
      <c r="L461" s="131"/>
      <c r="M461" s="131"/>
      <c r="N461" s="131"/>
      <c r="O461" s="133"/>
      <c r="P461" s="133"/>
      <c r="Q461" s="133"/>
      <c r="R461" s="131"/>
      <c r="S461" s="134"/>
      <c r="T461" s="134"/>
    </row>
    <row r="462" ht="22.5" customHeight="1">
      <c r="A462" s="131"/>
      <c r="B462" s="131"/>
      <c r="C462" s="131"/>
      <c r="D462" s="131"/>
      <c r="E462" s="132"/>
      <c r="F462" s="131"/>
      <c r="G462" s="36"/>
      <c r="H462" s="131"/>
      <c r="I462" s="133"/>
      <c r="J462" s="133"/>
      <c r="K462" s="133"/>
      <c r="L462" s="131"/>
      <c r="M462" s="131"/>
      <c r="N462" s="131"/>
      <c r="O462" s="133"/>
      <c r="P462" s="133"/>
      <c r="Q462" s="133"/>
      <c r="R462" s="131"/>
      <c r="S462" s="134"/>
      <c r="T462" s="134"/>
    </row>
    <row r="463" ht="22.5" customHeight="1">
      <c r="A463" s="131"/>
      <c r="B463" s="131"/>
      <c r="C463" s="131"/>
      <c r="D463" s="131"/>
      <c r="E463" s="132"/>
      <c r="F463" s="131"/>
      <c r="G463" s="36"/>
      <c r="H463" s="131"/>
      <c r="I463" s="133"/>
      <c r="J463" s="133"/>
      <c r="K463" s="133"/>
      <c r="L463" s="131"/>
      <c r="M463" s="131"/>
      <c r="N463" s="131"/>
      <c r="O463" s="133"/>
      <c r="P463" s="133"/>
      <c r="Q463" s="133"/>
      <c r="R463" s="131"/>
      <c r="S463" s="134"/>
      <c r="T463" s="134"/>
    </row>
    <row r="464" ht="22.5" customHeight="1">
      <c r="A464" s="131"/>
      <c r="B464" s="131"/>
      <c r="C464" s="131"/>
      <c r="D464" s="131"/>
      <c r="E464" s="132"/>
      <c r="F464" s="131"/>
      <c r="G464" s="36"/>
      <c r="H464" s="131"/>
      <c r="I464" s="133"/>
      <c r="J464" s="133"/>
      <c r="K464" s="133"/>
      <c r="L464" s="131"/>
      <c r="M464" s="131"/>
      <c r="N464" s="131"/>
      <c r="O464" s="133"/>
      <c r="P464" s="133"/>
      <c r="Q464" s="133"/>
      <c r="R464" s="131"/>
      <c r="S464" s="134"/>
      <c r="T464" s="134"/>
    </row>
    <row r="465" ht="22.5" customHeight="1">
      <c r="A465" s="131"/>
      <c r="B465" s="131"/>
      <c r="C465" s="131"/>
      <c r="D465" s="131"/>
      <c r="E465" s="132"/>
      <c r="F465" s="131"/>
      <c r="G465" s="36"/>
      <c r="H465" s="131"/>
      <c r="I465" s="133"/>
      <c r="J465" s="133"/>
      <c r="K465" s="133"/>
      <c r="L465" s="131"/>
      <c r="M465" s="131"/>
      <c r="N465" s="131"/>
      <c r="O465" s="133"/>
      <c r="P465" s="133"/>
      <c r="Q465" s="133"/>
      <c r="R465" s="131"/>
      <c r="S465" s="134"/>
      <c r="T465" s="134"/>
    </row>
    <row r="466" ht="22.5" customHeight="1">
      <c r="A466" s="131"/>
      <c r="B466" s="131"/>
      <c r="C466" s="131"/>
      <c r="D466" s="131"/>
      <c r="E466" s="132"/>
      <c r="F466" s="131"/>
      <c r="G466" s="36"/>
      <c r="H466" s="131"/>
      <c r="I466" s="133"/>
      <c r="J466" s="133"/>
      <c r="K466" s="133"/>
      <c r="L466" s="131"/>
      <c r="M466" s="131"/>
      <c r="N466" s="131"/>
      <c r="O466" s="133"/>
      <c r="P466" s="133"/>
      <c r="Q466" s="133"/>
      <c r="R466" s="131"/>
      <c r="S466" s="134"/>
      <c r="T466" s="134"/>
    </row>
    <row r="467" ht="22.5" customHeight="1">
      <c r="A467" s="131"/>
      <c r="B467" s="131"/>
      <c r="C467" s="131"/>
      <c r="D467" s="131"/>
      <c r="E467" s="132"/>
      <c r="F467" s="131"/>
      <c r="G467" s="36"/>
      <c r="H467" s="131"/>
      <c r="I467" s="133"/>
      <c r="J467" s="133"/>
      <c r="K467" s="133"/>
      <c r="L467" s="131"/>
      <c r="M467" s="131"/>
      <c r="N467" s="131"/>
      <c r="O467" s="133"/>
      <c r="P467" s="133"/>
      <c r="Q467" s="133"/>
      <c r="R467" s="131"/>
      <c r="S467" s="134"/>
      <c r="T467" s="134"/>
    </row>
    <row r="468" ht="22.5" customHeight="1">
      <c r="A468" s="131"/>
      <c r="B468" s="131"/>
      <c r="C468" s="131"/>
      <c r="D468" s="131"/>
      <c r="E468" s="132"/>
      <c r="F468" s="131"/>
      <c r="G468" s="36"/>
      <c r="H468" s="131"/>
      <c r="I468" s="133"/>
      <c r="J468" s="133"/>
      <c r="K468" s="133"/>
      <c r="L468" s="131"/>
      <c r="M468" s="131"/>
      <c r="N468" s="131"/>
      <c r="O468" s="133"/>
      <c r="P468" s="133"/>
      <c r="Q468" s="133"/>
      <c r="R468" s="131"/>
      <c r="S468" s="134"/>
      <c r="T468" s="134"/>
    </row>
    <row r="469" ht="22.5" customHeight="1">
      <c r="A469" s="131"/>
      <c r="B469" s="131"/>
      <c r="C469" s="131"/>
      <c r="D469" s="131"/>
      <c r="E469" s="132"/>
      <c r="F469" s="131"/>
      <c r="G469" s="36"/>
      <c r="H469" s="131"/>
      <c r="I469" s="133"/>
      <c r="J469" s="133"/>
      <c r="K469" s="133"/>
      <c r="L469" s="131"/>
      <c r="M469" s="131"/>
      <c r="N469" s="131"/>
      <c r="O469" s="133"/>
      <c r="P469" s="133"/>
      <c r="Q469" s="133"/>
      <c r="R469" s="131"/>
      <c r="S469" s="134"/>
      <c r="T469" s="134"/>
    </row>
    <row r="470" ht="22.5" customHeight="1">
      <c r="A470" s="131"/>
      <c r="B470" s="131"/>
      <c r="C470" s="131"/>
      <c r="D470" s="131"/>
      <c r="E470" s="132"/>
      <c r="F470" s="131"/>
      <c r="G470" s="36"/>
      <c r="H470" s="131"/>
      <c r="I470" s="133"/>
      <c r="J470" s="133"/>
      <c r="K470" s="133"/>
      <c r="L470" s="131"/>
      <c r="M470" s="131"/>
      <c r="N470" s="131"/>
      <c r="O470" s="133"/>
      <c r="P470" s="133"/>
      <c r="Q470" s="133"/>
      <c r="R470" s="131"/>
      <c r="S470" s="134"/>
      <c r="T470" s="134"/>
    </row>
    <row r="471" ht="22.5" customHeight="1">
      <c r="A471" s="131"/>
      <c r="B471" s="131"/>
      <c r="C471" s="131"/>
      <c r="D471" s="131"/>
      <c r="E471" s="132"/>
      <c r="F471" s="131"/>
      <c r="G471" s="36"/>
      <c r="H471" s="131"/>
      <c r="I471" s="133"/>
      <c r="J471" s="133"/>
      <c r="K471" s="133"/>
      <c r="L471" s="131"/>
      <c r="M471" s="131"/>
      <c r="N471" s="131"/>
      <c r="O471" s="133"/>
      <c r="P471" s="133"/>
      <c r="Q471" s="133"/>
      <c r="R471" s="131"/>
      <c r="S471" s="134"/>
      <c r="T471" s="134"/>
    </row>
    <row r="472" ht="22.5" customHeight="1">
      <c r="A472" s="131"/>
      <c r="B472" s="131"/>
      <c r="C472" s="131"/>
      <c r="D472" s="131"/>
      <c r="E472" s="132"/>
      <c r="F472" s="131"/>
      <c r="G472" s="36"/>
      <c r="H472" s="131"/>
      <c r="I472" s="133"/>
      <c r="J472" s="133"/>
      <c r="K472" s="133"/>
      <c r="L472" s="131"/>
      <c r="M472" s="131"/>
      <c r="N472" s="131"/>
      <c r="O472" s="133"/>
      <c r="P472" s="133"/>
      <c r="Q472" s="133"/>
      <c r="R472" s="131"/>
      <c r="S472" s="134"/>
      <c r="T472" s="134"/>
    </row>
    <row r="473" ht="22.5" customHeight="1">
      <c r="A473" s="131"/>
      <c r="B473" s="131"/>
      <c r="C473" s="131"/>
      <c r="D473" s="131"/>
      <c r="E473" s="132"/>
      <c r="F473" s="131"/>
      <c r="G473" s="36"/>
      <c r="H473" s="131"/>
      <c r="I473" s="133"/>
      <c r="J473" s="133"/>
      <c r="K473" s="133"/>
      <c r="L473" s="131"/>
      <c r="M473" s="131"/>
      <c r="N473" s="131"/>
      <c r="O473" s="133"/>
      <c r="P473" s="133"/>
      <c r="Q473" s="133"/>
      <c r="R473" s="131"/>
      <c r="S473" s="134"/>
      <c r="T473" s="134"/>
    </row>
    <row r="474" ht="22.5" customHeight="1">
      <c r="A474" s="131"/>
      <c r="B474" s="131"/>
      <c r="C474" s="131"/>
      <c r="D474" s="131"/>
      <c r="E474" s="132"/>
      <c r="F474" s="131"/>
      <c r="G474" s="36"/>
      <c r="H474" s="131"/>
      <c r="I474" s="133"/>
      <c r="J474" s="133"/>
      <c r="K474" s="133"/>
      <c r="L474" s="131"/>
      <c r="M474" s="131"/>
      <c r="N474" s="131"/>
      <c r="O474" s="133"/>
      <c r="P474" s="133"/>
      <c r="Q474" s="133"/>
      <c r="R474" s="131"/>
      <c r="S474" s="134"/>
      <c r="T474" s="134"/>
    </row>
    <row r="475" ht="22.5" customHeight="1">
      <c r="A475" s="131"/>
      <c r="B475" s="131"/>
      <c r="C475" s="131"/>
      <c r="D475" s="131"/>
      <c r="E475" s="132"/>
      <c r="F475" s="131"/>
      <c r="G475" s="36"/>
      <c r="H475" s="131"/>
      <c r="I475" s="133"/>
      <c r="J475" s="133"/>
      <c r="K475" s="133"/>
      <c r="L475" s="131"/>
      <c r="M475" s="131"/>
      <c r="N475" s="131"/>
      <c r="O475" s="133"/>
      <c r="P475" s="133"/>
      <c r="Q475" s="133"/>
      <c r="R475" s="131"/>
      <c r="S475" s="134"/>
      <c r="T475" s="134"/>
    </row>
    <row r="476" ht="22.5" customHeight="1">
      <c r="A476" s="131"/>
      <c r="B476" s="131"/>
      <c r="C476" s="131"/>
      <c r="D476" s="131"/>
      <c r="E476" s="132"/>
      <c r="F476" s="131"/>
      <c r="G476" s="36"/>
      <c r="H476" s="131"/>
      <c r="I476" s="133"/>
      <c r="J476" s="133"/>
      <c r="K476" s="133"/>
      <c r="L476" s="131"/>
      <c r="M476" s="131"/>
      <c r="N476" s="131"/>
      <c r="O476" s="133"/>
      <c r="P476" s="133"/>
      <c r="Q476" s="133"/>
      <c r="R476" s="131"/>
      <c r="S476" s="134"/>
      <c r="T476" s="134"/>
    </row>
    <row r="477" ht="22.5" customHeight="1">
      <c r="A477" s="131"/>
      <c r="B477" s="131"/>
      <c r="C477" s="131"/>
      <c r="D477" s="131"/>
      <c r="E477" s="132"/>
      <c r="F477" s="131"/>
      <c r="G477" s="36"/>
      <c r="H477" s="131"/>
      <c r="I477" s="133"/>
      <c r="J477" s="133"/>
      <c r="K477" s="133"/>
      <c r="L477" s="131"/>
      <c r="M477" s="131"/>
      <c r="N477" s="131"/>
      <c r="O477" s="133"/>
      <c r="P477" s="133"/>
      <c r="Q477" s="133"/>
      <c r="R477" s="131"/>
      <c r="S477" s="134"/>
      <c r="T477" s="134"/>
    </row>
    <row r="478" ht="22.5" customHeight="1">
      <c r="A478" s="131"/>
      <c r="B478" s="131"/>
      <c r="C478" s="131"/>
      <c r="D478" s="131"/>
      <c r="E478" s="132"/>
      <c r="F478" s="131"/>
      <c r="G478" s="36"/>
      <c r="H478" s="131"/>
      <c r="I478" s="133"/>
      <c r="J478" s="133"/>
      <c r="K478" s="133"/>
      <c r="L478" s="131"/>
      <c r="M478" s="131"/>
      <c r="N478" s="131"/>
      <c r="O478" s="133"/>
      <c r="P478" s="133"/>
      <c r="Q478" s="133"/>
      <c r="R478" s="131"/>
      <c r="S478" s="134"/>
      <c r="T478" s="134"/>
    </row>
    <row r="479" ht="22.5" customHeight="1">
      <c r="A479" s="131"/>
      <c r="B479" s="131"/>
      <c r="C479" s="131"/>
      <c r="D479" s="131"/>
      <c r="E479" s="132"/>
      <c r="F479" s="131"/>
      <c r="G479" s="36"/>
      <c r="H479" s="131"/>
      <c r="I479" s="133"/>
      <c r="J479" s="133"/>
      <c r="K479" s="133"/>
      <c r="L479" s="131"/>
      <c r="M479" s="131"/>
      <c r="N479" s="131"/>
      <c r="O479" s="133"/>
      <c r="P479" s="133"/>
      <c r="Q479" s="133"/>
      <c r="R479" s="131"/>
      <c r="S479" s="134"/>
      <c r="T479" s="134"/>
    </row>
    <row r="480" ht="22.5" customHeight="1">
      <c r="A480" s="131"/>
      <c r="B480" s="131"/>
      <c r="C480" s="131"/>
      <c r="D480" s="131"/>
      <c r="E480" s="132"/>
      <c r="F480" s="131"/>
      <c r="G480" s="36"/>
      <c r="H480" s="131"/>
      <c r="I480" s="133"/>
      <c r="J480" s="133"/>
      <c r="K480" s="133"/>
      <c r="L480" s="131"/>
      <c r="M480" s="131"/>
      <c r="N480" s="131"/>
      <c r="O480" s="133"/>
      <c r="P480" s="133"/>
      <c r="Q480" s="133"/>
      <c r="R480" s="131"/>
      <c r="S480" s="134"/>
      <c r="T480" s="134"/>
    </row>
    <row r="481" ht="22.5" customHeight="1">
      <c r="A481" s="131"/>
      <c r="B481" s="131"/>
      <c r="C481" s="131"/>
      <c r="D481" s="131"/>
      <c r="E481" s="132"/>
      <c r="F481" s="131"/>
      <c r="G481" s="36"/>
      <c r="H481" s="131"/>
      <c r="I481" s="133"/>
      <c r="J481" s="133"/>
      <c r="K481" s="133"/>
      <c r="L481" s="131"/>
      <c r="M481" s="131"/>
      <c r="N481" s="131"/>
      <c r="O481" s="133"/>
      <c r="P481" s="133"/>
      <c r="Q481" s="133"/>
      <c r="R481" s="131"/>
      <c r="S481" s="134"/>
      <c r="T481" s="134"/>
    </row>
    <row r="482" ht="22.5" customHeight="1">
      <c r="A482" s="131"/>
      <c r="B482" s="131"/>
      <c r="C482" s="131"/>
      <c r="D482" s="131"/>
      <c r="E482" s="132"/>
      <c r="F482" s="131"/>
      <c r="G482" s="36"/>
      <c r="H482" s="131"/>
      <c r="I482" s="133"/>
      <c r="J482" s="133"/>
      <c r="K482" s="133"/>
      <c r="L482" s="131"/>
      <c r="M482" s="131"/>
      <c r="N482" s="131"/>
      <c r="O482" s="133"/>
      <c r="P482" s="133"/>
      <c r="Q482" s="133"/>
      <c r="R482" s="131"/>
      <c r="S482" s="134"/>
      <c r="T482" s="134"/>
    </row>
    <row r="483" ht="22.5" customHeight="1">
      <c r="A483" s="131"/>
      <c r="B483" s="131"/>
      <c r="C483" s="131"/>
      <c r="D483" s="131"/>
      <c r="E483" s="132"/>
      <c r="F483" s="131"/>
      <c r="G483" s="36"/>
      <c r="H483" s="131"/>
      <c r="I483" s="133"/>
      <c r="J483" s="133"/>
      <c r="K483" s="133"/>
      <c r="L483" s="131"/>
      <c r="M483" s="131"/>
      <c r="N483" s="131"/>
      <c r="O483" s="133"/>
      <c r="P483" s="133"/>
      <c r="Q483" s="133"/>
      <c r="R483" s="131"/>
      <c r="S483" s="134"/>
      <c r="T483" s="134"/>
    </row>
    <row r="484" ht="22.5" customHeight="1">
      <c r="A484" s="131"/>
      <c r="B484" s="131"/>
      <c r="C484" s="131"/>
      <c r="D484" s="131"/>
      <c r="E484" s="132"/>
      <c r="F484" s="131"/>
      <c r="G484" s="36"/>
      <c r="H484" s="131"/>
      <c r="I484" s="133"/>
      <c r="J484" s="133"/>
      <c r="K484" s="133"/>
      <c r="L484" s="131"/>
      <c r="M484" s="131"/>
      <c r="N484" s="131"/>
      <c r="O484" s="133"/>
      <c r="P484" s="133"/>
      <c r="Q484" s="133"/>
      <c r="R484" s="131"/>
      <c r="S484" s="134"/>
      <c r="T484" s="134"/>
    </row>
    <row r="485" ht="22.5" customHeight="1">
      <c r="A485" s="131"/>
      <c r="B485" s="131"/>
      <c r="C485" s="131"/>
      <c r="D485" s="131"/>
      <c r="E485" s="132"/>
      <c r="F485" s="131"/>
      <c r="G485" s="36"/>
      <c r="H485" s="131"/>
      <c r="I485" s="133"/>
      <c r="J485" s="133"/>
      <c r="K485" s="133"/>
      <c r="L485" s="131"/>
      <c r="M485" s="131"/>
      <c r="N485" s="131"/>
      <c r="O485" s="133"/>
      <c r="P485" s="133"/>
      <c r="Q485" s="133"/>
      <c r="R485" s="131"/>
      <c r="S485" s="134"/>
      <c r="T485" s="134"/>
    </row>
    <row r="486" ht="22.5" customHeight="1">
      <c r="A486" s="131"/>
      <c r="B486" s="131"/>
      <c r="C486" s="131"/>
      <c r="D486" s="131"/>
      <c r="E486" s="132"/>
      <c r="F486" s="131"/>
      <c r="G486" s="36"/>
      <c r="H486" s="131"/>
      <c r="I486" s="133"/>
      <c r="J486" s="133"/>
      <c r="K486" s="133"/>
      <c r="L486" s="131"/>
      <c r="M486" s="131"/>
      <c r="N486" s="131"/>
      <c r="O486" s="133"/>
      <c r="P486" s="133"/>
      <c r="Q486" s="133"/>
      <c r="R486" s="131"/>
      <c r="S486" s="134"/>
      <c r="T486" s="134"/>
    </row>
    <row r="487" ht="22.5" customHeight="1">
      <c r="A487" s="131"/>
      <c r="B487" s="131"/>
      <c r="C487" s="131"/>
      <c r="D487" s="131"/>
      <c r="E487" s="132"/>
      <c r="F487" s="131"/>
      <c r="G487" s="36"/>
      <c r="H487" s="131"/>
      <c r="I487" s="133"/>
      <c r="J487" s="133"/>
      <c r="K487" s="133"/>
      <c r="L487" s="131"/>
      <c r="M487" s="131"/>
      <c r="N487" s="131"/>
      <c r="O487" s="133"/>
      <c r="P487" s="133"/>
      <c r="Q487" s="133"/>
      <c r="R487" s="131"/>
      <c r="S487" s="134"/>
      <c r="T487" s="134"/>
    </row>
    <row r="488" ht="22.5" customHeight="1">
      <c r="A488" s="131"/>
      <c r="B488" s="131"/>
      <c r="C488" s="131"/>
      <c r="D488" s="131"/>
      <c r="E488" s="132"/>
      <c r="F488" s="131"/>
      <c r="G488" s="36"/>
      <c r="H488" s="131"/>
      <c r="I488" s="133"/>
      <c r="J488" s="133"/>
      <c r="K488" s="133"/>
      <c r="L488" s="131"/>
      <c r="M488" s="131"/>
      <c r="N488" s="131"/>
      <c r="O488" s="133"/>
      <c r="P488" s="133"/>
      <c r="Q488" s="133"/>
      <c r="R488" s="131"/>
      <c r="S488" s="134"/>
      <c r="T488" s="134"/>
    </row>
    <row r="489" ht="22.5" customHeight="1">
      <c r="A489" s="131"/>
      <c r="B489" s="131"/>
      <c r="C489" s="131"/>
      <c r="D489" s="131"/>
      <c r="E489" s="132"/>
      <c r="F489" s="131"/>
      <c r="G489" s="36"/>
      <c r="H489" s="131"/>
      <c r="I489" s="133"/>
      <c r="J489" s="133"/>
      <c r="K489" s="133"/>
      <c r="L489" s="131"/>
      <c r="M489" s="131"/>
      <c r="N489" s="131"/>
      <c r="O489" s="133"/>
      <c r="P489" s="133"/>
      <c r="Q489" s="133"/>
      <c r="R489" s="131"/>
      <c r="S489" s="134"/>
      <c r="T489" s="134"/>
    </row>
    <row r="490" ht="22.5" customHeight="1">
      <c r="A490" s="131"/>
      <c r="B490" s="131"/>
      <c r="C490" s="131"/>
      <c r="D490" s="131"/>
      <c r="E490" s="132"/>
      <c r="F490" s="131"/>
      <c r="G490" s="36"/>
      <c r="H490" s="131"/>
      <c r="I490" s="133"/>
      <c r="J490" s="133"/>
      <c r="K490" s="133"/>
      <c r="L490" s="131"/>
      <c r="M490" s="131"/>
      <c r="N490" s="131"/>
      <c r="O490" s="133"/>
      <c r="P490" s="133"/>
      <c r="Q490" s="133"/>
      <c r="R490" s="131"/>
      <c r="S490" s="134"/>
      <c r="T490" s="134"/>
    </row>
    <row r="491" ht="22.5" customHeight="1">
      <c r="A491" s="131"/>
      <c r="B491" s="131"/>
      <c r="C491" s="131"/>
      <c r="D491" s="131"/>
      <c r="E491" s="132"/>
      <c r="F491" s="131"/>
      <c r="G491" s="36"/>
      <c r="H491" s="131"/>
      <c r="I491" s="133"/>
      <c r="J491" s="133"/>
      <c r="K491" s="133"/>
      <c r="L491" s="131"/>
      <c r="M491" s="131"/>
      <c r="N491" s="131"/>
      <c r="O491" s="133"/>
      <c r="P491" s="133"/>
      <c r="Q491" s="133"/>
      <c r="R491" s="131"/>
      <c r="S491" s="134"/>
      <c r="T491" s="134"/>
    </row>
    <row r="492" ht="22.5" customHeight="1">
      <c r="A492" s="131"/>
      <c r="B492" s="131"/>
      <c r="C492" s="131"/>
      <c r="D492" s="131"/>
      <c r="E492" s="132"/>
      <c r="F492" s="131"/>
      <c r="G492" s="36"/>
      <c r="H492" s="131"/>
      <c r="I492" s="133"/>
      <c r="J492" s="133"/>
      <c r="K492" s="133"/>
      <c r="L492" s="131"/>
      <c r="M492" s="131"/>
      <c r="N492" s="131"/>
      <c r="O492" s="133"/>
      <c r="P492" s="133"/>
      <c r="Q492" s="133"/>
      <c r="R492" s="131"/>
      <c r="S492" s="134"/>
      <c r="T492" s="134"/>
    </row>
    <row r="493" ht="22.5" customHeight="1">
      <c r="A493" s="131"/>
      <c r="B493" s="131"/>
      <c r="C493" s="131"/>
      <c r="D493" s="131"/>
      <c r="E493" s="132"/>
      <c r="F493" s="131"/>
      <c r="G493" s="36"/>
      <c r="H493" s="131"/>
      <c r="I493" s="133"/>
      <c r="J493" s="133"/>
      <c r="K493" s="133"/>
      <c r="L493" s="131"/>
      <c r="M493" s="131"/>
      <c r="N493" s="131"/>
      <c r="O493" s="133"/>
      <c r="P493" s="133"/>
      <c r="Q493" s="133"/>
      <c r="R493" s="131"/>
      <c r="S493" s="134"/>
      <c r="T493" s="134"/>
    </row>
    <row r="494" ht="22.5" customHeight="1">
      <c r="A494" s="131"/>
      <c r="B494" s="131"/>
      <c r="C494" s="131"/>
      <c r="D494" s="131"/>
      <c r="E494" s="132"/>
      <c r="F494" s="131"/>
      <c r="G494" s="36"/>
      <c r="H494" s="131"/>
      <c r="I494" s="133"/>
      <c r="J494" s="133"/>
      <c r="K494" s="133"/>
      <c r="L494" s="131"/>
      <c r="M494" s="131"/>
      <c r="N494" s="131"/>
      <c r="O494" s="133"/>
      <c r="P494" s="133"/>
      <c r="Q494" s="133"/>
      <c r="R494" s="131"/>
      <c r="S494" s="134"/>
      <c r="T494" s="134"/>
    </row>
    <row r="495" ht="22.5" customHeight="1">
      <c r="A495" s="131"/>
      <c r="B495" s="131"/>
      <c r="C495" s="131"/>
      <c r="D495" s="131"/>
      <c r="E495" s="132"/>
      <c r="F495" s="131"/>
      <c r="G495" s="36"/>
      <c r="H495" s="131"/>
      <c r="I495" s="133"/>
      <c r="J495" s="133"/>
      <c r="K495" s="133"/>
      <c r="L495" s="131"/>
      <c r="M495" s="131"/>
      <c r="N495" s="131"/>
      <c r="O495" s="133"/>
      <c r="P495" s="133"/>
      <c r="Q495" s="133"/>
      <c r="R495" s="131"/>
      <c r="S495" s="134"/>
      <c r="T495" s="134"/>
    </row>
    <row r="496" ht="22.5" customHeight="1">
      <c r="A496" s="131"/>
      <c r="B496" s="131"/>
      <c r="C496" s="131"/>
      <c r="D496" s="131"/>
      <c r="E496" s="132"/>
      <c r="F496" s="131"/>
      <c r="G496" s="36"/>
      <c r="H496" s="131"/>
      <c r="I496" s="133"/>
      <c r="J496" s="133"/>
      <c r="K496" s="133"/>
      <c r="L496" s="131"/>
      <c r="M496" s="131"/>
      <c r="N496" s="131"/>
      <c r="O496" s="133"/>
      <c r="P496" s="133"/>
      <c r="Q496" s="133"/>
      <c r="R496" s="131"/>
      <c r="S496" s="134"/>
      <c r="T496" s="134"/>
    </row>
    <row r="497" ht="22.5" customHeight="1">
      <c r="A497" s="131"/>
      <c r="B497" s="131"/>
      <c r="C497" s="131"/>
      <c r="D497" s="131"/>
      <c r="E497" s="132"/>
      <c r="F497" s="131"/>
      <c r="G497" s="36"/>
      <c r="H497" s="131"/>
      <c r="I497" s="133"/>
      <c r="J497" s="133"/>
      <c r="K497" s="133"/>
      <c r="L497" s="131"/>
      <c r="M497" s="131"/>
      <c r="N497" s="131"/>
      <c r="O497" s="133"/>
      <c r="P497" s="133"/>
      <c r="Q497" s="133"/>
      <c r="R497" s="131"/>
      <c r="S497" s="134"/>
      <c r="T497" s="134"/>
    </row>
    <row r="498" ht="22.5" customHeight="1">
      <c r="A498" s="131"/>
      <c r="B498" s="131"/>
      <c r="C498" s="131"/>
      <c r="D498" s="131"/>
      <c r="E498" s="132"/>
      <c r="F498" s="131"/>
      <c r="G498" s="36"/>
      <c r="H498" s="131"/>
      <c r="I498" s="133"/>
      <c r="J498" s="133"/>
      <c r="K498" s="133"/>
      <c r="L498" s="131"/>
      <c r="M498" s="131"/>
      <c r="N498" s="131"/>
      <c r="O498" s="133"/>
      <c r="P498" s="133"/>
      <c r="Q498" s="133"/>
      <c r="R498" s="131"/>
      <c r="S498" s="134"/>
      <c r="T498" s="134"/>
    </row>
    <row r="499" ht="22.5" customHeight="1">
      <c r="A499" s="131"/>
      <c r="B499" s="131"/>
      <c r="C499" s="131"/>
      <c r="D499" s="131"/>
      <c r="E499" s="132"/>
      <c r="F499" s="131"/>
      <c r="G499" s="36"/>
      <c r="H499" s="131"/>
      <c r="I499" s="133"/>
      <c r="J499" s="133"/>
      <c r="K499" s="133"/>
      <c r="L499" s="131"/>
      <c r="M499" s="131"/>
      <c r="N499" s="131"/>
      <c r="O499" s="133"/>
      <c r="P499" s="133"/>
      <c r="Q499" s="133"/>
      <c r="R499" s="131"/>
      <c r="S499" s="134"/>
      <c r="T499" s="134"/>
    </row>
    <row r="500" ht="22.5" customHeight="1">
      <c r="A500" s="131"/>
      <c r="B500" s="131"/>
      <c r="C500" s="131"/>
      <c r="D500" s="131"/>
      <c r="E500" s="132"/>
      <c r="F500" s="131"/>
      <c r="G500" s="36"/>
      <c r="H500" s="131"/>
      <c r="I500" s="133"/>
      <c r="J500" s="133"/>
      <c r="K500" s="133"/>
      <c r="L500" s="131"/>
      <c r="M500" s="131"/>
      <c r="N500" s="131"/>
      <c r="O500" s="133"/>
      <c r="P500" s="133"/>
      <c r="Q500" s="133"/>
      <c r="R500" s="131"/>
      <c r="S500" s="134"/>
      <c r="T500" s="134"/>
    </row>
    <row r="501" ht="22.5" customHeight="1">
      <c r="A501" s="131"/>
      <c r="B501" s="131"/>
      <c r="C501" s="131"/>
      <c r="D501" s="131"/>
      <c r="E501" s="132"/>
      <c r="F501" s="131"/>
      <c r="G501" s="36"/>
      <c r="H501" s="131"/>
      <c r="I501" s="133"/>
      <c r="J501" s="133"/>
      <c r="K501" s="133"/>
      <c r="L501" s="131"/>
      <c r="M501" s="131"/>
      <c r="N501" s="131"/>
      <c r="O501" s="133"/>
      <c r="P501" s="133"/>
      <c r="Q501" s="133"/>
      <c r="R501" s="131"/>
      <c r="S501" s="134"/>
      <c r="T501" s="134"/>
    </row>
    <row r="502" ht="22.5" customHeight="1">
      <c r="A502" s="131"/>
      <c r="B502" s="131"/>
      <c r="C502" s="131"/>
      <c r="D502" s="131"/>
      <c r="E502" s="132"/>
      <c r="F502" s="131"/>
      <c r="G502" s="36"/>
      <c r="H502" s="131"/>
      <c r="I502" s="133"/>
      <c r="J502" s="133"/>
      <c r="K502" s="133"/>
      <c r="L502" s="131"/>
      <c r="M502" s="131"/>
      <c r="N502" s="131"/>
      <c r="O502" s="133"/>
      <c r="P502" s="133"/>
      <c r="Q502" s="133"/>
      <c r="R502" s="131"/>
      <c r="S502" s="134"/>
      <c r="T502" s="134"/>
    </row>
    <row r="503" ht="22.5" customHeight="1">
      <c r="A503" s="131"/>
      <c r="B503" s="131"/>
      <c r="C503" s="131"/>
      <c r="D503" s="131"/>
      <c r="E503" s="132"/>
      <c r="F503" s="131"/>
      <c r="G503" s="36"/>
      <c r="H503" s="131"/>
      <c r="I503" s="133"/>
      <c r="J503" s="133"/>
      <c r="K503" s="133"/>
      <c r="L503" s="131"/>
      <c r="M503" s="131"/>
      <c r="N503" s="131"/>
      <c r="O503" s="133"/>
      <c r="P503" s="133"/>
      <c r="Q503" s="133"/>
      <c r="R503" s="131"/>
      <c r="S503" s="134"/>
      <c r="T503" s="134"/>
    </row>
    <row r="504" ht="22.5" customHeight="1">
      <c r="A504" s="131"/>
      <c r="B504" s="131"/>
      <c r="C504" s="131"/>
      <c r="D504" s="131"/>
      <c r="E504" s="132"/>
      <c r="F504" s="131"/>
      <c r="G504" s="36"/>
      <c r="H504" s="131"/>
      <c r="I504" s="133"/>
      <c r="J504" s="133"/>
      <c r="K504" s="133"/>
      <c r="L504" s="131"/>
      <c r="M504" s="131"/>
      <c r="N504" s="131"/>
      <c r="O504" s="133"/>
      <c r="P504" s="133"/>
      <c r="Q504" s="133"/>
      <c r="R504" s="131"/>
      <c r="S504" s="134"/>
      <c r="T504" s="134"/>
    </row>
    <row r="505" ht="22.5" customHeight="1">
      <c r="A505" s="131"/>
      <c r="B505" s="131"/>
      <c r="C505" s="131"/>
      <c r="D505" s="131"/>
      <c r="E505" s="132"/>
      <c r="F505" s="131"/>
      <c r="G505" s="36"/>
      <c r="H505" s="131"/>
      <c r="I505" s="133"/>
      <c r="J505" s="133"/>
      <c r="K505" s="133"/>
      <c r="L505" s="131"/>
      <c r="M505" s="131"/>
      <c r="N505" s="131"/>
      <c r="O505" s="133"/>
      <c r="P505" s="133"/>
      <c r="Q505" s="133"/>
      <c r="R505" s="131"/>
      <c r="S505" s="134"/>
      <c r="T505" s="134"/>
    </row>
    <row r="506" ht="22.5" customHeight="1">
      <c r="A506" s="131"/>
      <c r="B506" s="131"/>
      <c r="C506" s="131"/>
      <c r="D506" s="131"/>
      <c r="E506" s="132"/>
      <c r="F506" s="131"/>
      <c r="G506" s="36"/>
      <c r="H506" s="131"/>
      <c r="I506" s="133"/>
      <c r="J506" s="133"/>
      <c r="K506" s="133"/>
      <c r="L506" s="131"/>
      <c r="M506" s="131"/>
      <c r="N506" s="131"/>
      <c r="O506" s="133"/>
      <c r="P506" s="133"/>
      <c r="Q506" s="133"/>
      <c r="R506" s="131"/>
      <c r="S506" s="134"/>
      <c r="T506" s="134"/>
    </row>
    <row r="507" ht="22.5" customHeight="1">
      <c r="A507" s="131"/>
      <c r="B507" s="131"/>
      <c r="C507" s="131"/>
      <c r="D507" s="131"/>
      <c r="E507" s="132"/>
      <c r="F507" s="131"/>
      <c r="G507" s="36"/>
      <c r="H507" s="131"/>
      <c r="I507" s="133"/>
      <c r="J507" s="133"/>
      <c r="K507" s="133"/>
      <c r="L507" s="131"/>
      <c r="M507" s="131"/>
      <c r="N507" s="131"/>
      <c r="O507" s="133"/>
      <c r="P507" s="133"/>
      <c r="Q507" s="133"/>
      <c r="R507" s="131"/>
      <c r="S507" s="134"/>
      <c r="T507" s="134"/>
    </row>
    <row r="508" ht="22.5" customHeight="1">
      <c r="A508" s="131"/>
      <c r="B508" s="131"/>
      <c r="C508" s="131"/>
      <c r="D508" s="131"/>
      <c r="E508" s="132"/>
      <c r="F508" s="131"/>
      <c r="G508" s="36"/>
      <c r="H508" s="131"/>
      <c r="I508" s="133"/>
      <c r="J508" s="133"/>
      <c r="K508" s="133"/>
      <c r="L508" s="131"/>
      <c r="M508" s="131"/>
      <c r="N508" s="131"/>
      <c r="O508" s="133"/>
      <c r="P508" s="133"/>
      <c r="Q508" s="133"/>
      <c r="R508" s="131"/>
      <c r="S508" s="134"/>
      <c r="T508" s="134"/>
    </row>
    <row r="509" ht="22.5" customHeight="1">
      <c r="A509" s="131"/>
      <c r="B509" s="131"/>
      <c r="C509" s="131"/>
      <c r="D509" s="131"/>
      <c r="E509" s="132"/>
      <c r="F509" s="131"/>
      <c r="G509" s="36"/>
      <c r="H509" s="131"/>
      <c r="I509" s="133"/>
      <c r="J509" s="133"/>
      <c r="K509" s="133"/>
      <c r="L509" s="131"/>
      <c r="M509" s="131"/>
      <c r="N509" s="131"/>
      <c r="O509" s="133"/>
      <c r="P509" s="133"/>
      <c r="Q509" s="133"/>
      <c r="R509" s="131"/>
      <c r="S509" s="134"/>
      <c r="T509" s="134"/>
    </row>
    <row r="510" ht="22.5" customHeight="1">
      <c r="A510" s="131"/>
      <c r="B510" s="131"/>
      <c r="C510" s="131"/>
      <c r="D510" s="131"/>
      <c r="E510" s="132"/>
      <c r="F510" s="131"/>
      <c r="G510" s="36"/>
      <c r="H510" s="131"/>
      <c r="I510" s="133"/>
      <c r="J510" s="133"/>
      <c r="K510" s="133"/>
      <c r="L510" s="131"/>
      <c r="M510" s="131"/>
      <c r="N510" s="131"/>
      <c r="O510" s="133"/>
      <c r="P510" s="133"/>
      <c r="Q510" s="133"/>
      <c r="R510" s="131"/>
      <c r="S510" s="134"/>
      <c r="T510" s="134"/>
    </row>
    <row r="511" ht="22.5" customHeight="1">
      <c r="A511" s="131"/>
      <c r="B511" s="131"/>
      <c r="C511" s="131"/>
      <c r="D511" s="131"/>
      <c r="E511" s="132"/>
      <c r="F511" s="131"/>
      <c r="G511" s="36"/>
      <c r="H511" s="131"/>
      <c r="I511" s="133"/>
      <c r="J511" s="133"/>
      <c r="K511" s="133"/>
      <c r="L511" s="131"/>
      <c r="M511" s="131"/>
      <c r="N511" s="131"/>
      <c r="O511" s="133"/>
      <c r="P511" s="133"/>
      <c r="Q511" s="133"/>
      <c r="R511" s="131"/>
      <c r="S511" s="134"/>
      <c r="T511" s="134"/>
    </row>
    <row r="512" ht="22.5" customHeight="1">
      <c r="A512" s="131"/>
      <c r="B512" s="131"/>
      <c r="C512" s="131"/>
      <c r="D512" s="131"/>
      <c r="E512" s="132"/>
      <c r="F512" s="131"/>
      <c r="G512" s="36"/>
      <c r="H512" s="131"/>
      <c r="I512" s="133"/>
      <c r="J512" s="133"/>
      <c r="K512" s="133"/>
      <c r="L512" s="131"/>
      <c r="M512" s="131"/>
      <c r="N512" s="131"/>
      <c r="O512" s="133"/>
      <c r="P512" s="133"/>
      <c r="Q512" s="133"/>
      <c r="R512" s="131"/>
      <c r="S512" s="134"/>
      <c r="T512" s="134"/>
    </row>
    <row r="513" ht="22.5" customHeight="1">
      <c r="A513" s="131"/>
      <c r="B513" s="131"/>
      <c r="C513" s="131"/>
      <c r="D513" s="131"/>
      <c r="E513" s="132"/>
      <c r="F513" s="131"/>
      <c r="G513" s="36"/>
      <c r="H513" s="131"/>
      <c r="I513" s="133"/>
      <c r="J513" s="133"/>
      <c r="K513" s="133"/>
      <c r="L513" s="131"/>
      <c r="M513" s="131"/>
      <c r="N513" s="131"/>
      <c r="O513" s="133"/>
      <c r="P513" s="133"/>
      <c r="Q513" s="133"/>
      <c r="R513" s="131"/>
      <c r="S513" s="134"/>
      <c r="T513" s="134"/>
    </row>
    <row r="514" ht="22.5" customHeight="1">
      <c r="A514" s="131"/>
      <c r="B514" s="131"/>
      <c r="C514" s="131"/>
      <c r="D514" s="131"/>
      <c r="E514" s="132"/>
      <c r="F514" s="131"/>
      <c r="G514" s="36"/>
      <c r="H514" s="131"/>
      <c r="I514" s="133"/>
      <c r="J514" s="133"/>
      <c r="K514" s="133"/>
      <c r="L514" s="131"/>
      <c r="M514" s="131"/>
      <c r="N514" s="131"/>
      <c r="O514" s="133"/>
      <c r="P514" s="133"/>
      <c r="Q514" s="133"/>
      <c r="R514" s="131"/>
      <c r="S514" s="134"/>
      <c r="T514" s="134"/>
    </row>
    <row r="515" ht="22.5" customHeight="1">
      <c r="A515" s="131"/>
      <c r="B515" s="131"/>
      <c r="C515" s="131"/>
      <c r="D515" s="131"/>
      <c r="E515" s="132"/>
      <c r="F515" s="131"/>
      <c r="G515" s="36"/>
      <c r="H515" s="131"/>
      <c r="I515" s="133"/>
      <c r="J515" s="133"/>
      <c r="K515" s="133"/>
      <c r="L515" s="131"/>
      <c r="M515" s="131"/>
      <c r="N515" s="131"/>
      <c r="O515" s="133"/>
      <c r="P515" s="133"/>
      <c r="Q515" s="133"/>
      <c r="R515" s="131"/>
      <c r="S515" s="134"/>
      <c r="T515" s="134"/>
    </row>
    <row r="516" ht="22.5" customHeight="1">
      <c r="A516" s="131"/>
      <c r="B516" s="131"/>
      <c r="C516" s="131"/>
      <c r="D516" s="131"/>
      <c r="E516" s="132"/>
      <c r="F516" s="131"/>
      <c r="G516" s="36"/>
      <c r="H516" s="131"/>
      <c r="I516" s="133"/>
      <c r="J516" s="133"/>
      <c r="K516" s="133"/>
      <c r="L516" s="131"/>
      <c r="M516" s="131"/>
      <c r="N516" s="131"/>
      <c r="O516" s="133"/>
      <c r="P516" s="133"/>
      <c r="Q516" s="133"/>
      <c r="R516" s="131"/>
      <c r="S516" s="134"/>
      <c r="T516" s="134"/>
    </row>
    <row r="517" ht="22.5" customHeight="1">
      <c r="A517" s="131"/>
      <c r="B517" s="131"/>
      <c r="C517" s="131"/>
      <c r="D517" s="131"/>
      <c r="E517" s="132"/>
      <c r="F517" s="131"/>
      <c r="G517" s="36"/>
      <c r="H517" s="131"/>
      <c r="I517" s="133"/>
      <c r="J517" s="133"/>
      <c r="K517" s="133"/>
      <c r="L517" s="131"/>
      <c r="M517" s="131"/>
      <c r="N517" s="131"/>
      <c r="O517" s="133"/>
      <c r="P517" s="133"/>
      <c r="Q517" s="133"/>
      <c r="R517" s="131"/>
      <c r="S517" s="134"/>
      <c r="T517" s="134"/>
    </row>
    <row r="518" ht="22.5" customHeight="1">
      <c r="A518" s="131"/>
      <c r="B518" s="131"/>
      <c r="C518" s="131"/>
      <c r="D518" s="131"/>
      <c r="E518" s="132"/>
      <c r="F518" s="131"/>
      <c r="G518" s="36"/>
      <c r="H518" s="131"/>
      <c r="I518" s="133"/>
      <c r="J518" s="133"/>
      <c r="K518" s="133"/>
      <c r="L518" s="131"/>
      <c r="M518" s="131"/>
      <c r="N518" s="131"/>
      <c r="O518" s="133"/>
      <c r="P518" s="133"/>
      <c r="Q518" s="133"/>
      <c r="R518" s="131"/>
      <c r="S518" s="134"/>
      <c r="T518" s="134"/>
    </row>
    <row r="519" ht="22.5" customHeight="1">
      <c r="A519" s="131"/>
      <c r="B519" s="131"/>
      <c r="C519" s="131"/>
      <c r="D519" s="131"/>
      <c r="E519" s="132"/>
      <c r="F519" s="131"/>
      <c r="G519" s="36"/>
      <c r="H519" s="131"/>
      <c r="I519" s="133"/>
      <c r="J519" s="133"/>
      <c r="K519" s="133"/>
      <c r="L519" s="131"/>
      <c r="M519" s="131"/>
      <c r="N519" s="131"/>
      <c r="O519" s="133"/>
      <c r="P519" s="133"/>
      <c r="Q519" s="133"/>
      <c r="R519" s="131"/>
      <c r="S519" s="134"/>
      <c r="T519" s="134"/>
    </row>
    <row r="520" ht="22.5" customHeight="1">
      <c r="A520" s="131"/>
      <c r="B520" s="131"/>
      <c r="C520" s="131"/>
      <c r="D520" s="131"/>
      <c r="E520" s="132"/>
      <c r="F520" s="131"/>
      <c r="G520" s="36"/>
      <c r="H520" s="131"/>
      <c r="I520" s="133"/>
      <c r="J520" s="133"/>
      <c r="K520" s="133"/>
      <c r="L520" s="131"/>
      <c r="M520" s="131"/>
      <c r="N520" s="131"/>
      <c r="O520" s="133"/>
      <c r="P520" s="133"/>
      <c r="Q520" s="133"/>
      <c r="R520" s="131"/>
      <c r="S520" s="134"/>
      <c r="T520" s="134"/>
    </row>
    <row r="521" ht="22.5" customHeight="1">
      <c r="A521" s="131"/>
      <c r="B521" s="131"/>
      <c r="C521" s="131"/>
      <c r="D521" s="131"/>
      <c r="E521" s="132"/>
      <c r="F521" s="131"/>
      <c r="G521" s="36"/>
      <c r="H521" s="131"/>
      <c r="I521" s="133"/>
      <c r="J521" s="133"/>
      <c r="K521" s="133"/>
      <c r="L521" s="131"/>
      <c r="M521" s="131"/>
      <c r="N521" s="131"/>
      <c r="O521" s="133"/>
      <c r="P521" s="133"/>
      <c r="Q521" s="133"/>
      <c r="R521" s="131"/>
      <c r="S521" s="134"/>
      <c r="T521" s="134"/>
    </row>
    <row r="522" ht="22.5" customHeight="1">
      <c r="A522" s="131"/>
      <c r="B522" s="131"/>
      <c r="C522" s="131"/>
      <c r="D522" s="131"/>
      <c r="E522" s="132"/>
      <c r="F522" s="131"/>
      <c r="G522" s="36"/>
      <c r="H522" s="131"/>
      <c r="I522" s="133"/>
      <c r="J522" s="133"/>
      <c r="K522" s="133"/>
      <c r="L522" s="131"/>
      <c r="M522" s="131"/>
      <c r="N522" s="131"/>
      <c r="O522" s="133"/>
      <c r="P522" s="133"/>
      <c r="Q522" s="133"/>
      <c r="R522" s="131"/>
      <c r="S522" s="134"/>
      <c r="T522" s="134"/>
    </row>
    <row r="523" ht="22.5" customHeight="1">
      <c r="A523" s="131"/>
      <c r="B523" s="131"/>
      <c r="C523" s="131"/>
      <c r="D523" s="131"/>
      <c r="E523" s="132"/>
      <c r="F523" s="131"/>
      <c r="G523" s="36"/>
      <c r="H523" s="131"/>
      <c r="I523" s="133"/>
      <c r="J523" s="133"/>
      <c r="K523" s="133"/>
      <c r="L523" s="131"/>
      <c r="M523" s="131"/>
      <c r="N523" s="131"/>
      <c r="O523" s="133"/>
      <c r="P523" s="133"/>
      <c r="Q523" s="133"/>
      <c r="R523" s="131"/>
      <c r="S523" s="134"/>
      <c r="T523" s="134"/>
    </row>
    <row r="524" ht="22.5" customHeight="1">
      <c r="A524" s="131"/>
      <c r="B524" s="131"/>
      <c r="C524" s="131"/>
      <c r="D524" s="131"/>
      <c r="E524" s="132"/>
      <c r="F524" s="131"/>
      <c r="G524" s="36"/>
      <c r="H524" s="131"/>
      <c r="I524" s="133"/>
      <c r="J524" s="133"/>
      <c r="K524" s="133"/>
      <c r="L524" s="131"/>
      <c r="M524" s="131"/>
      <c r="N524" s="131"/>
      <c r="O524" s="133"/>
      <c r="P524" s="133"/>
      <c r="Q524" s="133"/>
      <c r="R524" s="131"/>
      <c r="S524" s="134"/>
      <c r="T524" s="134"/>
    </row>
    <row r="525" ht="22.5" customHeight="1">
      <c r="A525" s="131"/>
      <c r="B525" s="131"/>
      <c r="C525" s="131"/>
      <c r="D525" s="131"/>
      <c r="E525" s="132"/>
      <c r="F525" s="131"/>
      <c r="G525" s="36"/>
      <c r="H525" s="131"/>
      <c r="I525" s="133"/>
      <c r="J525" s="133"/>
      <c r="K525" s="133"/>
      <c r="L525" s="131"/>
      <c r="M525" s="131"/>
      <c r="N525" s="131"/>
      <c r="O525" s="133"/>
      <c r="P525" s="133"/>
      <c r="Q525" s="133"/>
      <c r="R525" s="131"/>
      <c r="S525" s="134"/>
      <c r="T525" s="134"/>
    </row>
    <row r="526" ht="22.5" customHeight="1">
      <c r="A526" s="131"/>
      <c r="B526" s="131"/>
      <c r="C526" s="131"/>
      <c r="D526" s="131"/>
      <c r="E526" s="132"/>
      <c r="F526" s="131"/>
      <c r="G526" s="36"/>
      <c r="H526" s="131"/>
      <c r="I526" s="133"/>
      <c r="J526" s="133"/>
      <c r="K526" s="133"/>
      <c r="L526" s="131"/>
      <c r="M526" s="131"/>
      <c r="N526" s="131"/>
      <c r="O526" s="133"/>
      <c r="P526" s="133"/>
      <c r="Q526" s="133"/>
      <c r="R526" s="131"/>
      <c r="S526" s="134"/>
      <c r="T526" s="134"/>
    </row>
    <row r="527" ht="22.5" customHeight="1">
      <c r="A527" s="131"/>
      <c r="B527" s="131"/>
      <c r="C527" s="131"/>
      <c r="D527" s="131"/>
      <c r="E527" s="132"/>
      <c r="F527" s="131"/>
      <c r="G527" s="36"/>
      <c r="H527" s="131"/>
      <c r="I527" s="133"/>
      <c r="J527" s="133"/>
      <c r="K527" s="133"/>
      <c r="L527" s="131"/>
      <c r="M527" s="131"/>
      <c r="N527" s="131"/>
      <c r="O527" s="133"/>
      <c r="P527" s="133"/>
      <c r="Q527" s="133"/>
      <c r="R527" s="131"/>
      <c r="S527" s="134"/>
      <c r="T527" s="134"/>
    </row>
    <row r="528" ht="22.5" customHeight="1">
      <c r="A528" s="131"/>
      <c r="B528" s="131"/>
      <c r="C528" s="131"/>
      <c r="D528" s="131"/>
      <c r="E528" s="132"/>
      <c r="F528" s="131"/>
      <c r="G528" s="36"/>
      <c r="H528" s="131"/>
      <c r="I528" s="133"/>
      <c r="J528" s="133"/>
      <c r="K528" s="133"/>
      <c r="L528" s="131"/>
      <c r="M528" s="131"/>
      <c r="N528" s="131"/>
      <c r="O528" s="133"/>
      <c r="P528" s="133"/>
      <c r="Q528" s="133"/>
      <c r="R528" s="131"/>
      <c r="S528" s="134"/>
      <c r="T528" s="134"/>
    </row>
    <row r="529" ht="22.5" customHeight="1">
      <c r="A529" s="131"/>
      <c r="B529" s="131"/>
      <c r="C529" s="131"/>
      <c r="D529" s="131"/>
      <c r="E529" s="132"/>
      <c r="F529" s="131"/>
      <c r="G529" s="36"/>
      <c r="H529" s="131"/>
      <c r="I529" s="133"/>
      <c r="J529" s="133"/>
      <c r="K529" s="133"/>
      <c r="L529" s="131"/>
      <c r="M529" s="131"/>
      <c r="N529" s="131"/>
      <c r="O529" s="133"/>
      <c r="P529" s="133"/>
      <c r="Q529" s="133"/>
      <c r="R529" s="131"/>
      <c r="S529" s="134"/>
      <c r="T529" s="134"/>
    </row>
    <row r="530" ht="22.5" customHeight="1">
      <c r="A530" s="131"/>
      <c r="B530" s="131"/>
      <c r="C530" s="131"/>
      <c r="D530" s="131"/>
      <c r="E530" s="132"/>
      <c r="F530" s="131"/>
      <c r="G530" s="36"/>
      <c r="H530" s="131"/>
      <c r="I530" s="133"/>
      <c r="J530" s="133"/>
      <c r="K530" s="133"/>
      <c r="L530" s="131"/>
      <c r="M530" s="131"/>
      <c r="N530" s="131"/>
      <c r="O530" s="133"/>
      <c r="P530" s="133"/>
      <c r="Q530" s="133"/>
      <c r="R530" s="131"/>
      <c r="S530" s="134"/>
      <c r="T530" s="134"/>
    </row>
    <row r="531" ht="22.5" customHeight="1">
      <c r="A531" s="131"/>
      <c r="B531" s="131"/>
      <c r="C531" s="131"/>
      <c r="D531" s="131"/>
      <c r="E531" s="132"/>
      <c r="F531" s="131"/>
      <c r="G531" s="36"/>
      <c r="H531" s="131"/>
      <c r="I531" s="133"/>
      <c r="J531" s="133"/>
      <c r="K531" s="133"/>
      <c r="L531" s="131"/>
      <c r="M531" s="131"/>
      <c r="N531" s="131"/>
      <c r="O531" s="133"/>
      <c r="P531" s="133"/>
      <c r="Q531" s="133"/>
      <c r="R531" s="131"/>
      <c r="S531" s="134"/>
      <c r="T531" s="134"/>
    </row>
    <row r="532" ht="22.5" customHeight="1">
      <c r="A532" s="131"/>
      <c r="B532" s="131"/>
      <c r="C532" s="131"/>
      <c r="D532" s="131"/>
      <c r="E532" s="132"/>
      <c r="F532" s="131"/>
      <c r="G532" s="36"/>
      <c r="H532" s="131"/>
      <c r="I532" s="133"/>
      <c r="J532" s="133"/>
      <c r="K532" s="133"/>
      <c r="L532" s="131"/>
      <c r="M532" s="131"/>
      <c r="N532" s="131"/>
      <c r="O532" s="133"/>
      <c r="P532" s="133"/>
      <c r="Q532" s="133"/>
      <c r="R532" s="131"/>
      <c r="S532" s="134"/>
      <c r="T532" s="134"/>
    </row>
    <row r="533" ht="22.5" customHeight="1">
      <c r="A533" s="131"/>
      <c r="B533" s="131"/>
      <c r="C533" s="131"/>
      <c r="D533" s="131"/>
      <c r="E533" s="132"/>
      <c r="F533" s="131"/>
      <c r="G533" s="36"/>
      <c r="H533" s="131"/>
      <c r="I533" s="133"/>
      <c r="J533" s="133"/>
      <c r="K533" s="133"/>
      <c r="L533" s="131"/>
      <c r="M533" s="131"/>
      <c r="N533" s="131"/>
      <c r="O533" s="133"/>
      <c r="P533" s="133"/>
      <c r="Q533" s="133"/>
      <c r="R533" s="131"/>
      <c r="S533" s="134"/>
      <c r="T533" s="134"/>
    </row>
    <row r="534" ht="22.5" customHeight="1">
      <c r="A534" s="131"/>
      <c r="B534" s="131"/>
      <c r="C534" s="131"/>
      <c r="D534" s="131"/>
      <c r="E534" s="132"/>
      <c r="F534" s="131"/>
      <c r="G534" s="36"/>
      <c r="H534" s="131"/>
      <c r="I534" s="133"/>
      <c r="J534" s="133"/>
      <c r="K534" s="133"/>
      <c r="L534" s="131"/>
      <c r="M534" s="131"/>
      <c r="N534" s="131"/>
      <c r="O534" s="133"/>
      <c r="P534" s="133"/>
      <c r="Q534" s="133"/>
      <c r="R534" s="131"/>
      <c r="S534" s="134"/>
      <c r="T534" s="134"/>
    </row>
    <row r="535" ht="22.5" customHeight="1">
      <c r="A535" s="131"/>
      <c r="B535" s="131"/>
      <c r="C535" s="131"/>
      <c r="D535" s="131"/>
      <c r="E535" s="132"/>
      <c r="F535" s="131"/>
      <c r="G535" s="36"/>
      <c r="H535" s="131"/>
      <c r="I535" s="133"/>
      <c r="J535" s="133"/>
      <c r="K535" s="133"/>
      <c r="L535" s="131"/>
      <c r="M535" s="131"/>
      <c r="N535" s="131"/>
      <c r="O535" s="133"/>
      <c r="P535" s="133"/>
      <c r="Q535" s="133"/>
      <c r="R535" s="131"/>
      <c r="S535" s="134"/>
      <c r="T535" s="134"/>
    </row>
    <row r="536" ht="22.5" customHeight="1">
      <c r="A536" s="131"/>
      <c r="B536" s="131"/>
      <c r="C536" s="131"/>
      <c r="D536" s="131"/>
      <c r="E536" s="132"/>
      <c r="F536" s="131"/>
      <c r="G536" s="36"/>
      <c r="H536" s="131"/>
      <c r="I536" s="133"/>
      <c r="J536" s="133"/>
      <c r="K536" s="133"/>
      <c r="L536" s="131"/>
      <c r="M536" s="131"/>
      <c r="N536" s="131"/>
      <c r="O536" s="133"/>
      <c r="P536" s="133"/>
      <c r="Q536" s="133"/>
      <c r="R536" s="131"/>
      <c r="S536" s="134"/>
      <c r="T536" s="134"/>
    </row>
    <row r="537" ht="22.5" customHeight="1">
      <c r="A537" s="131"/>
      <c r="B537" s="131"/>
      <c r="C537" s="131"/>
      <c r="D537" s="131"/>
      <c r="E537" s="132"/>
      <c r="F537" s="131"/>
      <c r="G537" s="36"/>
      <c r="H537" s="131"/>
      <c r="I537" s="133"/>
      <c r="J537" s="133"/>
      <c r="K537" s="133"/>
      <c r="L537" s="131"/>
      <c r="M537" s="131"/>
      <c r="N537" s="131"/>
      <c r="O537" s="133"/>
      <c r="P537" s="133"/>
      <c r="Q537" s="133"/>
      <c r="R537" s="131"/>
      <c r="S537" s="134"/>
      <c r="T537" s="134"/>
    </row>
    <row r="538" ht="22.5" customHeight="1">
      <c r="A538" s="131"/>
      <c r="B538" s="131"/>
      <c r="C538" s="131"/>
      <c r="D538" s="131"/>
      <c r="E538" s="132"/>
      <c r="F538" s="131"/>
      <c r="G538" s="36"/>
      <c r="H538" s="131"/>
      <c r="I538" s="133"/>
      <c r="J538" s="133"/>
      <c r="K538" s="133"/>
      <c r="L538" s="131"/>
      <c r="M538" s="131"/>
      <c r="N538" s="131"/>
      <c r="O538" s="133"/>
      <c r="P538" s="133"/>
      <c r="Q538" s="133"/>
      <c r="R538" s="131"/>
      <c r="S538" s="134"/>
      <c r="T538" s="134"/>
    </row>
    <row r="539" ht="22.5" customHeight="1">
      <c r="A539" s="131"/>
      <c r="B539" s="131"/>
      <c r="C539" s="131"/>
      <c r="D539" s="131"/>
      <c r="E539" s="132"/>
      <c r="F539" s="131"/>
      <c r="G539" s="36"/>
      <c r="H539" s="131"/>
      <c r="I539" s="133"/>
      <c r="J539" s="133"/>
      <c r="K539" s="133"/>
      <c r="L539" s="131"/>
      <c r="M539" s="131"/>
      <c r="N539" s="131"/>
      <c r="O539" s="133"/>
      <c r="P539" s="133"/>
      <c r="Q539" s="133"/>
      <c r="R539" s="131"/>
      <c r="S539" s="134"/>
      <c r="T539" s="134"/>
    </row>
    <row r="540" ht="22.5" customHeight="1">
      <c r="A540" s="131"/>
      <c r="B540" s="131"/>
      <c r="C540" s="131"/>
      <c r="D540" s="131"/>
      <c r="E540" s="132"/>
      <c r="F540" s="131"/>
      <c r="G540" s="36"/>
      <c r="H540" s="131"/>
      <c r="I540" s="133"/>
      <c r="J540" s="133"/>
      <c r="K540" s="133"/>
      <c r="L540" s="131"/>
      <c r="M540" s="131"/>
      <c r="N540" s="131"/>
      <c r="O540" s="133"/>
      <c r="P540" s="133"/>
      <c r="Q540" s="133"/>
      <c r="R540" s="131"/>
      <c r="S540" s="134"/>
      <c r="T540" s="134"/>
    </row>
    <row r="541" ht="22.5" customHeight="1">
      <c r="A541" s="131"/>
      <c r="B541" s="131"/>
      <c r="C541" s="131"/>
      <c r="D541" s="131"/>
      <c r="E541" s="132"/>
      <c r="F541" s="131"/>
      <c r="G541" s="36"/>
      <c r="H541" s="131"/>
      <c r="I541" s="133"/>
      <c r="J541" s="133"/>
      <c r="K541" s="133"/>
      <c r="L541" s="131"/>
      <c r="M541" s="131"/>
      <c r="N541" s="131"/>
      <c r="O541" s="133"/>
      <c r="P541" s="133"/>
      <c r="Q541" s="133"/>
      <c r="R541" s="131"/>
      <c r="S541" s="134"/>
      <c r="T541" s="134"/>
    </row>
    <row r="542" ht="22.5" customHeight="1">
      <c r="A542" s="131"/>
      <c r="B542" s="131"/>
      <c r="C542" s="131"/>
      <c r="D542" s="131"/>
      <c r="E542" s="132"/>
      <c r="F542" s="131"/>
      <c r="G542" s="36"/>
      <c r="H542" s="131"/>
      <c r="I542" s="133"/>
      <c r="J542" s="133"/>
      <c r="K542" s="133"/>
      <c r="L542" s="131"/>
      <c r="M542" s="131"/>
      <c r="N542" s="131"/>
      <c r="O542" s="133"/>
      <c r="P542" s="133"/>
      <c r="Q542" s="133"/>
      <c r="R542" s="131"/>
      <c r="S542" s="134"/>
      <c r="T542" s="134"/>
    </row>
    <row r="543" ht="22.5" customHeight="1">
      <c r="A543" s="131"/>
      <c r="B543" s="131"/>
      <c r="C543" s="131"/>
      <c r="D543" s="131"/>
      <c r="E543" s="132"/>
      <c r="F543" s="131"/>
      <c r="G543" s="36"/>
      <c r="H543" s="131"/>
      <c r="I543" s="133"/>
      <c r="J543" s="133"/>
      <c r="K543" s="133"/>
      <c r="L543" s="131"/>
      <c r="M543" s="131"/>
      <c r="N543" s="131"/>
      <c r="O543" s="133"/>
      <c r="P543" s="133"/>
      <c r="Q543" s="133"/>
      <c r="R543" s="131"/>
      <c r="S543" s="134"/>
      <c r="T543" s="134"/>
    </row>
    <row r="544" ht="22.5" customHeight="1">
      <c r="A544" s="131"/>
      <c r="B544" s="131"/>
      <c r="C544" s="131"/>
      <c r="D544" s="131"/>
      <c r="E544" s="132"/>
      <c r="F544" s="131"/>
      <c r="G544" s="36"/>
      <c r="H544" s="131"/>
      <c r="I544" s="133"/>
      <c r="J544" s="133"/>
      <c r="K544" s="133"/>
      <c r="L544" s="131"/>
      <c r="M544" s="131"/>
      <c r="N544" s="131"/>
      <c r="O544" s="133"/>
      <c r="P544" s="133"/>
      <c r="Q544" s="133"/>
      <c r="R544" s="131"/>
      <c r="S544" s="134"/>
      <c r="T544" s="134"/>
    </row>
    <row r="545" ht="22.5" customHeight="1">
      <c r="A545" s="131"/>
      <c r="B545" s="131"/>
      <c r="C545" s="131"/>
      <c r="D545" s="131"/>
      <c r="E545" s="132"/>
      <c r="F545" s="131"/>
      <c r="G545" s="36"/>
      <c r="H545" s="131"/>
      <c r="I545" s="133"/>
      <c r="J545" s="133"/>
      <c r="K545" s="133"/>
      <c r="L545" s="131"/>
      <c r="M545" s="131"/>
      <c r="N545" s="131"/>
      <c r="O545" s="133"/>
      <c r="P545" s="133"/>
      <c r="Q545" s="133"/>
      <c r="R545" s="131"/>
      <c r="S545" s="134"/>
      <c r="T545" s="134"/>
    </row>
    <row r="546" ht="22.5" customHeight="1">
      <c r="A546" s="131"/>
      <c r="B546" s="131"/>
      <c r="C546" s="131"/>
      <c r="D546" s="131"/>
      <c r="E546" s="132"/>
      <c r="F546" s="131"/>
      <c r="G546" s="36"/>
      <c r="H546" s="131"/>
      <c r="I546" s="133"/>
      <c r="J546" s="133"/>
      <c r="K546" s="133"/>
      <c r="L546" s="131"/>
      <c r="M546" s="131"/>
      <c r="N546" s="131"/>
      <c r="O546" s="133"/>
      <c r="P546" s="133"/>
      <c r="Q546" s="133"/>
      <c r="R546" s="131"/>
      <c r="S546" s="134"/>
      <c r="T546" s="134"/>
    </row>
    <row r="547" ht="22.5" customHeight="1">
      <c r="A547" s="131"/>
      <c r="B547" s="131"/>
      <c r="C547" s="131"/>
      <c r="D547" s="131"/>
      <c r="E547" s="132"/>
      <c r="F547" s="131"/>
      <c r="G547" s="36"/>
      <c r="H547" s="131"/>
      <c r="I547" s="133"/>
      <c r="J547" s="133"/>
      <c r="K547" s="133"/>
      <c r="L547" s="131"/>
      <c r="M547" s="131"/>
      <c r="N547" s="131"/>
      <c r="O547" s="133"/>
      <c r="P547" s="133"/>
      <c r="Q547" s="133"/>
      <c r="R547" s="131"/>
      <c r="S547" s="134"/>
      <c r="T547" s="134"/>
    </row>
    <row r="548" ht="22.5" customHeight="1">
      <c r="A548" s="131"/>
      <c r="B548" s="131"/>
      <c r="C548" s="131"/>
      <c r="D548" s="131"/>
      <c r="E548" s="132"/>
      <c r="F548" s="131"/>
      <c r="G548" s="36"/>
      <c r="H548" s="131"/>
      <c r="I548" s="133"/>
      <c r="J548" s="133"/>
      <c r="K548" s="133"/>
      <c r="L548" s="131"/>
      <c r="M548" s="131"/>
      <c r="N548" s="131"/>
      <c r="O548" s="133"/>
      <c r="P548" s="133"/>
      <c r="Q548" s="133"/>
      <c r="R548" s="131"/>
      <c r="S548" s="134"/>
      <c r="T548" s="134"/>
    </row>
    <row r="549" ht="22.5" customHeight="1">
      <c r="A549" s="131"/>
      <c r="B549" s="131"/>
      <c r="C549" s="131"/>
      <c r="D549" s="131"/>
      <c r="E549" s="132"/>
      <c r="F549" s="131"/>
      <c r="G549" s="36"/>
      <c r="H549" s="131"/>
      <c r="I549" s="133"/>
      <c r="J549" s="133"/>
      <c r="K549" s="133"/>
      <c r="L549" s="131"/>
      <c r="M549" s="131"/>
      <c r="N549" s="131"/>
      <c r="O549" s="133"/>
      <c r="P549" s="133"/>
      <c r="Q549" s="133"/>
      <c r="R549" s="131"/>
      <c r="S549" s="134"/>
      <c r="T549" s="134"/>
    </row>
    <row r="550" ht="22.5" customHeight="1">
      <c r="A550" s="131"/>
      <c r="B550" s="131"/>
      <c r="C550" s="131"/>
      <c r="D550" s="131"/>
      <c r="E550" s="132"/>
      <c r="F550" s="131"/>
      <c r="G550" s="36"/>
      <c r="H550" s="131"/>
      <c r="I550" s="133"/>
      <c r="J550" s="133"/>
      <c r="K550" s="133"/>
      <c r="L550" s="131"/>
      <c r="M550" s="131"/>
      <c r="N550" s="131"/>
      <c r="O550" s="133"/>
      <c r="P550" s="133"/>
      <c r="Q550" s="133"/>
      <c r="R550" s="131"/>
      <c r="S550" s="134"/>
      <c r="T550" s="134"/>
    </row>
    <row r="551" ht="22.5" customHeight="1">
      <c r="A551" s="131"/>
      <c r="B551" s="131"/>
      <c r="C551" s="131"/>
      <c r="D551" s="131"/>
      <c r="E551" s="132"/>
      <c r="F551" s="131"/>
      <c r="G551" s="36"/>
      <c r="H551" s="131"/>
      <c r="I551" s="133"/>
      <c r="J551" s="133"/>
      <c r="K551" s="133"/>
      <c r="L551" s="131"/>
      <c r="M551" s="131"/>
      <c r="N551" s="131"/>
      <c r="O551" s="133"/>
      <c r="P551" s="133"/>
      <c r="Q551" s="133"/>
      <c r="R551" s="131"/>
      <c r="S551" s="134"/>
      <c r="T551" s="134"/>
    </row>
    <row r="552" ht="22.5" customHeight="1">
      <c r="A552" s="131"/>
      <c r="B552" s="131"/>
      <c r="C552" s="131"/>
      <c r="D552" s="131"/>
      <c r="E552" s="132"/>
      <c r="F552" s="131"/>
      <c r="G552" s="36"/>
      <c r="H552" s="131"/>
      <c r="I552" s="133"/>
      <c r="J552" s="133"/>
      <c r="K552" s="133"/>
      <c r="L552" s="131"/>
      <c r="M552" s="131"/>
      <c r="N552" s="131"/>
      <c r="O552" s="133"/>
      <c r="P552" s="133"/>
      <c r="Q552" s="133"/>
      <c r="R552" s="131"/>
      <c r="S552" s="134"/>
      <c r="T552" s="134"/>
    </row>
    <row r="553" ht="22.5" customHeight="1">
      <c r="A553" s="131"/>
      <c r="B553" s="131"/>
      <c r="C553" s="131"/>
      <c r="D553" s="131"/>
      <c r="E553" s="132"/>
      <c r="F553" s="131"/>
      <c r="G553" s="36"/>
      <c r="H553" s="131"/>
      <c r="I553" s="133"/>
      <c r="J553" s="133"/>
      <c r="K553" s="133"/>
      <c r="L553" s="131"/>
      <c r="M553" s="131"/>
      <c r="N553" s="131"/>
      <c r="O553" s="133"/>
      <c r="P553" s="133"/>
      <c r="Q553" s="133"/>
      <c r="R553" s="131"/>
      <c r="S553" s="134"/>
      <c r="T553" s="134"/>
    </row>
    <row r="554" ht="22.5" customHeight="1">
      <c r="A554" s="131"/>
      <c r="B554" s="131"/>
      <c r="C554" s="131"/>
      <c r="D554" s="131"/>
      <c r="E554" s="132"/>
      <c r="F554" s="131"/>
      <c r="G554" s="36"/>
      <c r="H554" s="131"/>
      <c r="I554" s="133"/>
      <c r="J554" s="133"/>
      <c r="K554" s="133"/>
      <c r="L554" s="131"/>
      <c r="M554" s="131"/>
      <c r="N554" s="131"/>
      <c r="O554" s="133"/>
      <c r="P554" s="133"/>
      <c r="Q554" s="133"/>
      <c r="R554" s="131"/>
      <c r="S554" s="134"/>
      <c r="T554" s="134"/>
    </row>
    <row r="555" ht="22.5" customHeight="1">
      <c r="A555" s="131"/>
      <c r="B555" s="131"/>
      <c r="C555" s="131"/>
      <c r="D555" s="131"/>
      <c r="E555" s="132"/>
      <c r="F555" s="131"/>
      <c r="G555" s="36"/>
      <c r="H555" s="131"/>
      <c r="I555" s="133"/>
      <c r="J555" s="133"/>
      <c r="K555" s="133"/>
      <c r="L555" s="131"/>
      <c r="M555" s="131"/>
      <c r="N555" s="131"/>
      <c r="O555" s="133"/>
      <c r="P555" s="133"/>
      <c r="Q555" s="133"/>
      <c r="R555" s="131"/>
      <c r="S555" s="134"/>
      <c r="T555" s="134"/>
    </row>
    <row r="556" ht="22.5" customHeight="1">
      <c r="A556" s="131"/>
      <c r="B556" s="131"/>
      <c r="C556" s="131"/>
      <c r="D556" s="131"/>
      <c r="E556" s="132"/>
      <c r="F556" s="131"/>
      <c r="G556" s="36"/>
      <c r="H556" s="131"/>
      <c r="I556" s="133"/>
      <c r="J556" s="133"/>
      <c r="K556" s="133"/>
      <c r="L556" s="131"/>
      <c r="M556" s="131"/>
      <c r="N556" s="131"/>
      <c r="O556" s="133"/>
      <c r="P556" s="133"/>
      <c r="Q556" s="133"/>
      <c r="R556" s="131"/>
      <c r="S556" s="134"/>
      <c r="T556" s="134"/>
    </row>
    <row r="557" ht="22.5" customHeight="1">
      <c r="A557" s="131"/>
      <c r="B557" s="131"/>
      <c r="C557" s="131"/>
      <c r="D557" s="131"/>
      <c r="E557" s="132"/>
      <c r="F557" s="131"/>
      <c r="G557" s="36"/>
      <c r="H557" s="131"/>
      <c r="I557" s="133"/>
      <c r="J557" s="133"/>
      <c r="K557" s="133"/>
      <c r="L557" s="131"/>
      <c r="M557" s="131"/>
      <c r="N557" s="131"/>
      <c r="O557" s="133"/>
      <c r="P557" s="133"/>
      <c r="Q557" s="133"/>
      <c r="R557" s="131"/>
      <c r="S557" s="134"/>
      <c r="T557" s="134"/>
    </row>
    <row r="558" ht="22.5" customHeight="1">
      <c r="A558" s="131"/>
      <c r="B558" s="131"/>
      <c r="C558" s="131"/>
      <c r="D558" s="131"/>
      <c r="E558" s="132"/>
      <c r="F558" s="131"/>
      <c r="G558" s="36"/>
      <c r="H558" s="131"/>
      <c r="I558" s="133"/>
      <c r="J558" s="133"/>
      <c r="K558" s="133"/>
      <c r="L558" s="131"/>
      <c r="M558" s="131"/>
      <c r="N558" s="131"/>
      <c r="O558" s="133"/>
      <c r="P558" s="133"/>
      <c r="Q558" s="133"/>
      <c r="R558" s="131"/>
      <c r="S558" s="134"/>
      <c r="T558" s="134"/>
    </row>
    <row r="559" ht="22.5" customHeight="1">
      <c r="A559" s="131"/>
      <c r="B559" s="131"/>
      <c r="C559" s="131"/>
      <c r="D559" s="131"/>
      <c r="E559" s="132"/>
      <c r="F559" s="131"/>
      <c r="G559" s="36"/>
      <c r="H559" s="131"/>
      <c r="I559" s="133"/>
      <c r="J559" s="133"/>
      <c r="K559" s="133"/>
      <c r="L559" s="131"/>
      <c r="M559" s="131"/>
      <c r="N559" s="131"/>
      <c r="O559" s="133"/>
      <c r="P559" s="133"/>
      <c r="Q559" s="133"/>
      <c r="R559" s="131"/>
      <c r="S559" s="134"/>
      <c r="T559" s="134"/>
    </row>
    <row r="560" ht="22.5" customHeight="1">
      <c r="A560" s="131"/>
      <c r="B560" s="131"/>
      <c r="C560" s="131"/>
      <c r="D560" s="131"/>
      <c r="E560" s="132"/>
      <c r="F560" s="131"/>
      <c r="G560" s="36"/>
      <c r="H560" s="131"/>
      <c r="I560" s="133"/>
      <c r="J560" s="133"/>
      <c r="K560" s="133"/>
      <c r="L560" s="131"/>
      <c r="M560" s="131"/>
      <c r="N560" s="131"/>
      <c r="O560" s="133"/>
      <c r="P560" s="133"/>
      <c r="Q560" s="133"/>
      <c r="R560" s="131"/>
      <c r="S560" s="134"/>
      <c r="T560" s="134"/>
    </row>
    <row r="561" ht="22.5" customHeight="1">
      <c r="A561" s="131"/>
      <c r="B561" s="131"/>
      <c r="C561" s="131"/>
      <c r="D561" s="131"/>
      <c r="E561" s="132"/>
      <c r="F561" s="131"/>
      <c r="G561" s="36"/>
      <c r="H561" s="131"/>
      <c r="I561" s="133"/>
      <c r="J561" s="133"/>
      <c r="K561" s="133"/>
      <c r="L561" s="131"/>
      <c r="M561" s="131"/>
      <c r="N561" s="131"/>
      <c r="O561" s="133"/>
      <c r="P561" s="133"/>
      <c r="Q561" s="133"/>
      <c r="R561" s="131"/>
      <c r="S561" s="134"/>
      <c r="T561" s="134"/>
    </row>
    <row r="562" ht="22.5" customHeight="1">
      <c r="A562" s="131"/>
      <c r="B562" s="131"/>
      <c r="C562" s="131"/>
      <c r="D562" s="131"/>
      <c r="E562" s="132"/>
      <c r="F562" s="131"/>
      <c r="G562" s="36"/>
      <c r="H562" s="131"/>
      <c r="I562" s="133"/>
      <c r="J562" s="133"/>
      <c r="K562" s="133"/>
      <c r="L562" s="131"/>
      <c r="M562" s="131"/>
      <c r="N562" s="131"/>
      <c r="O562" s="133"/>
      <c r="P562" s="133"/>
      <c r="Q562" s="133"/>
      <c r="R562" s="131"/>
      <c r="S562" s="134"/>
      <c r="T562" s="134"/>
    </row>
    <row r="563" ht="22.5" customHeight="1">
      <c r="A563" s="131"/>
      <c r="B563" s="131"/>
      <c r="C563" s="131"/>
      <c r="D563" s="131"/>
      <c r="E563" s="132"/>
      <c r="F563" s="131"/>
      <c r="G563" s="36"/>
      <c r="H563" s="131"/>
      <c r="I563" s="133"/>
      <c r="J563" s="133"/>
      <c r="K563" s="133"/>
      <c r="L563" s="131"/>
      <c r="M563" s="131"/>
      <c r="N563" s="131"/>
      <c r="O563" s="133"/>
      <c r="P563" s="133"/>
      <c r="Q563" s="133"/>
      <c r="R563" s="131"/>
      <c r="S563" s="134"/>
      <c r="T563" s="134"/>
    </row>
    <row r="564" ht="22.5" customHeight="1">
      <c r="A564" s="131"/>
      <c r="B564" s="131"/>
      <c r="C564" s="131"/>
      <c r="D564" s="131"/>
      <c r="E564" s="132"/>
      <c r="F564" s="131"/>
      <c r="G564" s="36"/>
      <c r="H564" s="131"/>
      <c r="I564" s="133"/>
      <c r="J564" s="133"/>
      <c r="K564" s="133"/>
      <c r="L564" s="131"/>
      <c r="M564" s="131"/>
      <c r="N564" s="131"/>
      <c r="O564" s="133"/>
      <c r="P564" s="133"/>
      <c r="Q564" s="133"/>
      <c r="R564" s="131"/>
      <c r="S564" s="134"/>
      <c r="T564" s="134"/>
    </row>
    <row r="565" ht="22.5" customHeight="1">
      <c r="A565" s="131"/>
      <c r="B565" s="131"/>
      <c r="C565" s="131"/>
      <c r="D565" s="131"/>
      <c r="E565" s="132"/>
      <c r="F565" s="131"/>
      <c r="G565" s="36"/>
      <c r="H565" s="131"/>
      <c r="I565" s="133"/>
      <c r="J565" s="133"/>
      <c r="K565" s="133"/>
      <c r="L565" s="131"/>
      <c r="M565" s="131"/>
      <c r="N565" s="131"/>
      <c r="O565" s="133"/>
      <c r="P565" s="133"/>
      <c r="Q565" s="133"/>
      <c r="R565" s="131"/>
      <c r="S565" s="134"/>
      <c r="T565" s="134"/>
    </row>
    <row r="566" ht="22.5" customHeight="1">
      <c r="A566" s="131"/>
      <c r="B566" s="131"/>
      <c r="C566" s="131"/>
      <c r="D566" s="131"/>
      <c r="E566" s="132"/>
      <c r="F566" s="131"/>
      <c r="G566" s="36"/>
      <c r="H566" s="131"/>
      <c r="I566" s="133"/>
      <c r="J566" s="133"/>
      <c r="K566" s="133"/>
      <c r="L566" s="131"/>
      <c r="M566" s="131"/>
      <c r="N566" s="131"/>
      <c r="O566" s="133"/>
      <c r="P566" s="133"/>
      <c r="Q566" s="133"/>
      <c r="R566" s="131"/>
      <c r="S566" s="134"/>
      <c r="T566" s="134"/>
    </row>
    <row r="567" ht="22.5" customHeight="1">
      <c r="A567" s="131"/>
      <c r="B567" s="131"/>
      <c r="C567" s="131"/>
      <c r="D567" s="131"/>
      <c r="E567" s="132"/>
      <c r="F567" s="131"/>
      <c r="G567" s="36"/>
      <c r="H567" s="131"/>
      <c r="I567" s="133"/>
      <c r="J567" s="133"/>
      <c r="K567" s="133"/>
      <c r="L567" s="131"/>
      <c r="M567" s="131"/>
      <c r="N567" s="131"/>
      <c r="O567" s="133"/>
      <c r="P567" s="133"/>
      <c r="Q567" s="133"/>
      <c r="R567" s="131"/>
      <c r="S567" s="134"/>
      <c r="T567" s="134"/>
    </row>
    <row r="568" ht="22.5" customHeight="1">
      <c r="A568" s="131"/>
      <c r="B568" s="131"/>
      <c r="C568" s="131"/>
      <c r="D568" s="131"/>
      <c r="E568" s="132"/>
      <c r="F568" s="131"/>
      <c r="G568" s="36"/>
      <c r="H568" s="131"/>
      <c r="I568" s="133"/>
      <c r="J568" s="133"/>
      <c r="K568" s="133"/>
      <c r="L568" s="131"/>
      <c r="M568" s="131"/>
      <c r="N568" s="131"/>
      <c r="O568" s="133"/>
      <c r="P568" s="133"/>
      <c r="Q568" s="133"/>
      <c r="R568" s="131"/>
      <c r="S568" s="134"/>
      <c r="T568" s="134"/>
    </row>
    <row r="569" ht="22.5" customHeight="1">
      <c r="A569" s="131"/>
      <c r="B569" s="131"/>
      <c r="C569" s="131"/>
      <c r="D569" s="131"/>
      <c r="E569" s="132"/>
      <c r="F569" s="131"/>
      <c r="G569" s="36"/>
      <c r="H569" s="131"/>
      <c r="I569" s="133"/>
      <c r="J569" s="133"/>
      <c r="K569" s="133"/>
      <c r="L569" s="131"/>
      <c r="M569" s="131"/>
      <c r="N569" s="131"/>
      <c r="O569" s="133"/>
      <c r="P569" s="133"/>
      <c r="Q569" s="133"/>
      <c r="R569" s="131"/>
      <c r="S569" s="134"/>
      <c r="T569" s="134"/>
    </row>
    <row r="570" ht="22.5" customHeight="1">
      <c r="A570" s="131"/>
      <c r="B570" s="131"/>
      <c r="C570" s="131"/>
      <c r="D570" s="131"/>
      <c r="E570" s="132"/>
      <c r="F570" s="131"/>
      <c r="G570" s="36"/>
      <c r="H570" s="131"/>
      <c r="I570" s="133"/>
      <c r="J570" s="133"/>
      <c r="K570" s="133"/>
      <c r="L570" s="131"/>
      <c r="M570" s="131"/>
      <c r="N570" s="131"/>
      <c r="O570" s="133"/>
      <c r="P570" s="133"/>
      <c r="Q570" s="133"/>
      <c r="R570" s="131"/>
      <c r="S570" s="134"/>
      <c r="T570" s="134"/>
    </row>
    <row r="571" ht="22.5" customHeight="1">
      <c r="A571" s="131"/>
      <c r="B571" s="131"/>
      <c r="C571" s="131"/>
      <c r="D571" s="131"/>
      <c r="E571" s="132"/>
      <c r="F571" s="131"/>
      <c r="G571" s="36"/>
      <c r="H571" s="131"/>
      <c r="I571" s="133"/>
      <c r="J571" s="133"/>
      <c r="K571" s="133"/>
      <c r="L571" s="131"/>
      <c r="M571" s="131"/>
      <c r="N571" s="131"/>
      <c r="O571" s="133"/>
      <c r="P571" s="133"/>
      <c r="Q571" s="133"/>
      <c r="R571" s="131"/>
      <c r="S571" s="134"/>
      <c r="T571" s="134"/>
    </row>
    <row r="572" ht="22.5" customHeight="1">
      <c r="A572" s="131"/>
      <c r="B572" s="131"/>
      <c r="C572" s="131"/>
      <c r="D572" s="131"/>
      <c r="E572" s="132"/>
      <c r="F572" s="131"/>
      <c r="G572" s="36"/>
      <c r="H572" s="131"/>
      <c r="I572" s="133"/>
      <c r="J572" s="133"/>
      <c r="K572" s="133"/>
      <c r="L572" s="131"/>
      <c r="M572" s="131"/>
      <c r="N572" s="131"/>
      <c r="O572" s="133"/>
      <c r="P572" s="133"/>
      <c r="Q572" s="133"/>
      <c r="R572" s="131"/>
      <c r="S572" s="134"/>
      <c r="T572" s="134"/>
    </row>
    <row r="573" ht="22.5" customHeight="1">
      <c r="A573" s="131"/>
      <c r="B573" s="131"/>
      <c r="C573" s="131"/>
      <c r="D573" s="131"/>
      <c r="E573" s="132"/>
      <c r="F573" s="131"/>
      <c r="G573" s="36"/>
      <c r="H573" s="131"/>
      <c r="I573" s="133"/>
      <c r="J573" s="133"/>
      <c r="K573" s="133"/>
      <c r="L573" s="131"/>
      <c r="M573" s="131"/>
      <c r="N573" s="131"/>
      <c r="O573" s="133"/>
      <c r="P573" s="133"/>
      <c r="Q573" s="133"/>
      <c r="R573" s="131"/>
      <c r="S573" s="134"/>
      <c r="T573" s="134"/>
    </row>
    <row r="574" ht="22.5" customHeight="1">
      <c r="A574" s="131"/>
      <c r="B574" s="131"/>
      <c r="C574" s="131"/>
      <c r="D574" s="131"/>
      <c r="E574" s="132"/>
      <c r="F574" s="131"/>
      <c r="G574" s="36"/>
      <c r="H574" s="131"/>
      <c r="I574" s="133"/>
      <c r="J574" s="133"/>
      <c r="K574" s="133"/>
      <c r="L574" s="131"/>
      <c r="M574" s="131"/>
      <c r="N574" s="131"/>
      <c r="O574" s="133"/>
      <c r="P574" s="133"/>
      <c r="Q574" s="133"/>
      <c r="R574" s="131"/>
      <c r="S574" s="134"/>
      <c r="T574" s="134"/>
    </row>
    <row r="575" ht="22.5" customHeight="1">
      <c r="A575" s="131"/>
      <c r="B575" s="131"/>
      <c r="C575" s="131"/>
      <c r="D575" s="131"/>
      <c r="E575" s="132"/>
      <c r="F575" s="131"/>
      <c r="G575" s="36"/>
      <c r="H575" s="131"/>
      <c r="I575" s="133"/>
      <c r="J575" s="133"/>
      <c r="K575" s="133"/>
      <c r="L575" s="131"/>
      <c r="M575" s="131"/>
      <c r="N575" s="131"/>
      <c r="O575" s="133"/>
      <c r="P575" s="133"/>
      <c r="Q575" s="133"/>
      <c r="R575" s="131"/>
      <c r="S575" s="134"/>
      <c r="T575" s="134"/>
    </row>
    <row r="576" ht="22.5" customHeight="1">
      <c r="A576" s="131"/>
      <c r="B576" s="131"/>
      <c r="C576" s="131"/>
      <c r="D576" s="131"/>
      <c r="E576" s="132"/>
      <c r="F576" s="131"/>
      <c r="G576" s="36"/>
      <c r="H576" s="131"/>
      <c r="I576" s="133"/>
      <c r="J576" s="133"/>
      <c r="K576" s="133"/>
      <c r="L576" s="131"/>
      <c r="M576" s="131"/>
      <c r="N576" s="131"/>
      <c r="O576" s="133"/>
      <c r="P576" s="133"/>
      <c r="Q576" s="133"/>
      <c r="R576" s="131"/>
      <c r="S576" s="134"/>
      <c r="T576" s="134"/>
    </row>
    <row r="577" ht="22.5" customHeight="1">
      <c r="A577" s="131"/>
      <c r="B577" s="131"/>
      <c r="C577" s="131"/>
      <c r="D577" s="131"/>
      <c r="E577" s="132"/>
      <c r="F577" s="131"/>
      <c r="G577" s="36"/>
      <c r="H577" s="131"/>
      <c r="I577" s="133"/>
      <c r="J577" s="133"/>
      <c r="K577" s="133"/>
      <c r="L577" s="131"/>
      <c r="M577" s="131"/>
      <c r="N577" s="131"/>
      <c r="O577" s="133"/>
      <c r="P577" s="133"/>
      <c r="Q577" s="133"/>
      <c r="R577" s="131"/>
      <c r="S577" s="134"/>
      <c r="T577" s="134"/>
    </row>
    <row r="578" ht="22.5" customHeight="1">
      <c r="A578" s="131"/>
      <c r="B578" s="131"/>
      <c r="C578" s="131"/>
      <c r="D578" s="131"/>
      <c r="E578" s="132"/>
      <c r="F578" s="131"/>
      <c r="G578" s="36"/>
      <c r="H578" s="131"/>
      <c r="I578" s="133"/>
      <c r="J578" s="133"/>
      <c r="K578" s="133"/>
      <c r="L578" s="131"/>
      <c r="M578" s="131"/>
      <c r="N578" s="131"/>
      <c r="O578" s="133"/>
      <c r="P578" s="133"/>
      <c r="Q578" s="133"/>
      <c r="R578" s="131"/>
      <c r="S578" s="134"/>
      <c r="T578" s="134"/>
    </row>
    <row r="579" ht="22.5" customHeight="1">
      <c r="A579" s="131"/>
      <c r="B579" s="131"/>
      <c r="C579" s="131"/>
      <c r="D579" s="131"/>
      <c r="E579" s="132"/>
      <c r="F579" s="131"/>
      <c r="G579" s="36"/>
      <c r="H579" s="131"/>
      <c r="I579" s="133"/>
      <c r="J579" s="133"/>
      <c r="K579" s="133"/>
      <c r="L579" s="131"/>
      <c r="M579" s="131"/>
      <c r="N579" s="131"/>
      <c r="O579" s="133"/>
      <c r="P579" s="133"/>
      <c r="Q579" s="133"/>
      <c r="R579" s="131"/>
      <c r="S579" s="134"/>
      <c r="T579" s="134"/>
    </row>
    <row r="580" ht="22.5" customHeight="1">
      <c r="A580" s="131"/>
      <c r="B580" s="131"/>
      <c r="C580" s="131"/>
      <c r="D580" s="131"/>
      <c r="E580" s="132"/>
      <c r="F580" s="131"/>
      <c r="G580" s="36"/>
      <c r="H580" s="131"/>
      <c r="I580" s="133"/>
      <c r="J580" s="133"/>
      <c r="K580" s="133"/>
      <c r="L580" s="131"/>
      <c r="M580" s="131"/>
      <c r="N580" s="131"/>
      <c r="O580" s="133"/>
      <c r="P580" s="133"/>
      <c r="Q580" s="133"/>
      <c r="R580" s="131"/>
      <c r="S580" s="134"/>
      <c r="T580" s="134"/>
    </row>
    <row r="581" ht="22.5" customHeight="1">
      <c r="A581" s="131"/>
      <c r="B581" s="131"/>
      <c r="C581" s="131"/>
      <c r="D581" s="131"/>
      <c r="E581" s="132"/>
      <c r="F581" s="131"/>
      <c r="G581" s="36"/>
      <c r="H581" s="131"/>
      <c r="I581" s="133"/>
      <c r="J581" s="133"/>
      <c r="K581" s="133"/>
      <c r="L581" s="131"/>
      <c r="M581" s="131"/>
      <c r="N581" s="131"/>
      <c r="O581" s="133"/>
      <c r="P581" s="133"/>
      <c r="Q581" s="133"/>
      <c r="R581" s="131"/>
      <c r="S581" s="134"/>
      <c r="T581" s="134"/>
    </row>
    <row r="582" ht="22.5" customHeight="1">
      <c r="A582" s="131"/>
      <c r="B582" s="131"/>
      <c r="C582" s="131"/>
      <c r="D582" s="131"/>
      <c r="E582" s="132"/>
      <c r="F582" s="131"/>
      <c r="G582" s="36"/>
      <c r="H582" s="131"/>
      <c r="I582" s="133"/>
      <c r="J582" s="133"/>
      <c r="K582" s="133"/>
      <c r="L582" s="131"/>
      <c r="M582" s="131"/>
      <c r="N582" s="131"/>
      <c r="O582" s="133"/>
      <c r="P582" s="133"/>
      <c r="Q582" s="133"/>
      <c r="R582" s="131"/>
      <c r="S582" s="134"/>
      <c r="T582" s="134"/>
    </row>
    <row r="583" ht="22.5" customHeight="1">
      <c r="A583" s="131"/>
      <c r="B583" s="131"/>
      <c r="C583" s="131"/>
      <c r="D583" s="131"/>
      <c r="E583" s="132"/>
      <c r="F583" s="131"/>
      <c r="G583" s="36"/>
      <c r="H583" s="131"/>
      <c r="I583" s="133"/>
      <c r="J583" s="133"/>
      <c r="K583" s="133"/>
      <c r="L583" s="131"/>
      <c r="M583" s="131"/>
      <c r="N583" s="131"/>
      <c r="O583" s="133"/>
      <c r="P583" s="133"/>
      <c r="Q583" s="133"/>
      <c r="R583" s="131"/>
      <c r="S583" s="134"/>
      <c r="T583" s="134"/>
    </row>
    <row r="584" ht="22.5" customHeight="1">
      <c r="A584" s="131"/>
      <c r="B584" s="131"/>
      <c r="C584" s="131"/>
      <c r="D584" s="131"/>
      <c r="E584" s="132"/>
      <c r="F584" s="131"/>
      <c r="G584" s="36"/>
      <c r="H584" s="131"/>
      <c r="I584" s="133"/>
      <c r="J584" s="133"/>
      <c r="K584" s="133"/>
      <c r="L584" s="131"/>
      <c r="M584" s="131"/>
      <c r="N584" s="131"/>
      <c r="O584" s="133"/>
      <c r="P584" s="133"/>
      <c r="Q584" s="133"/>
      <c r="R584" s="131"/>
      <c r="S584" s="134"/>
      <c r="T584" s="134"/>
    </row>
    <row r="585" ht="22.5" customHeight="1">
      <c r="A585" s="131"/>
      <c r="B585" s="131"/>
      <c r="C585" s="131"/>
      <c r="D585" s="131"/>
      <c r="E585" s="132"/>
      <c r="F585" s="131"/>
      <c r="G585" s="36"/>
      <c r="H585" s="131"/>
      <c r="I585" s="133"/>
      <c r="J585" s="133"/>
      <c r="K585" s="133"/>
      <c r="L585" s="131"/>
      <c r="M585" s="131"/>
      <c r="N585" s="131"/>
      <c r="O585" s="133"/>
      <c r="P585" s="133"/>
      <c r="Q585" s="133"/>
      <c r="R585" s="131"/>
      <c r="S585" s="134"/>
      <c r="T585" s="134"/>
    </row>
    <row r="586" ht="22.5" customHeight="1">
      <c r="A586" s="131"/>
      <c r="B586" s="131"/>
      <c r="C586" s="131"/>
      <c r="D586" s="131"/>
      <c r="E586" s="132"/>
      <c r="F586" s="131"/>
      <c r="G586" s="36"/>
      <c r="H586" s="131"/>
      <c r="I586" s="133"/>
      <c r="J586" s="133"/>
      <c r="K586" s="133"/>
      <c r="L586" s="131"/>
      <c r="M586" s="131"/>
      <c r="N586" s="131"/>
      <c r="O586" s="133"/>
      <c r="P586" s="133"/>
      <c r="Q586" s="133"/>
      <c r="R586" s="131"/>
      <c r="S586" s="134"/>
      <c r="T586" s="134"/>
    </row>
    <row r="587" ht="22.5" customHeight="1">
      <c r="A587" s="131"/>
      <c r="B587" s="131"/>
      <c r="C587" s="131"/>
      <c r="D587" s="131"/>
      <c r="E587" s="132"/>
      <c r="F587" s="131"/>
      <c r="G587" s="36"/>
      <c r="H587" s="131"/>
      <c r="I587" s="133"/>
      <c r="J587" s="133"/>
      <c r="K587" s="133"/>
      <c r="L587" s="131"/>
      <c r="M587" s="131"/>
      <c r="N587" s="131"/>
      <c r="O587" s="133"/>
      <c r="P587" s="133"/>
      <c r="Q587" s="133"/>
      <c r="R587" s="131"/>
      <c r="S587" s="134"/>
      <c r="T587" s="134"/>
    </row>
    <row r="588" ht="22.5" customHeight="1">
      <c r="A588" s="131"/>
      <c r="B588" s="131"/>
      <c r="C588" s="131"/>
      <c r="D588" s="131"/>
      <c r="E588" s="132"/>
      <c r="F588" s="131"/>
      <c r="G588" s="36"/>
      <c r="H588" s="131"/>
      <c r="I588" s="133"/>
      <c r="J588" s="133"/>
      <c r="K588" s="133"/>
      <c r="L588" s="131"/>
      <c r="M588" s="131"/>
      <c r="N588" s="131"/>
      <c r="O588" s="133"/>
      <c r="P588" s="133"/>
      <c r="Q588" s="133"/>
      <c r="R588" s="131"/>
      <c r="S588" s="134"/>
      <c r="T588" s="134"/>
    </row>
    <row r="589" ht="22.5" customHeight="1">
      <c r="A589" s="131"/>
      <c r="B589" s="131"/>
      <c r="C589" s="131"/>
      <c r="D589" s="131"/>
      <c r="E589" s="132"/>
      <c r="F589" s="131"/>
      <c r="G589" s="36"/>
      <c r="H589" s="131"/>
      <c r="I589" s="133"/>
      <c r="J589" s="133"/>
      <c r="K589" s="133"/>
      <c r="L589" s="131"/>
      <c r="M589" s="131"/>
      <c r="N589" s="131"/>
      <c r="O589" s="133"/>
      <c r="P589" s="133"/>
      <c r="Q589" s="133"/>
      <c r="R589" s="131"/>
      <c r="S589" s="134"/>
      <c r="T589" s="134"/>
    </row>
    <row r="590" ht="22.5" customHeight="1">
      <c r="A590" s="131"/>
      <c r="B590" s="131"/>
      <c r="C590" s="131"/>
      <c r="D590" s="131"/>
      <c r="E590" s="132"/>
      <c r="F590" s="131"/>
      <c r="G590" s="36"/>
      <c r="H590" s="131"/>
      <c r="I590" s="133"/>
      <c r="J590" s="133"/>
      <c r="K590" s="133"/>
      <c r="L590" s="131"/>
      <c r="M590" s="131"/>
      <c r="N590" s="131"/>
      <c r="O590" s="133"/>
      <c r="P590" s="133"/>
      <c r="Q590" s="133"/>
      <c r="R590" s="131"/>
      <c r="S590" s="134"/>
      <c r="T590" s="134"/>
    </row>
    <row r="591" ht="22.5" customHeight="1">
      <c r="A591" s="131"/>
      <c r="B591" s="131"/>
      <c r="C591" s="131"/>
      <c r="D591" s="131"/>
      <c r="E591" s="132"/>
      <c r="F591" s="131"/>
      <c r="G591" s="36"/>
      <c r="H591" s="131"/>
      <c r="I591" s="133"/>
      <c r="J591" s="133"/>
      <c r="K591" s="133"/>
      <c r="L591" s="131"/>
      <c r="M591" s="131"/>
      <c r="N591" s="131"/>
      <c r="O591" s="133"/>
      <c r="P591" s="133"/>
      <c r="Q591" s="133"/>
      <c r="R591" s="131"/>
      <c r="S591" s="134"/>
      <c r="T591" s="134"/>
    </row>
    <row r="592" ht="22.5" customHeight="1">
      <c r="A592" s="131"/>
      <c r="B592" s="131"/>
      <c r="C592" s="131"/>
      <c r="D592" s="131"/>
      <c r="E592" s="132"/>
      <c r="F592" s="131"/>
      <c r="G592" s="36"/>
      <c r="H592" s="131"/>
      <c r="I592" s="133"/>
      <c r="J592" s="133"/>
      <c r="K592" s="133"/>
      <c r="L592" s="131"/>
      <c r="M592" s="131"/>
      <c r="N592" s="131"/>
      <c r="O592" s="133"/>
      <c r="P592" s="133"/>
      <c r="Q592" s="133"/>
      <c r="R592" s="131"/>
      <c r="S592" s="134"/>
      <c r="T592" s="134"/>
    </row>
    <row r="593" ht="22.5" customHeight="1">
      <c r="A593" s="131"/>
      <c r="B593" s="131"/>
      <c r="C593" s="131"/>
      <c r="D593" s="131"/>
      <c r="E593" s="132"/>
      <c r="F593" s="131"/>
      <c r="G593" s="36"/>
      <c r="H593" s="131"/>
      <c r="I593" s="133"/>
      <c r="J593" s="133"/>
      <c r="K593" s="133"/>
      <c r="L593" s="131"/>
      <c r="M593" s="131"/>
      <c r="N593" s="131"/>
      <c r="O593" s="133"/>
      <c r="P593" s="133"/>
      <c r="Q593" s="133"/>
      <c r="R593" s="131"/>
      <c r="S593" s="134"/>
      <c r="T593" s="134"/>
    </row>
    <row r="594" ht="22.5" customHeight="1">
      <c r="A594" s="131"/>
      <c r="B594" s="131"/>
      <c r="C594" s="131"/>
      <c r="D594" s="131"/>
      <c r="E594" s="132"/>
      <c r="F594" s="131"/>
      <c r="G594" s="36"/>
      <c r="H594" s="131"/>
      <c r="I594" s="133"/>
      <c r="J594" s="133"/>
      <c r="K594" s="133"/>
      <c r="L594" s="131"/>
      <c r="M594" s="131"/>
      <c r="N594" s="131"/>
      <c r="O594" s="133"/>
      <c r="P594" s="133"/>
      <c r="Q594" s="133"/>
      <c r="R594" s="131"/>
      <c r="S594" s="134"/>
      <c r="T594" s="134"/>
    </row>
    <row r="595" ht="22.5" customHeight="1">
      <c r="A595" s="131"/>
      <c r="B595" s="131"/>
      <c r="C595" s="131"/>
      <c r="D595" s="131"/>
      <c r="E595" s="132"/>
      <c r="F595" s="131"/>
      <c r="G595" s="36"/>
      <c r="H595" s="131"/>
      <c r="I595" s="133"/>
      <c r="J595" s="133"/>
      <c r="K595" s="133"/>
      <c r="L595" s="131"/>
      <c r="M595" s="131"/>
      <c r="N595" s="131"/>
      <c r="O595" s="133"/>
      <c r="P595" s="133"/>
      <c r="Q595" s="133"/>
      <c r="R595" s="131"/>
      <c r="S595" s="134"/>
      <c r="T595" s="134"/>
    </row>
    <row r="596" ht="22.5" customHeight="1">
      <c r="A596" s="131"/>
      <c r="B596" s="131"/>
      <c r="C596" s="131"/>
      <c r="D596" s="131"/>
      <c r="E596" s="132"/>
      <c r="F596" s="131"/>
      <c r="G596" s="36"/>
      <c r="H596" s="131"/>
      <c r="I596" s="133"/>
      <c r="J596" s="133"/>
      <c r="K596" s="133"/>
      <c r="L596" s="131"/>
      <c r="M596" s="131"/>
      <c r="N596" s="131"/>
      <c r="O596" s="133"/>
      <c r="P596" s="133"/>
      <c r="Q596" s="133"/>
      <c r="R596" s="131"/>
      <c r="S596" s="134"/>
      <c r="T596" s="134"/>
    </row>
    <row r="597" ht="22.5" customHeight="1">
      <c r="A597" s="131"/>
      <c r="B597" s="131"/>
      <c r="C597" s="131"/>
      <c r="D597" s="131"/>
      <c r="E597" s="132"/>
      <c r="F597" s="131"/>
      <c r="G597" s="36"/>
      <c r="H597" s="131"/>
      <c r="I597" s="133"/>
      <c r="J597" s="133"/>
      <c r="K597" s="133"/>
      <c r="L597" s="131"/>
      <c r="M597" s="131"/>
      <c r="N597" s="131"/>
      <c r="O597" s="133"/>
      <c r="P597" s="133"/>
      <c r="Q597" s="133"/>
      <c r="R597" s="131"/>
      <c r="S597" s="134"/>
      <c r="T597" s="134"/>
    </row>
    <row r="598" ht="22.5" customHeight="1">
      <c r="A598" s="131"/>
      <c r="B598" s="131"/>
      <c r="C598" s="131"/>
      <c r="D598" s="131"/>
      <c r="E598" s="132"/>
      <c r="F598" s="131"/>
      <c r="G598" s="36"/>
      <c r="H598" s="131"/>
      <c r="I598" s="133"/>
      <c r="J598" s="133"/>
      <c r="K598" s="133"/>
      <c r="L598" s="131"/>
      <c r="M598" s="131"/>
      <c r="N598" s="131"/>
      <c r="O598" s="133"/>
      <c r="P598" s="133"/>
      <c r="Q598" s="133"/>
      <c r="R598" s="131"/>
      <c r="S598" s="134"/>
      <c r="T598" s="134"/>
    </row>
    <row r="599" ht="22.5" customHeight="1">
      <c r="A599" s="131"/>
      <c r="B599" s="131"/>
      <c r="C599" s="131"/>
      <c r="D599" s="131"/>
      <c r="E599" s="132"/>
      <c r="F599" s="131"/>
      <c r="G599" s="36"/>
      <c r="H599" s="131"/>
      <c r="I599" s="133"/>
      <c r="J599" s="133"/>
      <c r="K599" s="133"/>
      <c r="L599" s="131"/>
      <c r="M599" s="131"/>
      <c r="N599" s="131"/>
      <c r="O599" s="133"/>
      <c r="P599" s="133"/>
      <c r="Q599" s="133"/>
      <c r="R599" s="131"/>
      <c r="S599" s="134"/>
      <c r="T599" s="134"/>
    </row>
    <row r="600" ht="22.5" customHeight="1">
      <c r="A600" s="131"/>
      <c r="B600" s="131"/>
      <c r="C600" s="131"/>
      <c r="D600" s="131"/>
      <c r="E600" s="132"/>
      <c r="F600" s="131"/>
      <c r="G600" s="36"/>
      <c r="H600" s="131"/>
      <c r="I600" s="133"/>
      <c r="J600" s="133"/>
      <c r="K600" s="133"/>
      <c r="L600" s="131"/>
      <c r="M600" s="131"/>
      <c r="N600" s="131"/>
      <c r="O600" s="133"/>
      <c r="P600" s="133"/>
      <c r="Q600" s="133"/>
      <c r="R600" s="131"/>
      <c r="S600" s="134"/>
      <c r="T600" s="134"/>
    </row>
    <row r="601" ht="22.5" customHeight="1">
      <c r="A601" s="131"/>
      <c r="B601" s="131"/>
      <c r="C601" s="131"/>
      <c r="D601" s="131"/>
      <c r="E601" s="132"/>
      <c r="F601" s="131"/>
      <c r="G601" s="36"/>
      <c r="H601" s="131"/>
      <c r="I601" s="133"/>
      <c r="J601" s="133"/>
      <c r="K601" s="133"/>
      <c r="L601" s="131"/>
      <c r="M601" s="131"/>
      <c r="N601" s="131"/>
      <c r="O601" s="133"/>
      <c r="P601" s="133"/>
      <c r="Q601" s="133"/>
      <c r="R601" s="131"/>
      <c r="S601" s="134"/>
      <c r="T601" s="134"/>
    </row>
    <row r="602" ht="22.5" customHeight="1">
      <c r="A602" s="131"/>
      <c r="B602" s="131"/>
      <c r="C602" s="131"/>
      <c r="D602" s="131"/>
      <c r="E602" s="132"/>
      <c r="F602" s="131"/>
      <c r="G602" s="36"/>
      <c r="H602" s="131"/>
      <c r="I602" s="133"/>
      <c r="J602" s="133"/>
      <c r="K602" s="133"/>
      <c r="L602" s="131"/>
      <c r="M602" s="131"/>
      <c r="N602" s="131"/>
      <c r="O602" s="133"/>
      <c r="P602" s="133"/>
      <c r="Q602" s="133"/>
      <c r="R602" s="131"/>
      <c r="S602" s="134"/>
      <c r="T602" s="134"/>
    </row>
    <row r="603" ht="22.5" customHeight="1">
      <c r="A603" s="131"/>
      <c r="B603" s="131"/>
      <c r="C603" s="131"/>
      <c r="D603" s="131"/>
      <c r="E603" s="132"/>
      <c r="F603" s="131"/>
      <c r="G603" s="36"/>
      <c r="H603" s="131"/>
      <c r="I603" s="133"/>
      <c r="J603" s="133"/>
      <c r="K603" s="133"/>
      <c r="L603" s="131"/>
      <c r="M603" s="131"/>
      <c r="N603" s="131"/>
      <c r="O603" s="133"/>
      <c r="P603" s="133"/>
      <c r="Q603" s="133"/>
      <c r="R603" s="131"/>
      <c r="S603" s="134"/>
      <c r="T603" s="134"/>
    </row>
    <row r="604" ht="22.5" customHeight="1">
      <c r="A604" s="131"/>
      <c r="B604" s="131"/>
      <c r="C604" s="131"/>
      <c r="D604" s="131"/>
      <c r="E604" s="132"/>
      <c r="F604" s="131"/>
      <c r="G604" s="36"/>
      <c r="H604" s="131"/>
      <c r="I604" s="133"/>
      <c r="J604" s="133"/>
      <c r="K604" s="133"/>
      <c r="L604" s="131"/>
      <c r="M604" s="131"/>
      <c r="N604" s="131"/>
      <c r="O604" s="133"/>
      <c r="P604" s="133"/>
      <c r="Q604" s="133"/>
      <c r="R604" s="131"/>
      <c r="S604" s="134"/>
      <c r="T604" s="134"/>
    </row>
    <row r="605" ht="22.5" customHeight="1">
      <c r="A605" s="131"/>
      <c r="B605" s="131"/>
      <c r="C605" s="131"/>
      <c r="D605" s="131"/>
      <c r="E605" s="132"/>
      <c r="F605" s="131"/>
      <c r="G605" s="36"/>
      <c r="H605" s="131"/>
      <c r="I605" s="133"/>
      <c r="J605" s="133"/>
      <c r="K605" s="133"/>
      <c r="L605" s="131"/>
      <c r="M605" s="131"/>
      <c r="N605" s="131"/>
      <c r="O605" s="133"/>
      <c r="P605" s="133"/>
      <c r="Q605" s="133"/>
      <c r="R605" s="131"/>
      <c r="S605" s="134"/>
      <c r="T605" s="134"/>
    </row>
    <row r="606" ht="22.5" customHeight="1">
      <c r="A606" s="131"/>
      <c r="B606" s="131"/>
      <c r="C606" s="131"/>
      <c r="D606" s="131"/>
      <c r="E606" s="132"/>
      <c r="F606" s="131"/>
      <c r="G606" s="36"/>
      <c r="H606" s="131"/>
      <c r="I606" s="133"/>
      <c r="J606" s="133"/>
      <c r="K606" s="133"/>
      <c r="L606" s="131"/>
      <c r="M606" s="131"/>
      <c r="N606" s="131"/>
      <c r="O606" s="133"/>
      <c r="P606" s="133"/>
      <c r="Q606" s="133"/>
      <c r="R606" s="131"/>
      <c r="S606" s="134"/>
      <c r="T606" s="134"/>
    </row>
    <row r="607" ht="22.5" customHeight="1">
      <c r="A607" s="131"/>
      <c r="B607" s="131"/>
      <c r="C607" s="131"/>
      <c r="D607" s="131"/>
      <c r="E607" s="132"/>
      <c r="F607" s="131"/>
      <c r="G607" s="36"/>
      <c r="H607" s="131"/>
      <c r="I607" s="133"/>
      <c r="J607" s="133"/>
      <c r="K607" s="133"/>
      <c r="L607" s="131"/>
      <c r="M607" s="131"/>
      <c r="N607" s="131"/>
      <c r="O607" s="133"/>
      <c r="P607" s="133"/>
      <c r="Q607" s="133"/>
      <c r="R607" s="131"/>
      <c r="S607" s="134"/>
      <c r="T607" s="134"/>
    </row>
    <row r="608" ht="22.5" customHeight="1">
      <c r="A608" s="131"/>
      <c r="B608" s="131"/>
      <c r="C608" s="131"/>
      <c r="D608" s="131"/>
      <c r="E608" s="132"/>
      <c r="F608" s="131"/>
      <c r="G608" s="36"/>
      <c r="H608" s="131"/>
      <c r="I608" s="133"/>
      <c r="J608" s="133"/>
      <c r="K608" s="133"/>
      <c r="L608" s="131"/>
      <c r="M608" s="131"/>
      <c r="N608" s="131"/>
      <c r="O608" s="133"/>
      <c r="P608" s="133"/>
      <c r="Q608" s="133"/>
      <c r="R608" s="131"/>
      <c r="S608" s="134"/>
      <c r="T608" s="134"/>
    </row>
    <row r="609" ht="22.5" customHeight="1">
      <c r="A609" s="131"/>
      <c r="B609" s="131"/>
      <c r="C609" s="131"/>
      <c r="D609" s="131"/>
      <c r="E609" s="132"/>
      <c r="F609" s="131"/>
      <c r="G609" s="36"/>
      <c r="H609" s="131"/>
      <c r="I609" s="133"/>
      <c r="J609" s="133"/>
      <c r="K609" s="133"/>
      <c r="L609" s="131"/>
      <c r="M609" s="131"/>
      <c r="N609" s="131"/>
      <c r="O609" s="133"/>
      <c r="P609" s="133"/>
      <c r="Q609" s="133"/>
      <c r="R609" s="131"/>
      <c r="S609" s="134"/>
      <c r="T609" s="134"/>
    </row>
    <row r="610" ht="22.5" customHeight="1">
      <c r="A610" s="131"/>
      <c r="B610" s="131"/>
      <c r="C610" s="131"/>
      <c r="D610" s="131"/>
      <c r="E610" s="132"/>
      <c r="F610" s="131"/>
      <c r="G610" s="36"/>
      <c r="H610" s="131"/>
      <c r="I610" s="133"/>
      <c r="J610" s="133"/>
      <c r="K610" s="133"/>
      <c r="L610" s="131"/>
      <c r="M610" s="131"/>
      <c r="N610" s="131"/>
      <c r="O610" s="133"/>
      <c r="P610" s="133"/>
      <c r="Q610" s="133"/>
      <c r="R610" s="131"/>
      <c r="S610" s="134"/>
      <c r="T610" s="134"/>
    </row>
    <row r="611" ht="22.5" customHeight="1">
      <c r="A611" s="131"/>
      <c r="B611" s="131"/>
      <c r="C611" s="131"/>
      <c r="D611" s="131"/>
      <c r="E611" s="132"/>
      <c r="F611" s="131"/>
      <c r="G611" s="36"/>
      <c r="H611" s="131"/>
      <c r="I611" s="133"/>
      <c r="J611" s="133"/>
      <c r="K611" s="133"/>
      <c r="L611" s="131"/>
      <c r="M611" s="131"/>
      <c r="N611" s="131"/>
      <c r="O611" s="133"/>
      <c r="P611" s="133"/>
      <c r="Q611" s="133"/>
      <c r="R611" s="131"/>
      <c r="S611" s="134"/>
      <c r="T611" s="134"/>
    </row>
    <row r="612" ht="22.5" customHeight="1">
      <c r="A612" s="131"/>
      <c r="B612" s="131"/>
      <c r="C612" s="131"/>
      <c r="D612" s="131"/>
      <c r="E612" s="132"/>
      <c r="F612" s="131"/>
      <c r="G612" s="36"/>
      <c r="H612" s="131"/>
      <c r="I612" s="133"/>
      <c r="J612" s="133"/>
      <c r="K612" s="133"/>
      <c r="L612" s="131"/>
      <c r="M612" s="131"/>
      <c r="N612" s="131"/>
      <c r="O612" s="133"/>
      <c r="P612" s="133"/>
      <c r="Q612" s="133"/>
      <c r="R612" s="131"/>
      <c r="S612" s="134"/>
      <c r="T612" s="134"/>
    </row>
    <row r="613" ht="22.5" customHeight="1">
      <c r="A613" s="131"/>
      <c r="B613" s="131"/>
      <c r="C613" s="131"/>
      <c r="D613" s="131"/>
      <c r="E613" s="132"/>
      <c r="F613" s="131"/>
      <c r="G613" s="36"/>
      <c r="H613" s="131"/>
      <c r="I613" s="133"/>
      <c r="J613" s="133"/>
      <c r="K613" s="133"/>
      <c r="L613" s="131"/>
      <c r="M613" s="131"/>
      <c r="N613" s="131"/>
      <c r="O613" s="133"/>
      <c r="P613" s="133"/>
      <c r="Q613" s="133"/>
      <c r="R613" s="131"/>
      <c r="S613" s="134"/>
      <c r="T613" s="134"/>
    </row>
    <row r="614" ht="22.5" customHeight="1">
      <c r="A614" s="131"/>
      <c r="B614" s="131"/>
      <c r="C614" s="131"/>
      <c r="D614" s="131"/>
      <c r="E614" s="132"/>
      <c r="F614" s="131"/>
      <c r="G614" s="36"/>
      <c r="H614" s="131"/>
      <c r="I614" s="133"/>
      <c r="J614" s="133"/>
      <c r="K614" s="133"/>
      <c r="L614" s="131"/>
      <c r="M614" s="131"/>
      <c r="N614" s="131"/>
      <c r="O614" s="133"/>
      <c r="P614" s="133"/>
      <c r="Q614" s="133"/>
      <c r="R614" s="131"/>
      <c r="S614" s="134"/>
      <c r="T614" s="134"/>
    </row>
    <row r="615" ht="22.5" customHeight="1">
      <c r="A615" s="131"/>
      <c r="B615" s="131"/>
      <c r="C615" s="131"/>
      <c r="D615" s="131"/>
      <c r="E615" s="132"/>
      <c r="F615" s="131"/>
      <c r="G615" s="36"/>
      <c r="H615" s="131"/>
      <c r="I615" s="133"/>
      <c r="J615" s="133"/>
      <c r="K615" s="133"/>
      <c r="L615" s="131"/>
      <c r="M615" s="131"/>
      <c r="N615" s="131"/>
      <c r="O615" s="133"/>
      <c r="P615" s="133"/>
      <c r="Q615" s="133"/>
      <c r="R615" s="131"/>
      <c r="S615" s="134"/>
      <c r="T615" s="134"/>
    </row>
    <row r="616" ht="22.5" customHeight="1">
      <c r="A616" s="131"/>
      <c r="B616" s="131"/>
      <c r="C616" s="131"/>
      <c r="D616" s="131"/>
      <c r="E616" s="132"/>
      <c r="F616" s="131"/>
      <c r="G616" s="36"/>
      <c r="H616" s="131"/>
      <c r="I616" s="133"/>
      <c r="J616" s="133"/>
      <c r="K616" s="133"/>
      <c r="L616" s="131"/>
      <c r="M616" s="131"/>
      <c r="N616" s="131"/>
      <c r="O616" s="133"/>
      <c r="P616" s="133"/>
      <c r="Q616" s="133"/>
      <c r="R616" s="131"/>
      <c r="S616" s="134"/>
      <c r="T616" s="134"/>
    </row>
    <row r="617" ht="22.5" customHeight="1">
      <c r="A617" s="131"/>
      <c r="B617" s="131"/>
      <c r="C617" s="131"/>
      <c r="D617" s="131"/>
      <c r="E617" s="132"/>
      <c r="F617" s="131"/>
      <c r="G617" s="36"/>
      <c r="H617" s="131"/>
      <c r="I617" s="133"/>
      <c r="J617" s="133"/>
      <c r="K617" s="133"/>
      <c r="L617" s="131"/>
      <c r="M617" s="131"/>
      <c r="N617" s="131"/>
      <c r="O617" s="133"/>
      <c r="P617" s="133"/>
      <c r="Q617" s="133"/>
      <c r="R617" s="131"/>
      <c r="S617" s="134"/>
      <c r="T617" s="134"/>
    </row>
    <row r="618" ht="22.5" customHeight="1">
      <c r="A618" s="131"/>
      <c r="B618" s="131"/>
      <c r="C618" s="131"/>
      <c r="D618" s="131"/>
      <c r="E618" s="132"/>
      <c r="F618" s="131"/>
      <c r="G618" s="36"/>
      <c r="H618" s="131"/>
      <c r="I618" s="133"/>
      <c r="J618" s="133"/>
      <c r="K618" s="133"/>
      <c r="L618" s="131"/>
      <c r="M618" s="131"/>
      <c r="N618" s="131"/>
      <c r="O618" s="133"/>
      <c r="P618" s="133"/>
      <c r="Q618" s="133"/>
      <c r="R618" s="131"/>
      <c r="S618" s="134"/>
      <c r="T618" s="134"/>
    </row>
    <row r="619" ht="22.5" customHeight="1">
      <c r="A619" s="131"/>
      <c r="B619" s="131"/>
      <c r="C619" s="131"/>
      <c r="D619" s="131"/>
      <c r="E619" s="132"/>
      <c r="F619" s="131"/>
      <c r="G619" s="36"/>
      <c r="H619" s="131"/>
      <c r="I619" s="133"/>
      <c r="J619" s="133"/>
      <c r="K619" s="133"/>
      <c r="L619" s="131"/>
      <c r="M619" s="131"/>
      <c r="N619" s="131"/>
      <c r="O619" s="133"/>
      <c r="P619" s="133"/>
      <c r="Q619" s="133"/>
      <c r="R619" s="131"/>
      <c r="S619" s="134"/>
      <c r="T619" s="134"/>
    </row>
    <row r="620" ht="22.5" customHeight="1">
      <c r="A620" s="131"/>
      <c r="B620" s="131"/>
      <c r="C620" s="131"/>
      <c r="D620" s="131"/>
      <c r="E620" s="132"/>
      <c r="F620" s="131"/>
      <c r="G620" s="36"/>
      <c r="H620" s="131"/>
      <c r="I620" s="133"/>
      <c r="J620" s="133"/>
      <c r="K620" s="133"/>
      <c r="L620" s="131"/>
      <c r="M620" s="131"/>
      <c r="N620" s="131"/>
      <c r="O620" s="133"/>
      <c r="P620" s="133"/>
      <c r="Q620" s="133"/>
      <c r="R620" s="131"/>
      <c r="S620" s="134"/>
      <c r="T620" s="134"/>
    </row>
    <row r="621" ht="22.5" customHeight="1">
      <c r="A621" s="131"/>
      <c r="B621" s="131"/>
      <c r="C621" s="131"/>
      <c r="D621" s="131"/>
      <c r="E621" s="132"/>
      <c r="F621" s="131"/>
      <c r="G621" s="36"/>
      <c r="H621" s="131"/>
      <c r="I621" s="133"/>
      <c r="J621" s="133"/>
      <c r="K621" s="133"/>
      <c r="L621" s="131"/>
      <c r="M621" s="131"/>
      <c r="N621" s="131"/>
      <c r="O621" s="133"/>
      <c r="P621" s="133"/>
      <c r="Q621" s="133"/>
      <c r="R621" s="131"/>
      <c r="S621" s="134"/>
      <c r="T621" s="134"/>
    </row>
    <row r="622" ht="22.5" customHeight="1">
      <c r="A622" s="131"/>
      <c r="B622" s="131"/>
      <c r="C622" s="131"/>
      <c r="D622" s="131"/>
      <c r="E622" s="132"/>
      <c r="F622" s="131"/>
      <c r="G622" s="36"/>
      <c r="H622" s="131"/>
      <c r="I622" s="133"/>
      <c r="J622" s="133"/>
      <c r="K622" s="133"/>
      <c r="L622" s="131"/>
      <c r="M622" s="131"/>
      <c r="N622" s="131"/>
      <c r="O622" s="133"/>
      <c r="P622" s="133"/>
      <c r="Q622" s="133"/>
      <c r="R622" s="131"/>
      <c r="S622" s="134"/>
      <c r="T622" s="134"/>
    </row>
    <row r="623" ht="22.5" customHeight="1">
      <c r="A623" s="131"/>
      <c r="B623" s="131"/>
      <c r="C623" s="131"/>
      <c r="D623" s="131"/>
      <c r="E623" s="132"/>
      <c r="F623" s="131"/>
      <c r="G623" s="36"/>
      <c r="H623" s="131"/>
      <c r="I623" s="133"/>
      <c r="J623" s="133"/>
      <c r="K623" s="133"/>
      <c r="L623" s="131"/>
      <c r="M623" s="131"/>
      <c r="N623" s="131"/>
      <c r="O623" s="133"/>
      <c r="P623" s="133"/>
      <c r="Q623" s="133"/>
      <c r="R623" s="131"/>
      <c r="S623" s="134"/>
      <c r="T623" s="134"/>
    </row>
    <row r="624" ht="22.5" customHeight="1">
      <c r="A624" s="131"/>
      <c r="B624" s="131"/>
      <c r="C624" s="131"/>
      <c r="D624" s="131"/>
      <c r="E624" s="132"/>
      <c r="F624" s="131"/>
      <c r="G624" s="36"/>
      <c r="H624" s="131"/>
      <c r="I624" s="133"/>
      <c r="J624" s="133"/>
      <c r="K624" s="133"/>
      <c r="L624" s="131"/>
      <c r="M624" s="131"/>
      <c r="N624" s="131"/>
      <c r="O624" s="133"/>
      <c r="P624" s="133"/>
      <c r="Q624" s="133"/>
      <c r="R624" s="131"/>
      <c r="S624" s="134"/>
      <c r="T624" s="134"/>
    </row>
    <row r="625" ht="22.5" customHeight="1">
      <c r="A625" s="131"/>
      <c r="B625" s="131"/>
      <c r="C625" s="131"/>
      <c r="D625" s="131"/>
      <c r="E625" s="132"/>
      <c r="F625" s="131"/>
      <c r="G625" s="36"/>
      <c r="H625" s="131"/>
      <c r="I625" s="133"/>
      <c r="J625" s="133"/>
      <c r="K625" s="133"/>
      <c r="L625" s="131"/>
      <c r="M625" s="131"/>
      <c r="N625" s="131"/>
      <c r="O625" s="133"/>
      <c r="P625" s="133"/>
      <c r="Q625" s="133"/>
      <c r="R625" s="131"/>
      <c r="S625" s="134"/>
      <c r="T625" s="134"/>
    </row>
    <row r="626" ht="22.5" customHeight="1">
      <c r="A626" s="131"/>
      <c r="B626" s="131"/>
      <c r="C626" s="131"/>
      <c r="D626" s="131"/>
      <c r="E626" s="132"/>
      <c r="F626" s="131"/>
      <c r="G626" s="36"/>
      <c r="H626" s="131"/>
      <c r="I626" s="133"/>
      <c r="J626" s="133"/>
      <c r="K626" s="133"/>
      <c r="L626" s="131"/>
      <c r="M626" s="131"/>
      <c r="N626" s="131"/>
      <c r="O626" s="133"/>
      <c r="P626" s="133"/>
      <c r="Q626" s="133"/>
      <c r="R626" s="131"/>
      <c r="S626" s="134"/>
      <c r="T626" s="134"/>
    </row>
    <row r="627" ht="22.5" customHeight="1">
      <c r="A627" s="131"/>
      <c r="B627" s="131"/>
      <c r="C627" s="131"/>
      <c r="D627" s="131"/>
      <c r="E627" s="132"/>
      <c r="F627" s="131"/>
      <c r="G627" s="36"/>
      <c r="H627" s="131"/>
      <c r="I627" s="133"/>
      <c r="J627" s="133"/>
      <c r="K627" s="133"/>
      <c r="L627" s="131"/>
      <c r="M627" s="131"/>
      <c r="N627" s="131"/>
      <c r="O627" s="133"/>
      <c r="P627" s="133"/>
      <c r="Q627" s="133"/>
      <c r="R627" s="131"/>
      <c r="S627" s="134"/>
      <c r="T627" s="134"/>
    </row>
    <row r="628" ht="22.5" customHeight="1">
      <c r="A628" s="131"/>
      <c r="B628" s="131"/>
      <c r="C628" s="131"/>
      <c r="D628" s="131"/>
      <c r="E628" s="132"/>
      <c r="F628" s="131"/>
      <c r="G628" s="36"/>
      <c r="H628" s="131"/>
      <c r="I628" s="133"/>
      <c r="J628" s="133"/>
      <c r="K628" s="133"/>
      <c r="L628" s="131"/>
      <c r="M628" s="131"/>
      <c r="N628" s="131"/>
      <c r="O628" s="133"/>
      <c r="P628" s="133"/>
      <c r="Q628" s="133"/>
      <c r="R628" s="131"/>
      <c r="S628" s="134"/>
      <c r="T628" s="134"/>
    </row>
    <row r="629" ht="22.5" customHeight="1">
      <c r="A629" s="131"/>
      <c r="B629" s="131"/>
      <c r="C629" s="131"/>
      <c r="D629" s="131"/>
      <c r="E629" s="132"/>
      <c r="F629" s="131"/>
      <c r="G629" s="36"/>
      <c r="H629" s="131"/>
      <c r="I629" s="133"/>
      <c r="J629" s="133"/>
      <c r="K629" s="133"/>
      <c r="L629" s="131"/>
      <c r="M629" s="131"/>
      <c r="N629" s="131"/>
      <c r="O629" s="133"/>
      <c r="P629" s="133"/>
      <c r="Q629" s="133"/>
      <c r="R629" s="131"/>
      <c r="S629" s="134"/>
      <c r="T629" s="134"/>
    </row>
    <row r="630" ht="22.5" customHeight="1">
      <c r="A630" s="131"/>
      <c r="B630" s="131"/>
      <c r="C630" s="131"/>
      <c r="D630" s="131"/>
      <c r="E630" s="132"/>
      <c r="F630" s="131"/>
      <c r="G630" s="36"/>
      <c r="H630" s="131"/>
      <c r="I630" s="133"/>
      <c r="J630" s="133"/>
      <c r="K630" s="133"/>
      <c r="L630" s="131"/>
      <c r="M630" s="131"/>
      <c r="N630" s="131"/>
      <c r="O630" s="133"/>
      <c r="P630" s="133"/>
      <c r="Q630" s="133"/>
      <c r="R630" s="131"/>
      <c r="S630" s="134"/>
      <c r="T630" s="134"/>
    </row>
    <row r="631" ht="22.5" customHeight="1">
      <c r="A631" s="131"/>
      <c r="B631" s="131"/>
      <c r="C631" s="131"/>
      <c r="D631" s="131"/>
      <c r="E631" s="132"/>
      <c r="F631" s="131"/>
      <c r="G631" s="36"/>
      <c r="H631" s="131"/>
      <c r="I631" s="133"/>
      <c r="J631" s="133"/>
      <c r="K631" s="133"/>
      <c r="L631" s="131"/>
      <c r="M631" s="131"/>
      <c r="N631" s="131"/>
      <c r="O631" s="133"/>
      <c r="P631" s="133"/>
      <c r="Q631" s="133"/>
      <c r="R631" s="131"/>
      <c r="S631" s="134"/>
      <c r="T631" s="134"/>
    </row>
    <row r="632" ht="22.5" customHeight="1">
      <c r="A632" s="131"/>
      <c r="B632" s="131"/>
      <c r="C632" s="131"/>
      <c r="D632" s="131"/>
      <c r="E632" s="132"/>
      <c r="F632" s="131"/>
      <c r="G632" s="36"/>
      <c r="H632" s="131"/>
      <c r="I632" s="133"/>
      <c r="J632" s="133"/>
      <c r="K632" s="133"/>
      <c r="L632" s="131"/>
      <c r="M632" s="131"/>
      <c r="N632" s="131"/>
      <c r="O632" s="133"/>
      <c r="P632" s="133"/>
      <c r="Q632" s="133"/>
      <c r="R632" s="131"/>
      <c r="S632" s="134"/>
      <c r="T632" s="134"/>
    </row>
    <row r="633" ht="22.5" customHeight="1">
      <c r="A633" s="131"/>
      <c r="B633" s="131"/>
      <c r="C633" s="131"/>
      <c r="D633" s="131"/>
      <c r="E633" s="132"/>
      <c r="F633" s="131"/>
      <c r="G633" s="36"/>
      <c r="H633" s="131"/>
      <c r="I633" s="133"/>
      <c r="J633" s="133"/>
      <c r="K633" s="133"/>
      <c r="L633" s="131"/>
      <c r="M633" s="131"/>
      <c r="N633" s="131"/>
      <c r="O633" s="133"/>
      <c r="P633" s="133"/>
      <c r="Q633" s="133"/>
      <c r="R633" s="131"/>
      <c r="S633" s="134"/>
      <c r="T633" s="134"/>
    </row>
    <row r="634" ht="22.5" customHeight="1">
      <c r="A634" s="131"/>
      <c r="B634" s="131"/>
      <c r="C634" s="131"/>
      <c r="D634" s="131"/>
      <c r="E634" s="132"/>
      <c r="F634" s="131"/>
      <c r="G634" s="36"/>
      <c r="H634" s="131"/>
      <c r="I634" s="133"/>
      <c r="J634" s="133"/>
      <c r="K634" s="133"/>
      <c r="L634" s="131"/>
      <c r="M634" s="131"/>
      <c r="N634" s="131"/>
      <c r="O634" s="133"/>
      <c r="P634" s="133"/>
      <c r="Q634" s="133"/>
      <c r="R634" s="131"/>
      <c r="S634" s="134"/>
      <c r="T634" s="134"/>
    </row>
    <row r="635" ht="22.5" customHeight="1">
      <c r="A635" s="131"/>
      <c r="B635" s="131"/>
      <c r="C635" s="131"/>
      <c r="D635" s="131"/>
      <c r="E635" s="132"/>
      <c r="F635" s="131"/>
      <c r="G635" s="36"/>
      <c r="H635" s="131"/>
      <c r="I635" s="133"/>
      <c r="J635" s="133"/>
      <c r="K635" s="133"/>
      <c r="L635" s="131"/>
      <c r="M635" s="131"/>
      <c r="N635" s="131"/>
      <c r="O635" s="133"/>
      <c r="P635" s="133"/>
      <c r="Q635" s="133"/>
      <c r="R635" s="131"/>
      <c r="S635" s="134"/>
      <c r="T635" s="134"/>
    </row>
    <row r="636" ht="22.5" customHeight="1">
      <c r="A636" s="131"/>
      <c r="B636" s="131"/>
      <c r="C636" s="131"/>
      <c r="D636" s="131"/>
      <c r="E636" s="132"/>
      <c r="F636" s="131"/>
      <c r="G636" s="36"/>
      <c r="H636" s="131"/>
      <c r="I636" s="133"/>
      <c r="J636" s="133"/>
      <c r="K636" s="133"/>
      <c r="L636" s="131"/>
      <c r="M636" s="131"/>
      <c r="N636" s="131"/>
      <c r="O636" s="133"/>
      <c r="P636" s="133"/>
      <c r="Q636" s="133"/>
      <c r="R636" s="131"/>
      <c r="S636" s="134"/>
      <c r="T636" s="134"/>
    </row>
    <row r="637" ht="22.5" customHeight="1">
      <c r="A637" s="131"/>
      <c r="B637" s="131"/>
      <c r="C637" s="131"/>
      <c r="D637" s="131"/>
      <c r="E637" s="132"/>
      <c r="F637" s="131"/>
      <c r="G637" s="36"/>
      <c r="H637" s="131"/>
      <c r="I637" s="133"/>
      <c r="J637" s="133"/>
      <c r="K637" s="133"/>
      <c r="L637" s="131"/>
      <c r="M637" s="131"/>
      <c r="N637" s="131"/>
      <c r="O637" s="133"/>
      <c r="P637" s="133"/>
      <c r="Q637" s="133"/>
      <c r="R637" s="131"/>
      <c r="S637" s="134"/>
      <c r="T637" s="134"/>
    </row>
    <row r="638" ht="22.5" customHeight="1">
      <c r="A638" s="131"/>
      <c r="B638" s="131"/>
      <c r="C638" s="131"/>
      <c r="D638" s="131"/>
      <c r="E638" s="132"/>
      <c r="F638" s="131"/>
      <c r="G638" s="36"/>
      <c r="H638" s="131"/>
      <c r="I638" s="133"/>
      <c r="J638" s="133"/>
      <c r="K638" s="133"/>
      <c r="L638" s="131"/>
      <c r="M638" s="131"/>
      <c r="N638" s="131"/>
      <c r="O638" s="133"/>
      <c r="P638" s="133"/>
      <c r="Q638" s="133"/>
      <c r="R638" s="131"/>
      <c r="S638" s="134"/>
      <c r="T638" s="134"/>
    </row>
    <row r="639" ht="22.5" customHeight="1">
      <c r="A639" s="131"/>
      <c r="B639" s="131"/>
      <c r="C639" s="131"/>
      <c r="D639" s="131"/>
      <c r="E639" s="132"/>
      <c r="F639" s="131"/>
      <c r="G639" s="36"/>
      <c r="H639" s="131"/>
      <c r="I639" s="133"/>
      <c r="J639" s="133"/>
      <c r="K639" s="133"/>
      <c r="L639" s="131"/>
      <c r="M639" s="131"/>
      <c r="N639" s="131"/>
      <c r="O639" s="133"/>
      <c r="P639" s="133"/>
      <c r="Q639" s="133"/>
      <c r="R639" s="131"/>
      <c r="S639" s="134"/>
      <c r="T639" s="134"/>
    </row>
    <row r="640" ht="22.5" customHeight="1">
      <c r="A640" s="131"/>
      <c r="B640" s="131"/>
      <c r="C640" s="131"/>
      <c r="D640" s="131"/>
      <c r="E640" s="132"/>
      <c r="F640" s="131"/>
      <c r="G640" s="36"/>
      <c r="H640" s="131"/>
      <c r="I640" s="133"/>
      <c r="J640" s="133"/>
      <c r="K640" s="133"/>
      <c r="L640" s="131"/>
      <c r="M640" s="131"/>
      <c r="N640" s="131"/>
      <c r="O640" s="133"/>
      <c r="P640" s="133"/>
      <c r="Q640" s="133"/>
      <c r="R640" s="131"/>
      <c r="S640" s="134"/>
      <c r="T640" s="134"/>
    </row>
    <row r="641" ht="22.5" customHeight="1">
      <c r="A641" s="131"/>
      <c r="B641" s="131"/>
      <c r="C641" s="131"/>
      <c r="D641" s="131"/>
      <c r="E641" s="132"/>
      <c r="F641" s="131"/>
      <c r="G641" s="36"/>
      <c r="H641" s="131"/>
      <c r="I641" s="133"/>
      <c r="J641" s="133"/>
      <c r="K641" s="133"/>
      <c r="L641" s="131"/>
      <c r="M641" s="131"/>
      <c r="N641" s="131"/>
      <c r="O641" s="133"/>
      <c r="P641" s="133"/>
      <c r="Q641" s="133"/>
      <c r="R641" s="131"/>
      <c r="S641" s="134"/>
      <c r="T641" s="134"/>
    </row>
    <row r="642" ht="22.5" customHeight="1">
      <c r="A642" s="131"/>
      <c r="B642" s="131"/>
      <c r="C642" s="131"/>
      <c r="D642" s="131"/>
      <c r="E642" s="132"/>
      <c r="F642" s="131"/>
      <c r="G642" s="36"/>
      <c r="H642" s="131"/>
      <c r="I642" s="133"/>
      <c r="J642" s="133"/>
      <c r="K642" s="133"/>
      <c r="L642" s="131"/>
      <c r="M642" s="131"/>
      <c r="N642" s="131"/>
      <c r="O642" s="133"/>
      <c r="P642" s="133"/>
      <c r="Q642" s="133"/>
      <c r="R642" s="131"/>
      <c r="S642" s="134"/>
      <c r="T642" s="134"/>
    </row>
    <row r="643" ht="22.5" customHeight="1">
      <c r="A643" s="131"/>
      <c r="B643" s="131"/>
      <c r="C643" s="131"/>
      <c r="D643" s="131"/>
      <c r="E643" s="132"/>
      <c r="F643" s="131"/>
      <c r="G643" s="36"/>
      <c r="H643" s="131"/>
      <c r="I643" s="133"/>
      <c r="J643" s="133"/>
      <c r="K643" s="133"/>
      <c r="L643" s="131"/>
      <c r="M643" s="131"/>
      <c r="N643" s="131"/>
      <c r="O643" s="133"/>
      <c r="P643" s="133"/>
      <c r="Q643" s="133"/>
      <c r="R643" s="131"/>
      <c r="S643" s="134"/>
      <c r="T643" s="134"/>
    </row>
    <row r="644" ht="22.5" customHeight="1">
      <c r="A644" s="131"/>
      <c r="B644" s="131"/>
      <c r="C644" s="131"/>
      <c r="D644" s="131"/>
      <c r="E644" s="132"/>
      <c r="F644" s="131"/>
      <c r="G644" s="36"/>
      <c r="H644" s="131"/>
      <c r="I644" s="133"/>
      <c r="J644" s="133"/>
      <c r="K644" s="133"/>
      <c r="L644" s="131"/>
      <c r="M644" s="131"/>
      <c r="N644" s="131"/>
      <c r="O644" s="133"/>
      <c r="P644" s="133"/>
      <c r="Q644" s="133"/>
      <c r="R644" s="131"/>
      <c r="S644" s="134"/>
      <c r="T644" s="134"/>
    </row>
    <row r="645" ht="22.5" customHeight="1">
      <c r="A645" s="131"/>
      <c r="B645" s="131"/>
      <c r="C645" s="131"/>
      <c r="D645" s="131"/>
      <c r="E645" s="132"/>
      <c r="F645" s="131"/>
      <c r="G645" s="36"/>
      <c r="H645" s="131"/>
      <c r="I645" s="133"/>
      <c r="J645" s="133"/>
      <c r="K645" s="133"/>
      <c r="L645" s="131"/>
      <c r="M645" s="131"/>
      <c r="N645" s="131"/>
      <c r="O645" s="133"/>
      <c r="P645" s="133"/>
      <c r="Q645" s="133"/>
      <c r="R645" s="131"/>
      <c r="S645" s="134"/>
      <c r="T645" s="134"/>
    </row>
    <row r="646" ht="22.5" customHeight="1">
      <c r="A646" s="131"/>
      <c r="B646" s="131"/>
      <c r="C646" s="131"/>
      <c r="D646" s="131"/>
      <c r="E646" s="132"/>
      <c r="F646" s="131"/>
      <c r="G646" s="36"/>
      <c r="H646" s="131"/>
      <c r="I646" s="133"/>
      <c r="J646" s="133"/>
      <c r="K646" s="133"/>
      <c r="L646" s="131"/>
      <c r="M646" s="131"/>
      <c r="N646" s="131"/>
      <c r="O646" s="133"/>
      <c r="P646" s="133"/>
      <c r="Q646" s="133"/>
      <c r="R646" s="131"/>
      <c r="S646" s="134"/>
      <c r="T646" s="134"/>
    </row>
    <row r="647" ht="22.5" customHeight="1">
      <c r="A647" s="131"/>
      <c r="B647" s="131"/>
      <c r="C647" s="131"/>
      <c r="D647" s="131"/>
      <c r="E647" s="132"/>
      <c r="F647" s="131"/>
      <c r="G647" s="36"/>
      <c r="H647" s="131"/>
      <c r="I647" s="133"/>
      <c r="J647" s="133"/>
      <c r="K647" s="133"/>
      <c r="L647" s="131"/>
      <c r="M647" s="131"/>
      <c r="N647" s="131"/>
      <c r="O647" s="133"/>
      <c r="P647" s="133"/>
      <c r="Q647" s="133"/>
      <c r="R647" s="131"/>
      <c r="S647" s="134"/>
      <c r="T647" s="134"/>
    </row>
    <row r="648" ht="22.5" customHeight="1">
      <c r="A648" s="131"/>
      <c r="B648" s="131"/>
      <c r="C648" s="131"/>
      <c r="D648" s="131"/>
      <c r="E648" s="132"/>
      <c r="F648" s="131"/>
      <c r="G648" s="36"/>
      <c r="H648" s="131"/>
      <c r="I648" s="133"/>
      <c r="J648" s="133"/>
      <c r="K648" s="133"/>
      <c r="L648" s="131"/>
      <c r="M648" s="131"/>
      <c r="N648" s="131"/>
      <c r="O648" s="133"/>
      <c r="P648" s="133"/>
      <c r="Q648" s="133"/>
      <c r="R648" s="131"/>
      <c r="S648" s="134"/>
      <c r="T648" s="134"/>
    </row>
    <row r="649" ht="22.5" customHeight="1">
      <c r="A649" s="131"/>
      <c r="B649" s="131"/>
      <c r="C649" s="131"/>
      <c r="D649" s="131"/>
      <c r="E649" s="132"/>
      <c r="F649" s="131"/>
      <c r="G649" s="36"/>
      <c r="H649" s="131"/>
      <c r="I649" s="133"/>
      <c r="J649" s="133"/>
      <c r="K649" s="133"/>
      <c r="L649" s="131"/>
      <c r="M649" s="131"/>
      <c r="N649" s="131"/>
      <c r="O649" s="133"/>
      <c r="P649" s="133"/>
      <c r="Q649" s="133"/>
      <c r="R649" s="131"/>
      <c r="S649" s="134"/>
      <c r="T649" s="134"/>
    </row>
    <row r="650" ht="22.5" customHeight="1">
      <c r="A650" s="131"/>
      <c r="B650" s="131"/>
      <c r="C650" s="131"/>
      <c r="D650" s="131"/>
      <c r="E650" s="132"/>
      <c r="F650" s="131"/>
      <c r="G650" s="36"/>
      <c r="H650" s="131"/>
      <c r="I650" s="133"/>
      <c r="J650" s="133"/>
      <c r="K650" s="133"/>
      <c r="L650" s="131"/>
      <c r="M650" s="131"/>
      <c r="N650" s="131"/>
      <c r="O650" s="133"/>
      <c r="P650" s="133"/>
      <c r="Q650" s="133"/>
      <c r="R650" s="131"/>
      <c r="S650" s="134"/>
      <c r="T650" s="134"/>
    </row>
    <row r="651" ht="22.5" customHeight="1">
      <c r="A651" s="131"/>
      <c r="B651" s="131"/>
      <c r="C651" s="131"/>
      <c r="D651" s="131"/>
      <c r="E651" s="132"/>
      <c r="F651" s="131"/>
      <c r="G651" s="36"/>
      <c r="H651" s="131"/>
      <c r="I651" s="133"/>
      <c r="J651" s="133"/>
      <c r="K651" s="133"/>
      <c r="L651" s="131"/>
      <c r="M651" s="131"/>
      <c r="N651" s="131"/>
      <c r="O651" s="133"/>
      <c r="P651" s="133"/>
      <c r="Q651" s="133"/>
      <c r="R651" s="131"/>
      <c r="S651" s="134"/>
      <c r="T651" s="134"/>
    </row>
    <row r="652" ht="22.5" customHeight="1">
      <c r="A652" s="131"/>
      <c r="B652" s="131"/>
      <c r="C652" s="131"/>
      <c r="D652" s="131"/>
      <c r="E652" s="132"/>
      <c r="F652" s="131"/>
      <c r="G652" s="36"/>
      <c r="H652" s="131"/>
      <c r="I652" s="133"/>
      <c r="J652" s="133"/>
      <c r="K652" s="133"/>
      <c r="L652" s="131"/>
      <c r="M652" s="131"/>
      <c r="N652" s="131"/>
      <c r="O652" s="133"/>
      <c r="P652" s="133"/>
      <c r="Q652" s="133"/>
      <c r="R652" s="131"/>
      <c r="S652" s="134"/>
      <c r="T652" s="134"/>
    </row>
    <row r="653" ht="22.5" customHeight="1">
      <c r="A653" s="131"/>
      <c r="B653" s="131"/>
      <c r="C653" s="131"/>
      <c r="D653" s="131"/>
      <c r="E653" s="132"/>
      <c r="F653" s="131"/>
      <c r="G653" s="36"/>
      <c r="H653" s="131"/>
      <c r="I653" s="133"/>
      <c r="J653" s="133"/>
      <c r="K653" s="133"/>
      <c r="L653" s="131"/>
      <c r="M653" s="131"/>
      <c r="N653" s="131"/>
      <c r="O653" s="133"/>
      <c r="P653" s="133"/>
      <c r="Q653" s="133"/>
      <c r="R653" s="131"/>
      <c r="S653" s="134"/>
      <c r="T653" s="134"/>
    </row>
    <row r="654" ht="22.5" customHeight="1">
      <c r="A654" s="131"/>
      <c r="B654" s="131"/>
      <c r="C654" s="131"/>
      <c r="D654" s="131"/>
      <c r="E654" s="132"/>
      <c r="F654" s="131"/>
      <c r="G654" s="36"/>
      <c r="H654" s="131"/>
      <c r="I654" s="133"/>
      <c r="J654" s="133"/>
      <c r="K654" s="133"/>
      <c r="L654" s="131"/>
      <c r="M654" s="131"/>
      <c r="N654" s="131"/>
      <c r="O654" s="133"/>
      <c r="P654" s="133"/>
      <c r="Q654" s="133"/>
      <c r="R654" s="131"/>
      <c r="S654" s="134"/>
      <c r="T654" s="134"/>
    </row>
    <row r="655" ht="22.5" customHeight="1">
      <c r="A655" s="131"/>
      <c r="B655" s="131"/>
      <c r="C655" s="131"/>
      <c r="D655" s="131"/>
      <c r="E655" s="132"/>
      <c r="F655" s="131"/>
      <c r="G655" s="36"/>
      <c r="H655" s="131"/>
      <c r="I655" s="133"/>
      <c r="J655" s="133"/>
      <c r="K655" s="133"/>
      <c r="L655" s="131"/>
      <c r="M655" s="131"/>
      <c r="N655" s="131"/>
      <c r="O655" s="133"/>
      <c r="P655" s="133"/>
      <c r="Q655" s="133"/>
      <c r="R655" s="131"/>
      <c r="S655" s="134"/>
      <c r="T655" s="134"/>
    </row>
    <row r="656" ht="22.5" customHeight="1">
      <c r="A656" s="131"/>
      <c r="B656" s="131"/>
      <c r="C656" s="131"/>
      <c r="D656" s="131"/>
      <c r="E656" s="132"/>
      <c r="F656" s="131"/>
      <c r="G656" s="36"/>
      <c r="H656" s="131"/>
      <c r="I656" s="133"/>
      <c r="J656" s="133"/>
      <c r="K656" s="133"/>
      <c r="L656" s="131"/>
      <c r="M656" s="131"/>
      <c r="N656" s="131"/>
      <c r="O656" s="133"/>
      <c r="P656" s="133"/>
      <c r="Q656" s="133"/>
      <c r="R656" s="131"/>
      <c r="S656" s="134"/>
      <c r="T656" s="134"/>
    </row>
    <row r="657" ht="22.5" customHeight="1">
      <c r="A657" s="131"/>
      <c r="B657" s="131"/>
      <c r="C657" s="131"/>
      <c r="D657" s="131"/>
      <c r="E657" s="132"/>
      <c r="F657" s="131"/>
      <c r="G657" s="36"/>
      <c r="H657" s="131"/>
      <c r="I657" s="133"/>
      <c r="J657" s="133"/>
      <c r="K657" s="133"/>
      <c r="L657" s="131"/>
      <c r="M657" s="131"/>
      <c r="N657" s="131"/>
      <c r="O657" s="133"/>
      <c r="P657" s="133"/>
      <c r="Q657" s="133"/>
      <c r="R657" s="131"/>
      <c r="S657" s="134"/>
      <c r="T657" s="134"/>
    </row>
    <row r="658" ht="22.5" customHeight="1">
      <c r="A658" s="131"/>
      <c r="B658" s="131"/>
      <c r="C658" s="131"/>
      <c r="D658" s="131"/>
      <c r="E658" s="132"/>
      <c r="F658" s="131"/>
      <c r="G658" s="36"/>
      <c r="H658" s="131"/>
      <c r="I658" s="133"/>
      <c r="J658" s="133"/>
      <c r="K658" s="133"/>
      <c r="L658" s="131"/>
      <c r="M658" s="131"/>
      <c r="N658" s="131"/>
      <c r="O658" s="133"/>
      <c r="P658" s="133"/>
      <c r="Q658" s="133"/>
      <c r="R658" s="131"/>
      <c r="S658" s="134"/>
      <c r="T658" s="134"/>
    </row>
    <row r="659" ht="22.5" customHeight="1">
      <c r="A659" s="131"/>
      <c r="B659" s="131"/>
      <c r="C659" s="131"/>
      <c r="D659" s="131"/>
      <c r="E659" s="132"/>
      <c r="F659" s="131"/>
      <c r="G659" s="36"/>
      <c r="H659" s="131"/>
      <c r="I659" s="133"/>
      <c r="J659" s="133"/>
      <c r="K659" s="133"/>
      <c r="L659" s="131"/>
      <c r="M659" s="131"/>
      <c r="N659" s="131"/>
      <c r="O659" s="133"/>
      <c r="P659" s="133"/>
      <c r="Q659" s="133"/>
      <c r="R659" s="131"/>
      <c r="S659" s="134"/>
      <c r="T659" s="134"/>
    </row>
    <row r="660" ht="22.5" customHeight="1">
      <c r="A660" s="131"/>
      <c r="B660" s="131"/>
      <c r="C660" s="131"/>
      <c r="D660" s="131"/>
      <c r="E660" s="132"/>
      <c r="F660" s="131"/>
      <c r="G660" s="36"/>
      <c r="H660" s="131"/>
      <c r="I660" s="133"/>
      <c r="J660" s="133"/>
      <c r="K660" s="133"/>
      <c r="L660" s="131"/>
      <c r="M660" s="131"/>
      <c r="N660" s="131"/>
      <c r="O660" s="133"/>
      <c r="P660" s="133"/>
      <c r="Q660" s="133"/>
      <c r="R660" s="131"/>
      <c r="S660" s="134"/>
      <c r="T660" s="134"/>
    </row>
    <row r="661" ht="22.5" customHeight="1">
      <c r="A661" s="131"/>
      <c r="B661" s="131"/>
      <c r="C661" s="131"/>
      <c r="D661" s="131"/>
      <c r="E661" s="132"/>
      <c r="F661" s="131"/>
      <c r="G661" s="36"/>
      <c r="H661" s="131"/>
      <c r="I661" s="133"/>
      <c r="J661" s="133"/>
      <c r="K661" s="133"/>
      <c r="L661" s="131"/>
      <c r="M661" s="131"/>
      <c r="N661" s="131"/>
      <c r="O661" s="133"/>
      <c r="P661" s="133"/>
      <c r="Q661" s="133"/>
      <c r="R661" s="131"/>
      <c r="S661" s="134"/>
      <c r="T661" s="134"/>
    </row>
    <row r="662" ht="22.5" customHeight="1">
      <c r="A662" s="131"/>
      <c r="B662" s="131"/>
      <c r="C662" s="131"/>
      <c r="D662" s="131"/>
      <c r="E662" s="132"/>
      <c r="F662" s="131"/>
      <c r="G662" s="36"/>
      <c r="H662" s="131"/>
      <c r="I662" s="133"/>
      <c r="J662" s="133"/>
      <c r="K662" s="133"/>
      <c r="L662" s="131"/>
      <c r="M662" s="131"/>
      <c r="N662" s="131"/>
      <c r="O662" s="133"/>
      <c r="P662" s="133"/>
      <c r="Q662" s="133"/>
      <c r="R662" s="131"/>
      <c r="S662" s="134"/>
      <c r="T662" s="134"/>
    </row>
    <row r="663" ht="22.5" customHeight="1">
      <c r="A663" s="131"/>
      <c r="B663" s="131"/>
      <c r="C663" s="131"/>
      <c r="D663" s="131"/>
      <c r="E663" s="132"/>
      <c r="F663" s="131"/>
      <c r="G663" s="36"/>
      <c r="H663" s="131"/>
      <c r="I663" s="133"/>
      <c r="J663" s="133"/>
      <c r="K663" s="133"/>
      <c r="L663" s="131"/>
      <c r="M663" s="131"/>
      <c r="N663" s="131"/>
      <c r="O663" s="133"/>
      <c r="P663" s="133"/>
      <c r="Q663" s="133"/>
      <c r="R663" s="131"/>
      <c r="S663" s="134"/>
      <c r="T663" s="134"/>
    </row>
    <row r="664" ht="22.5" customHeight="1">
      <c r="A664" s="131"/>
      <c r="B664" s="131"/>
      <c r="C664" s="131"/>
      <c r="D664" s="131"/>
      <c r="E664" s="132"/>
      <c r="F664" s="131"/>
      <c r="G664" s="36"/>
      <c r="H664" s="131"/>
      <c r="I664" s="133"/>
      <c r="J664" s="133"/>
      <c r="K664" s="133"/>
      <c r="L664" s="131"/>
      <c r="M664" s="131"/>
      <c r="N664" s="131"/>
      <c r="O664" s="133"/>
      <c r="P664" s="133"/>
      <c r="Q664" s="133"/>
      <c r="R664" s="131"/>
      <c r="S664" s="134"/>
      <c r="T664" s="134"/>
    </row>
    <row r="665" ht="22.5" customHeight="1">
      <c r="A665" s="131"/>
      <c r="B665" s="131"/>
      <c r="C665" s="131"/>
      <c r="D665" s="131"/>
      <c r="E665" s="132"/>
      <c r="F665" s="131"/>
      <c r="G665" s="36"/>
      <c r="H665" s="131"/>
      <c r="I665" s="133"/>
      <c r="J665" s="133"/>
      <c r="K665" s="133"/>
      <c r="L665" s="131"/>
      <c r="M665" s="131"/>
      <c r="N665" s="131"/>
      <c r="O665" s="133"/>
      <c r="P665" s="133"/>
      <c r="Q665" s="133"/>
      <c r="R665" s="131"/>
      <c r="S665" s="134"/>
      <c r="T665" s="134"/>
    </row>
    <row r="666" ht="22.5" customHeight="1">
      <c r="A666" s="131"/>
      <c r="B666" s="131"/>
      <c r="C666" s="131"/>
      <c r="D666" s="131"/>
      <c r="E666" s="132"/>
      <c r="F666" s="131"/>
      <c r="G666" s="36"/>
      <c r="H666" s="131"/>
      <c r="I666" s="133"/>
      <c r="J666" s="133"/>
      <c r="K666" s="133"/>
      <c r="L666" s="131"/>
      <c r="M666" s="131"/>
      <c r="N666" s="131"/>
      <c r="O666" s="133"/>
      <c r="P666" s="133"/>
      <c r="Q666" s="133"/>
      <c r="R666" s="131"/>
      <c r="S666" s="134"/>
      <c r="T666" s="134"/>
    </row>
    <row r="667" ht="22.5" customHeight="1">
      <c r="A667" s="131"/>
      <c r="B667" s="131"/>
      <c r="C667" s="131"/>
      <c r="D667" s="131"/>
      <c r="E667" s="132"/>
      <c r="F667" s="131"/>
      <c r="G667" s="36"/>
      <c r="H667" s="131"/>
      <c r="I667" s="133"/>
      <c r="J667" s="133"/>
      <c r="K667" s="133"/>
      <c r="L667" s="131"/>
      <c r="M667" s="131"/>
      <c r="N667" s="131"/>
      <c r="O667" s="133"/>
      <c r="P667" s="133"/>
      <c r="Q667" s="133"/>
      <c r="R667" s="131"/>
      <c r="S667" s="134"/>
      <c r="T667" s="134"/>
    </row>
    <row r="668" ht="22.5" customHeight="1">
      <c r="A668" s="131"/>
      <c r="B668" s="131"/>
      <c r="C668" s="131"/>
      <c r="D668" s="131"/>
      <c r="E668" s="132"/>
      <c r="F668" s="131"/>
      <c r="G668" s="36"/>
      <c r="H668" s="131"/>
      <c r="I668" s="133"/>
      <c r="J668" s="133"/>
      <c r="K668" s="133"/>
      <c r="L668" s="131"/>
      <c r="M668" s="131"/>
      <c r="N668" s="131"/>
      <c r="O668" s="133"/>
      <c r="P668" s="133"/>
      <c r="Q668" s="133"/>
      <c r="R668" s="131"/>
      <c r="S668" s="134"/>
      <c r="T668" s="134"/>
    </row>
    <row r="669" ht="22.5" customHeight="1">
      <c r="A669" s="131"/>
      <c r="B669" s="131"/>
      <c r="C669" s="131"/>
      <c r="D669" s="131"/>
      <c r="E669" s="132"/>
      <c r="F669" s="131"/>
      <c r="G669" s="36"/>
      <c r="H669" s="131"/>
      <c r="I669" s="133"/>
      <c r="J669" s="133"/>
      <c r="K669" s="133"/>
      <c r="L669" s="131"/>
      <c r="M669" s="131"/>
      <c r="N669" s="131"/>
      <c r="O669" s="133"/>
      <c r="P669" s="133"/>
      <c r="Q669" s="133"/>
      <c r="R669" s="131"/>
      <c r="S669" s="134"/>
      <c r="T669" s="134"/>
    </row>
    <row r="670" ht="22.5" customHeight="1">
      <c r="A670" s="131"/>
      <c r="B670" s="131"/>
      <c r="C670" s="131"/>
      <c r="D670" s="131"/>
      <c r="E670" s="132"/>
      <c r="F670" s="131"/>
      <c r="G670" s="36"/>
      <c r="H670" s="131"/>
      <c r="I670" s="133"/>
      <c r="J670" s="133"/>
      <c r="K670" s="133"/>
      <c r="L670" s="131"/>
      <c r="M670" s="131"/>
      <c r="N670" s="131"/>
      <c r="O670" s="133"/>
      <c r="P670" s="133"/>
      <c r="Q670" s="133"/>
      <c r="R670" s="131"/>
      <c r="S670" s="134"/>
      <c r="T670" s="134"/>
    </row>
    <row r="671" ht="22.5" customHeight="1">
      <c r="A671" s="131"/>
      <c r="B671" s="131"/>
      <c r="C671" s="131"/>
      <c r="D671" s="131"/>
      <c r="E671" s="132"/>
      <c r="F671" s="131"/>
      <c r="G671" s="36"/>
      <c r="H671" s="131"/>
      <c r="I671" s="133"/>
      <c r="J671" s="133"/>
      <c r="K671" s="133"/>
      <c r="L671" s="131"/>
      <c r="M671" s="131"/>
      <c r="N671" s="131"/>
      <c r="O671" s="133"/>
      <c r="P671" s="133"/>
      <c r="Q671" s="133"/>
      <c r="R671" s="131"/>
      <c r="S671" s="134"/>
      <c r="T671" s="134"/>
    </row>
    <row r="672" ht="22.5" customHeight="1">
      <c r="A672" s="131"/>
      <c r="B672" s="131"/>
      <c r="C672" s="131"/>
      <c r="D672" s="131"/>
      <c r="E672" s="132"/>
      <c r="F672" s="131"/>
      <c r="G672" s="36"/>
      <c r="H672" s="131"/>
      <c r="I672" s="133"/>
      <c r="J672" s="133"/>
      <c r="K672" s="133"/>
      <c r="L672" s="131"/>
      <c r="M672" s="131"/>
      <c r="N672" s="131"/>
      <c r="O672" s="133"/>
      <c r="P672" s="133"/>
      <c r="Q672" s="133"/>
      <c r="R672" s="131"/>
      <c r="S672" s="134"/>
      <c r="T672" s="134"/>
    </row>
    <row r="673" ht="22.5" customHeight="1">
      <c r="A673" s="131"/>
      <c r="B673" s="131"/>
      <c r="C673" s="131"/>
      <c r="D673" s="131"/>
      <c r="E673" s="132"/>
      <c r="F673" s="131"/>
      <c r="G673" s="36"/>
      <c r="H673" s="131"/>
      <c r="I673" s="133"/>
      <c r="J673" s="133"/>
      <c r="K673" s="133"/>
      <c r="L673" s="131"/>
      <c r="M673" s="131"/>
      <c r="N673" s="131"/>
      <c r="O673" s="133"/>
      <c r="P673" s="133"/>
      <c r="Q673" s="133"/>
      <c r="R673" s="131"/>
      <c r="S673" s="134"/>
      <c r="T673" s="134"/>
    </row>
    <row r="674" ht="22.5" customHeight="1">
      <c r="A674" s="131"/>
      <c r="B674" s="131"/>
      <c r="C674" s="131"/>
      <c r="D674" s="131"/>
      <c r="E674" s="132"/>
      <c r="F674" s="131"/>
      <c r="G674" s="36"/>
      <c r="H674" s="131"/>
      <c r="I674" s="133"/>
      <c r="J674" s="133"/>
      <c r="K674" s="133"/>
      <c r="L674" s="131"/>
      <c r="M674" s="131"/>
      <c r="N674" s="131"/>
      <c r="O674" s="133"/>
      <c r="P674" s="133"/>
      <c r="Q674" s="133"/>
      <c r="R674" s="131"/>
      <c r="S674" s="134"/>
      <c r="T674" s="134"/>
    </row>
    <row r="675" ht="22.5" customHeight="1">
      <c r="A675" s="131"/>
      <c r="B675" s="131"/>
      <c r="C675" s="131"/>
      <c r="D675" s="131"/>
      <c r="E675" s="132"/>
      <c r="F675" s="131"/>
      <c r="G675" s="36"/>
      <c r="H675" s="131"/>
      <c r="I675" s="133"/>
      <c r="J675" s="133"/>
      <c r="K675" s="133"/>
      <c r="L675" s="131"/>
      <c r="M675" s="131"/>
      <c r="N675" s="131"/>
      <c r="O675" s="133"/>
      <c r="P675" s="133"/>
      <c r="Q675" s="133"/>
      <c r="R675" s="131"/>
      <c r="S675" s="134"/>
      <c r="T675" s="134"/>
    </row>
    <row r="676" ht="22.5" customHeight="1">
      <c r="A676" s="131"/>
      <c r="B676" s="131"/>
      <c r="C676" s="131"/>
      <c r="D676" s="131"/>
      <c r="E676" s="132"/>
      <c r="F676" s="131"/>
      <c r="G676" s="36"/>
      <c r="H676" s="131"/>
      <c r="I676" s="133"/>
      <c r="J676" s="133"/>
      <c r="K676" s="133"/>
      <c r="L676" s="131"/>
      <c r="M676" s="131"/>
      <c r="N676" s="131"/>
      <c r="O676" s="133"/>
      <c r="P676" s="133"/>
      <c r="Q676" s="133"/>
      <c r="R676" s="131"/>
      <c r="S676" s="134"/>
      <c r="T676" s="134"/>
    </row>
    <row r="677" ht="22.5" customHeight="1">
      <c r="A677" s="131"/>
      <c r="B677" s="131"/>
      <c r="C677" s="131"/>
      <c r="D677" s="131"/>
      <c r="E677" s="132"/>
      <c r="F677" s="131"/>
      <c r="G677" s="36"/>
      <c r="H677" s="131"/>
      <c r="I677" s="133"/>
      <c r="J677" s="133"/>
      <c r="K677" s="133"/>
      <c r="L677" s="131"/>
      <c r="M677" s="131"/>
      <c r="N677" s="131"/>
      <c r="O677" s="133"/>
      <c r="P677" s="133"/>
      <c r="Q677" s="133"/>
      <c r="R677" s="131"/>
      <c r="S677" s="134"/>
      <c r="T677" s="134"/>
    </row>
    <row r="678" ht="22.5" customHeight="1">
      <c r="A678" s="131"/>
      <c r="B678" s="131"/>
      <c r="C678" s="131"/>
      <c r="D678" s="131"/>
      <c r="E678" s="132"/>
      <c r="F678" s="131"/>
      <c r="G678" s="36"/>
      <c r="H678" s="131"/>
      <c r="I678" s="133"/>
      <c r="J678" s="133"/>
      <c r="K678" s="133"/>
      <c r="L678" s="131"/>
      <c r="M678" s="131"/>
      <c r="N678" s="131"/>
      <c r="O678" s="133"/>
      <c r="P678" s="133"/>
      <c r="Q678" s="133"/>
      <c r="R678" s="131"/>
      <c r="S678" s="134"/>
      <c r="T678" s="134"/>
    </row>
    <row r="679" ht="22.5" customHeight="1">
      <c r="A679" s="131"/>
      <c r="B679" s="131"/>
      <c r="C679" s="131"/>
      <c r="D679" s="131"/>
      <c r="E679" s="132"/>
      <c r="F679" s="131"/>
      <c r="G679" s="36"/>
      <c r="H679" s="131"/>
      <c r="I679" s="133"/>
      <c r="J679" s="133"/>
      <c r="K679" s="133"/>
      <c r="L679" s="131"/>
      <c r="M679" s="131"/>
      <c r="N679" s="131"/>
      <c r="O679" s="133"/>
      <c r="P679" s="133"/>
      <c r="Q679" s="133"/>
      <c r="R679" s="131"/>
      <c r="S679" s="134"/>
      <c r="T679" s="134"/>
    </row>
    <row r="680" ht="22.5" customHeight="1">
      <c r="A680" s="131"/>
      <c r="B680" s="131"/>
      <c r="C680" s="131"/>
      <c r="D680" s="131"/>
      <c r="E680" s="132"/>
      <c r="F680" s="131"/>
      <c r="G680" s="36"/>
      <c r="H680" s="131"/>
      <c r="I680" s="133"/>
      <c r="J680" s="133"/>
      <c r="K680" s="133"/>
      <c r="L680" s="131"/>
      <c r="M680" s="131"/>
      <c r="N680" s="131"/>
      <c r="O680" s="133"/>
      <c r="P680" s="133"/>
      <c r="Q680" s="133"/>
      <c r="R680" s="131"/>
      <c r="S680" s="134"/>
      <c r="T680" s="134"/>
    </row>
    <row r="681" ht="22.5" customHeight="1">
      <c r="A681" s="131"/>
      <c r="B681" s="131"/>
      <c r="C681" s="131"/>
      <c r="D681" s="131"/>
      <c r="E681" s="132"/>
      <c r="F681" s="131"/>
      <c r="G681" s="36"/>
      <c r="H681" s="131"/>
      <c r="I681" s="133"/>
      <c r="J681" s="133"/>
      <c r="K681" s="133"/>
      <c r="L681" s="131"/>
      <c r="M681" s="131"/>
      <c r="N681" s="131"/>
      <c r="O681" s="133"/>
      <c r="P681" s="133"/>
      <c r="Q681" s="133"/>
      <c r="R681" s="131"/>
      <c r="S681" s="134"/>
      <c r="T681" s="134"/>
    </row>
    <row r="682" ht="22.5" customHeight="1">
      <c r="A682" s="131"/>
      <c r="B682" s="131"/>
      <c r="C682" s="131"/>
      <c r="D682" s="131"/>
      <c r="E682" s="132"/>
      <c r="F682" s="131"/>
      <c r="G682" s="36"/>
      <c r="H682" s="131"/>
      <c r="I682" s="133"/>
      <c r="J682" s="133"/>
      <c r="K682" s="133"/>
      <c r="L682" s="131"/>
      <c r="M682" s="131"/>
      <c r="N682" s="131"/>
      <c r="O682" s="133"/>
      <c r="P682" s="133"/>
      <c r="Q682" s="133"/>
      <c r="R682" s="131"/>
      <c r="S682" s="134"/>
      <c r="T682" s="134"/>
    </row>
    <row r="683" ht="22.5" customHeight="1">
      <c r="A683" s="131"/>
      <c r="B683" s="131"/>
      <c r="C683" s="131"/>
      <c r="D683" s="131"/>
      <c r="E683" s="132"/>
      <c r="F683" s="131"/>
      <c r="G683" s="36"/>
      <c r="H683" s="131"/>
      <c r="I683" s="133"/>
      <c r="J683" s="133"/>
      <c r="K683" s="133"/>
      <c r="L683" s="131"/>
      <c r="M683" s="131"/>
      <c r="N683" s="131"/>
      <c r="O683" s="133"/>
      <c r="P683" s="133"/>
      <c r="Q683" s="133"/>
      <c r="R683" s="131"/>
      <c r="S683" s="134"/>
      <c r="T683" s="134"/>
    </row>
    <row r="684" ht="22.5" customHeight="1">
      <c r="A684" s="131"/>
      <c r="B684" s="131"/>
      <c r="C684" s="131"/>
      <c r="D684" s="131"/>
      <c r="E684" s="132"/>
      <c r="F684" s="131"/>
      <c r="G684" s="36"/>
      <c r="H684" s="131"/>
      <c r="I684" s="133"/>
      <c r="J684" s="133"/>
      <c r="K684" s="133"/>
      <c r="L684" s="131"/>
      <c r="M684" s="131"/>
      <c r="N684" s="131"/>
      <c r="O684" s="133"/>
      <c r="P684" s="133"/>
      <c r="Q684" s="133"/>
      <c r="R684" s="131"/>
      <c r="S684" s="134"/>
      <c r="T684" s="134"/>
    </row>
    <row r="685" ht="22.5" customHeight="1">
      <c r="A685" s="131"/>
      <c r="B685" s="131"/>
      <c r="C685" s="131"/>
      <c r="D685" s="131"/>
      <c r="E685" s="132"/>
      <c r="F685" s="131"/>
      <c r="G685" s="36"/>
      <c r="H685" s="131"/>
      <c r="I685" s="133"/>
      <c r="J685" s="133"/>
      <c r="K685" s="133"/>
      <c r="L685" s="131"/>
      <c r="M685" s="131"/>
      <c r="N685" s="131"/>
      <c r="O685" s="133"/>
      <c r="P685" s="133"/>
      <c r="Q685" s="133"/>
      <c r="R685" s="131"/>
      <c r="S685" s="134"/>
      <c r="T685" s="134"/>
    </row>
    <row r="686" ht="22.5" customHeight="1">
      <c r="A686" s="131"/>
      <c r="B686" s="131"/>
      <c r="C686" s="131"/>
      <c r="D686" s="131"/>
      <c r="E686" s="132"/>
      <c r="F686" s="131"/>
      <c r="G686" s="36"/>
      <c r="H686" s="131"/>
      <c r="I686" s="133"/>
      <c r="J686" s="133"/>
      <c r="K686" s="133"/>
      <c r="L686" s="131"/>
      <c r="M686" s="131"/>
      <c r="N686" s="131"/>
      <c r="O686" s="133"/>
      <c r="P686" s="133"/>
      <c r="Q686" s="133"/>
      <c r="R686" s="131"/>
      <c r="S686" s="134"/>
      <c r="T686" s="134"/>
    </row>
    <row r="687" ht="22.5" customHeight="1">
      <c r="A687" s="131"/>
      <c r="B687" s="131"/>
      <c r="C687" s="131"/>
      <c r="D687" s="131"/>
      <c r="E687" s="132"/>
      <c r="F687" s="131"/>
      <c r="G687" s="36"/>
      <c r="H687" s="131"/>
      <c r="I687" s="133"/>
      <c r="J687" s="133"/>
      <c r="K687" s="133"/>
      <c r="L687" s="131"/>
      <c r="M687" s="131"/>
      <c r="N687" s="131"/>
      <c r="O687" s="133"/>
      <c r="P687" s="133"/>
      <c r="Q687" s="133"/>
      <c r="R687" s="131"/>
      <c r="S687" s="134"/>
      <c r="T687" s="134"/>
    </row>
    <row r="688" ht="22.5" customHeight="1">
      <c r="A688" s="131"/>
      <c r="B688" s="131"/>
      <c r="C688" s="131"/>
      <c r="D688" s="131"/>
      <c r="E688" s="132"/>
      <c r="F688" s="131"/>
      <c r="G688" s="36"/>
      <c r="H688" s="131"/>
      <c r="I688" s="133"/>
      <c r="J688" s="133"/>
      <c r="K688" s="133"/>
      <c r="L688" s="131"/>
      <c r="M688" s="131"/>
      <c r="N688" s="131"/>
      <c r="O688" s="133"/>
      <c r="P688" s="133"/>
      <c r="Q688" s="133"/>
      <c r="R688" s="131"/>
      <c r="S688" s="134"/>
      <c r="T688" s="134"/>
    </row>
    <row r="689" ht="22.5" customHeight="1">
      <c r="A689" s="131"/>
      <c r="B689" s="131"/>
      <c r="C689" s="131"/>
      <c r="D689" s="131"/>
      <c r="E689" s="132"/>
      <c r="F689" s="131"/>
      <c r="G689" s="36"/>
      <c r="H689" s="131"/>
      <c r="I689" s="133"/>
      <c r="J689" s="133"/>
      <c r="K689" s="133"/>
      <c r="L689" s="131"/>
      <c r="M689" s="131"/>
      <c r="N689" s="131"/>
      <c r="O689" s="133"/>
      <c r="P689" s="133"/>
      <c r="Q689" s="133"/>
      <c r="R689" s="131"/>
      <c r="S689" s="134"/>
      <c r="T689" s="134"/>
    </row>
    <row r="690" ht="22.5" customHeight="1">
      <c r="A690" s="131"/>
      <c r="B690" s="131"/>
      <c r="C690" s="131"/>
      <c r="D690" s="131"/>
      <c r="E690" s="132"/>
      <c r="F690" s="131"/>
      <c r="G690" s="36"/>
      <c r="H690" s="131"/>
      <c r="I690" s="133"/>
      <c r="J690" s="133"/>
      <c r="K690" s="133"/>
      <c r="L690" s="131"/>
      <c r="M690" s="131"/>
      <c r="N690" s="131"/>
      <c r="O690" s="133"/>
      <c r="P690" s="133"/>
      <c r="Q690" s="133"/>
      <c r="R690" s="131"/>
      <c r="S690" s="134"/>
      <c r="T690" s="134"/>
    </row>
    <row r="691" ht="22.5" customHeight="1">
      <c r="A691" s="131"/>
      <c r="B691" s="131"/>
      <c r="C691" s="131"/>
      <c r="D691" s="131"/>
      <c r="E691" s="132"/>
      <c r="F691" s="131"/>
      <c r="G691" s="36"/>
      <c r="H691" s="131"/>
      <c r="I691" s="133"/>
      <c r="J691" s="133"/>
      <c r="K691" s="133"/>
      <c r="L691" s="131"/>
      <c r="M691" s="131"/>
      <c r="N691" s="131"/>
      <c r="O691" s="133"/>
      <c r="P691" s="133"/>
      <c r="Q691" s="133"/>
      <c r="R691" s="131"/>
      <c r="S691" s="134"/>
      <c r="T691" s="134"/>
    </row>
    <row r="692" ht="22.5" customHeight="1">
      <c r="A692" s="131"/>
      <c r="B692" s="131"/>
      <c r="C692" s="131"/>
      <c r="D692" s="131"/>
      <c r="E692" s="132"/>
      <c r="F692" s="131"/>
      <c r="G692" s="36"/>
      <c r="H692" s="131"/>
      <c r="I692" s="133"/>
      <c r="J692" s="133"/>
      <c r="K692" s="133"/>
      <c r="L692" s="131"/>
      <c r="M692" s="131"/>
      <c r="N692" s="131"/>
      <c r="O692" s="133"/>
      <c r="P692" s="133"/>
      <c r="Q692" s="133"/>
      <c r="R692" s="131"/>
      <c r="S692" s="134"/>
      <c r="T692" s="134"/>
    </row>
    <row r="693" ht="22.5" customHeight="1">
      <c r="A693" s="131"/>
      <c r="B693" s="131"/>
      <c r="C693" s="131"/>
      <c r="D693" s="131"/>
      <c r="E693" s="132"/>
      <c r="F693" s="131"/>
      <c r="G693" s="36"/>
      <c r="H693" s="131"/>
      <c r="I693" s="133"/>
      <c r="J693" s="133"/>
      <c r="K693" s="133"/>
      <c r="L693" s="131"/>
      <c r="M693" s="131"/>
      <c r="N693" s="131"/>
      <c r="O693" s="133"/>
      <c r="P693" s="133"/>
      <c r="Q693" s="133"/>
      <c r="R693" s="131"/>
      <c r="S693" s="134"/>
      <c r="T693" s="134"/>
    </row>
    <row r="694" ht="22.5" customHeight="1">
      <c r="A694" s="131"/>
      <c r="B694" s="131"/>
      <c r="C694" s="131"/>
      <c r="D694" s="131"/>
      <c r="E694" s="132"/>
      <c r="F694" s="131"/>
      <c r="G694" s="36"/>
      <c r="H694" s="131"/>
      <c r="I694" s="133"/>
      <c r="J694" s="133"/>
      <c r="K694" s="133"/>
      <c r="L694" s="131"/>
      <c r="M694" s="131"/>
      <c r="N694" s="131"/>
      <c r="O694" s="133"/>
      <c r="P694" s="133"/>
      <c r="Q694" s="133"/>
      <c r="R694" s="131"/>
      <c r="S694" s="134"/>
      <c r="T694" s="134"/>
    </row>
    <row r="695" ht="22.5" customHeight="1">
      <c r="A695" s="131"/>
      <c r="B695" s="131"/>
      <c r="C695" s="131"/>
      <c r="D695" s="131"/>
      <c r="E695" s="132"/>
      <c r="F695" s="131"/>
      <c r="G695" s="36"/>
      <c r="H695" s="131"/>
      <c r="I695" s="133"/>
      <c r="J695" s="133"/>
      <c r="K695" s="133"/>
      <c r="L695" s="131"/>
      <c r="M695" s="131"/>
      <c r="N695" s="131"/>
      <c r="O695" s="133"/>
      <c r="P695" s="133"/>
      <c r="Q695" s="133"/>
      <c r="R695" s="131"/>
      <c r="S695" s="134"/>
      <c r="T695" s="134"/>
    </row>
    <row r="696" ht="22.5" customHeight="1">
      <c r="A696" s="131"/>
      <c r="B696" s="131"/>
      <c r="C696" s="131"/>
      <c r="D696" s="131"/>
      <c r="E696" s="132"/>
      <c r="F696" s="131"/>
      <c r="G696" s="36"/>
      <c r="H696" s="131"/>
      <c r="I696" s="133"/>
      <c r="J696" s="133"/>
      <c r="K696" s="133"/>
      <c r="L696" s="131"/>
      <c r="M696" s="131"/>
      <c r="N696" s="131"/>
      <c r="O696" s="133"/>
      <c r="P696" s="133"/>
      <c r="Q696" s="133"/>
      <c r="R696" s="131"/>
      <c r="S696" s="134"/>
      <c r="T696" s="134"/>
    </row>
    <row r="697" ht="22.5" customHeight="1">
      <c r="A697" s="131"/>
      <c r="B697" s="131"/>
      <c r="C697" s="131"/>
      <c r="D697" s="131"/>
      <c r="E697" s="132"/>
      <c r="F697" s="131"/>
      <c r="G697" s="36"/>
      <c r="H697" s="131"/>
      <c r="I697" s="133"/>
      <c r="J697" s="133"/>
      <c r="K697" s="133"/>
      <c r="L697" s="131"/>
      <c r="M697" s="131"/>
      <c r="N697" s="131"/>
      <c r="O697" s="133"/>
      <c r="P697" s="133"/>
      <c r="Q697" s="133"/>
      <c r="R697" s="131"/>
      <c r="S697" s="134"/>
      <c r="T697" s="134"/>
    </row>
    <row r="698" ht="22.5" customHeight="1">
      <c r="A698" s="131"/>
      <c r="B698" s="131"/>
      <c r="C698" s="131"/>
      <c r="D698" s="131"/>
      <c r="E698" s="132"/>
      <c r="F698" s="131"/>
      <c r="G698" s="36"/>
      <c r="H698" s="131"/>
      <c r="I698" s="133"/>
      <c r="J698" s="133"/>
      <c r="K698" s="133"/>
      <c r="L698" s="131"/>
      <c r="M698" s="131"/>
      <c r="N698" s="131"/>
      <c r="O698" s="133"/>
      <c r="P698" s="133"/>
      <c r="Q698" s="133"/>
      <c r="R698" s="131"/>
      <c r="S698" s="134"/>
      <c r="T698" s="134"/>
    </row>
    <row r="699" ht="22.5" customHeight="1">
      <c r="A699" s="131"/>
      <c r="B699" s="131"/>
      <c r="C699" s="131"/>
      <c r="D699" s="131"/>
      <c r="E699" s="132"/>
      <c r="F699" s="131"/>
      <c r="G699" s="36"/>
      <c r="H699" s="131"/>
      <c r="I699" s="133"/>
      <c r="J699" s="133"/>
      <c r="K699" s="133"/>
      <c r="L699" s="131"/>
      <c r="M699" s="131"/>
      <c r="N699" s="131"/>
      <c r="O699" s="133"/>
      <c r="P699" s="133"/>
      <c r="Q699" s="133"/>
      <c r="R699" s="131"/>
      <c r="S699" s="134"/>
      <c r="T699" s="134"/>
    </row>
    <row r="700" ht="22.5" customHeight="1">
      <c r="A700" s="131"/>
      <c r="B700" s="131"/>
      <c r="C700" s="131"/>
      <c r="D700" s="131"/>
      <c r="E700" s="132"/>
      <c r="F700" s="131"/>
      <c r="G700" s="36"/>
      <c r="H700" s="131"/>
      <c r="I700" s="133"/>
      <c r="J700" s="133"/>
      <c r="K700" s="133"/>
      <c r="L700" s="131"/>
      <c r="M700" s="131"/>
      <c r="N700" s="131"/>
      <c r="O700" s="133"/>
      <c r="P700" s="133"/>
      <c r="Q700" s="133"/>
      <c r="R700" s="131"/>
      <c r="S700" s="134"/>
      <c r="T700" s="134"/>
    </row>
    <row r="701" ht="22.5" customHeight="1">
      <c r="A701" s="131"/>
      <c r="B701" s="131"/>
      <c r="C701" s="131"/>
      <c r="D701" s="131"/>
      <c r="E701" s="132"/>
      <c r="F701" s="131"/>
      <c r="G701" s="36"/>
      <c r="H701" s="131"/>
      <c r="I701" s="133"/>
      <c r="J701" s="133"/>
      <c r="K701" s="133"/>
      <c r="L701" s="131"/>
      <c r="M701" s="131"/>
      <c r="N701" s="131"/>
      <c r="O701" s="133"/>
      <c r="P701" s="133"/>
      <c r="Q701" s="133"/>
      <c r="R701" s="131"/>
      <c r="S701" s="134"/>
      <c r="T701" s="134"/>
    </row>
    <row r="702" ht="22.5" customHeight="1">
      <c r="A702" s="131"/>
      <c r="B702" s="131"/>
      <c r="C702" s="131"/>
      <c r="D702" s="131"/>
      <c r="E702" s="132"/>
      <c r="F702" s="131"/>
      <c r="G702" s="36"/>
      <c r="H702" s="131"/>
      <c r="I702" s="133"/>
      <c r="J702" s="133"/>
      <c r="K702" s="133"/>
      <c r="L702" s="131"/>
      <c r="M702" s="131"/>
      <c r="N702" s="131"/>
      <c r="O702" s="133"/>
      <c r="P702" s="133"/>
      <c r="Q702" s="133"/>
      <c r="R702" s="131"/>
      <c r="S702" s="134"/>
      <c r="T702" s="134"/>
    </row>
    <row r="703" ht="22.5" customHeight="1">
      <c r="A703" s="131"/>
      <c r="B703" s="131"/>
      <c r="C703" s="131"/>
      <c r="D703" s="131"/>
      <c r="E703" s="132"/>
      <c r="F703" s="131"/>
      <c r="G703" s="36"/>
      <c r="H703" s="131"/>
      <c r="I703" s="133"/>
      <c r="J703" s="133"/>
      <c r="K703" s="133"/>
      <c r="L703" s="131"/>
      <c r="M703" s="131"/>
      <c r="N703" s="131"/>
      <c r="O703" s="133"/>
      <c r="P703" s="133"/>
      <c r="Q703" s="133"/>
      <c r="R703" s="131"/>
      <c r="S703" s="134"/>
      <c r="T703" s="134"/>
    </row>
    <row r="704" ht="22.5" customHeight="1">
      <c r="A704" s="131"/>
      <c r="B704" s="131"/>
      <c r="C704" s="131"/>
      <c r="D704" s="131"/>
      <c r="E704" s="132"/>
      <c r="F704" s="131"/>
      <c r="G704" s="36"/>
      <c r="H704" s="131"/>
      <c r="I704" s="133"/>
      <c r="J704" s="133"/>
      <c r="K704" s="133"/>
      <c r="L704" s="131"/>
      <c r="M704" s="131"/>
      <c r="N704" s="131"/>
      <c r="O704" s="133"/>
      <c r="P704" s="133"/>
      <c r="Q704" s="133"/>
      <c r="R704" s="131"/>
      <c r="S704" s="134"/>
      <c r="T704" s="134"/>
    </row>
    <row r="705" ht="22.5" customHeight="1">
      <c r="A705" s="131"/>
      <c r="B705" s="131"/>
      <c r="C705" s="131"/>
      <c r="D705" s="131"/>
      <c r="E705" s="132"/>
      <c r="F705" s="131"/>
      <c r="G705" s="36"/>
      <c r="H705" s="131"/>
      <c r="I705" s="133"/>
      <c r="J705" s="133"/>
      <c r="K705" s="133"/>
      <c r="L705" s="131"/>
      <c r="M705" s="131"/>
      <c r="N705" s="131"/>
      <c r="O705" s="133"/>
      <c r="P705" s="133"/>
      <c r="Q705" s="133"/>
      <c r="R705" s="131"/>
      <c r="S705" s="134"/>
      <c r="T705" s="134"/>
    </row>
    <row r="706" ht="22.5" customHeight="1">
      <c r="A706" s="131"/>
      <c r="B706" s="131"/>
      <c r="C706" s="131"/>
      <c r="D706" s="131"/>
      <c r="E706" s="132"/>
      <c r="F706" s="131"/>
      <c r="G706" s="36"/>
      <c r="H706" s="131"/>
      <c r="I706" s="133"/>
      <c r="J706" s="133"/>
      <c r="K706" s="133"/>
      <c r="L706" s="131"/>
      <c r="M706" s="131"/>
      <c r="N706" s="131"/>
      <c r="O706" s="133"/>
      <c r="P706" s="133"/>
      <c r="Q706" s="133"/>
      <c r="R706" s="131"/>
      <c r="S706" s="134"/>
      <c r="T706" s="134"/>
    </row>
    <row r="707" ht="22.5" customHeight="1">
      <c r="A707" s="131"/>
      <c r="B707" s="131"/>
      <c r="C707" s="131"/>
      <c r="D707" s="131"/>
      <c r="E707" s="132"/>
      <c r="F707" s="131"/>
      <c r="G707" s="36"/>
      <c r="H707" s="131"/>
      <c r="I707" s="133"/>
      <c r="J707" s="133"/>
      <c r="K707" s="133"/>
      <c r="L707" s="131"/>
      <c r="M707" s="131"/>
      <c r="N707" s="131"/>
      <c r="O707" s="133"/>
      <c r="P707" s="133"/>
      <c r="Q707" s="133"/>
      <c r="R707" s="131"/>
      <c r="S707" s="134"/>
      <c r="T707" s="134"/>
    </row>
    <row r="708" ht="22.5" customHeight="1">
      <c r="A708" s="131"/>
      <c r="B708" s="131"/>
      <c r="C708" s="131"/>
      <c r="D708" s="131"/>
      <c r="E708" s="132"/>
      <c r="F708" s="131"/>
      <c r="G708" s="36"/>
      <c r="H708" s="131"/>
      <c r="I708" s="133"/>
      <c r="J708" s="133"/>
      <c r="K708" s="133"/>
      <c r="L708" s="131"/>
      <c r="M708" s="131"/>
      <c r="N708" s="131"/>
      <c r="O708" s="133"/>
      <c r="P708" s="133"/>
      <c r="Q708" s="133"/>
      <c r="R708" s="131"/>
      <c r="S708" s="134"/>
      <c r="T708" s="134"/>
    </row>
    <row r="709" ht="22.5" customHeight="1">
      <c r="A709" s="131"/>
      <c r="B709" s="131"/>
      <c r="C709" s="131"/>
      <c r="D709" s="131"/>
      <c r="E709" s="132"/>
      <c r="F709" s="131"/>
      <c r="G709" s="36"/>
      <c r="H709" s="131"/>
      <c r="I709" s="133"/>
      <c r="J709" s="133"/>
      <c r="K709" s="133"/>
      <c r="L709" s="131"/>
      <c r="M709" s="131"/>
      <c r="N709" s="131"/>
      <c r="O709" s="133"/>
      <c r="P709" s="133"/>
      <c r="Q709" s="133"/>
      <c r="R709" s="131"/>
      <c r="S709" s="134"/>
      <c r="T709" s="134"/>
    </row>
    <row r="710" ht="22.5" customHeight="1">
      <c r="A710" s="131"/>
      <c r="B710" s="131"/>
      <c r="C710" s="131"/>
      <c r="D710" s="131"/>
      <c r="E710" s="132"/>
      <c r="F710" s="131"/>
      <c r="G710" s="36"/>
      <c r="H710" s="131"/>
      <c r="I710" s="133"/>
      <c r="J710" s="133"/>
      <c r="K710" s="133"/>
      <c r="L710" s="131"/>
      <c r="M710" s="131"/>
      <c r="N710" s="131"/>
      <c r="O710" s="133"/>
      <c r="P710" s="133"/>
      <c r="Q710" s="133"/>
      <c r="R710" s="131"/>
      <c r="S710" s="134"/>
      <c r="T710" s="134"/>
    </row>
    <row r="711" ht="22.5" customHeight="1">
      <c r="A711" s="131"/>
      <c r="B711" s="131"/>
      <c r="C711" s="131"/>
      <c r="D711" s="131"/>
      <c r="E711" s="132"/>
      <c r="F711" s="131"/>
      <c r="G711" s="36"/>
      <c r="H711" s="131"/>
      <c r="I711" s="133"/>
      <c r="J711" s="133"/>
      <c r="K711" s="133"/>
      <c r="L711" s="131"/>
      <c r="M711" s="131"/>
      <c r="N711" s="131"/>
      <c r="O711" s="133"/>
      <c r="P711" s="133"/>
      <c r="Q711" s="133"/>
      <c r="R711" s="131"/>
      <c r="S711" s="134"/>
      <c r="T711" s="134"/>
    </row>
    <row r="712" ht="22.5" customHeight="1">
      <c r="A712" s="131"/>
      <c r="B712" s="131"/>
      <c r="C712" s="131"/>
      <c r="D712" s="131"/>
      <c r="E712" s="132"/>
      <c r="F712" s="131"/>
      <c r="G712" s="36"/>
      <c r="H712" s="131"/>
      <c r="I712" s="133"/>
      <c r="J712" s="133"/>
      <c r="K712" s="133"/>
      <c r="L712" s="131"/>
      <c r="M712" s="131"/>
      <c r="N712" s="131"/>
      <c r="O712" s="133"/>
      <c r="P712" s="133"/>
      <c r="Q712" s="133"/>
      <c r="R712" s="131"/>
      <c r="S712" s="134"/>
      <c r="T712" s="134"/>
    </row>
    <row r="713" ht="22.5" customHeight="1">
      <c r="A713" s="131"/>
      <c r="B713" s="131"/>
      <c r="C713" s="131"/>
      <c r="D713" s="131"/>
      <c r="E713" s="132"/>
      <c r="F713" s="131"/>
      <c r="G713" s="36"/>
      <c r="H713" s="131"/>
      <c r="I713" s="133"/>
      <c r="J713" s="133"/>
      <c r="K713" s="133"/>
      <c r="L713" s="131"/>
      <c r="M713" s="131"/>
      <c r="N713" s="131"/>
      <c r="O713" s="133"/>
      <c r="P713" s="133"/>
      <c r="Q713" s="133"/>
      <c r="R713" s="131"/>
      <c r="S713" s="134"/>
      <c r="T713" s="134"/>
    </row>
    <row r="714" ht="22.5" customHeight="1">
      <c r="A714" s="131"/>
      <c r="B714" s="131"/>
      <c r="C714" s="131"/>
      <c r="D714" s="131"/>
      <c r="E714" s="132"/>
      <c r="F714" s="131"/>
      <c r="G714" s="36"/>
      <c r="H714" s="131"/>
      <c r="I714" s="133"/>
      <c r="J714" s="133"/>
      <c r="K714" s="133"/>
      <c r="L714" s="131"/>
      <c r="M714" s="131"/>
      <c r="N714" s="131"/>
      <c r="O714" s="133"/>
      <c r="P714" s="133"/>
      <c r="Q714" s="133"/>
      <c r="R714" s="131"/>
      <c r="S714" s="134"/>
      <c r="T714" s="134"/>
    </row>
    <row r="715" ht="22.5" customHeight="1">
      <c r="A715" s="131"/>
      <c r="B715" s="131"/>
      <c r="C715" s="131"/>
      <c r="D715" s="131"/>
      <c r="E715" s="132"/>
      <c r="F715" s="131"/>
      <c r="G715" s="36"/>
      <c r="H715" s="131"/>
      <c r="I715" s="133"/>
      <c r="J715" s="133"/>
      <c r="K715" s="133"/>
      <c r="L715" s="131"/>
      <c r="M715" s="131"/>
      <c r="N715" s="131"/>
      <c r="O715" s="133"/>
      <c r="P715" s="133"/>
      <c r="Q715" s="133"/>
      <c r="R715" s="131"/>
      <c r="S715" s="134"/>
      <c r="T715" s="134"/>
    </row>
    <row r="716" ht="22.5" customHeight="1">
      <c r="A716" s="131"/>
      <c r="B716" s="131"/>
      <c r="C716" s="131"/>
      <c r="D716" s="131"/>
      <c r="E716" s="132"/>
      <c r="F716" s="131"/>
      <c r="G716" s="36"/>
      <c r="H716" s="131"/>
      <c r="I716" s="133"/>
      <c r="J716" s="133"/>
      <c r="K716" s="133"/>
      <c r="L716" s="131"/>
      <c r="M716" s="131"/>
      <c r="N716" s="131"/>
      <c r="O716" s="133"/>
      <c r="P716" s="133"/>
      <c r="Q716" s="133"/>
      <c r="R716" s="131"/>
      <c r="S716" s="134"/>
      <c r="T716" s="134"/>
    </row>
    <row r="717" ht="22.5" customHeight="1">
      <c r="A717" s="131"/>
      <c r="B717" s="131"/>
      <c r="C717" s="131"/>
      <c r="D717" s="131"/>
      <c r="E717" s="132"/>
      <c r="F717" s="131"/>
      <c r="G717" s="36"/>
      <c r="H717" s="131"/>
      <c r="I717" s="133"/>
      <c r="J717" s="133"/>
      <c r="K717" s="133"/>
      <c r="L717" s="131"/>
      <c r="M717" s="131"/>
      <c r="N717" s="131"/>
      <c r="O717" s="133"/>
      <c r="P717" s="133"/>
      <c r="Q717" s="133"/>
      <c r="R717" s="131"/>
      <c r="S717" s="134"/>
      <c r="T717" s="134"/>
    </row>
    <row r="718" ht="22.5" customHeight="1">
      <c r="A718" s="131"/>
      <c r="B718" s="131"/>
      <c r="C718" s="131"/>
      <c r="D718" s="131"/>
      <c r="E718" s="132"/>
      <c r="F718" s="131"/>
      <c r="G718" s="36"/>
      <c r="H718" s="131"/>
      <c r="I718" s="133"/>
      <c r="J718" s="133"/>
      <c r="K718" s="133"/>
      <c r="L718" s="131"/>
      <c r="M718" s="131"/>
      <c r="N718" s="131"/>
      <c r="O718" s="133"/>
      <c r="P718" s="133"/>
      <c r="Q718" s="133"/>
      <c r="R718" s="131"/>
      <c r="S718" s="134"/>
      <c r="T718" s="134"/>
    </row>
    <row r="719" ht="22.5" customHeight="1">
      <c r="A719" s="131"/>
      <c r="B719" s="131"/>
      <c r="C719" s="131"/>
      <c r="D719" s="131"/>
      <c r="E719" s="132"/>
      <c r="F719" s="131"/>
      <c r="G719" s="36"/>
      <c r="H719" s="131"/>
      <c r="I719" s="133"/>
      <c r="J719" s="133"/>
      <c r="K719" s="133"/>
      <c r="L719" s="131"/>
      <c r="M719" s="131"/>
      <c r="N719" s="131"/>
      <c r="O719" s="133"/>
      <c r="P719" s="133"/>
      <c r="Q719" s="133"/>
      <c r="R719" s="131"/>
      <c r="S719" s="134"/>
      <c r="T719" s="134"/>
    </row>
    <row r="720" ht="22.5" customHeight="1">
      <c r="A720" s="131"/>
      <c r="B720" s="131"/>
      <c r="C720" s="131"/>
      <c r="D720" s="131"/>
      <c r="E720" s="132"/>
      <c r="F720" s="131"/>
      <c r="G720" s="36"/>
      <c r="H720" s="131"/>
      <c r="I720" s="133"/>
      <c r="J720" s="133"/>
      <c r="K720" s="133"/>
      <c r="L720" s="131"/>
      <c r="M720" s="131"/>
      <c r="N720" s="131"/>
      <c r="O720" s="133"/>
      <c r="P720" s="133"/>
      <c r="Q720" s="133"/>
      <c r="R720" s="131"/>
      <c r="S720" s="134"/>
      <c r="T720" s="134"/>
    </row>
    <row r="721" ht="22.5" customHeight="1">
      <c r="A721" s="131"/>
      <c r="B721" s="131"/>
      <c r="C721" s="131"/>
      <c r="D721" s="131"/>
      <c r="E721" s="132"/>
      <c r="F721" s="131"/>
      <c r="G721" s="36"/>
      <c r="H721" s="131"/>
      <c r="I721" s="133"/>
      <c r="J721" s="133"/>
      <c r="K721" s="133"/>
      <c r="L721" s="131"/>
      <c r="M721" s="131"/>
      <c r="N721" s="131"/>
      <c r="O721" s="133"/>
      <c r="P721" s="133"/>
      <c r="Q721" s="133"/>
      <c r="R721" s="131"/>
      <c r="S721" s="134"/>
      <c r="T721" s="134"/>
    </row>
    <row r="722" ht="22.5" customHeight="1">
      <c r="A722" s="131"/>
      <c r="B722" s="131"/>
      <c r="C722" s="131"/>
      <c r="D722" s="131"/>
      <c r="E722" s="132"/>
      <c r="F722" s="131"/>
      <c r="G722" s="36"/>
      <c r="H722" s="131"/>
      <c r="I722" s="133"/>
      <c r="J722" s="133"/>
      <c r="K722" s="133"/>
      <c r="L722" s="131"/>
      <c r="M722" s="131"/>
      <c r="N722" s="131"/>
      <c r="O722" s="133"/>
      <c r="P722" s="133"/>
      <c r="Q722" s="133"/>
      <c r="R722" s="131"/>
      <c r="S722" s="134"/>
      <c r="T722" s="134"/>
    </row>
    <row r="723" ht="22.5" customHeight="1">
      <c r="A723" s="131"/>
      <c r="B723" s="131"/>
      <c r="C723" s="131"/>
      <c r="D723" s="131"/>
      <c r="E723" s="132"/>
      <c r="F723" s="131"/>
      <c r="G723" s="36"/>
      <c r="H723" s="131"/>
      <c r="I723" s="133"/>
      <c r="J723" s="133"/>
      <c r="K723" s="133"/>
      <c r="L723" s="131"/>
      <c r="M723" s="131"/>
      <c r="N723" s="131"/>
      <c r="O723" s="133"/>
      <c r="P723" s="133"/>
      <c r="Q723" s="133"/>
      <c r="R723" s="131"/>
      <c r="S723" s="134"/>
      <c r="T723" s="134"/>
    </row>
    <row r="724" ht="22.5" customHeight="1">
      <c r="A724" s="131"/>
      <c r="B724" s="131"/>
      <c r="C724" s="131"/>
      <c r="D724" s="131"/>
      <c r="E724" s="132"/>
      <c r="F724" s="131"/>
      <c r="G724" s="36"/>
      <c r="H724" s="131"/>
      <c r="I724" s="133"/>
      <c r="J724" s="133"/>
      <c r="K724" s="133"/>
      <c r="L724" s="131"/>
      <c r="M724" s="131"/>
      <c r="N724" s="131"/>
      <c r="O724" s="133"/>
      <c r="P724" s="133"/>
      <c r="Q724" s="133"/>
      <c r="R724" s="131"/>
      <c r="S724" s="134"/>
      <c r="T724" s="134"/>
    </row>
    <row r="725" ht="22.5" customHeight="1">
      <c r="A725" s="131"/>
      <c r="B725" s="131"/>
      <c r="C725" s="131"/>
      <c r="D725" s="131"/>
      <c r="E725" s="132"/>
      <c r="F725" s="131"/>
      <c r="G725" s="36"/>
      <c r="H725" s="131"/>
      <c r="I725" s="133"/>
      <c r="J725" s="133"/>
      <c r="K725" s="133"/>
      <c r="L725" s="131"/>
      <c r="M725" s="131"/>
      <c r="N725" s="131"/>
      <c r="O725" s="133"/>
      <c r="P725" s="133"/>
      <c r="Q725" s="133"/>
      <c r="R725" s="131"/>
      <c r="S725" s="134"/>
      <c r="T725" s="134"/>
    </row>
    <row r="726" ht="22.5" customHeight="1">
      <c r="A726" s="131"/>
      <c r="B726" s="131"/>
      <c r="C726" s="131"/>
      <c r="D726" s="131"/>
      <c r="E726" s="132"/>
      <c r="F726" s="131"/>
      <c r="G726" s="36"/>
      <c r="H726" s="131"/>
      <c r="I726" s="133"/>
      <c r="J726" s="133"/>
      <c r="K726" s="133"/>
      <c r="L726" s="131"/>
      <c r="M726" s="131"/>
      <c r="N726" s="131"/>
      <c r="O726" s="133"/>
      <c r="P726" s="133"/>
      <c r="Q726" s="133"/>
      <c r="R726" s="131"/>
      <c r="S726" s="134"/>
      <c r="T726" s="134"/>
    </row>
    <row r="727" ht="22.5" customHeight="1">
      <c r="A727" s="131"/>
      <c r="B727" s="131"/>
      <c r="C727" s="131"/>
      <c r="D727" s="131"/>
      <c r="E727" s="132"/>
      <c r="F727" s="131"/>
      <c r="G727" s="36"/>
      <c r="H727" s="131"/>
      <c r="I727" s="133"/>
      <c r="J727" s="133"/>
      <c r="K727" s="133"/>
      <c r="L727" s="131"/>
      <c r="M727" s="131"/>
      <c r="N727" s="131"/>
      <c r="O727" s="133"/>
      <c r="P727" s="133"/>
      <c r="Q727" s="133"/>
      <c r="R727" s="131"/>
      <c r="S727" s="134"/>
      <c r="T727" s="134"/>
    </row>
    <row r="728" ht="22.5" customHeight="1">
      <c r="A728" s="131"/>
      <c r="B728" s="131"/>
      <c r="C728" s="131"/>
      <c r="D728" s="131"/>
      <c r="E728" s="132"/>
      <c r="F728" s="131"/>
      <c r="G728" s="36"/>
      <c r="H728" s="131"/>
      <c r="I728" s="133"/>
      <c r="J728" s="133"/>
      <c r="K728" s="133"/>
      <c r="L728" s="131"/>
      <c r="M728" s="131"/>
      <c r="N728" s="131"/>
      <c r="O728" s="133"/>
      <c r="P728" s="133"/>
      <c r="Q728" s="133"/>
      <c r="R728" s="131"/>
      <c r="S728" s="134"/>
      <c r="T728" s="134"/>
    </row>
    <row r="729" ht="22.5" customHeight="1">
      <c r="A729" s="131"/>
      <c r="B729" s="131"/>
      <c r="C729" s="131"/>
      <c r="D729" s="131"/>
      <c r="E729" s="132"/>
      <c r="F729" s="131"/>
      <c r="G729" s="36"/>
      <c r="H729" s="131"/>
      <c r="I729" s="133"/>
      <c r="J729" s="133"/>
      <c r="K729" s="133"/>
      <c r="L729" s="131"/>
      <c r="M729" s="131"/>
      <c r="N729" s="131"/>
      <c r="O729" s="133"/>
      <c r="P729" s="133"/>
      <c r="Q729" s="133"/>
      <c r="R729" s="131"/>
      <c r="S729" s="134"/>
      <c r="T729" s="134"/>
    </row>
    <row r="730" ht="22.5" customHeight="1">
      <c r="A730" s="131"/>
      <c r="B730" s="131"/>
      <c r="C730" s="131"/>
      <c r="D730" s="131"/>
      <c r="E730" s="132"/>
      <c r="F730" s="131"/>
      <c r="G730" s="36"/>
      <c r="H730" s="131"/>
      <c r="I730" s="133"/>
      <c r="J730" s="133"/>
      <c r="K730" s="133"/>
      <c r="L730" s="131"/>
      <c r="M730" s="131"/>
      <c r="N730" s="131"/>
      <c r="O730" s="133"/>
      <c r="P730" s="133"/>
      <c r="Q730" s="133"/>
      <c r="R730" s="131"/>
      <c r="S730" s="134"/>
      <c r="T730" s="134"/>
    </row>
    <row r="731" ht="22.5" customHeight="1">
      <c r="A731" s="131"/>
      <c r="B731" s="131"/>
      <c r="C731" s="131"/>
      <c r="D731" s="131"/>
      <c r="E731" s="132"/>
      <c r="F731" s="131"/>
      <c r="G731" s="36"/>
      <c r="H731" s="131"/>
      <c r="I731" s="133"/>
      <c r="J731" s="133"/>
      <c r="K731" s="133"/>
      <c r="L731" s="131"/>
      <c r="M731" s="131"/>
      <c r="N731" s="131"/>
      <c r="O731" s="133"/>
      <c r="P731" s="133"/>
      <c r="Q731" s="133"/>
      <c r="R731" s="131"/>
      <c r="S731" s="134"/>
      <c r="T731" s="134"/>
    </row>
    <row r="732" ht="22.5" customHeight="1">
      <c r="A732" s="131"/>
      <c r="B732" s="131"/>
      <c r="C732" s="131"/>
      <c r="D732" s="131"/>
      <c r="E732" s="132"/>
      <c r="F732" s="131"/>
      <c r="G732" s="36"/>
      <c r="H732" s="131"/>
      <c r="I732" s="133"/>
      <c r="J732" s="133"/>
      <c r="K732" s="133"/>
      <c r="L732" s="131"/>
      <c r="M732" s="131"/>
      <c r="N732" s="131"/>
      <c r="O732" s="133"/>
      <c r="P732" s="133"/>
      <c r="Q732" s="133"/>
      <c r="R732" s="131"/>
      <c r="S732" s="134"/>
      <c r="T732" s="134"/>
    </row>
    <row r="733" ht="22.5" customHeight="1">
      <c r="A733" s="131"/>
      <c r="B733" s="131"/>
      <c r="C733" s="131"/>
      <c r="D733" s="131"/>
      <c r="E733" s="132"/>
      <c r="F733" s="131"/>
      <c r="G733" s="36"/>
      <c r="H733" s="131"/>
      <c r="I733" s="133"/>
      <c r="J733" s="133"/>
      <c r="K733" s="133"/>
      <c r="L733" s="131"/>
      <c r="M733" s="131"/>
      <c r="N733" s="131"/>
      <c r="O733" s="133"/>
      <c r="P733" s="133"/>
      <c r="Q733" s="133"/>
      <c r="R733" s="131"/>
      <c r="S733" s="134"/>
      <c r="T733" s="134"/>
    </row>
    <row r="734" ht="22.5" customHeight="1">
      <c r="A734" s="131"/>
      <c r="B734" s="131"/>
      <c r="C734" s="131"/>
      <c r="D734" s="131"/>
      <c r="E734" s="132"/>
      <c r="F734" s="131"/>
      <c r="G734" s="36"/>
      <c r="H734" s="131"/>
      <c r="I734" s="133"/>
      <c r="J734" s="133"/>
      <c r="K734" s="133"/>
      <c r="L734" s="131"/>
      <c r="M734" s="131"/>
      <c r="N734" s="131"/>
      <c r="O734" s="133"/>
      <c r="P734" s="133"/>
      <c r="Q734" s="133"/>
      <c r="R734" s="131"/>
      <c r="S734" s="134"/>
      <c r="T734" s="134"/>
    </row>
    <row r="735" ht="22.5" customHeight="1">
      <c r="A735" s="131"/>
      <c r="B735" s="131"/>
      <c r="C735" s="131"/>
      <c r="D735" s="131"/>
      <c r="E735" s="132"/>
      <c r="F735" s="131"/>
      <c r="G735" s="36"/>
      <c r="H735" s="131"/>
      <c r="I735" s="133"/>
      <c r="J735" s="133"/>
      <c r="K735" s="133"/>
      <c r="L735" s="131"/>
      <c r="M735" s="131"/>
      <c r="N735" s="131"/>
      <c r="O735" s="133"/>
      <c r="P735" s="133"/>
      <c r="Q735" s="133"/>
      <c r="R735" s="131"/>
      <c r="S735" s="134"/>
      <c r="T735" s="134"/>
    </row>
    <row r="736" ht="22.5" customHeight="1">
      <c r="A736" s="131"/>
      <c r="B736" s="131"/>
      <c r="C736" s="131"/>
      <c r="D736" s="131"/>
      <c r="E736" s="132"/>
      <c r="F736" s="131"/>
      <c r="G736" s="36"/>
      <c r="H736" s="131"/>
      <c r="I736" s="133"/>
      <c r="J736" s="133"/>
      <c r="K736" s="133"/>
      <c r="L736" s="131"/>
      <c r="M736" s="131"/>
      <c r="N736" s="131"/>
      <c r="O736" s="133"/>
      <c r="P736" s="133"/>
      <c r="Q736" s="133"/>
      <c r="R736" s="131"/>
      <c r="S736" s="134"/>
      <c r="T736" s="134"/>
    </row>
    <row r="737" ht="22.5" customHeight="1">
      <c r="A737" s="131"/>
      <c r="B737" s="131"/>
      <c r="C737" s="131"/>
      <c r="D737" s="131"/>
      <c r="E737" s="132"/>
      <c r="F737" s="131"/>
      <c r="G737" s="36"/>
      <c r="H737" s="131"/>
      <c r="I737" s="133"/>
      <c r="J737" s="133"/>
      <c r="K737" s="133"/>
      <c r="L737" s="131"/>
      <c r="M737" s="131"/>
      <c r="N737" s="131"/>
      <c r="O737" s="133"/>
      <c r="P737" s="133"/>
      <c r="Q737" s="133"/>
      <c r="R737" s="131"/>
      <c r="S737" s="134"/>
      <c r="T737" s="134"/>
    </row>
    <row r="738" ht="22.5" customHeight="1">
      <c r="A738" s="131"/>
      <c r="B738" s="131"/>
      <c r="C738" s="131"/>
      <c r="D738" s="131"/>
      <c r="E738" s="132"/>
      <c r="F738" s="131"/>
      <c r="G738" s="36"/>
      <c r="H738" s="131"/>
      <c r="I738" s="133"/>
      <c r="J738" s="133"/>
      <c r="K738" s="133"/>
      <c r="L738" s="131"/>
      <c r="M738" s="131"/>
      <c r="N738" s="131"/>
      <c r="O738" s="133"/>
      <c r="P738" s="133"/>
      <c r="Q738" s="133"/>
      <c r="R738" s="131"/>
      <c r="S738" s="134"/>
      <c r="T738" s="134"/>
    </row>
    <row r="739" ht="22.5" customHeight="1">
      <c r="A739" s="131"/>
      <c r="B739" s="131"/>
      <c r="C739" s="131"/>
      <c r="D739" s="131"/>
      <c r="E739" s="132"/>
      <c r="F739" s="131"/>
      <c r="G739" s="36"/>
      <c r="H739" s="131"/>
      <c r="I739" s="133"/>
      <c r="J739" s="133"/>
      <c r="K739" s="133"/>
      <c r="L739" s="131"/>
      <c r="M739" s="131"/>
      <c r="N739" s="131"/>
      <c r="O739" s="133"/>
      <c r="P739" s="133"/>
      <c r="Q739" s="133"/>
      <c r="R739" s="131"/>
      <c r="S739" s="134"/>
      <c r="T739" s="134"/>
    </row>
    <row r="740" ht="22.5" customHeight="1">
      <c r="A740" s="131"/>
      <c r="B740" s="131"/>
      <c r="C740" s="131"/>
      <c r="D740" s="131"/>
      <c r="E740" s="132"/>
      <c r="F740" s="131"/>
      <c r="G740" s="36"/>
      <c r="H740" s="131"/>
      <c r="I740" s="133"/>
      <c r="J740" s="133"/>
      <c r="K740" s="133"/>
      <c r="L740" s="131"/>
      <c r="M740" s="131"/>
      <c r="N740" s="131"/>
      <c r="O740" s="133"/>
      <c r="P740" s="133"/>
      <c r="Q740" s="133"/>
      <c r="R740" s="131"/>
      <c r="S740" s="134"/>
      <c r="T740" s="134"/>
    </row>
    <row r="741" ht="22.5" customHeight="1">
      <c r="A741" s="131"/>
      <c r="B741" s="131"/>
      <c r="C741" s="131"/>
      <c r="D741" s="131"/>
      <c r="E741" s="132"/>
      <c r="F741" s="131"/>
      <c r="G741" s="36"/>
      <c r="H741" s="131"/>
      <c r="I741" s="133"/>
      <c r="J741" s="133"/>
      <c r="K741" s="133"/>
      <c r="L741" s="131"/>
      <c r="M741" s="131"/>
      <c r="N741" s="131"/>
      <c r="O741" s="133"/>
      <c r="P741" s="133"/>
      <c r="Q741" s="133"/>
      <c r="R741" s="131"/>
      <c r="S741" s="134"/>
      <c r="T741" s="134"/>
    </row>
    <row r="742" ht="22.5" customHeight="1">
      <c r="A742" s="131"/>
      <c r="B742" s="131"/>
      <c r="C742" s="131"/>
      <c r="D742" s="131"/>
      <c r="E742" s="132"/>
      <c r="F742" s="131"/>
      <c r="G742" s="36"/>
      <c r="H742" s="131"/>
      <c r="I742" s="133"/>
      <c r="J742" s="133"/>
      <c r="K742" s="133"/>
      <c r="L742" s="131"/>
      <c r="M742" s="131"/>
      <c r="N742" s="131"/>
      <c r="O742" s="133"/>
      <c r="P742" s="133"/>
      <c r="Q742" s="133"/>
      <c r="R742" s="131"/>
      <c r="S742" s="134"/>
      <c r="T742" s="134"/>
    </row>
    <row r="743" ht="22.5" customHeight="1">
      <c r="A743" s="131"/>
      <c r="B743" s="131"/>
      <c r="C743" s="131"/>
      <c r="D743" s="131"/>
      <c r="E743" s="132"/>
      <c r="F743" s="131"/>
      <c r="G743" s="36"/>
      <c r="H743" s="131"/>
      <c r="I743" s="133"/>
      <c r="J743" s="133"/>
      <c r="K743" s="133"/>
      <c r="L743" s="131"/>
      <c r="M743" s="131"/>
      <c r="N743" s="131"/>
      <c r="O743" s="133"/>
      <c r="P743" s="133"/>
      <c r="Q743" s="133"/>
      <c r="R743" s="131"/>
      <c r="S743" s="134"/>
      <c r="T743" s="134"/>
    </row>
    <row r="744" ht="22.5" customHeight="1">
      <c r="A744" s="131"/>
      <c r="B744" s="131"/>
      <c r="C744" s="131"/>
      <c r="D744" s="131"/>
      <c r="E744" s="132"/>
      <c r="F744" s="131"/>
      <c r="G744" s="36"/>
      <c r="H744" s="131"/>
      <c r="I744" s="133"/>
      <c r="J744" s="133"/>
      <c r="K744" s="133"/>
      <c r="L744" s="131"/>
      <c r="M744" s="131"/>
      <c r="N744" s="131"/>
      <c r="O744" s="133"/>
      <c r="P744" s="133"/>
      <c r="Q744" s="133"/>
      <c r="R744" s="131"/>
      <c r="S744" s="134"/>
      <c r="T744" s="134"/>
    </row>
    <row r="745" ht="22.5" customHeight="1">
      <c r="A745" s="131"/>
      <c r="B745" s="131"/>
      <c r="C745" s="131"/>
      <c r="D745" s="131"/>
      <c r="E745" s="132"/>
      <c r="F745" s="131"/>
      <c r="G745" s="36"/>
      <c r="H745" s="131"/>
      <c r="I745" s="133"/>
      <c r="J745" s="133"/>
      <c r="K745" s="133"/>
      <c r="L745" s="131"/>
      <c r="M745" s="131"/>
      <c r="N745" s="131"/>
      <c r="O745" s="133"/>
      <c r="P745" s="133"/>
      <c r="Q745" s="133"/>
      <c r="R745" s="131"/>
      <c r="S745" s="134"/>
      <c r="T745" s="134"/>
    </row>
    <row r="746" ht="22.5" customHeight="1">
      <c r="A746" s="131"/>
      <c r="B746" s="131"/>
      <c r="C746" s="131"/>
      <c r="D746" s="131"/>
      <c r="E746" s="132"/>
      <c r="F746" s="131"/>
      <c r="G746" s="36"/>
      <c r="H746" s="131"/>
      <c r="I746" s="133"/>
      <c r="J746" s="133"/>
      <c r="K746" s="133"/>
      <c r="L746" s="131"/>
      <c r="M746" s="131"/>
      <c r="N746" s="131"/>
      <c r="O746" s="133"/>
      <c r="P746" s="133"/>
      <c r="Q746" s="133"/>
      <c r="R746" s="131"/>
      <c r="S746" s="134"/>
      <c r="T746" s="134"/>
    </row>
    <row r="747" ht="22.5" customHeight="1">
      <c r="A747" s="131"/>
      <c r="B747" s="131"/>
      <c r="C747" s="131"/>
      <c r="D747" s="131"/>
      <c r="E747" s="132"/>
      <c r="F747" s="131"/>
      <c r="G747" s="36"/>
      <c r="H747" s="131"/>
      <c r="I747" s="133"/>
      <c r="J747" s="133"/>
      <c r="K747" s="133"/>
      <c r="L747" s="131"/>
      <c r="M747" s="131"/>
      <c r="N747" s="131"/>
      <c r="O747" s="133"/>
      <c r="P747" s="133"/>
      <c r="Q747" s="133"/>
      <c r="R747" s="131"/>
      <c r="S747" s="134"/>
      <c r="T747" s="134"/>
    </row>
    <row r="748" ht="22.5" customHeight="1">
      <c r="A748" s="131"/>
      <c r="B748" s="131"/>
      <c r="C748" s="131"/>
      <c r="D748" s="131"/>
      <c r="E748" s="132"/>
      <c r="F748" s="131"/>
      <c r="G748" s="36"/>
      <c r="H748" s="131"/>
      <c r="I748" s="133"/>
      <c r="J748" s="133"/>
      <c r="K748" s="133"/>
      <c r="L748" s="131"/>
      <c r="M748" s="131"/>
      <c r="N748" s="131"/>
      <c r="O748" s="133"/>
      <c r="P748" s="133"/>
      <c r="Q748" s="133"/>
      <c r="R748" s="131"/>
      <c r="S748" s="134"/>
      <c r="T748" s="134"/>
    </row>
    <row r="749" ht="22.5" customHeight="1">
      <c r="A749" s="131"/>
      <c r="B749" s="131"/>
      <c r="C749" s="131"/>
      <c r="D749" s="131"/>
      <c r="E749" s="132"/>
      <c r="F749" s="131"/>
      <c r="G749" s="36"/>
      <c r="H749" s="131"/>
      <c r="I749" s="133"/>
      <c r="J749" s="133"/>
      <c r="K749" s="133"/>
      <c r="L749" s="131"/>
      <c r="M749" s="131"/>
      <c r="N749" s="131"/>
      <c r="O749" s="133"/>
      <c r="P749" s="133"/>
      <c r="Q749" s="133"/>
      <c r="R749" s="131"/>
      <c r="S749" s="134"/>
      <c r="T749" s="134"/>
    </row>
    <row r="750" ht="22.5" customHeight="1">
      <c r="A750" s="131"/>
      <c r="B750" s="131"/>
      <c r="C750" s="131"/>
      <c r="D750" s="131"/>
      <c r="E750" s="132"/>
      <c r="F750" s="131"/>
      <c r="G750" s="36"/>
      <c r="H750" s="131"/>
      <c r="I750" s="133"/>
      <c r="J750" s="133"/>
      <c r="K750" s="133"/>
      <c r="L750" s="131"/>
      <c r="M750" s="131"/>
      <c r="N750" s="131"/>
      <c r="O750" s="133"/>
      <c r="P750" s="133"/>
      <c r="Q750" s="133"/>
      <c r="R750" s="131"/>
      <c r="S750" s="134"/>
      <c r="T750" s="134"/>
    </row>
    <row r="751" ht="22.5" customHeight="1">
      <c r="A751" s="131"/>
      <c r="B751" s="131"/>
      <c r="C751" s="131"/>
      <c r="D751" s="131"/>
      <c r="E751" s="132"/>
      <c r="F751" s="131"/>
      <c r="G751" s="36"/>
      <c r="H751" s="131"/>
      <c r="I751" s="133"/>
      <c r="J751" s="133"/>
      <c r="K751" s="133"/>
      <c r="L751" s="131"/>
      <c r="M751" s="131"/>
      <c r="N751" s="131"/>
      <c r="O751" s="133"/>
      <c r="P751" s="133"/>
      <c r="Q751" s="133"/>
      <c r="R751" s="131"/>
      <c r="S751" s="134"/>
      <c r="T751" s="134"/>
    </row>
    <row r="752" ht="22.5" customHeight="1">
      <c r="A752" s="131"/>
      <c r="B752" s="131"/>
      <c r="C752" s="131"/>
      <c r="D752" s="131"/>
      <c r="E752" s="132"/>
      <c r="F752" s="131"/>
      <c r="G752" s="36"/>
      <c r="H752" s="131"/>
      <c r="I752" s="133"/>
      <c r="J752" s="133"/>
      <c r="K752" s="133"/>
      <c r="L752" s="131"/>
      <c r="M752" s="131"/>
      <c r="N752" s="131"/>
      <c r="O752" s="133"/>
      <c r="P752" s="133"/>
      <c r="Q752" s="133"/>
      <c r="R752" s="131"/>
      <c r="S752" s="134"/>
      <c r="T752" s="134"/>
    </row>
    <row r="753" ht="22.5" customHeight="1">
      <c r="A753" s="131"/>
      <c r="B753" s="131"/>
      <c r="C753" s="131"/>
      <c r="D753" s="131"/>
      <c r="E753" s="132"/>
      <c r="F753" s="131"/>
      <c r="G753" s="36"/>
      <c r="H753" s="131"/>
      <c r="I753" s="133"/>
      <c r="J753" s="133"/>
      <c r="K753" s="133"/>
      <c r="L753" s="131"/>
      <c r="M753" s="131"/>
      <c r="N753" s="131"/>
      <c r="O753" s="133"/>
      <c r="P753" s="133"/>
      <c r="Q753" s="133"/>
      <c r="R753" s="131"/>
      <c r="S753" s="134"/>
      <c r="T753" s="134"/>
    </row>
    <row r="754" ht="22.5" customHeight="1">
      <c r="A754" s="131"/>
      <c r="B754" s="131"/>
      <c r="C754" s="131"/>
      <c r="D754" s="131"/>
      <c r="E754" s="132"/>
      <c r="F754" s="131"/>
      <c r="G754" s="36"/>
      <c r="H754" s="131"/>
      <c r="I754" s="133"/>
      <c r="J754" s="133"/>
      <c r="K754" s="133"/>
      <c r="L754" s="131"/>
      <c r="M754" s="131"/>
      <c r="N754" s="131"/>
      <c r="O754" s="133"/>
      <c r="P754" s="133"/>
      <c r="Q754" s="133"/>
      <c r="R754" s="131"/>
      <c r="S754" s="134"/>
      <c r="T754" s="134"/>
    </row>
    <row r="755" ht="22.5" customHeight="1">
      <c r="A755" s="131"/>
      <c r="B755" s="131"/>
      <c r="C755" s="131"/>
      <c r="D755" s="131"/>
      <c r="E755" s="132"/>
      <c r="F755" s="131"/>
      <c r="G755" s="36"/>
      <c r="H755" s="131"/>
      <c r="I755" s="133"/>
      <c r="J755" s="133"/>
      <c r="K755" s="133"/>
      <c r="L755" s="131"/>
      <c r="M755" s="131"/>
      <c r="N755" s="131"/>
      <c r="O755" s="133"/>
      <c r="P755" s="133"/>
      <c r="Q755" s="133"/>
      <c r="R755" s="131"/>
      <c r="S755" s="134"/>
      <c r="T755" s="134"/>
    </row>
    <row r="756" ht="22.5" customHeight="1">
      <c r="A756" s="131"/>
      <c r="B756" s="131"/>
      <c r="C756" s="131"/>
      <c r="D756" s="131"/>
      <c r="E756" s="132"/>
      <c r="F756" s="131"/>
      <c r="G756" s="36"/>
      <c r="H756" s="131"/>
      <c r="I756" s="133"/>
      <c r="J756" s="133"/>
      <c r="K756" s="133"/>
      <c r="L756" s="131"/>
      <c r="M756" s="131"/>
      <c r="N756" s="131"/>
      <c r="O756" s="133"/>
      <c r="P756" s="133"/>
      <c r="Q756" s="133"/>
      <c r="R756" s="131"/>
      <c r="S756" s="134"/>
      <c r="T756" s="134"/>
    </row>
    <row r="757" ht="22.5" customHeight="1">
      <c r="A757" s="131"/>
      <c r="B757" s="131"/>
      <c r="C757" s="131"/>
      <c r="D757" s="131"/>
      <c r="E757" s="132"/>
      <c r="F757" s="131"/>
      <c r="G757" s="36"/>
      <c r="H757" s="131"/>
      <c r="I757" s="133"/>
      <c r="J757" s="133"/>
      <c r="K757" s="133"/>
      <c r="L757" s="131"/>
      <c r="M757" s="131"/>
      <c r="N757" s="131"/>
      <c r="O757" s="133"/>
      <c r="P757" s="133"/>
      <c r="Q757" s="133"/>
      <c r="R757" s="131"/>
      <c r="S757" s="134"/>
      <c r="T757" s="134"/>
    </row>
    <row r="758" ht="22.5" customHeight="1">
      <c r="A758" s="131"/>
      <c r="B758" s="131"/>
      <c r="C758" s="131"/>
      <c r="D758" s="131"/>
      <c r="E758" s="132"/>
      <c r="F758" s="131"/>
      <c r="G758" s="36"/>
      <c r="H758" s="131"/>
      <c r="I758" s="133"/>
      <c r="J758" s="133"/>
      <c r="K758" s="133"/>
      <c r="L758" s="131"/>
      <c r="M758" s="131"/>
      <c r="N758" s="131"/>
      <c r="O758" s="133"/>
      <c r="P758" s="133"/>
      <c r="Q758" s="133"/>
      <c r="R758" s="131"/>
      <c r="S758" s="134"/>
      <c r="T758" s="134"/>
    </row>
    <row r="759" ht="22.5" customHeight="1">
      <c r="A759" s="131"/>
      <c r="B759" s="131"/>
      <c r="C759" s="131"/>
      <c r="D759" s="131"/>
      <c r="E759" s="132"/>
      <c r="F759" s="131"/>
      <c r="G759" s="36"/>
      <c r="H759" s="131"/>
      <c r="I759" s="133"/>
      <c r="J759" s="133"/>
      <c r="K759" s="133"/>
      <c r="L759" s="131"/>
      <c r="M759" s="131"/>
      <c r="N759" s="131"/>
      <c r="O759" s="133"/>
      <c r="P759" s="133"/>
      <c r="Q759" s="133"/>
      <c r="R759" s="131"/>
      <c r="S759" s="134"/>
      <c r="T759" s="134"/>
    </row>
    <row r="760" ht="22.5" customHeight="1">
      <c r="A760" s="131"/>
      <c r="B760" s="131"/>
      <c r="C760" s="131"/>
      <c r="D760" s="131"/>
      <c r="E760" s="132"/>
      <c r="F760" s="131"/>
      <c r="G760" s="36"/>
      <c r="H760" s="131"/>
      <c r="I760" s="133"/>
      <c r="J760" s="133"/>
      <c r="K760" s="133"/>
      <c r="L760" s="131"/>
      <c r="M760" s="131"/>
      <c r="N760" s="131"/>
      <c r="O760" s="133"/>
      <c r="P760" s="133"/>
      <c r="Q760" s="133"/>
      <c r="R760" s="131"/>
      <c r="S760" s="134"/>
      <c r="T760" s="134"/>
    </row>
    <row r="761" ht="22.5" customHeight="1">
      <c r="A761" s="131"/>
      <c r="B761" s="131"/>
      <c r="C761" s="131"/>
      <c r="D761" s="131"/>
      <c r="E761" s="132"/>
      <c r="F761" s="131"/>
      <c r="G761" s="36"/>
      <c r="H761" s="131"/>
      <c r="I761" s="133"/>
      <c r="J761" s="133"/>
      <c r="K761" s="133"/>
      <c r="L761" s="131"/>
      <c r="M761" s="131"/>
      <c r="N761" s="131"/>
      <c r="O761" s="133"/>
      <c r="P761" s="133"/>
      <c r="Q761" s="133"/>
      <c r="R761" s="131"/>
      <c r="S761" s="134"/>
      <c r="T761" s="134"/>
    </row>
    <row r="762" ht="22.5" customHeight="1">
      <c r="A762" s="131"/>
      <c r="B762" s="131"/>
      <c r="C762" s="131"/>
      <c r="D762" s="131"/>
      <c r="E762" s="132"/>
      <c r="F762" s="131"/>
      <c r="G762" s="36"/>
      <c r="H762" s="131"/>
      <c r="I762" s="133"/>
      <c r="J762" s="133"/>
      <c r="K762" s="133"/>
      <c r="L762" s="131"/>
      <c r="M762" s="131"/>
      <c r="N762" s="131"/>
      <c r="O762" s="133"/>
      <c r="P762" s="133"/>
      <c r="Q762" s="133"/>
      <c r="R762" s="131"/>
      <c r="S762" s="134"/>
      <c r="T762" s="134"/>
    </row>
    <row r="763" ht="22.5" customHeight="1">
      <c r="A763" s="131"/>
      <c r="B763" s="131"/>
      <c r="C763" s="131"/>
      <c r="D763" s="131"/>
      <c r="E763" s="132"/>
      <c r="F763" s="131"/>
      <c r="G763" s="36"/>
      <c r="H763" s="131"/>
      <c r="I763" s="133"/>
      <c r="J763" s="133"/>
      <c r="K763" s="133"/>
      <c r="L763" s="131"/>
      <c r="M763" s="131"/>
      <c r="N763" s="131"/>
      <c r="O763" s="133"/>
      <c r="P763" s="133"/>
      <c r="Q763" s="133"/>
      <c r="R763" s="131"/>
      <c r="S763" s="134"/>
      <c r="T763" s="134"/>
    </row>
    <row r="764" ht="22.5" customHeight="1">
      <c r="A764" s="131"/>
      <c r="B764" s="131"/>
      <c r="C764" s="131"/>
      <c r="D764" s="131"/>
      <c r="E764" s="132"/>
      <c r="F764" s="131"/>
      <c r="G764" s="36"/>
      <c r="H764" s="131"/>
      <c r="I764" s="133"/>
      <c r="J764" s="133"/>
      <c r="K764" s="133"/>
      <c r="L764" s="131"/>
      <c r="M764" s="131"/>
      <c r="N764" s="131"/>
      <c r="O764" s="133"/>
      <c r="P764" s="133"/>
      <c r="Q764" s="133"/>
      <c r="R764" s="131"/>
      <c r="S764" s="134"/>
      <c r="T764" s="134"/>
    </row>
    <row r="765" ht="22.5" customHeight="1">
      <c r="A765" s="131"/>
      <c r="B765" s="131"/>
      <c r="C765" s="131"/>
      <c r="D765" s="131"/>
      <c r="E765" s="132"/>
      <c r="F765" s="131"/>
      <c r="G765" s="36"/>
      <c r="H765" s="131"/>
      <c r="I765" s="133"/>
      <c r="J765" s="133"/>
      <c r="K765" s="133"/>
      <c r="L765" s="131"/>
      <c r="M765" s="131"/>
      <c r="N765" s="131"/>
      <c r="O765" s="133"/>
      <c r="P765" s="133"/>
      <c r="Q765" s="133"/>
      <c r="R765" s="131"/>
      <c r="S765" s="134"/>
      <c r="T765" s="134"/>
    </row>
    <row r="766" ht="22.5" customHeight="1">
      <c r="A766" s="131"/>
      <c r="B766" s="131"/>
      <c r="C766" s="131"/>
      <c r="D766" s="131"/>
      <c r="E766" s="132"/>
      <c r="F766" s="131"/>
      <c r="G766" s="36"/>
      <c r="H766" s="131"/>
      <c r="I766" s="133"/>
      <c r="J766" s="133"/>
      <c r="K766" s="133"/>
      <c r="L766" s="131"/>
      <c r="M766" s="131"/>
      <c r="N766" s="131"/>
      <c r="O766" s="133"/>
      <c r="P766" s="133"/>
      <c r="Q766" s="133"/>
      <c r="R766" s="131"/>
      <c r="S766" s="134"/>
      <c r="T766" s="134"/>
    </row>
    <row r="767" ht="22.5" customHeight="1">
      <c r="A767" s="131"/>
      <c r="B767" s="131"/>
      <c r="C767" s="131"/>
      <c r="D767" s="131"/>
      <c r="E767" s="132"/>
      <c r="F767" s="131"/>
      <c r="G767" s="36"/>
      <c r="H767" s="131"/>
      <c r="I767" s="133"/>
      <c r="J767" s="133"/>
      <c r="K767" s="133"/>
      <c r="L767" s="131"/>
      <c r="M767" s="131"/>
      <c r="N767" s="131"/>
      <c r="O767" s="133"/>
      <c r="P767" s="133"/>
      <c r="Q767" s="133"/>
      <c r="R767" s="131"/>
      <c r="S767" s="134"/>
      <c r="T767" s="134"/>
    </row>
    <row r="768" ht="22.5" customHeight="1">
      <c r="A768" s="131"/>
      <c r="B768" s="131"/>
      <c r="C768" s="131"/>
      <c r="D768" s="131"/>
      <c r="E768" s="132"/>
      <c r="F768" s="131"/>
      <c r="G768" s="36"/>
      <c r="H768" s="131"/>
      <c r="I768" s="133"/>
      <c r="J768" s="133"/>
      <c r="K768" s="133"/>
      <c r="L768" s="131"/>
      <c r="M768" s="131"/>
      <c r="N768" s="131"/>
      <c r="O768" s="133"/>
      <c r="P768" s="133"/>
      <c r="Q768" s="133"/>
      <c r="R768" s="131"/>
      <c r="S768" s="134"/>
      <c r="T768" s="134"/>
    </row>
    <row r="769" ht="22.5" customHeight="1">
      <c r="A769" s="131"/>
      <c r="B769" s="131"/>
      <c r="C769" s="131"/>
      <c r="D769" s="131"/>
      <c r="E769" s="132"/>
      <c r="F769" s="131"/>
      <c r="G769" s="36"/>
      <c r="H769" s="131"/>
      <c r="I769" s="133"/>
      <c r="J769" s="133"/>
      <c r="K769" s="133"/>
      <c r="L769" s="131"/>
      <c r="M769" s="131"/>
      <c r="N769" s="131"/>
      <c r="O769" s="133"/>
      <c r="P769" s="133"/>
      <c r="Q769" s="133"/>
      <c r="R769" s="131"/>
      <c r="S769" s="134"/>
      <c r="T769" s="134"/>
    </row>
    <row r="770" ht="22.5" customHeight="1">
      <c r="A770" s="131"/>
      <c r="B770" s="131"/>
      <c r="C770" s="131"/>
      <c r="D770" s="131"/>
      <c r="E770" s="132"/>
      <c r="F770" s="131"/>
      <c r="G770" s="36"/>
      <c r="H770" s="131"/>
      <c r="I770" s="133"/>
      <c r="J770" s="133"/>
      <c r="K770" s="133"/>
      <c r="L770" s="131"/>
      <c r="M770" s="131"/>
      <c r="N770" s="131"/>
      <c r="O770" s="133"/>
      <c r="P770" s="133"/>
      <c r="Q770" s="133"/>
      <c r="R770" s="131"/>
      <c r="S770" s="134"/>
      <c r="T770" s="134"/>
    </row>
    <row r="771" ht="22.5" customHeight="1">
      <c r="A771" s="131"/>
      <c r="B771" s="131"/>
      <c r="C771" s="131"/>
      <c r="D771" s="131"/>
      <c r="E771" s="132"/>
      <c r="F771" s="131"/>
      <c r="G771" s="36"/>
      <c r="H771" s="131"/>
      <c r="I771" s="133"/>
      <c r="J771" s="133"/>
      <c r="K771" s="133"/>
      <c r="L771" s="131"/>
      <c r="M771" s="131"/>
      <c r="N771" s="131"/>
      <c r="O771" s="133"/>
      <c r="P771" s="133"/>
      <c r="Q771" s="133"/>
      <c r="R771" s="131"/>
      <c r="S771" s="134"/>
      <c r="T771" s="134"/>
    </row>
    <row r="772" ht="22.5" customHeight="1">
      <c r="A772" s="131"/>
      <c r="B772" s="131"/>
      <c r="C772" s="131"/>
      <c r="D772" s="131"/>
      <c r="E772" s="132"/>
      <c r="F772" s="131"/>
      <c r="G772" s="36"/>
      <c r="H772" s="131"/>
      <c r="I772" s="133"/>
      <c r="J772" s="133"/>
      <c r="K772" s="133"/>
      <c r="L772" s="131"/>
      <c r="M772" s="131"/>
      <c r="N772" s="131"/>
      <c r="O772" s="133"/>
      <c r="P772" s="133"/>
      <c r="Q772" s="133"/>
      <c r="R772" s="131"/>
      <c r="S772" s="134"/>
      <c r="T772" s="134"/>
    </row>
    <row r="773" ht="22.5" customHeight="1">
      <c r="A773" s="131"/>
      <c r="B773" s="131"/>
      <c r="C773" s="131"/>
      <c r="D773" s="131"/>
      <c r="E773" s="132"/>
      <c r="F773" s="131"/>
      <c r="G773" s="36"/>
      <c r="H773" s="131"/>
      <c r="I773" s="133"/>
      <c r="J773" s="133"/>
      <c r="K773" s="133"/>
      <c r="L773" s="131"/>
      <c r="M773" s="131"/>
      <c r="N773" s="131"/>
      <c r="O773" s="133"/>
      <c r="P773" s="133"/>
      <c r="Q773" s="133"/>
      <c r="R773" s="131"/>
      <c r="S773" s="134"/>
      <c r="T773" s="134"/>
    </row>
    <row r="774" ht="22.5" customHeight="1">
      <c r="A774" s="131"/>
      <c r="B774" s="131"/>
      <c r="C774" s="131"/>
      <c r="D774" s="131"/>
      <c r="E774" s="132"/>
      <c r="F774" s="131"/>
      <c r="G774" s="36"/>
      <c r="H774" s="131"/>
      <c r="I774" s="133"/>
      <c r="J774" s="133"/>
      <c r="K774" s="133"/>
      <c r="L774" s="131"/>
      <c r="M774" s="131"/>
      <c r="N774" s="131"/>
      <c r="O774" s="133"/>
      <c r="P774" s="133"/>
      <c r="Q774" s="133"/>
      <c r="R774" s="131"/>
      <c r="S774" s="134"/>
      <c r="T774" s="134"/>
    </row>
    <row r="775" ht="22.5" customHeight="1">
      <c r="A775" s="131"/>
      <c r="B775" s="131"/>
      <c r="C775" s="131"/>
      <c r="D775" s="131"/>
      <c r="E775" s="132"/>
      <c r="F775" s="131"/>
      <c r="G775" s="36"/>
      <c r="H775" s="131"/>
      <c r="I775" s="133"/>
      <c r="J775" s="133"/>
      <c r="K775" s="133"/>
      <c r="L775" s="131"/>
      <c r="M775" s="131"/>
      <c r="N775" s="131"/>
      <c r="O775" s="133"/>
      <c r="P775" s="133"/>
      <c r="Q775" s="133"/>
      <c r="R775" s="131"/>
      <c r="S775" s="134"/>
      <c r="T775" s="134"/>
    </row>
    <row r="776" ht="22.5" customHeight="1">
      <c r="A776" s="131"/>
      <c r="B776" s="131"/>
      <c r="C776" s="131"/>
      <c r="D776" s="131"/>
      <c r="E776" s="132"/>
      <c r="F776" s="131"/>
      <c r="G776" s="36"/>
      <c r="H776" s="131"/>
      <c r="I776" s="133"/>
      <c r="J776" s="133"/>
      <c r="K776" s="133"/>
      <c r="L776" s="131"/>
      <c r="M776" s="131"/>
      <c r="N776" s="131"/>
      <c r="O776" s="133"/>
      <c r="P776" s="133"/>
      <c r="Q776" s="133"/>
      <c r="R776" s="131"/>
      <c r="S776" s="134"/>
      <c r="T776" s="134"/>
    </row>
    <row r="777" ht="22.5" customHeight="1">
      <c r="A777" s="131"/>
      <c r="B777" s="131"/>
      <c r="C777" s="131"/>
      <c r="D777" s="131"/>
      <c r="E777" s="132"/>
      <c r="F777" s="131"/>
      <c r="G777" s="36"/>
      <c r="H777" s="131"/>
      <c r="I777" s="133"/>
      <c r="J777" s="133"/>
      <c r="K777" s="133"/>
      <c r="L777" s="131"/>
      <c r="M777" s="131"/>
      <c r="N777" s="131"/>
      <c r="O777" s="133"/>
      <c r="P777" s="133"/>
      <c r="Q777" s="133"/>
      <c r="R777" s="131"/>
      <c r="S777" s="134"/>
      <c r="T777" s="134"/>
    </row>
    <row r="778" ht="22.5" customHeight="1">
      <c r="A778" s="131"/>
      <c r="B778" s="131"/>
      <c r="C778" s="131"/>
      <c r="D778" s="131"/>
      <c r="E778" s="132"/>
      <c r="F778" s="131"/>
      <c r="G778" s="36"/>
      <c r="H778" s="131"/>
      <c r="I778" s="133"/>
      <c r="J778" s="133"/>
      <c r="K778" s="133"/>
      <c r="L778" s="131"/>
      <c r="M778" s="131"/>
      <c r="N778" s="131"/>
      <c r="O778" s="133"/>
      <c r="P778" s="133"/>
      <c r="Q778" s="133"/>
      <c r="R778" s="131"/>
      <c r="S778" s="134"/>
      <c r="T778" s="134"/>
    </row>
    <row r="779" ht="22.5" customHeight="1">
      <c r="A779" s="131"/>
      <c r="B779" s="131"/>
      <c r="C779" s="131"/>
      <c r="D779" s="131"/>
      <c r="E779" s="132"/>
      <c r="F779" s="131"/>
      <c r="G779" s="36"/>
      <c r="H779" s="131"/>
      <c r="I779" s="133"/>
      <c r="J779" s="133"/>
      <c r="K779" s="133"/>
      <c r="L779" s="131"/>
      <c r="M779" s="131"/>
      <c r="N779" s="131"/>
      <c r="O779" s="133"/>
      <c r="P779" s="133"/>
      <c r="Q779" s="133"/>
      <c r="R779" s="131"/>
      <c r="S779" s="134"/>
      <c r="T779" s="134"/>
    </row>
    <row r="780" ht="22.5" customHeight="1">
      <c r="A780" s="131"/>
      <c r="B780" s="131"/>
      <c r="C780" s="131"/>
      <c r="D780" s="131"/>
      <c r="E780" s="132"/>
      <c r="F780" s="131"/>
      <c r="G780" s="36"/>
      <c r="H780" s="131"/>
      <c r="I780" s="133"/>
      <c r="J780" s="133"/>
      <c r="K780" s="133"/>
      <c r="L780" s="131"/>
      <c r="M780" s="131"/>
      <c r="N780" s="131"/>
      <c r="O780" s="133"/>
      <c r="P780" s="133"/>
      <c r="Q780" s="133"/>
      <c r="R780" s="131"/>
      <c r="S780" s="134"/>
      <c r="T780" s="134"/>
    </row>
    <row r="781" ht="22.5" customHeight="1">
      <c r="A781" s="131"/>
      <c r="B781" s="131"/>
      <c r="C781" s="131"/>
      <c r="D781" s="131"/>
      <c r="E781" s="132"/>
      <c r="F781" s="131"/>
      <c r="G781" s="36"/>
      <c r="H781" s="131"/>
      <c r="I781" s="133"/>
      <c r="J781" s="133"/>
      <c r="K781" s="133"/>
      <c r="L781" s="131"/>
      <c r="M781" s="131"/>
      <c r="N781" s="131"/>
      <c r="O781" s="133"/>
      <c r="P781" s="133"/>
      <c r="Q781" s="133"/>
      <c r="R781" s="131"/>
      <c r="S781" s="134"/>
      <c r="T781" s="134"/>
    </row>
    <row r="782" ht="22.5" customHeight="1">
      <c r="A782" s="131"/>
      <c r="B782" s="131"/>
      <c r="C782" s="131"/>
      <c r="D782" s="131"/>
      <c r="E782" s="132"/>
      <c r="F782" s="131"/>
      <c r="G782" s="36"/>
      <c r="H782" s="131"/>
      <c r="I782" s="133"/>
      <c r="J782" s="133"/>
      <c r="K782" s="133"/>
      <c r="L782" s="131"/>
      <c r="M782" s="131"/>
      <c r="N782" s="131"/>
      <c r="O782" s="133"/>
      <c r="P782" s="133"/>
      <c r="Q782" s="133"/>
      <c r="R782" s="131"/>
      <c r="S782" s="134"/>
      <c r="T782" s="134"/>
    </row>
    <row r="783" ht="22.5" customHeight="1">
      <c r="A783" s="131"/>
      <c r="B783" s="131"/>
      <c r="C783" s="131"/>
      <c r="D783" s="131"/>
      <c r="E783" s="132"/>
      <c r="F783" s="131"/>
      <c r="G783" s="36"/>
      <c r="H783" s="131"/>
      <c r="I783" s="133"/>
      <c r="J783" s="133"/>
      <c r="K783" s="133"/>
      <c r="L783" s="131"/>
      <c r="M783" s="131"/>
      <c r="N783" s="131"/>
      <c r="O783" s="133"/>
      <c r="P783" s="133"/>
      <c r="Q783" s="133"/>
      <c r="R783" s="131"/>
      <c r="S783" s="134"/>
      <c r="T783" s="134"/>
    </row>
    <row r="784" ht="22.5" customHeight="1">
      <c r="A784" s="131"/>
      <c r="B784" s="131"/>
      <c r="C784" s="131"/>
      <c r="D784" s="131"/>
      <c r="E784" s="132"/>
      <c r="F784" s="131"/>
      <c r="G784" s="36"/>
      <c r="H784" s="131"/>
      <c r="I784" s="133"/>
      <c r="J784" s="133"/>
      <c r="K784" s="133"/>
      <c r="L784" s="131"/>
      <c r="M784" s="131"/>
      <c r="N784" s="131"/>
      <c r="O784" s="133"/>
      <c r="P784" s="133"/>
      <c r="Q784" s="133"/>
      <c r="R784" s="131"/>
      <c r="S784" s="134"/>
      <c r="T784" s="134"/>
    </row>
    <row r="785" ht="22.5" customHeight="1">
      <c r="A785" s="131"/>
      <c r="B785" s="131"/>
      <c r="C785" s="131"/>
      <c r="D785" s="131"/>
      <c r="E785" s="132"/>
      <c r="F785" s="131"/>
      <c r="G785" s="36"/>
      <c r="H785" s="131"/>
      <c r="I785" s="133"/>
      <c r="J785" s="133"/>
      <c r="K785" s="133"/>
      <c r="L785" s="131"/>
      <c r="M785" s="131"/>
      <c r="N785" s="131"/>
      <c r="O785" s="133"/>
      <c r="P785" s="133"/>
      <c r="Q785" s="133"/>
      <c r="R785" s="131"/>
      <c r="S785" s="134"/>
      <c r="T785" s="134"/>
    </row>
    <row r="786" ht="22.5" customHeight="1">
      <c r="A786" s="131"/>
      <c r="B786" s="131"/>
      <c r="C786" s="131"/>
      <c r="D786" s="131"/>
      <c r="E786" s="132"/>
      <c r="F786" s="131"/>
      <c r="G786" s="36"/>
      <c r="H786" s="131"/>
      <c r="I786" s="133"/>
      <c r="J786" s="133"/>
      <c r="K786" s="133"/>
      <c r="L786" s="131"/>
      <c r="M786" s="131"/>
      <c r="N786" s="131"/>
      <c r="O786" s="133"/>
      <c r="P786" s="133"/>
      <c r="Q786" s="133"/>
      <c r="R786" s="131"/>
      <c r="S786" s="134"/>
      <c r="T786" s="134"/>
    </row>
    <row r="787" ht="22.5" customHeight="1">
      <c r="A787" s="131"/>
      <c r="B787" s="131"/>
      <c r="C787" s="131"/>
      <c r="D787" s="131"/>
      <c r="E787" s="132"/>
      <c r="F787" s="131"/>
      <c r="G787" s="36"/>
      <c r="H787" s="131"/>
      <c r="I787" s="133"/>
      <c r="J787" s="133"/>
      <c r="K787" s="133"/>
      <c r="L787" s="131"/>
      <c r="M787" s="131"/>
      <c r="N787" s="131"/>
      <c r="O787" s="133"/>
      <c r="P787" s="133"/>
      <c r="Q787" s="133"/>
      <c r="R787" s="131"/>
      <c r="S787" s="134"/>
      <c r="T787" s="134"/>
    </row>
    <row r="788" ht="22.5" customHeight="1">
      <c r="A788" s="131"/>
      <c r="B788" s="131"/>
      <c r="C788" s="131"/>
      <c r="D788" s="131"/>
      <c r="E788" s="132"/>
      <c r="F788" s="131"/>
      <c r="G788" s="36"/>
      <c r="H788" s="131"/>
      <c r="I788" s="133"/>
      <c r="J788" s="133"/>
      <c r="K788" s="133"/>
      <c r="L788" s="131"/>
      <c r="M788" s="131"/>
      <c r="N788" s="131"/>
      <c r="O788" s="133"/>
      <c r="P788" s="133"/>
      <c r="Q788" s="133"/>
      <c r="R788" s="131"/>
      <c r="S788" s="134"/>
      <c r="T788" s="134"/>
    </row>
    <row r="789" ht="22.5" customHeight="1">
      <c r="A789" s="131"/>
      <c r="B789" s="131"/>
      <c r="C789" s="131"/>
      <c r="D789" s="131"/>
      <c r="E789" s="132"/>
      <c r="F789" s="131"/>
      <c r="G789" s="36"/>
      <c r="H789" s="131"/>
      <c r="I789" s="133"/>
      <c r="J789" s="133"/>
      <c r="K789" s="133"/>
      <c r="L789" s="131"/>
      <c r="M789" s="131"/>
      <c r="N789" s="131"/>
      <c r="O789" s="133"/>
      <c r="P789" s="133"/>
      <c r="Q789" s="133"/>
      <c r="R789" s="131"/>
      <c r="S789" s="134"/>
      <c r="T789" s="134"/>
    </row>
    <row r="790" ht="22.5" customHeight="1">
      <c r="A790" s="131"/>
      <c r="B790" s="131"/>
      <c r="C790" s="131"/>
      <c r="D790" s="131"/>
      <c r="E790" s="132"/>
      <c r="F790" s="131"/>
      <c r="G790" s="36"/>
      <c r="H790" s="131"/>
      <c r="I790" s="133"/>
      <c r="J790" s="133"/>
      <c r="K790" s="133"/>
      <c r="L790" s="131"/>
      <c r="M790" s="131"/>
      <c r="N790" s="131"/>
      <c r="O790" s="133"/>
      <c r="P790" s="133"/>
      <c r="Q790" s="133"/>
      <c r="R790" s="131"/>
      <c r="S790" s="134"/>
      <c r="T790" s="134"/>
    </row>
    <row r="791" ht="22.5" customHeight="1">
      <c r="A791" s="131"/>
      <c r="B791" s="131"/>
      <c r="C791" s="131"/>
      <c r="D791" s="131"/>
      <c r="E791" s="132"/>
      <c r="F791" s="131"/>
      <c r="G791" s="36"/>
      <c r="H791" s="131"/>
      <c r="I791" s="133"/>
      <c r="J791" s="133"/>
      <c r="K791" s="133"/>
      <c r="L791" s="131"/>
      <c r="M791" s="131"/>
      <c r="N791" s="131"/>
      <c r="O791" s="133"/>
      <c r="P791" s="133"/>
      <c r="Q791" s="133"/>
      <c r="R791" s="131"/>
      <c r="S791" s="134"/>
      <c r="T791" s="134"/>
    </row>
    <row r="792" ht="22.5" customHeight="1">
      <c r="A792" s="131"/>
      <c r="B792" s="131"/>
      <c r="C792" s="131"/>
      <c r="D792" s="131"/>
      <c r="E792" s="132"/>
      <c r="F792" s="131"/>
      <c r="G792" s="36"/>
      <c r="H792" s="131"/>
      <c r="I792" s="133"/>
      <c r="J792" s="133"/>
      <c r="K792" s="133"/>
      <c r="L792" s="131"/>
      <c r="M792" s="131"/>
      <c r="N792" s="131"/>
      <c r="O792" s="133"/>
      <c r="P792" s="133"/>
      <c r="Q792" s="133"/>
      <c r="R792" s="131"/>
      <c r="S792" s="134"/>
      <c r="T792" s="134"/>
    </row>
    <row r="793" ht="22.5" customHeight="1">
      <c r="A793" s="131"/>
      <c r="B793" s="131"/>
      <c r="C793" s="131"/>
      <c r="D793" s="131"/>
      <c r="E793" s="132"/>
      <c r="F793" s="131"/>
      <c r="G793" s="36"/>
      <c r="H793" s="131"/>
      <c r="I793" s="133"/>
      <c r="J793" s="133"/>
      <c r="K793" s="133"/>
      <c r="L793" s="131"/>
      <c r="M793" s="131"/>
      <c r="N793" s="131"/>
      <c r="O793" s="133"/>
      <c r="P793" s="133"/>
      <c r="Q793" s="133"/>
      <c r="R793" s="131"/>
      <c r="S793" s="134"/>
      <c r="T793" s="134"/>
    </row>
    <row r="794" ht="22.5" customHeight="1">
      <c r="A794" s="131"/>
      <c r="B794" s="131"/>
      <c r="C794" s="131"/>
      <c r="D794" s="131"/>
      <c r="E794" s="132"/>
      <c r="F794" s="131"/>
      <c r="G794" s="36"/>
      <c r="H794" s="131"/>
      <c r="I794" s="133"/>
      <c r="J794" s="133"/>
      <c r="K794" s="133"/>
      <c r="L794" s="131"/>
      <c r="M794" s="131"/>
      <c r="N794" s="131"/>
      <c r="O794" s="133"/>
      <c r="P794" s="133"/>
      <c r="Q794" s="133"/>
      <c r="R794" s="131"/>
      <c r="S794" s="134"/>
      <c r="T794" s="134"/>
    </row>
    <row r="795" ht="22.5" customHeight="1">
      <c r="A795" s="131"/>
      <c r="B795" s="131"/>
      <c r="C795" s="131"/>
      <c r="D795" s="131"/>
      <c r="E795" s="132"/>
      <c r="F795" s="131"/>
      <c r="G795" s="36"/>
      <c r="H795" s="131"/>
      <c r="I795" s="133"/>
      <c r="J795" s="133"/>
      <c r="K795" s="133"/>
      <c r="L795" s="131"/>
      <c r="M795" s="131"/>
      <c r="N795" s="131"/>
      <c r="O795" s="133"/>
      <c r="P795" s="133"/>
      <c r="Q795" s="133"/>
      <c r="R795" s="131"/>
      <c r="S795" s="134"/>
      <c r="T795" s="134"/>
    </row>
    <row r="796" ht="22.5" customHeight="1">
      <c r="A796" s="131"/>
      <c r="B796" s="131"/>
      <c r="C796" s="131"/>
      <c r="D796" s="131"/>
      <c r="E796" s="132"/>
      <c r="F796" s="131"/>
      <c r="G796" s="36"/>
      <c r="H796" s="131"/>
      <c r="I796" s="133"/>
      <c r="J796" s="133"/>
      <c r="K796" s="133"/>
      <c r="L796" s="131"/>
      <c r="M796" s="131"/>
      <c r="N796" s="131"/>
      <c r="O796" s="133"/>
      <c r="P796" s="133"/>
      <c r="Q796" s="133"/>
      <c r="R796" s="131"/>
      <c r="S796" s="134"/>
      <c r="T796" s="134"/>
    </row>
    <row r="797" ht="22.5" customHeight="1">
      <c r="A797" s="131"/>
      <c r="B797" s="131"/>
      <c r="C797" s="131"/>
      <c r="D797" s="131"/>
      <c r="E797" s="132"/>
      <c r="F797" s="131"/>
      <c r="G797" s="36"/>
      <c r="H797" s="131"/>
      <c r="I797" s="133"/>
      <c r="J797" s="133"/>
      <c r="K797" s="133"/>
      <c r="L797" s="131"/>
      <c r="M797" s="131"/>
      <c r="N797" s="131"/>
      <c r="O797" s="133"/>
      <c r="P797" s="133"/>
      <c r="Q797" s="133"/>
      <c r="R797" s="131"/>
      <c r="S797" s="134"/>
      <c r="T797" s="134"/>
    </row>
    <row r="798" ht="22.5" customHeight="1">
      <c r="A798" s="131"/>
      <c r="B798" s="131"/>
      <c r="C798" s="131"/>
      <c r="D798" s="131"/>
      <c r="E798" s="132"/>
      <c r="F798" s="131"/>
      <c r="G798" s="36"/>
      <c r="H798" s="131"/>
      <c r="I798" s="133"/>
      <c r="J798" s="133"/>
      <c r="K798" s="133"/>
      <c r="L798" s="131"/>
      <c r="M798" s="131"/>
      <c r="N798" s="131"/>
      <c r="O798" s="133"/>
      <c r="P798" s="133"/>
      <c r="Q798" s="133"/>
      <c r="R798" s="131"/>
      <c r="S798" s="134"/>
      <c r="T798" s="134"/>
    </row>
    <row r="799" ht="22.5" customHeight="1">
      <c r="A799" s="131"/>
      <c r="B799" s="131"/>
      <c r="C799" s="131"/>
      <c r="D799" s="131"/>
      <c r="E799" s="132"/>
      <c r="F799" s="131"/>
      <c r="G799" s="36"/>
      <c r="H799" s="131"/>
      <c r="I799" s="133"/>
      <c r="J799" s="133"/>
      <c r="K799" s="133"/>
      <c r="L799" s="131"/>
      <c r="M799" s="131"/>
      <c r="N799" s="131"/>
      <c r="O799" s="133"/>
      <c r="P799" s="133"/>
      <c r="Q799" s="133"/>
      <c r="R799" s="131"/>
      <c r="S799" s="134"/>
      <c r="T799" s="134"/>
    </row>
    <row r="800" ht="22.5" customHeight="1">
      <c r="A800" s="131"/>
      <c r="B800" s="131"/>
      <c r="C800" s="131"/>
      <c r="D800" s="131"/>
      <c r="E800" s="132"/>
      <c r="F800" s="131"/>
      <c r="G800" s="36"/>
      <c r="H800" s="131"/>
      <c r="I800" s="133"/>
      <c r="J800" s="133"/>
      <c r="K800" s="133"/>
      <c r="L800" s="131"/>
      <c r="M800" s="131"/>
      <c r="N800" s="131"/>
      <c r="O800" s="133"/>
      <c r="P800" s="133"/>
      <c r="Q800" s="133"/>
      <c r="R800" s="131"/>
      <c r="S800" s="134"/>
      <c r="T800" s="134"/>
    </row>
    <row r="801" ht="22.5" customHeight="1">
      <c r="A801" s="131"/>
      <c r="B801" s="131"/>
      <c r="C801" s="131"/>
      <c r="D801" s="131"/>
      <c r="E801" s="132"/>
      <c r="F801" s="131"/>
      <c r="G801" s="36"/>
      <c r="H801" s="131"/>
      <c r="I801" s="133"/>
      <c r="J801" s="133"/>
      <c r="K801" s="133"/>
      <c r="L801" s="131"/>
      <c r="M801" s="131"/>
      <c r="N801" s="131"/>
      <c r="O801" s="133"/>
      <c r="P801" s="133"/>
      <c r="Q801" s="133"/>
      <c r="R801" s="131"/>
      <c r="S801" s="134"/>
      <c r="T801" s="134"/>
    </row>
    <row r="802" ht="22.5" customHeight="1">
      <c r="A802" s="131"/>
      <c r="B802" s="131"/>
      <c r="C802" s="131"/>
      <c r="D802" s="131"/>
      <c r="E802" s="132"/>
      <c r="F802" s="131"/>
      <c r="G802" s="36"/>
      <c r="H802" s="131"/>
      <c r="I802" s="133"/>
      <c r="J802" s="133"/>
      <c r="K802" s="133"/>
      <c r="L802" s="131"/>
      <c r="M802" s="131"/>
      <c r="N802" s="131"/>
      <c r="O802" s="133"/>
      <c r="P802" s="133"/>
      <c r="Q802" s="133"/>
      <c r="R802" s="131"/>
      <c r="S802" s="134"/>
      <c r="T802" s="134"/>
    </row>
    <row r="803" ht="22.5" customHeight="1">
      <c r="A803" s="131"/>
      <c r="B803" s="131"/>
      <c r="C803" s="131"/>
      <c r="D803" s="131"/>
      <c r="E803" s="132"/>
      <c r="F803" s="131"/>
      <c r="G803" s="36"/>
      <c r="H803" s="131"/>
      <c r="I803" s="133"/>
      <c r="J803" s="133"/>
      <c r="K803" s="133"/>
      <c r="L803" s="131"/>
      <c r="M803" s="131"/>
      <c r="N803" s="131"/>
      <c r="O803" s="133"/>
      <c r="P803" s="133"/>
      <c r="Q803" s="133"/>
      <c r="R803" s="131"/>
      <c r="S803" s="134"/>
      <c r="T803" s="134"/>
    </row>
    <row r="804" ht="22.5" customHeight="1">
      <c r="A804" s="131"/>
      <c r="B804" s="131"/>
      <c r="C804" s="131"/>
      <c r="D804" s="131"/>
      <c r="E804" s="132"/>
      <c r="F804" s="131"/>
      <c r="G804" s="36"/>
      <c r="H804" s="131"/>
      <c r="I804" s="133"/>
      <c r="J804" s="133"/>
      <c r="K804" s="133"/>
      <c r="L804" s="131"/>
      <c r="M804" s="131"/>
      <c r="N804" s="131"/>
      <c r="O804" s="133"/>
      <c r="P804" s="133"/>
      <c r="Q804" s="133"/>
      <c r="R804" s="131"/>
      <c r="S804" s="134"/>
      <c r="T804" s="134"/>
    </row>
    <row r="805" ht="22.5" customHeight="1">
      <c r="A805" s="131"/>
      <c r="B805" s="131"/>
      <c r="C805" s="131"/>
      <c r="D805" s="131"/>
      <c r="E805" s="132"/>
      <c r="F805" s="131"/>
      <c r="G805" s="36"/>
      <c r="H805" s="131"/>
      <c r="I805" s="133"/>
      <c r="J805" s="133"/>
      <c r="K805" s="133"/>
      <c r="L805" s="131"/>
      <c r="M805" s="131"/>
      <c r="N805" s="131"/>
      <c r="O805" s="133"/>
      <c r="P805" s="133"/>
      <c r="Q805" s="133"/>
      <c r="R805" s="131"/>
      <c r="S805" s="134"/>
      <c r="T805" s="134"/>
    </row>
    <row r="806" ht="22.5" customHeight="1">
      <c r="A806" s="131"/>
      <c r="B806" s="131"/>
      <c r="C806" s="131"/>
      <c r="D806" s="131"/>
      <c r="E806" s="132"/>
      <c r="F806" s="131"/>
      <c r="G806" s="36"/>
      <c r="H806" s="131"/>
      <c r="I806" s="133"/>
      <c r="J806" s="133"/>
      <c r="K806" s="133"/>
      <c r="L806" s="131"/>
      <c r="M806" s="131"/>
      <c r="N806" s="131"/>
      <c r="O806" s="133"/>
      <c r="P806" s="133"/>
      <c r="Q806" s="133"/>
      <c r="R806" s="131"/>
      <c r="S806" s="134"/>
      <c r="T806" s="134"/>
    </row>
    <row r="807" ht="22.5" customHeight="1">
      <c r="A807" s="131"/>
      <c r="B807" s="131"/>
      <c r="C807" s="131"/>
      <c r="D807" s="131"/>
      <c r="E807" s="132"/>
      <c r="F807" s="131"/>
      <c r="G807" s="36"/>
      <c r="H807" s="131"/>
      <c r="I807" s="133"/>
      <c r="J807" s="133"/>
      <c r="K807" s="133"/>
      <c r="L807" s="131"/>
      <c r="M807" s="131"/>
      <c r="N807" s="131"/>
      <c r="O807" s="133"/>
      <c r="P807" s="133"/>
      <c r="Q807" s="133"/>
      <c r="R807" s="131"/>
      <c r="S807" s="134"/>
      <c r="T807" s="134"/>
    </row>
    <row r="808" ht="22.5" customHeight="1">
      <c r="A808" s="131"/>
      <c r="B808" s="131"/>
      <c r="C808" s="131"/>
      <c r="D808" s="131"/>
      <c r="E808" s="132"/>
      <c r="F808" s="131"/>
      <c r="G808" s="36"/>
      <c r="H808" s="131"/>
      <c r="I808" s="133"/>
      <c r="J808" s="133"/>
      <c r="K808" s="133"/>
      <c r="L808" s="131"/>
      <c r="M808" s="131"/>
      <c r="N808" s="131"/>
      <c r="O808" s="133"/>
      <c r="P808" s="133"/>
      <c r="Q808" s="133"/>
      <c r="R808" s="131"/>
      <c r="S808" s="134"/>
      <c r="T808" s="134"/>
    </row>
    <row r="809" ht="22.5" customHeight="1">
      <c r="A809" s="131"/>
      <c r="B809" s="131"/>
      <c r="C809" s="131"/>
      <c r="D809" s="131"/>
      <c r="E809" s="132"/>
      <c r="F809" s="131"/>
      <c r="G809" s="36"/>
      <c r="H809" s="131"/>
      <c r="I809" s="133"/>
      <c r="J809" s="133"/>
      <c r="K809" s="133"/>
      <c r="L809" s="131"/>
      <c r="M809" s="131"/>
      <c r="N809" s="131"/>
      <c r="O809" s="133"/>
      <c r="P809" s="133"/>
      <c r="Q809" s="133"/>
      <c r="R809" s="131"/>
      <c r="S809" s="134"/>
      <c r="T809" s="134"/>
    </row>
    <row r="810" ht="22.5" customHeight="1">
      <c r="A810" s="131"/>
      <c r="B810" s="131"/>
      <c r="C810" s="131"/>
      <c r="D810" s="131"/>
      <c r="E810" s="132"/>
      <c r="F810" s="131"/>
      <c r="G810" s="36"/>
      <c r="H810" s="131"/>
      <c r="I810" s="133"/>
      <c r="J810" s="133"/>
      <c r="K810" s="133"/>
      <c r="L810" s="131"/>
      <c r="M810" s="131"/>
      <c r="N810" s="131"/>
      <c r="O810" s="133"/>
      <c r="P810" s="133"/>
      <c r="Q810" s="133"/>
      <c r="R810" s="131"/>
      <c r="S810" s="134"/>
      <c r="T810" s="134"/>
    </row>
    <row r="811" ht="22.5" customHeight="1">
      <c r="A811" s="131"/>
      <c r="B811" s="131"/>
      <c r="C811" s="131"/>
      <c r="D811" s="131"/>
      <c r="E811" s="132"/>
      <c r="F811" s="131"/>
      <c r="G811" s="36"/>
      <c r="H811" s="131"/>
      <c r="I811" s="133"/>
      <c r="J811" s="133"/>
      <c r="K811" s="133"/>
      <c r="L811" s="131"/>
      <c r="M811" s="131"/>
      <c r="N811" s="131"/>
      <c r="O811" s="133"/>
      <c r="P811" s="133"/>
      <c r="Q811" s="133"/>
      <c r="R811" s="131"/>
      <c r="S811" s="134"/>
      <c r="T811" s="134"/>
    </row>
    <row r="812" ht="22.5" customHeight="1">
      <c r="A812" s="131"/>
      <c r="B812" s="131"/>
      <c r="C812" s="131"/>
      <c r="D812" s="131"/>
      <c r="E812" s="132"/>
      <c r="F812" s="131"/>
      <c r="G812" s="36"/>
      <c r="H812" s="131"/>
      <c r="I812" s="133"/>
      <c r="J812" s="133"/>
      <c r="K812" s="133"/>
      <c r="L812" s="131"/>
      <c r="M812" s="131"/>
      <c r="N812" s="131"/>
      <c r="O812" s="133"/>
      <c r="P812" s="133"/>
      <c r="Q812" s="133"/>
      <c r="R812" s="131"/>
      <c r="S812" s="134"/>
      <c r="T812" s="134"/>
    </row>
    <row r="813" ht="22.5" customHeight="1">
      <c r="A813" s="131"/>
      <c r="B813" s="131"/>
      <c r="C813" s="131"/>
      <c r="D813" s="131"/>
      <c r="E813" s="132"/>
      <c r="F813" s="131"/>
      <c r="G813" s="36"/>
      <c r="H813" s="131"/>
      <c r="I813" s="133"/>
      <c r="J813" s="133"/>
      <c r="K813" s="133"/>
      <c r="L813" s="131"/>
      <c r="M813" s="131"/>
      <c r="N813" s="131"/>
      <c r="O813" s="133"/>
      <c r="P813" s="133"/>
      <c r="Q813" s="133"/>
      <c r="R813" s="131"/>
      <c r="S813" s="134"/>
      <c r="T813" s="134"/>
    </row>
    <row r="814" ht="22.5" customHeight="1">
      <c r="A814" s="131"/>
      <c r="B814" s="131"/>
      <c r="C814" s="131"/>
      <c r="D814" s="131"/>
      <c r="E814" s="132"/>
      <c r="F814" s="131"/>
      <c r="G814" s="36"/>
      <c r="H814" s="131"/>
      <c r="I814" s="133"/>
      <c r="J814" s="133"/>
      <c r="K814" s="133"/>
      <c r="L814" s="131"/>
      <c r="M814" s="131"/>
      <c r="N814" s="131"/>
      <c r="O814" s="133"/>
      <c r="P814" s="133"/>
      <c r="Q814" s="133"/>
      <c r="R814" s="131"/>
      <c r="S814" s="134"/>
      <c r="T814" s="134"/>
    </row>
    <row r="815" ht="22.5" customHeight="1">
      <c r="A815" s="131"/>
      <c r="B815" s="131"/>
      <c r="C815" s="131"/>
      <c r="D815" s="131"/>
      <c r="E815" s="132"/>
      <c r="F815" s="131"/>
      <c r="G815" s="36"/>
      <c r="H815" s="131"/>
      <c r="I815" s="133"/>
      <c r="J815" s="133"/>
      <c r="K815" s="133"/>
      <c r="L815" s="131"/>
      <c r="M815" s="131"/>
      <c r="N815" s="131"/>
      <c r="O815" s="133"/>
      <c r="P815" s="133"/>
      <c r="Q815" s="133"/>
      <c r="R815" s="131"/>
      <c r="S815" s="134"/>
      <c r="T815" s="134"/>
    </row>
    <row r="816" ht="22.5" customHeight="1">
      <c r="A816" s="131"/>
      <c r="B816" s="131"/>
      <c r="C816" s="131"/>
      <c r="D816" s="131"/>
      <c r="E816" s="132"/>
      <c r="F816" s="131"/>
      <c r="G816" s="36"/>
      <c r="H816" s="131"/>
      <c r="I816" s="133"/>
      <c r="J816" s="133"/>
      <c r="K816" s="133"/>
      <c r="L816" s="131"/>
      <c r="M816" s="131"/>
      <c r="N816" s="131"/>
      <c r="O816" s="133"/>
      <c r="P816" s="133"/>
      <c r="Q816" s="133"/>
      <c r="R816" s="131"/>
      <c r="S816" s="134"/>
      <c r="T816" s="134"/>
    </row>
    <row r="817" ht="22.5" customHeight="1">
      <c r="A817" s="131"/>
      <c r="B817" s="131"/>
      <c r="C817" s="131"/>
      <c r="D817" s="131"/>
      <c r="E817" s="132"/>
      <c r="F817" s="131"/>
      <c r="G817" s="36"/>
      <c r="H817" s="131"/>
      <c r="I817" s="133"/>
      <c r="J817" s="133"/>
      <c r="K817" s="133"/>
      <c r="L817" s="131"/>
      <c r="M817" s="131"/>
      <c r="N817" s="131"/>
      <c r="O817" s="133"/>
      <c r="P817" s="133"/>
      <c r="Q817" s="133"/>
      <c r="R817" s="131"/>
      <c r="S817" s="134"/>
      <c r="T817" s="134"/>
    </row>
    <row r="818" ht="22.5" customHeight="1">
      <c r="A818" s="131"/>
      <c r="B818" s="131"/>
      <c r="C818" s="131"/>
      <c r="D818" s="131"/>
      <c r="E818" s="132"/>
      <c r="F818" s="131"/>
      <c r="G818" s="36"/>
      <c r="H818" s="131"/>
      <c r="I818" s="133"/>
      <c r="J818" s="133"/>
      <c r="K818" s="133"/>
      <c r="L818" s="131"/>
      <c r="M818" s="131"/>
      <c r="N818" s="131"/>
      <c r="O818" s="133"/>
      <c r="P818" s="133"/>
      <c r="Q818" s="133"/>
      <c r="R818" s="131"/>
      <c r="S818" s="134"/>
      <c r="T818" s="134"/>
    </row>
    <row r="819" ht="22.5" customHeight="1">
      <c r="A819" s="131"/>
      <c r="B819" s="131"/>
      <c r="C819" s="131"/>
      <c r="D819" s="131"/>
      <c r="E819" s="132"/>
      <c r="F819" s="131"/>
      <c r="G819" s="36"/>
      <c r="H819" s="131"/>
      <c r="I819" s="133"/>
      <c r="J819" s="133"/>
      <c r="K819" s="133"/>
      <c r="L819" s="131"/>
      <c r="M819" s="131"/>
      <c r="N819" s="131"/>
      <c r="O819" s="133"/>
      <c r="P819" s="133"/>
      <c r="Q819" s="133"/>
      <c r="R819" s="131"/>
      <c r="S819" s="134"/>
      <c r="T819" s="134"/>
    </row>
    <row r="820" ht="22.5" customHeight="1">
      <c r="A820" s="131"/>
      <c r="B820" s="131"/>
      <c r="C820" s="131"/>
      <c r="D820" s="131"/>
      <c r="E820" s="132"/>
      <c r="F820" s="131"/>
      <c r="G820" s="36"/>
      <c r="H820" s="131"/>
      <c r="I820" s="133"/>
      <c r="J820" s="133"/>
      <c r="K820" s="133"/>
      <c r="L820" s="131"/>
      <c r="M820" s="131"/>
      <c r="N820" s="131"/>
      <c r="O820" s="133"/>
      <c r="P820" s="133"/>
      <c r="Q820" s="133"/>
      <c r="R820" s="131"/>
      <c r="S820" s="134"/>
      <c r="T820" s="134"/>
    </row>
    <row r="821" ht="22.5" customHeight="1">
      <c r="A821" s="131"/>
      <c r="B821" s="131"/>
      <c r="C821" s="131"/>
      <c r="D821" s="131"/>
      <c r="E821" s="132"/>
      <c r="F821" s="131"/>
      <c r="G821" s="36"/>
      <c r="H821" s="131"/>
      <c r="I821" s="133"/>
      <c r="J821" s="133"/>
      <c r="K821" s="133"/>
      <c r="L821" s="131"/>
      <c r="M821" s="131"/>
      <c r="N821" s="131"/>
      <c r="O821" s="133"/>
      <c r="P821" s="133"/>
      <c r="Q821" s="133"/>
      <c r="R821" s="131"/>
      <c r="S821" s="134"/>
      <c r="T821" s="134"/>
    </row>
    <row r="822" ht="22.5" customHeight="1">
      <c r="A822" s="131"/>
      <c r="B822" s="131"/>
      <c r="C822" s="131"/>
      <c r="D822" s="131"/>
      <c r="E822" s="132"/>
      <c r="F822" s="131"/>
      <c r="G822" s="36"/>
      <c r="H822" s="131"/>
      <c r="I822" s="133"/>
      <c r="J822" s="133"/>
      <c r="K822" s="133"/>
      <c r="L822" s="131"/>
      <c r="M822" s="131"/>
      <c r="N822" s="131"/>
      <c r="O822" s="133"/>
      <c r="P822" s="133"/>
      <c r="Q822" s="133"/>
      <c r="R822" s="131"/>
      <c r="S822" s="134"/>
      <c r="T822" s="134"/>
    </row>
    <row r="823" ht="22.5" customHeight="1">
      <c r="A823" s="131"/>
      <c r="B823" s="131"/>
      <c r="C823" s="131"/>
      <c r="D823" s="131"/>
      <c r="E823" s="132"/>
      <c r="F823" s="131"/>
      <c r="G823" s="36"/>
      <c r="H823" s="131"/>
      <c r="I823" s="133"/>
      <c r="J823" s="133"/>
      <c r="K823" s="133"/>
      <c r="L823" s="131"/>
      <c r="M823" s="131"/>
      <c r="N823" s="131"/>
      <c r="O823" s="133"/>
      <c r="P823" s="133"/>
      <c r="Q823" s="133"/>
      <c r="R823" s="131"/>
      <c r="S823" s="134"/>
      <c r="T823" s="134"/>
    </row>
    <row r="824" ht="22.5" customHeight="1">
      <c r="A824" s="131"/>
      <c r="B824" s="131"/>
      <c r="C824" s="131"/>
      <c r="D824" s="131"/>
      <c r="E824" s="132"/>
      <c r="F824" s="131"/>
      <c r="G824" s="36"/>
      <c r="H824" s="131"/>
      <c r="I824" s="133"/>
      <c r="J824" s="133"/>
      <c r="K824" s="133"/>
      <c r="L824" s="131"/>
      <c r="M824" s="131"/>
      <c r="N824" s="131"/>
      <c r="O824" s="133"/>
      <c r="P824" s="133"/>
      <c r="Q824" s="133"/>
      <c r="R824" s="131"/>
      <c r="S824" s="134"/>
      <c r="T824" s="134"/>
    </row>
    <row r="825" ht="22.5" customHeight="1">
      <c r="A825" s="131"/>
      <c r="B825" s="131"/>
      <c r="C825" s="131"/>
      <c r="D825" s="131"/>
      <c r="E825" s="132"/>
      <c r="F825" s="131"/>
      <c r="G825" s="36"/>
      <c r="H825" s="131"/>
      <c r="I825" s="133"/>
      <c r="J825" s="133"/>
      <c r="K825" s="133"/>
      <c r="L825" s="131"/>
      <c r="M825" s="131"/>
      <c r="N825" s="131"/>
      <c r="O825" s="133"/>
      <c r="P825" s="133"/>
      <c r="Q825" s="133"/>
      <c r="R825" s="131"/>
      <c r="S825" s="134"/>
      <c r="T825" s="134"/>
    </row>
    <row r="826" ht="22.5" customHeight="1">
      <c r="A826" s="131"/>
      <c r="B826" s="131"/>
      <c r="C826" s="131"/>
      <c r="D826" s="131"/>
      <c r="E826" s="132"/>
      <c r="F826" s="131"/>
      <c r="G826" s="36"/>
      <c r="H826" s="131"/>
      <c r="I826" s="133"/>
      <c r="J826" s="133"/>
      <c r="K826" s="133"/>
      <c r="L826" s="131"/>
      <c r="M826" s="131"/>
      <c r="N826" s="131"/>
      <c r="O826" s="133"/>
      <c r="P826" s="133"/>
      <c r="Q826" s="133"/>
      <c r="R826" s="131"/>
      <c r="S826" s="134"/>
      <c r="T826" s="134"/>
    </row>
    <row r="827" ht="22.5" customHeight="1">
      <c r="A827" s="131"/>
      <c r="B827" s="131"/>
      <c r="C827" s="131"/>
      <c r="D827" s="131"/>
      <c r="E827" s="132"/>
      <c r="F827" s="131"/>
      <c r="G827" s="36"/>
      <c r="H827" s="131"/>
      <c r="I827" s="133"/>
      <c r="J827" s="133"/>
      <c r="K827" s="133"/>
      <c r="L827" s="131"/>
      <c r="M827" s="131"/>
      <c r="N827" s="131"/>
      <c r="O827" s="133"/>
      <c r="P827" s="133"/>
      <c r="Q827" s="133"/>
      <c r="R827" s="131"/>
      <c r="S827" s="134"/>
      <c r="T827" s="134"/>
    </row>
    <row r="828" ht="22.5" customHeight="1">
      <c r="A828" s="131"/>
      <c r="B828" s="131"/>
      <c r="C828" s="131"/>
      <c r="D828" s="131"/>
      <c r="E828" s="132"/>
      <c r="F828" s="131"/>
      <c r="G828" s="36"/>
      <c r="H828" s="131"/>
      <c r="I828" s="133"/>
      <c r="J828" s="133"/>
      <c r="K828" s="133"/>
      <c r="L828" s="131"/>
      <c r="M828" s="131"/>
      <c r="N828" s="131"/>
      <c r="O828" s="133"/>
      <c r="P828" s="133"/>
      <c r="Q828" s="133"/>
      <c r="R828" s="131"/>
      <c r="S828" s="134"/>
      <c r="T828" s="134"/>
    </row>
    <row r="829" ht="22.5" customHeight="1">
      <c r="A829" s="131"/>
      <c r="B829" s="131"/>
      <c r="C829" s="131"/>
      <c r="D829" s="131"/>
      <c r="E829" s="132"/>
      <c r="F829" s="131"/>
      <c r="G829" s="36"/>
      <c r="H829" s="131"/>
      <c r="I829" s="133"/>
      <c r="J829" s="133"/>
      <c r="K829" s="133"/>
      <c r="L829" s="131"/>
      <c r="M829" s="131"/>
      <c r="N829" s="131"/>
      <c r="O829" s="133"/>
      <c r="P829" s="133"/>
      <c r="Q829" s="133"/>
      <c r="R829" s="131"/>
      <c r="S829" s="134"/>
      <c r="T829" s="134"/>
    </row>
    <row r="830" ht="22.5" customHeight="1">
      <c r="A830" s="131"/>
      <c r="B830" s="131"/>
      <c r="C830" s="131"/>
      <c r="D830" s="131"/>
      <c r="E830" s="132"/>
      <c r="F830" s="131"/>
      <c r="G830" s="36"/>
      <c r="H830" s="131"/>
      <c r="I830" s="133"/>
      <c r="J830" s="133"/>
      <c r="K830" s="133"/>
      <c r="L830" s="131"/>
      <c r="M830" s="131"/>
      <c r="N830" s="131"/>
      <c r="O830" s="133"/>
      <c r="P830" s="133"/>
      <c r="Q830" s="133"/>
      <c r="R830" s="131"/>
      <c r="S830" s="134"/>
      <c r="T830" s="134"/>
    </row>
    <row r="831" ht="22.5" customHeight="1">
      <c r="A831" s="131"/>
      <c r="B831" s="131"/>
      <c r="C831" s="131"/>
      <c r="D831" s="131"/>
      <c r="E831" s="132"/>
      <c r="F831" s="131"/>
      <c r="G831" s="36"/>
      <c r="H831" s="131"/>
      <c r="I831" s="133"/>
      <c r="J831" s="133"/>
      <c r="K831" s="133"/>
      <c r="L831" s="131"/>
      <c r="M831" s="131"/>
      <c r="N831" s="131"/>
      <c r="O831" s="133"/>
      <c r="P831" s="133"/>
      <c r="Q831" s="133"/>
      <c r="R831" s="131"/>
      <c r="S831" s="134"/>
      <c r="T831" s="134"/>
    </row>
    <row r="832" ht="22.5" customHeight="1">
      <c r="A832" s="131"/>
      <c r="B832" s="131"/>
      <c r="C832" s="131"/>
      <c r="D832" s="131"/>
      <c r="E832" s="132"/>
      <c r="F832" s="131"/>
      <c r="G832" s="36"/>
      <c r="H832" s="131"/>
      <c r="I832" s="133"/>
      <c r="J832" s="133"/>
      <c r="K832" s="133"/>
      <c r="L832" s="131"/>
      <c r="M832" s="131"/>
      <c r="N832" s="131"/>
      <c r="O832" s="133"/>
      <c r="P832" s="133"/>
      <c r="Q832" s="133"/>
      <c r="R832" s="131"/>
      <c r="S832" s="134"/>
      <c r="T832" s="134"/>
    </row>
    <row r="833" ht="22.5" customHeight="1">
      <c r="A833" s="131"/>
      <c r="B833" s="131"/>
      <c r="C833" s="131"/>
      <c r="D833" s="131"/>
      <c r="E833" s="132"/>
      <c r="F833" s="131"/>
      <c r="G833" s="36"/>
      <c r="H833" s="131"/>
      <c r="I833" s="133"/>
      <c r="J833" s="133"/>
      <c r="K833" s="133"/>
      <c r="L833" s="131"/>
      <c r="M833" s="131"/>
      <c r="N833" s="131"/>
      <c r="O833" s="133"/>
      <c r="P833" s="133"/>
      <c r="Q833" s="133"/>
      <c r="R833" s="131"/>
      <c r="S833" s="134"/>
      <c r="T833" s="134"/>
    </row>
    <row r="834" ht="22.5" customHeight="1">
      <c r="A834" s="131"/>
      <c r="B834" s="131"/>
      <c r="C834" s="131"/>
      <c r="D834" s="131"/>
      <c r="E834" s="132"/>
      <c r="F834" s="131"/>
      <c r="G834" s="36"/>
      <c r="H834" s="131"/>
      <c r="I834" s="133"/>
      <c r="J834" s="133"/>
      <c r="K834" s="133"/>
      <c r="L834" s="131"/>
      <c r="M834" s="131"/>
      <c r="N834" s="131"/>
      <c r="O834" s="133"/>
      <c r="P834" s="133"/>
      <c r="Q834" s="133"/>
      <c r="R834" s="131"/>
      <c r="S834" s="134"/>
      <c r="T834" s="134"/>
    </row>
    <row r="835" ht="22.5" customHeight="1">
      <c r="A835" s="131"/>
      <c r="B835" s="131"/>
      <c r="C835" s="131"/>
      <c r="D835" s="131"/>
      <c r="E835" s="132"/>
      <c r="F835" s="131"/>
      <c r="G835" s="36"/>
      <c r="H835" s="131"/>
      <c r="I835" s="133"/>
      <c r="J835" s="133"/>
      <c r="K835" s="133"/>
      <c r="L835" s="131"/>
      <c r="M835" s="131"/>
      <c r="N835" s="131"/>
      <c r="O835" s="133"/>
      <c r="P835" s="133"/>
      <c r="Q835" s="133"/>
      <c r="R835" s="131"/>
      <c r="S835" s="134"/>
      <c r="T835" s="134"/>
    </row>
    <row r="836" ht="22.5" customHeight="1">
      <c r="A836" s="131"/>
      <c r="B836" s="131"/>
      <c r="C836" s="131"/>
      <c r="D836" s="131"/>
      <c r="E836" s="132"/>
      <c r="F836" s="131"/>
      <c r="G836" s="36"/>
      <c r="H836" s="131"/>
      <c r="I836" s="133"/>
      <c r="J836" s="133"/>
      <c r="K836" s="133"/>
      <c r="L836" s="131"/>
      <c r="M836" s="131"/>
      <c r="N836" s="131"/>
      <c r="O836" s="133"/>
      <c r="P836" s="133"/>
      <c r="Q836" s="133"/>
      <c r="R836" s="131"/>
      <c r="S836" s="134"/>
      <c r="T836" s="134"/>
    </row>
    <row r="837" ht="22.5" customHeight="1">
      <c r="A837" s="131"/>
      <c r="B837" s="131"/>
      <c r="C837" s="131"/>
      <c r="D837" s="131"/>
      <c r="E837" s="132"/>
      <c r="F837" s="131"/>
      <c r="G837" s="36"/>
      <c r="H837" s="131"/>
      <c r="I837" s="133"/>
      <c r="J837" s="133"/>
      <c r="K837" s="133"/>
      <c r="L837" s="131"/>
      <c r="M837" s="131"/>
      <c r="N837" s="131"/>
      <c r="O837" s="133"/>
      <c r="P837" s="133"/>
      <c r="Q837" s="133"/>
      <c r="R837" s="131"/>
      <c r="S837" s="134"/>
      <c r="T837" s="134"/>
    </row>
    <row r="838" ht="22.5" customHeight="1">
      <c r="A838" s="131"/>
      <c r="B838" s="131"/>
      <c r="C838" s="131"/>
      <c r="D838" s="131"/>
      <c r="E838" s="132"/>
      <c r="F838" s="131"/>
      <c r="G838" s="36"/>
      <c r="H838" s="131"/>
      <c r="I838" s="133"/>
      <c r="J838" s="133"/>
      <c r="K838" s="133"/>
      <c r="L838" s="131"/>
      <c r="M838" s="131"/>
      <c r="N838" s="131"/>
      <c r="O838" s="133"/>
      <c r="P838" s="133"/>
      <c r="Q838" s="133"/>
      <c r="R838" s="131"/>
      <c r="S838" s="134"/>
      <c r="T838" s="134"/>
    </row>
    <row r="839" ht="22.5" customHeight="1">
      <c r="A839" s="131"/>
      <c r="B839" s="131"/>
      <c r="C839" s="131"/>
      <c r="D839" s="131"/>
      <c r="E839" s="132"/>
      <c r="F839" s="131"/>
      <c r="G839" s="36"/>
      <c r="H839" s="131"/>
      <c r="I839" s="133"/>
      <c r="J839" s="133"/>
      <c r="K839" s="133"/>
      <c r="L839" s="131"/>
      <c r="M839" s="131"/>
      <c r="N839" s="131"/>
      <c r="O839" s="133"/>
      <c r="P839" s="133"/>
      <c r="Q839" s="133"/>
      <c r="R839" s="131"/>
      <c r="S839" s="134"/>
      <c r="T839" s="134"/>
    </row>
    <row r="840" ht="22.5" customHeight="1">
      <c r="A840" s="131"/>
      <c r="B840" s="131"/>
      <c r="C840" s="131"/>
      <c r="D840" s="131"/>
      <c r="E840" s="132"/>
      <c r="F840" s="131"/>
      <c r="G840" s="36"/>
      <c r="H840" s="131"/>
      <c r="I840" s="133"/>
      <c r="J840" s="133"/>
      <c r="K840" s="133"/>
      <c r="L840" s="131"/>
      <c r="M840" s="131"/>
      <c r="N840" s="131"/>
      <c r="O840" s="133"/>
      <c r="P840" s="133"/>
      <c r="Q840" s="133"/>
      <c r="R840" s="131"/>
      <c r="S840" s="134"/>
      <c r="T840" s="134"/>
    </row>
    <row r="841" ht="22.5" customHeight="1">
      <c r="A841" s="131"/>
      <c r="B841" s="131"/>
      <c r="C841" s="131"/>
      <c r="D841" s="131"/>
      <c r="E841" s="132"/>
      <c r="F841" s="131"/>
      <c r="G841" s="36"/>
      <c r="H841" s="131"/>
      <c r="I841" s="133"/>
      <c r="J841" s="133"/>
      <c r="K841" s="133"/>
      <c r="L841" s="131"/>
      <c r="M841" s="131"/>
      <c r="N841" s="131"/>
      <c r="O841" s="133"/>
      <c r="P841" s="133"/>
      <c r="Q841" s="133"/>
      <c r="R841" s="131"/>
      <c r="S841" s="134"/>
      <c r="T841" s="134"/>
    </row>
    <row r="842" ht="22.5" customHeight="1">
      <c r="A842" s="131"/>
      <c r="B842" s="131"/>
      <c r="C842" s="131"/>
      <c r="D842" s="131"/>
      <c r="E842" s="132"/>
      <c r="F842" s="131"/>
      <c r="G842" s="36"/>
      <c r="H842" s="131"/>
      <c r="I842" s="133"/>
      <c r="J842" s="133"/>
      <c r="K842" s="133"/>
      <c r="L842" s="131"/>
      <c r="M842" s="131"/>
      <c r="N842" s="131"/>
      <c r="O842" s="133"/>
      <c r="P842" s="133"/>
      <c r="Q842" s="133"/>
      <c r="R842" s="131"/>
      <c r="S842" s="134"/>
      <c r="T842" s="134"/>
    </row>
    <row r="843" ht="22.5" customHeight="1">
      <c r="A843" s="131"/>
      <c r="B843" s="131"/>
      <c r="C843" s="131"/>
      <c r="D843" s="131"/>
      <c r="E843" s="132"/>
      <c r="F843" s="131"/>
      <c r="G843" s="36"/>
      <c r="H843" s="131"/>
      <c r="I843" s="133"/>
      <c r="J843" s="133"/>
      <c r="K843" s="133"/>
      <c r="L843" s="131"/>
      <c r="M843" s="131"/>
      <c r="N843" s="131"/>
      <c r="O843" s="133"/>
      <c r="P843" s="133"/>
      <c r="Q843" s="133"/>
      <c r="R843" s="131"/>
      <c r="S843" s="134"/>
      <c r="T843" s="134"/>
    </row>
    <row r="844" ht="22.5" customHeight="1">
      <c r="A844" s="131"/>
      <c r="B844" s="131"/>
      <c r="C844" s="131"/>
      <c r="D844" s="131"/>
      <c r="E844" s="132"/>
      <c r="F844" s="131"/>
      <c r="G844" s="36"/>
      <c r="H844" s="131"/>
      <c r="I844" s="133"/>
      <c r="J844" s="133"/>
      <c r="K844" s="133"/>
      <c r="L844" s="131"/>
      <c r="M844" s="131"/>
      <c r="N844" s="131"/>
      <c r="O844" s="133"/>
      <c r="P844" s="133"/>
      <c r="Q844" s="133"/>
      <c r="R844" s="131"/>
      <c r="S844" s="134"/>
      <c r="T844" s="134"/>
    </row>
    <row r="845" ht="22.5" customHeight="1">
      <c r="A845" s="131"/>
      <c r="B845" s="131"/>
      <c r="C845" s="131"/>
      <c r="D845" s="131"/>
      <c r="E845" s="132"/>
      <c r="F845" s="131"/>
      <c r="G845" s="36"/>
      <c r="H845" s="131"/>
      <c r="I845" s="133"/>
      <c r="J845" s="133"/>
      <c r="K845" s="133"/>
      <c r="L845" s="131"/>
      <c r="M845" s="131"/>
      <c r="N845" s="131"/>
      <c r="O845" s="133"/>
      <c r="P845" s="133"/>
      <c r="Q845" s="133"/>
      <c r="R845" s="131"/>
      <c r="S845" s="134"/>
      <c r="T845" s="134"/>
    </row>
    <row r="846" ht="22.5" customHeight="1">
      <c r="A846" s="131"/>
      <c r="B846" s="131"/>
      <c r="C846" s="131"/>
      <c r="D846" s="131"/>
      <c r="E846" s="132"/>
      <c r="F846" s="131"/>
      <c r="G846" s="36"/>
      <c r="H846" s="131"/>
      <c r="I846" s="133"/>
      <c r="J846" s="133"/>
      <c r="K846" s="133"/>
      <c r="L846" s="131"/>
      <c r="M846" s="131"/>
      <c r="N846" s="131"/>
      <c r="O846" s="133"/>
      <c r="P846" s="133"/>
      <c r="Q846" s="133"/>
      <c r="R846" s="131"/>
      <c r="S846" s="134"/>
      <c r="T846" s="134"/>
    </row>
    <row r="847" ht="22.5" customHeight="1">
      <c r="A847" s="131"/>
      <c r="B847" s="131"/>
      <c r="C847" s="131"/>
      <c r="D847" s="131"/>
      <c r="E847" s="132"/>
      <c r="F847" s="131"/>
      <c r="G847" s="36"/>
      <c r="H847" s="131"/>
      <c r="I847" s="133"/>
      <c r="J847" s="133"/>
      <c r="K847" s="133"/>
      <c r="L847" s="131"/>
      <c r="M847" s="131"/>
      <c r="N847" s="131"/>
      <c r="O847" s="133"/>
      <c r="P847" s="133"/>
      <c r="Q847" s="133"/>
      <c r="R847" s="131"/>
      <c r="S847" s="134"/>
      <c r="T847" s="134"/>
    </row>
    <row r="848" ht="22.5" customHeight="1">
      <c r="A848" s="131"/>
      <c r="B848" s="131"/>
      <c r="C848" s="131"/>
      <c r="D848" s="131"/>
      <c r="E848" s="132"/>
      <c r="F848" s="131"/>
      <c r="G848" s="36"/>
      <c r="H848" s="131"/>
      <c r="I848" s="133"/>
      <c r="J848" s="133"/>
      <c r="K848" s="133"/>
      <c r="L848" s="131"/>
      <c r="M848" s="131"/>
      <c r="N848" s="131"/>
      <c r="O848" s="133"/>
      <c r="P848" s="133"/>
      <c r="Q848" s="133"/>
      <c r="R848" s="131"/>
      <c r="S848" s="134"/>
      <c r="T848" s="134"/>
    </row>
    <row r="849" ht="22.5" customHeight="1">
      <c r="A849" s="131"/>
      <c r="B849" s="131"/>
      <c r="C849" s="131"/>
      <c r="D849" s="131"/>
      <c r="E849" s="132"/>
      <c r="F849" s="131"/>
      <c r="G849" s="36"/>
      <c r="H849" s="131"/>
      <c r="I849" s="133"/>
      <c r="J849" s="133"/>
      <c r="K849" s="133"/>
      <c r="L849" s="131"/>
      <c r="M849" s="131"/>
      <c r="N849" s="131"/>
      <c r="O849" s="133"/>
      <c r="P849" s="133"/>
      <c r="Q849" s="133"/>
      <c r="R849" s="131"/>
      <c r="S849" s="134"/>
      <c r="T849" s="134"/>
    </row>
    <row r="850" ht="22.5" customHeight="1">
      <c r="A850" s="131"/>
      <c r="B850" s="131"/>
      <c r="C850" s="131"/>
      <c r="D850" s="131"/>
      <c r="E850" s="132"/>
      <c r="F850" s="131"/>
      <c r="G850" s="36"/>
      <c r="H850" s="131"/>
      <c r="I850" s="133"/>
      <c r="J850" s="133"/>
      <c r="K850" s="133"/>
      <c r="L850" s="131"/>
      <c r="M850" s="131"/>
      <c r="N850" s="131"/>
      <c r="O850" s="133"/>
      <c r="P850" s="133"/>
      <c r="Q850" s="133"/>
      <c r="R850" s="131"/>
      <c r="S850" s="134"/>
      <c r="T850" s="134"/>
    </row>
    <row r="851" ht="22.5" customHeight="1">
      <c r="A851" s="131"/>
      <c r="B851" s="131"/>
      <c r="C851" s="131"/>
      <c r="D851" s="131"/>
      <c r="E851" s="132"/>
      <c r="F851" s="131"/>
      <c r="G851" s="36"/>
      <c r="H851" s="131"/>
      <c r="I851" s="133"/>
      <c r="J851" s="133"/>
      <c r="K851" s="133"/>
      <c r="L851" s="131"/>
      <c r="M851" s="131"/>
      <c r="N851" s="131"/>
      <c r="O851" s="133"/>
      <c r="P851" s="133"/>
      <c r="Q851" s="133"/>
      <c r="R851" s="131"/>
      <c r="S851" s="134"/>
      <c r="T851" s="134"/>
    </row>
    <row r="852" ht="22.5" customHeight="1">
      <c r="A852" s="131"/>
      <c r="B852" s="131"/>
      <c r="C852" s="131"/>
      <c r="D852" s="131"/>
      <c r="E852" s="132"/>
      <c r="F852" s="131"/>
      <c r="G852" s="36"/>
      <c r="H852" s="131"/>
      <c r="I852" s="133"/>
      <c r="J852" s="133"/>
      <c r="K852" s="133"/>
      <c r="L852" s="131"/>
      <c r="M852" s="131"/>
      <c r="N852" s="131"/>
      <c r="O852" s="133"/>
      <c r="P852" s="133"/>
      <c r="Q852" s="133"/>
      <c r="R852" s="131"/>
      <c r="S852" s="134"/>
      <c r="T852" s="134"/>
    </row>
    <row r="853" ht="22.5" customHeight="1">
      <c r="A853" s="131"/>
      <c r="B853" s="131"/>
      <c r="C853" s="131"/>
      <c r="D853" s="131"/>
      <c r="E853" s="132"/>
      <c r="F853" s="131"/>
      <c r="G853" s="36"/>
      <c r="H853" s="131"/>
      <c r="I853" s="133"/>
      <c r="J853" s="133"/>
      <c r="K853" s="133"/>
      <c r="L853" s="131"/>
      <c r="M853" s="131"/>
      <c r="N853" s="131"/>
      <c r="O853" s="133"/>
      <c r="P853" s="133"/>
      <c r="Q853" s="133"/>
      <c r="R853" s="131"/>
      <c r="S853" s="134"/>
      <c r="T853" s="134"/>
    </row>
    <row r="854" ht="22.5" customHeight="1">
      <c r="A854" s="131"/>
      <c r="B854" s="131"/>
      <c r="C854" s="131"/>
      <c r="D854" s="131"/>
      <c r="E854" s="132"/>
      <c r="F854" s="131"/>
      <c r="G854" s="36"/>
      <c r="H854" s="131"/>
      <c r="I854" s="133"/>
      <c r="J854" s="133"/>
      <c r="K854" s="133"/>
      <c r="L854" s="131"/>
      <c r="M854" s="131"/>
      <c r="N854" s="131"/>
      <c r="O854" s="133"/>
      <c r="P854" s="133"/>
      <c r="Q854" s="133"/>
      <c r="R854" s="131"/>
      <c r="S854" s="134"/>
      <c r="T854" s="134"/>
    </row>
    <row r="855" ht="22.5" customHeight="1">
      <c r="A855" s="131"/>
      <c r="B855" s="131"/>
      <c r="C855" s="131"/>
      <c r="D855" s="131"/>
      <c r="E855" s="132"/>
      <c r="F855" s="131"/>
      <c r="G855" s="36"/>
      <c r="H855" s="131"/>
      <c r="I855" s="133"/>
      <c r="J855" s="133"/>
      <c r="K855" s="133"/>
      <c r="L855" s="131"/>
      <c r="M855" s="131"/>
      <c r="N855" s="131"/>
      <c r="O855" s="133"/>
      <c r="P855" s="133"/>
      <c r="Q855" s="133"/>
      <c r="R855" s="131"/>
      <c r="S855" s="134"/>
      <c r="T855" s="134"/>
    </row>
    <row r="856" ht="22.5" customHeight="1">
      <c r="A856" s="131"/>
      <c r="B856" s="131"/>
      <c r="C856" s="131"/>
      <c r="D856" s="131"/>
      <c r="E856" s="132"/>
      <c r="F856" s="131"/>
      <c r="G856" s="36"/>
      <c r="H856" s="131"/>
      <c r="I856" s="133"/>
      <c r="J856" s="133"/>
      <c r="K856" s="133"/>
      <c r="L856" s="131"/>
      <c r="M856" s="131"/>
      <c r="N856" s="131"/>
      <c r="O856" s="133"/>
      <c r="P856" s="133"/>
      <c r="Q856" s="133"/>
      <c r="R856" s="131"/>
      <c r="S856" s="134"/>
      <c r="T856" s="134"/>
    </row>
    <row r="857" ht="22.5" customHeight="1">
      <c r="A857" s="131"/>
      <c r="B857" s="131"/>
      <c r="C857" s="131"/>
      <c r="D857" s="131"/>
      <c r="E857" s="132"/>
      <c r="F857" s="131"/>
      <c r="G857" s="36"/>
      <c r="H857" s="131"/>
      <c r="I857" s="133"/>
      <c r="J857" s="133"/>
      <c r="K857" s="133"/>
      <c r="L857" s="131"/>
      <c r="M857" s="131"/>
      <c r="N857" s="131"/>
      <c r="O857" s="133"/>
      <c r="P857" s="133"/>
      <c r="Q857" s="133"/>
      <c r="R857" s="131"/>
      <c r="S857" s="134"/>
      <c r="T857" s="134"/>
    </row>
    <row r="858" ht="22.5" customHeight="1">
      <c r="A858" s="131"/>
      <c r="B858" s="131"/>
      <c r="C858" s="131"/>
      <c r="D858" s="131"/>
      <c r="E858" s="132"/>
      <c r="F858" s="131"/>
      <c r="G858" s="36"/>
      <c r="H858" s="131"/>
      <c r="I858" s="133"/>
      <c r="J858" s="133"/>
      <c r="K858" s="133"/>
      <c r="L858" s="131"/>
      <c r="M858" s="131"/>
      <c r="N858" s="131"/>
      <c r="O858" s="133"/>
      <c r="P858" s="133"/>
      <c r="Q858" s="133"/>
      <c r="R858" s="131"/>
      <c r="S858" s="134"/>
      <c r="T858" s="134"/>
    </row>
    <row r="859" ht="22.5" customHeight="1">
      <c r="A859" s="131"/>
      <c r="B859" s="131"/>
      <c r="C859" s="131"/>
      <c r="D859" s="131"/>
      <c r="E859" s="132"/>
      <c r="F859" s="131"/>
      <c r="G859" s="36"/>
      <c r="H859" s="131"/>
      <c r="I859" s="133"/>
      <c r="J859" s="133"/>
      <c r="K859" s="133"/>
      <c r="L859" s="131"/>
      <c r="M859" s="131"/>
      <c r="N859" s="131"/>
      <c r="O859" s="133"/>
      <c r="P859" s="133"/>
      <c r="Q859" s="133"/>
      <c r="R859" s="131"/>
      <c r="S859" s="134"/>
      <c r="T859" s="134"/>
    </row>
    <row r="860" ht="22.5" customHeight="1">
      <c r="A860" s="131"/>
      <c r="B860" s="131"/>
      <c r="C860" s="131"/>
      <c r="D860" s="131"/>
      <c r="E860" s="132"/>
      <c r="F860" s="131"/>
      <c r="G860" s="36"/>
      <c r="H860" s="131"/>
      <c r="I860" s="133"/>
      <c r="J860" s="133"/>
      <c r="K860" s="133"/>
      <c r="L860" s="131"/>
      <c r="M860" s="131"/>
      <c r="N860" s="131"/>
      <c r="O860" s="133"/>
      <c r="P860" s="133"/>
      <c r="Q860" s="133"/>
      <c r="R860" s="131"/>
      <c r="S860" s="134"/>
      <c r="T860" s="134"/>
    </row>
    <row r="861" ht="22.5" customHeight="1">
      <c r="A861" s="131"/>
      <c r="B861" s="131"/>
      <c r="C861" s="131"/>
      <c r="D861" s="131"/>
      <c r="E861" s="132"/>
      <c r="F861" s="131"/>
      <c r="G861" s="36"/>
      <c r="H861" s="131"/>
      <c r="I861" s="133"/>
      <c r="J861" s="133"/>
      <c r="K861" s="133"/>
      <c r="L861" s="131"/>
      <c r="M861" s="131"/>
      <c r="N861" s="131"/>
      <c r="O861" s="133"/>
      <c r="P861" s="133"/>
      <c r="Q861" s="133"/>
      <c r="R861" s="131"/>
      <c r="S861" s="134"/>
      <c r="T861" s="134"/>
    </row>
    <row r="862" ht="22.5" customHeight="1">
      <c r="A862" s="131"/>
      <c r="B862" s="131"/>
      <c r="C862" s="131"/>
      <c r="D862" s="131"/>
      <c r="E862" s="132"/>
      <c r="F862" s="131"/>
      <c r="G862" s="36"/>
      <c r="H862" s="131"/>
      <c r="I862" s="133"/>
      <c r="J862" s="133"/>
      <c r="K862" s="133"/>
      <c r="L862" s="131"/>
      <c r="M862" s="131"/>
      <c r="N862" s="131"/>
      <c r="O862" s="133"/>
      <c r="P862" s="133"/>
      <c r="Q862" s="133"/>
      <c r="R862" s="131"/>
      <c r="S862" s="134"/>
      <c r="T862" s="134"/>
    </row>
    <row r="863" ht="22.5" customHeight="1">
      <c r="A863" s="131"/>
      <c r="B863" s="131"/>
      <c r="C863" s="131"/>
      <c r="D863" s="131"/>
      <c r="E863" s="132"/>
      <c r="F863" s="131"/>
      <c r="G863" s="36"/>
      <c r="H863" s="131"/>
      <c r="I863" s="133"/>
      <c r="J863" s="133"/>
      <c r="K863" s="133"/>
      <c r="L863" s="131"/>
      <c r="M863" s="131"/>
      <c r="N863" s="131"/>
      <c r="O863" s="133"/>
      <c r="P863" s="133"/>
      <c r="Q863" s="133"/>
      <c r="R863" s="131"/>
      <c r="S863" s="134"/>
      <c r="T863" s="134"/>
    </row>
    <row r="864" ht="22.5" customHeight="1">
      <c r="A864" s="131"/>
      <c r="B864" s="131"/>
      <c r="C864" s="131"/>
      <c r="D864" s="131"/>
      <c r="E864" s="132"/>
      <c r="F864" s="131"/>
      <c r="G864" s="36"/>
      <c r="H864" s="131"/>
      <c r="I864" s="133"/>
      <c r="J864" s="133"/>
      <c r="K864" s="133"/>
      <c r="L864" s="131"/>
      <c r="M864" s="131"/>
      <c r="N864" s="131"/>
      <c r="O864" s="133"/>
      <c r="P864" s="133"/>
      <c r="Q864" s="133"/>
      <c r="R864" s="131"/>
      <c r="S864" s="134"/>
      <c r="T864" s="134"/>
    </row>
    <row r="865" ht="22.5" customHeight="1">
      <c r="A865" s="131"/>
      <c r="B865" s="131"/>
      <c r="C865" s="131"/>
      <c r="D865" s="131"/>
      <c r="E865" s="132"/>
      <c r="F865" s="131"/>
      <c r="G865" s="36"/>
      <c r="H865" s="131"/>
      <c r="I865" s="133"/>
      <c r="J865" s="133"/>
      <c r="K865" s="133"/>
      <c r="L865" s="131"/>
      <c r="M865" s="131"/>
      <c r="N865" s="131"/>
      <c r="O865" s="133"/>
      <c r="P865" s="133"/>
      <c r="Q865" s="133"/>
      <c r="R865" s="131"/>
      <c r="S865" s="134"/>
      <c r="T865" s="134"/>
    </row>
    <row r="866" ht="22.5" customHeight="1">
      <c r="A866" s="131"/>
      <c r="B866" s="131"/>
      <c r="C866" s="131"/>
      <c r="D866" s="131"/>
      <c r="E866" s="132"/>
      <c r="F866" s="131"/>
      <c r="G866" s="36"/>
      <c r="H866" s="131"/>
      <c r="I866" s="133"/>
      <c r="J866" s="133"/>
      <c r="K866" s="133"/>
      <c r="L866" s="131"/>
      <c r="M866" s="131"/>
      <c r="N866" s="131"/>
      <c r="O866" s="133"/>
      <c r="P866" s="133"/>
      <c r="Q866" s="133"/>
      <c r="R866" s="131"/>
      <c r="S866" s="134"/>
      <c r="T866" s="134"/>
    </row>
    <row r="867" ht="22.5" customHeight="1">
      <c r="A867" s="131"/>
      <c r="B867" s="131"/>
      <c r="C867" s="131"/>
      <c r="D867" s="131"/>
      <c r="E867" s="132"/>
      <c r="F867" s="131"/>
      <c r="G867" s="36"/>
      <c r="H867" s="131"/>
      <c r="I867" s="133"/>
      <c r="J867" s="133"/>
      <c r="K867" s="133"/>
      <c r="L867" s="131"/>
      <c r="M867" s="131"/>
      <c r="N867" s="131"/>
      <c r="O867" s="133"/>
      <c r="P867" s="133"/>
      <c r="Q867" s="133"/>
      <c r="R867" s="131"/>
      <c r="S867" s="134"/>
      <c r="T867" s="134"/>
    </row>
    <row r="868" ht="22.5" customHeight="1">
      <c r="A868" s="131"/>
      <c r="B868" s="131"/>
      <c r="C868" s="131"/>
      <c r="D868" s="131"/>
      <c r="E868" s="132"/>
      <c r="F868" s="131"/>
      <c r="G868" s="36"/>
      <c r="H868" s="131"/>
      <c r="I868" s="133"/>
      <c r="J868" s="133"/>
      <c r="K868" s="133"/>
      <c r="L868" s="131"/>
      <c r="M868" s="131"/>
      <c r="N868" s="131"/>
      <c r="O868" s="133"/>
      <c r="P868" s="133"/>
      <c r="Q868" s="133"/>
      <c r="R868" s="131"/>
      <c r="S868" s="134"/>
      <c r="T868" s="134"/>
    </row>
    <row r="869" ht="22.5" customHeight="1">
      <c r="A869" s="131"/>
      <c r="B869" s="131"/>
      <c r="C869" s="131"/>
      <c r="D869" s="131"/>
      <c r="E869" s="132"/>
      <c r="F869" s="131"/>
      <c r="G869" s="36"/>
      <c r="H869" s="131"/>
      <c r="I869" s="133"/>
      <c r="J869" s="133"/>
      <c r="K869" s="133"/>
      <c r="L869" s="131"/>
      <c r="M869" s="131"/>
      <c r="N869" s="131"/>
      <c r="O869" s="133"/>
      <c r="P869" s="133"/>
      <c r="Q869" s="133"/>
      <c r="R869" s="131"/>
      <c r="S869" s="134"/>
      <c r="T869" s="134"/>
    </row>
    <row r="870" ht="22.5" customHeight="1">
      <c r="A870" s="131"/>
      <c r="B870" s="131"/>
      <c r="C870" s="131"/>
      <c r="D870" s="131"/>
      <c r="E870" s="132"/>
      <c r="F870" s="131"/>
      <c r="G870" s="36"/>
      <c r="H870" s="131"/>
      <c r="I870" s="133"/>
      <c r="J870" s="133"/>
      <c r="K870" s="133"/>
      <c r="L870" s="131"/>
      <c r="M870" s="131"/>
      <c r="N870" s="131"/>
      <c r="O870" s="133"/>
      <c r="P870" s="133"/>
      <c r="Q870" s="133"/>
      <c r="R870" s="131"/>
      <c r="S870" s="134"/>
      <c r="T870" s="134"/>
    </row>
    <row r="871" ht="22.5" customHeight="1">
      <c r="A871" s="131"/>
      <c r="B871" s="131"/>
      <c r="C871" s="131"/>
      <c r="D871" s="131"/>
      <c r="E871" s="132"/>
      <c r="F871" s="131"/>
      <c r="G871" s="36"/>
      <c r="H871" s="131"/>
      <c r="I871" s="133"/>
      <c r="J871" s="133"/>
      <c r="K871" s="133"/>
      <c r="L871" s="131"/>
      <c r="M871" s="131"/>
      <c r="N871" s="131"/>
      <c r="O871" s="133"/>
      <c r="P871" s="133"/>
      <c r="Q871" s="133"/>
      <c r="R871" s="131"/>
      <c r="S871" s="134"/>
      <c r="T871" s="134"/>
    </row>
    <row r="872" ht="22.5" customHeight="1">
      <c r="A872" s="131"/>
      <c r="B872" s="131"/>
      <c r="C872" s="131"/>
      <c r="D872" s="131"/>
      <c r="E872" s="132"/>
      <c r="F872" s="131"/>
      <c r="G872" s="36"/>
      <c r="H872" s="131"/>
      <c r="I872" s="133"/>
      <c r="J872" s="133"/>
      <c r="K872" s="133"/>
      <c r="L872" s="131"/>
      <c r="M872" s="131"/>
      <c r="N872" s="131"/>
      <c r="O872" s="133"/>
      <c r="P872" s="133"/>
      <c r="Q872" s="133"/>
      <c r="R872" s="131"/>
      <c r="S872" s="134"/>
      <c r="T872" s="134"/>
    </row>
    <row r="873" ht="22.5" customHeight="1">
      <c r="A873" s="131"/>
      <c r="B873" s="131"/>
      <c r="C873" s="131"/>
      <c r="D873" s="131"/>
      <c r="E873" s="132"/>
      <c r="F873" s="131"/>
      <c r="G873" s="36"/>
      <c r="H873" s="131"/>
      <c r="I873" s="133"/>
      <c r="J873" s="133"/>
      <c r="K873" s="133"/>
      <c r="L873" s="131"/>
      <c r="M873" s="131"/>
      <c r="N873" s="131"/>
      <c r="O873" s="133"/>
      <c r="P873" s="133"/>
      <c r="Q873" s="133"/>
      <c r="R873" s="131"/>
      <c r="S873" s="134"/>
      <c r="T873" s="134"/>
    </row>
    <row r="874" ht="22.5" customHeight="1">
      <c r="A874" s="131"/>
      <c r="B874" s="131"/>
      <c r="C874" s="131"/>
      <c r="D874" s="131"/>
      <c r="E874" s="132"/>
      <c r="F874" s="131"/>
      <c r="G874" s="36"/>
      <c r="H874" s="131"/>
      <c r="I874" s="133"/>
      <c r="J874" s="133"/>
      <c r="K874" s="133"/>
      <c r="L874" s="131"/>
      <c r="M874" s="131"/>
      <c r="N874" s="131"/>
      <c r="O874" s="133"/>
      <c r="P874" s="133"/>
      <c r="Q874" s="133"/>
      <c r="R874" s="131"/>
      <c r="S874" s="134"/>
      <c r="T874" s="134"/>
    </row>
    <row r="875" ht="22.5" customHeight="1">
      <c r="A875" s="131"/>
      <c r="B875" s="131"/>
      <c r="C875" s="131"/>
      <c r="D875" s="131"/>
      <c r="E875" s="132"/>
      <c r="F875" s="131"/>
      <c r="G875" s="36"/>
      <c r="H875" s="131"/>
      <c r="I875" s="133"/>
      <c r="J875" s="133"/>
      <c r="K875" s="133"/>
      <c r="L875" s="131"/>
      <c r="M875" s="131"/>
      <c r="N875" s="131"/>
      <c r="O875" s="133"/>
      <c r="P875" s="133"/>
      <c r="Q875" s="133"/>
      <c r="R875" s="131"/>
      <c r="S875" s="134"/>
      <c r="T875" s="134"/>
    </row>
    <row r="876" ht="22.5" customHeight="1">
      <c r="A876" s="131"/>
      <c r="B876" s="131"/>
      <c r="C876" s="131"/>
      <c r="D876" s="131"/>
      <c r="E876" s="132"/>
      <c r="F876" s="131"/>
      <c r="G876" s="36"/>
      <c r="H876" s="131"/>
      <c r="I876" s="133"/>
      <c r="J876" s="133"/>
      <c r="K876" s="133"/>
      <c r="L876" s="131"/>
      <c r="M876" s="131"/>
      <c r="N876" s="131"/>
      <c r="O876" s="133"/>
      <c r="P876" s="133"/>
      <c r="Q876" s="133"/>
      <c r="R876" s="131"/>
      <c r="S876" s="134"/>
      <c r="T876" s="134"/>
    </row>
    <row r="877" ht="22.5" customHeight="1">
      <c r="A877" s="131"/>
      <c r="B877" s="131"/>
      <c r="C877" s="131"/>
      <c r="D877" s="131"/>
      <c r="E877" s="132"/>
      <c r="F877" s="131"/>
      <c r="G877" s="36"/>
      <c r="H877" s="131"/>
      <c r="I877" s="133"/>
      <c r="J877" s="133"/>
      <c r="K877" s="133"/>
      <c r="L877" s="131"/>
      <c r="M877" s="131"/>
      <c r="N877" s="131"/>
      <c r="O877" s="133"/>
      <c r="P877" s="133"/>
      <c r="Q877" s="133"/>
      <c r="R877" s="131"/>
      <c r="S877" s="134"/>
      <c r="T877" s="134"/>
    </row>
    <row r="878" ht="22.5" customHeight="1">
      <c r="A878" s="131"/>
      <c r="B878" s="131"/>
      <c r="C878" s="131"/>
      <c r="D878" s="131"/>
      <c r="E878" s="132"/>
      <c r="F878" s="131"/>
      <c r="G878" s="36"/>
      <c r="H878" s="131"/>
      <c r="I878" s="133"/>
      <c r="J878" s="133"/>
      <c r="K878" s="133"/>
      <c r="L878" s="131"/>
      <c r="M878" s="131"/>
      <c r="N878" s="131"/>
      <c r="O878" s="133"/>
      <c r="P878" s="133"/>
      <c r="Q878" s="133"/>
      <c r="R878" s="131"/>
      <c r="S878" s="134"/>
      <c r="T878" s="134"/>
    </row>
    <row r="879" ht="22.5" customHeight="1">
      <c r="A879" s="131"/>
      <c r="B879" s="131"/>
      <c r="C879" s="131"/>
      <c r="D879" s="131"/>
      <c r="E879" s="132"/>
      <c r="F879" s="131"/>
      <c r="G879" s="36"/>
      <c r="H879" s="131"/>
      <c r="I879" s="133"/>
      <c r="J879" s="133"/>
      <c r="K879" s="133"/>
      <c r="L879" s="131"/>
      <c r="M879" s="131"/>
      <c r="N879" s="131"/>
      <c r="O879" s="133"/>
      <c r="P879" s="133"/>
      <c r="Q879" s="133"/>
      <c r="R879" s="131"/>
      <c r="S879" s="134"/>
      <c r="T879" s="134"/>
    </row>
    <row r="880" ht="22.5" customHeight="1">
      <c r="A880" s="131"/>
      <c r="B880" s="131"/>
      <c r="C880" s="131"/>
      <c r="D880" s="131"/>
      <c r="E880" s="132"/>
      <c r="F880" s="131"/>
      <c r="G880" s="36"/>
      <c r="H880" s="131"/>
      <c r="I880" s="133"/>
      <c r="J880" s="133"/>
      <c r="K880" s="133"/>
      <c r="L880" s="131"/>
      <c r="M880" s="131"/>
      <c r="N880" s="131"/>
      <c r="O880" s="133"/>
      <c r="P880" s="133"/>
      <c r="Q880" s="133"/>
      <c r="R880" s="131"/>
      <c r="S880" s="134"/>
      <c r="T880" s="134"/>
    </row>
    <row r="881" ht="22.5" customHeight="1">
      <c r="A881" s="131"/>
      <c r="B881" s="131"/>
      <c r="C881" s="131"/>
      <c r="D881" s="131"/>
      <c r="E881" s="132"/>
      <c r="F881" s="131"/>
      <c r="G881" s="36"/>
      <c r="H881" s="131"/>
      <c r="I881" s="133"/>
      <c r="J881" s="133"/>
      <c r="K881" s="133"/>
      <c r="L881" s="131"/>
      <c r="M881" s="131"/>
      <c r="N881" s="131"/>
      <c r="O881" s="133"/>
      <c r="P881" s="133"/>
      <c r="Q881" s="133"/>
      <c r="R881" s="131"/>
      <c r="S881" s="134"/>
      <c r="T881" s="134"/>
    </row>
    <row r="882" ht="22.5" customHeight="1">
      <c r="A882" s="131"/>
      <c r="B882" s="131"/>
      <c r="C882" s="131"/>
      <c r="D882" s="131"/>
      <c r="E882" s="132"/>
      <c r="F882" s="131"/>
      <c r="G882" s="36"/>
      <c r="H882" s="131"/>
      <c r="I882" s="133"/>
      <c r="J882" s="133"/>
      <c r="K882" s="133"/>
      <c r="L882" s="131"/>
      <c r="M882" s="131"/>
      <c r="N882" s="131"/>
      <c r="O882" s="133"/>
      <c r="P882" s="133"/>
      <c r="Q882" s="133"/>
      <c r="R882" s="131"/>
      <c r="S882" s="134"/>
      <c r="T882" s="134"/>
    </row>
    <row r="883" ht="22.5" customHeight="1">
      <c r="A883" s="131"/>
      <c r="B883" s="131"/>
      <c r="C883" s="131"/>
      <c r="D883" s="131"/>
      <c r="E883" s="132"/>
      <c r="F883" s="131"/>
      <c r="G883" s="36"/>
      <c r="H883" s="131"/>
      <c r="I883" s="133"/>
      <c r="J883" s="133"/>
      <c r="K883" s="133"/>
      <c r="L883" s="131"/>
      <c r="M883" s="131"/>
      <c r="N883" s="131"/>
      <c r="O883" s="133"/>
      <c r="P883" s="133"/>
      <c r="Q883" s="133"/>
      <c r="R883" s="131"/>
      <c r="S883" s="134"/>
      <c r="T883" s="134"/>
    </row>
    <row r="884" ht="22.5" customHeight="1">
      <c r="A884" s="131"/>
      <c r="B884" s="131"/>
      <c r="C884" s="131"/>
      <c r="D884" s="131"/>
      <c r="E884" s="132"/>
      <c r="F884" s="131"/>
      <c r="G884" s="36"/>
      <c r="H884" s="131"/>
      <c r="I884" s="133"/>
      <c r="J884" s="133"/>
      <c r="K884" s="133"/>
      <c r="L884" s="131"/>
      <c r="M884" s="131"/>
      <c r="N884" s="131"/>
      <c r="O884" s="133"/>
      <c r="P884" s="133"/>
      <c r="Q884" s="133"/>
      <c r="R884" s="131"/>
      <c r="S884" s="134"/>
      <c r="T884" s="134"/>
    </row>
    <row r="885" ht="22.5" customHeight="1">
      <c r="A885" s="131"/>
      <c r="B885" s="131"/>
      <c r="C885" s="131"/>
      <c r="D885" s="131"/>
      <c r="E885" s="132"/>
      <c r="F885" s="131"/>
      <c r="G885" s="36"/>
      <c r="H885" s="131"/>
      <c r="I885" s="133"/>
      <c r="J885" s="133"/>
      <c r="K885" s="133"/>
      <c r="L885" s="131"/>
      <c r="M885" s="131"/>
      <c r="N885" s="131"/>
      <c r="O885" s="133"/>
      <c r="P885" s="133"/>
      <c r="Q885" s="133"/>
      <c r="R885" s="131"/>
      <c r="S885" s="134"/>
      <c r="T885" s="134"/>
    </row>
    <row r="886" ht="22.5" customHeight="1">
      <c r="A886" s="131"/>
      <c r="B886" s="131"/>
      <c r="C886" s="131"/>
      <c r="D886" s="131"/>
      <c r="E886" s="132"/>
      <c r="F886" s="131"/>
      <c r="G886" s="36"/>
      <c r="H886" s="131"/>
      <c r="I886" s="133"/>
      <c r="J886" s="133"/>
      <c r="K886" s="133"/>
      <c r="L886" s="131"/>
      <c r="M886" s="131"/>
      <c r="N886" s="131"/>
      <c r="O886" s="133"/>
      <c r="P886" s="133"/>
      <c r="Q886" s="133"/>
      <c r="R886" s="131"/>
      <c r="S886" s="134"/>
      <c r="T886" s="134"/>
    </row>
    <row r="887" ht="22.5" customHeight="1">
      <c r="A887" s="131"/>
      <c r="B887" s="131"/>
      <c r="C887" s="131"/>
      <c r="D887" s="131"/>
      <c r="E887" s="132"/>
      <c r="F887" s="131"/>
      <c r="G887" s="36"/>
      <c r="H887" s="131"/>
      <c r="I887" s="133"/>
      <c r="J887" s="133"/>
      <c r="K887" s="133"/>
      <c r="L887" s="131"/>
      <c r="M887" s="131"/>
      <c r="N887" s="131"/>
      <c r="O887" s="133"/>
      <c r="P887" s="133"/>
      <c r="Q887" s="133"/>
      <c r="R887" s="131"/>
      <c r="S887" s="134"/>
      <c r="T887" s="134"/>
    </row>
    <row r="888" ht="22.5" customHeight="1">
      <c r="A888" s="131"/>
      <c r="B888" s="131"/>
      <c r="C888" s="131"/>
      <c r="D888" s="131"/>
      <c r="E888" s="132"/>
      <c r="F888" s="131"/>
      <c r="G888" s="36"/>
      <c r="H888" s="131"/>
      <c r="I888" s="133"/>
      <c r="J888" s="133"/>
      <c r="K888" s="133"/>
      <c r="L888" s="131"/>
      <c r="M888" s="131"/>
      <c r="N888" s="131"/>
      <c r="O888" s="133"/>
      <c r="P888" s="133"/>
      <c r="Q888" s="133"/>
      <c r="R888" s="131"/>
      <c r="S888" s="134"/>
      <c r="T888" s="134"/>
    </row>
    <row r="889" ht="22.5" customHeight="1">
      <c r="A889" s="131"/>
      <c r="B889" s="131"/>
      <c r="C889" s="131"/>
      <c r="D889" s="131"/>
      <c r="E889" s="132"/>
      <c r="F889" s="131"/>
      <c r="G889" s="36"/>
      <c r="H889" s="131"/>
      <c r="I889" s="133"/>
      <c r="J889" s="133"/>
      <c r="K889" s="133"/>
      <c r="L889" s="131"/>
      <c r="M889" s="131"/>
      <c r="N889" s="131"/>
      <c r="O889" s="133"/>
      <c r="P889" s="133"/>
      <c r="Q889" s="133"/>
      <c r="R889" s="131"/>
      <c r="S889" s="134"/>
      <c r="T889" s="134"/>
    </row>
    <row r="890" ht="22.5" customHeight="1">
      <c r="A890" s="131"/>
      <c r="B890" s="131"/>
      <c r="C890" s="131"/>
      <c r="D890" s="131"/>
      <c r="E890" s="132"/>
      <c r="F890" s="131"/>
      <c r="G890" s="36"/>
      <c r="H890" s="131"/>
      <c r="I890" s="133"/>
      <c r="J890" s="133"/>
      <c r="K890" s="133"/>
      <c r="L890" s="131"/>
      <c r="M890" s="131"/>
      <c r="N890" s="131"/>
      <c r="O890" s="133"/>
      <c r="P890" s="133"/>
      <c r="Q890" s="133"/>
      <c r="R890" s="131"/>
      <c r="S890" s="134"/>
      <c r="T890" s="134"/>
    </row>
    <row r="891" ht="22.5" customHeight="1">
      <c r="A891" s="131"/>
      <c r="B891" s="131"/>
      <c r="C891" s="131"/>
      <c r="D891" s="131"/>
      <c r="E891" s="132"/>
      <c r="F891" s="131"/>
      <c r="G891" s="36"/>
      <c r="H891" s="131"/>
      <c r="I891" s="133"/>
      <c r="J891" s="133"/>
      <c r="K891" s="133"/>
      <c r="L891" s="131"/>
      <c r="M891" s="131"/>
      <c r="N891" s="131"/>
      <c r="O891" s="133"/>
      <c r="P891" s="133"/>
      <c r="Q891" s="133"/>
      <c r="R891" s="131"/>
      <c r="S891" s="134"/>
      <c r="T891" s="134"/>
    </row>
    <row r="892" ht="22.5" customHeight="1">
      <c r="A892" s="131"/>
      <c r="B892" s="131"/>
      <c r="C892" s="131"/>
      <c r="D892" s="131"/>
      <c r="E892" s="132"/>
      <c r="F892" s="131"/>
      <c r="G892" s="36"/>
      <c r="H892" s="131"/>
      <c r="I892" s="133"/>
      <c r="J892" s="133"/>
      <c r="K892" s="133"/>
      <c r="L892" s="131"/>
      <c r="M892" s="131"/>
      <c r="N892" s="131"/>
      <c r="O892" s="133"/>
      <c r="P892" s="133"/>
      <c r="Q892" s="133"/>
      <c r="R892" s="131"/>
      <c r="S892" s="134"/>
      <c r="T892" s="134"/>
    </row>
    <row r="893" ht="22.5" customHeight="1">
      <c r="A893" s="131"/>
      <c r="B893" s="131"/>
      <c r="C893" s="131"/>
      <c r="D893" s="131"/>
      <c r="E893" s="132"/>
      <c r="F893" s="131"/>
      <c r="G893" s="36"/>
      <c r="H893" s="131"/>
      <c r="I893" s="133"/>
      <c r="J893" s="133"/>
      <c r="K893" s="133"/>
      <c r="L893" s="131"/>
      <c r="M893" s="131"/>
      <c r="N893" s="131"/>
      <c r="O893" s="133"/>
      <c r="P893" s="133"/>
      <c r="Q893" s="133"/>
      <c r="R893" s="131"/>
      <c r="S893" s="134"/>
      <c r="T893" s="134"/>
    </row>
    <row r="894" ht="22.5" customHeight="1">
      <c r="A894" s="131"/>
      <c r="B894" s="131"/>
      <c r="C894" s="131"/>
      <c r="D894" s="131"/>
      <c r="E894" s="132"/>
      <c r="F894" s="131"/>
      <c r="G894" s="36"/>
      <c r="H894" s="131"/>
      <c r="I894" s="133"/>
      <c r="J894" s="133"/>
      <c r="K894" s="133"/>
      <c r="L894" s="131"/>
      <c r="M894" s="131"/>
      <c r="N894" s="131"/>
      <c r="O894" s="133"/>
      <c r="P894" s="133"/>
      <c r="Q894" s="133"/>
      <c r="R894" s="131"/>
      <c r="S894" s="134"/>
      <c r="T894" s="134"/>
    </row>
    <row r="895" ht="22.5" customHeight="1">
      <c r="A895" s="131"/>
      <c r="B895" s="131"/>
      <c r="C895" s="131"/>
      <c r="D895" s="131"/>
      <c r="E895" s="132"/>
      <c r="F895" s="131"/>
      <c r="G895" s="36"/>
      <c r="H895" s="131"/>
      <c r="I895" s="133"/>
      <c r="J895" s="133"/>
      <c r="K895" s="133"/>
      <c r="L895" s="131"/>
      <c r="M895" s="131"/>
      <c r="N895" s="131"/>
      <c r="O895" s="133"/>
      <c r="P895" s="133"/>
      <c r="Q895" s="133"/>
      <c r="R895" s="131"/>
      <c r="S895" s="134"/>
      <c r="T895" s="134"/>
    </row>
    <row r="896" ht="22.5" customHeight="1">
      <c r="A896" s="131"/>
      <c r="B896" s="131"/>
      <c r="C896" s="131"/>
      <c r="D896" s="131"/>
      <c r="E896" s="132"/>
      <c r="F896" s="131"/>
      <c r="G896" s="36"/>
      <c r="H896" s="131"/>
      <c r="I896" s="133"/>
      <c r="J896" s="133"/>
      <c r="K896" s="133"/>
      <c r="L896" s="131"/>
      <c r="M896" s="131"/>
      <c r="N896" s="131"/>
      <c r="O896" s="133"/>
      <c r="P896" s="133"/>
      <c r="Q896" s="133"/>
      <c r="R896" s="131"/>
      <c r="S896" s="134"/>
      <c r="T896" s="134"/>
    </row>
    <row r="897" ht="22.5" customHeight="1">
      <c r="A897" s="131"/>
      <c r="B897" s="131"/>
      <c r="C897" s="131"/>
      <c r="D897" s="131"/>
      <c r="E897" s="132"/>
      <c r="F897" s="131"/>
      <c r="G897" s="36"/>
      <c r="H897" s="131"/>
      <c r="I897" s="133"/>
      <c r="J897" s="133"/>
      <c r="K897" s="133"/>
      <c r="L897" s="131"/>
      <c r="M897" s="131"/>
      <c r="N897" s="131"/>
      <c r="O897" s="133"/>
      <c r="P897" s="133"/>
      <c r="Q897" s="133"/>
      <c r="R897" s="131"/>
      <c r="S897" s="134"/>
      <c r="T897" s="134"/>
    </row>
    <row r="898" ht="22.5" customHeight="1">
      <c r="A898" s="131"/>
      <c r="B898" s="131"/>
      <c r="C898" s="131"/>
      <c r="D898" s="131"/>
      <c r="E898" s="132"/>
      <c r="F898" s="131"/>
      <c r="G898" s="36"/>
      <c r="H898" s="131"/>
      <c r="I898" s="133"/>
      <c r="J898" s="133"/>
      <c r="K898" s="133"/>
      <c r="L898" s="131"/>
      <c r="M898" s="131"/>
      <c r="N898" s="131"/>
      <c r="O898" s="133"/>
      <c r="P898" s="133"/>
      <c r="Q898" s="133"/>
      <c r="R898" s="131"/>
      <c r="S898" s="134"/>
      <c r="T898" s="134"/>
    </row>
    <row r="899" ht="22.5" customHeight="1">
      <c r="A899" s="131"/>
      <c r="B899" s="131"/>
      <c r="C899" s="131"/>
      <c r="D899" s="131"/>
      <c r="E899" s="132"/>
      <c r="F899" s="131"/>
      <c r="G899" s="36"/>
      <c r="H899" s="131"/>
      <c r="I899" s="133"/>
      <c r="J899" s="133"/>
      <c r="K899" s="133"/>
      <c r="L899" s="131"/>
      <c r="M899" s="131"/>
      <c r="N899" s="131"/>
      <c r="O899" s="133"/>
      <c r="P899" s="133"/>
      <c r="Q899" s="133"/>
      <c r="R899" s="131"/>
      <c r="S899" s="134"/>
      <c r="T899" s="134"/>
    </row>
    <row r="900" ht="22.5" customHeight="1">
      <c r="A900" s="131"/>
      <c r="B900" s="131"/>
      <c r="C900" s="131"/>
      <c r="D900" s="131"/>
      <c r="E900" s="132"/>
      <c r="F900" s="131"/>
      <c r="G900" s="36"/>
      <c r="H900" s="131"/>
      <c r="I900" s="133"/>
      <c r="J900" s="133"/>
      <c r="K900" s="133"/>
      <c r="L900" s="131"/>
      <c r="M900" s="131"/>
      <c r="N900" s="131"/>
      <c r="O900" s="133"/>
      <c r="P900" s="133"/>
      <c r="Q900" s="133"/>
      <c r="R900" s="131"/>
      <c r="S900" s="134"/>
      <c r="T900" s="134"/>
    </row>
    <row r="901" ht="22.5" customHeight="1">
      <c r="A901" s="131"/>
      <c r="B901" s="131"/>
      <c r="C901" s="131"/>
      <c r="D901" s="131"/>
      <c r="E901" s="132"/>
      <c r="F901" s="131"/>
      <c r="G901" s="36"/>
      <c r="H901" s="131"/>
      <c r="I901" s="133"/>
      <c r="J901" s="133"/>
      <c r="K901" s="133"/>
      <c r="L901" s="131"/>
      <c r="M901" s="131"/>
      <c r="N901" s="131"/>
      <c r="O901" s="133"/>
      <c r="P901" s="133"/>
      <c r="Q901" s="133"/>
      <c r="R901" s="131"/>
      <c r="S901" s="134"/>
      <c r="T901" s="134"/>
    </row>
    <row r="902" ht="22.5" customHeight="1">
      <c r="A902" s="131"/>
      <c r="B902" s="131"/>
      <c r="C902" s="131"/>
      <c r="D902" s="131"/>
      <c r="E902" s="132"/>
      <c r="F902" s="131"/>
      <c r="G902" s="36"/>
      <c r="H902" s="131"/>
      <c r="I902" s="133"/>
      <c r="J902" s="133"/>
      <c r="K902" s="133"/>
      <c r="L902" s="131"/>
      <c r="M902" s="131"/>
      <c r="N902" s="131"/>
      <c r="O902" s="133"/>
      <c r="P902" s="133"/>
      <c r="Q902" s="133"/>
      <c r="R902" s="131"/>
      <c r="S902" s="134"/>
      <c r="T902" s="134"/>
    </row>
    <row r="903" ht="22.5" customHeight="1">
      <c r="A903" s="131"/>
      <c r="B903" s="131"/>
      <c r="C903" s="131"/>
      <c r="D903" s="131"/>
      <c r="E903" s="132"/>
      <c r="F903" s="131"/>
      <c r="G903" s="36"/>
      <c r="H903" s="131"/>
      <c r="I903" s="133"/>
      <c r="J903" s="133"/>
      <c r="K903" s="133"/>
      <c r="L903" s="131"/>
      <c r="M903" s="131"/>
      <c r="N903" s="131"/>
      <c r="O903" s="133"/>
      <c r="P903" s="133"/>
      <c r="Q903" s="133"/>
      <c r="R903" s="131"/>
      <c r="S903" s="134"/>
      <c r="T903" s="134"/>
    </row>
    <row r="904" ht="22.5" customHeight="1">
      <c r="A904" s="131"/>
      <c r="B904" s="131"/>
      <c r="C904" s="131"/>
      <c r="D904" s="131"/>
      <c r="E904" s="132"/>
      <c r="F904" s="131"/>
      <c r="G904" s="36"/>
      <c r="H904" s="131"/>
      <c r="I904" s="133"/>
      <c r="J904" s="133"/>
      <c r="K904" s="133"/>
      <c r="L904" s="131"/>
      <c r="M904" s="131"/>
      <c r="N904" s="131"/>
      <c r="O904" s="133"/>
      <c r="P904" s="133"/>
      <c r="Q904" s="133"/>
      <c r="R904" s="131"/>
      <c r="S904" s="134"/>
      <c r="T904" s="134"/>
    </row>
    <row r="905" ht="22.5" customHeight="1">
      <c r="A905" s="131"/>
      <c r="B905" s="131"/>
      <c r="C905" s="131"/>
      <c r="D905" s="131"/>
      <c r="E905" s="132"/>
      <c r="F905" s="131"/>
      <c r="G905" s="36"/>
      <c r="H905" s="131"/>
      <c r="I905" s="133"/>
      <c r="J905" s="133"/>
      <c r="K905" s="133"/>
      <c r="L905" s="131"/>
      <c r="M905" s="131"/>
      <c r="N905" s="131"/>
      <c r="O905" s="133"/>
      <c r="P905" s="133"/>
      <c r="Q905" s="133"/>
      <c r="R905" s="131"/>
      <c r="S905" s="134"/>
      <c r="T905" s="134"/>
    </row>
    <row r="906" ht="22.5" customHeight="1">
      <c r="A906" s="131"/>
      <c r="B906" s="131"/>
      <c r="C906" s="131"/>
      <c r="D906" s="131"/>
      <c r="E906" s="132"/>
      <c r="F906" s="131"/>
      <c r="G906" s="36"/>
      <c r="H906" s="131"/>
      <c r="I906" s="133"/>
      <c r="J906" s="133"/>
      <c r="K906" s="133"/>
      <c r="L906" s="131"/>
      <c r="M906" s="131"/>
      <c r="N906" s="131"/>
      <c r="O906" s="133"/>
      <c r="P906" s="133"/>
      <c r="Q906" s="133"/>
      <c r="R906" s="131"/>
      <c r="S906" s="134"/>
      <c r="T906" s="134"/>
    </row>
    <row r="907" ht="22.5" customHeight="1">
      <c r="A907" s="131"/>
      <c r="B907" s="131"/>
      <c r="C907" s="131"/>
      <c r="D907" s="131"/>
      <c r="E907" s="132"/>
      <c r="F907" s="131"/>
      <c r="G907" s="36"/>
      <c r="H907" s="131"/>
      <c r="I907" s="133"/>
      <c r="J907" s="133"/>
      <c r="K907" s="133"/>
      <c r="L907" s="131"/>
      <c r="M907" s="131"/>
      <c r="N907" s="131"/>
      <c r="O907" s="133"/>
      <c r="P907" s="133"/>
      <c r="Q907" s="133"/>
      <c r="R907" s="131"/>
      <c r="S907" s="134"/>
      <c r="T907" s="134"/>
    </row>
    <row r="908" ht="22.5" customHeight="1">
      <c r="A908" s="131"/>
      <c r="B908" s="131"/>
      <c r="C908" s="131"/>
      <c r="D908" s="131"/>
      <c r="E908" s="132"/>
      <c r="F908" s="131"/>
      <c r="G908" s="36"/>
      <c r="H908" s="131"/>
      <c r="I908" s="133"/>
      <c r="J908" s="133"/>
      <c r="K908" s="133"/>
      <c r="L908" s="131"/>
      <c r="M908" s="131"/>
      <c r="N908" s="131"/>
      <c r="O908" s="133"/>
      <c r="P908" s="133"/>
      <c r="Q908" s="133"/>
      <c r="R908" s="131"/>
      <c r="S908" s="134"/>
      <c r="T908" s="134"/>
    </row>
    <row r="909" ht="22.5" customHeight="1">
      <c r="A909" s="131"/>
      <c r="B909" s="131"/>
      <c r="C909" s="131"/>
      <c r="D909" s="131"/>
      <c r="E909" s="132"/>
      <c r="F909" s="131"/>
      <c r="G909" s="36"/>
      <c r="H909" s="131"/>
      <c r="I909" s="133"/>
      <c r="J909" s="133"/>
      <c r="K909" s="133"/>
      <c r="L909" s="131"/>
      <c r="M909" s="131"/>
      <c r="N909" s="131"/>
      <c r="O909" s="133"/>
      <c r="P909" s="133"/>
      <c r="Q909" s="133"/>
      <c r="R909" s="131"/>
      <c r="S909" s="134"/>
      <c r="T909" s="134"/>
    </row>
    <row r="910" ht="22.5" customHeight="1">
      <c r="A910" s="131"/>
      <c r="B910" s="131"/>
      <c r="C910" s="131"/>
      <c r="D910" s="131"/>
      <c r="E910" s="132"/>
      <c r="F910" s="131"/>
      <c r="G910" s="36"/>
      <c r="H910" s="131"/>
      <c r="I910" s="133"/>
      <c r="J910" s="133"/>
      <c r="K910" s="133"/>
      <c r="L910" s="131"/>
      <c r="M910" s="131"/>
      <c r="N910" s="131"/>
      <c r="O910" s="133"/>
      <c r="P910" s="133"/>
      <c r="Q910" s="133"/>
      <c r="R910" s="131"/>
      <c r="S910" s="134"/>
      <c r="T910" s="134"/>
    </row>
    <row r="911" ht="22.5" customHeight="1">
      <c r="A911" s="131"/>
      <c r="B911" s="131"/>
      <c r="C911" s="131"/>
      <c r="D911" s="131"/>
      <c r="E911" s="132"/>
      <c r="F911" s="131"/>
      <c r="G911" s="36"/>
      <c r="H911" s="131"/>
      <c r="I911" s="133"/>
      <c r="J911" s="133"/>
      <c r="K911" s="133"/>
      <c r="L911" s="131"/>
      <c r="M911" s="131"/>
      <c r="N911" s="131"/>
      <c r="O911" s="133"/>
      <c r="P911" s="133"/>
      <c r="Q911" s="133"/>
      <c r="R911" s="131"/>
      <c r="S911" s="134"/>
      <c r="T911" s="134"/>
    </row>
    <row r="912" ht="22.5" customHeight="1">
      <c r="A912" s="131"/>
      <c r="B912" s="131"/>
      <c r="C912" s="131"/>
      <c r="D912" s="131"/>
      <c r="E912" s="132"/>
      <c r="F912" s="131"/>
      <c r="G912" s="36"/>
      <c r="H912" s="131"/>
      <c r="I912" s="133"/>
      <c r="J912" s="133"/>
      <c r="K912" s="133"/>
      <c r="L912" s="131"/>
      <c r="M912" s="131"/>
      <c r="N912" s="131"/>
      <c r="O912" s="133"/>
      <c r="P912" s="133"/>
      <c r="Q912" s="133"/>
      <c r="R912" s="131"/>
      <c r="S912" s="134"/>
      <c r="T912" s="134"/>
    </row>
    <row r="913" ht="22.5" customHeight="1">
      <c r="A913" s="131"/>
      <c r="B913" s="131"/>
      <c r="C913" s="131"/>
      <c r="D913" s="131"/>
      <c r="E913" s="132"/>
      <c r="F913" s="131"/>
      <c r="G913" s="36"/>
      <c r="H913" s="131"/>
      <c r="I913" s="133"/>
      <c r="J913" s="133"/>
      <c r="K913" s="133"/>
      <c r="L913" s="131"/>
      <c r="M913" s="131"/>
      <c r="N913" s="131"/>
      <c r="O913" s="133"/>
      <c r="P913" s="133"/>
      <c r="Q913" s="133"/>
      <c r="R913" s="131"/>
      <c r="S913" s="134"/>
      <c r="T913" s="134"/>
    </row>
    <row r="914" ht="22.5" customHeight="1">
      <c r="A914" s="131"/>
      <c r="B914" s="131"/>
      <c r="C914" s="131"/>
      <c r="D914" s="131"/>
      <c r="E914" s="132"/>
      <c r="F914" s="131"/>
      <c r="G914" s="36"/>
      <c r="H914" s="131"/>
      <c r="I914" s="133"/>
      <c r="J914" s="133"/>
      <c r="K914" s="133"/>
      <c r="L914" s="131"/>
      <c r="M914" s="131"/>
      <c r="N914" s="131"/>
      <c r="O914" s="133"/>
      <c r="P914" s="133"/>
      <c r="Q914" s="133"/>
      <c r="R914" s="131"/>
      <c r="S914" s="134"/>
      <c r="T914" s="134"/>
    </row>
    <row r="915" ht="22.5" customHeight="1">
      <c r="A915" s="131"/>
      <c r="B915" s="131"/>
      <c r="C915" s="131"/>
      <c r="D915" s="131"/>
      <c r="E915" s="132"/>
      <c r="F915" s="131"/>
      <c r="G915" s="36"/>
      <c r="H915" s="131"/>
      <c r="I915" s="133"/>
      <c r="J915" s="133"/>
      <c r="K915" s="133"/>
      <c r="L915" s="131"/>
      <c r="M915" s="131"/>
      <c r="N915" s="131"/>
      <c r="O915" s="133"/>
      <c r="P915" s="133"/>
      <c r="Q915" s="133"/>
      <c r="R915" s="131"/>
      <c r="S915" s="134"/>
      <c r="T915" s="134"/>
    </row>
    <row r="916" ht="22.5" customHeight="1">
      <c r="A916" s="131"/>
      <c r="B916" s="131"/>
      <c r="C916" s="131"/>
      <c r="D916" s="131"/>
      <c r="E916" s="132"/>
      <c r="F916" s="131"/>
      <c r="G916" s="36"/>
      <c r="H916" s="131"/>
      <c r="I916" s="133"/>
      <c r="J916" s="133"/>
      <c r="K916" s="133"/>
      <c r="L916" s="131"/>
      <c r="M916" s="131"/>
      <c r="N916" s="131"/>
      <c r="O916" s="133"/>
      <c r="P916" s="133"/>
      <c r="Q916" s="133"/>
      <c r="R916" s="131"/>
      <c r="S916" s="134"/>
      <c r="T916" s="134"/>
    </row>
    <row r="917" ht="22.5" customHeight="1">
      <c r="A917" s="131"/>
      <c r="B917" s="131"/>
      <c r="C917" s="131"/>
      <c r="D917" s="131"/>
      <c r="E917" s="132"/>
      <c r="F917" s="131"/>
      <c r="G917" s="36"/>
      <c r="H917" s="131"/>
      <c r="I917" s="133"/>
      <c r="J917" s="133"/>
      <c r="K917" s="133"/>
      <c r="L917" s="131"/>
      <c r="M917" s="131"/>
      <c r="N917" s="131"/>
      <c r="O917" s="133"/>
      <c r="P917" s="133"/>
      <c r="Q917" s="133"/>
      <c r="R917" s="131"/>
      <c r="S917" s="134"/>
      <c r="T917" s="134"/>
    </row>
    <row r="918" ht="22.5" customHeight="1">
      <c r="A918" s="131"/>
      <c r="B918" s="131"/>
      <c r="C918" s="131"/>
      <c r="D918" s="131"/>
      <c r="E918" s="132"/>
      <c r="F918" s="131"/>
      <c r="G918" s="36"/>
      <c r="H918" s="131"/>
      <c r="I918" s="133"/>
      <c r="J918" s="133"/>
      <c r="K918" s="133"/>
      <c r="L918" s="131"/>
      <c r="M918" s="131"/>
      <c r="N918" s="131"/>
      <c r="O918" s="133"/>
      <c r="P918" s="133"/>
      <c r="Q918" s="133"/>
      <c r="R918" s="131"/>
      <c r="S918" s="134"/>
      <c r="T918" s="134"/>
    </row>
    <row r="919" ht="22.5" customHeight="1">
      <c r="A919" s="131"/>
      <c r="B919" s="131"/>
      <c r="C919" s="131"/>
      <c r="D919" s="131"/>
      <c r="E919" s="132"/>
      <c r="F919" s="131"/>
      <c r="G919" s="36"/>
      <c r="H919" s="131"/>
      <c r="I919" s="133"/>
      <c r="J919" s="133"/>
      <c r="K919" s="133"/>
      <c r="L919" s="131"/>
      <c r="M919" s="131"/>
      <c r="N919" s="131"/>
      <c r="O919" s="133"/>
      <c r="P919" s="133"/>
      <c r="Q919" s="133"/>
      <c r="R919" s="131"/>
      <c r="S919" s="134"/>
      <c r="T919" s="134"/>
    </row>
    <row r="920" ht="22.5" customHeight="1">
      <c r="A920" s="131"/>
      <c r="B920" s="131"/>
      <c r="C920" s="131"/>
      <c r="D920" s="131"/>
      <c r="E920" s="132"/>
      <c r="F920" s="131"/>
      <c r="G920" s="36"/>
      <c r="H920" s="131"/>
      <c r="I920" s="133"/>
      <c r="J920" s="133"/>
      <c r="K920" s="133"/>
      <c r="L920" s="131"/>
      <c r="M920" s="131"/>
      <c r="N920" s="131"/>
      <c r="O920" s="133"/>
      <c r="P920" s="133"/>
      <c r="Q920" s="133"/>
      <c r="R920" s="131"/>
      <c r="S920" s="134"/>
      <c r="T920" s="134"/>
    </row>
    <row r="921" ht="22.5" customHeight="1">
      <c r="A921" s="131"/>
      <c r="B921" s="131"/>
      <c r="C921" s="131"/>
      <c r="D921" s="131"/>
      <c r="E921" s="132"/>
      <c r="F921" s="131"/>
      <c r="G921" s="36"/>
      <c r="H921" s="131"/>
      <c r="I921" s="133"/>
      <c r="J921" s="133"/>
      <c r="K921" s="133"/>
      <c r="L921" s="131"/>
      <c r="M921" s="131"/>
      <c r="N921" s="131"/>
      <c r="O921" s="133"/>
      <c r="P921" s="133"/>
      <c r="Q921" s="133"/>
      <c r="R921" s="131"/>
      <c r="S921" s="134"/>
      <c r="T921" s="134"/>
    </row>
    <row r="922" ht="22.5" customHeight="1">
      <c r="A922" s="131"/>
      <c r="B922" s="131"/>
      <c r="C922" s="131"/>
      <c r="D922" s="131"/>
      <c r="E922" s="132"/>
      <c r="F922" s="131"/>
      <c r="G922" s="36"/>
      <c r="H922" s="131"/>
      <c r="I922" s="133"/>
      <c r="J922" s="133"/>
      <c r="K922" s="133"/>
      <c r="L922" s="131"/>
      <c r="M922" s="131"/>
      <c r="N922" s="131"/>
      <c r="O922" s="133"/>
      <c r="P922" s="133"/>
      <c r="Q922" s="133"/>
      <c r="R922" s="131"/>
      <c r="S922" s="134"/>
      <c r="T922" s="134"/>
    </row>
    <row r="923" ht="22.5" customHeight="1">
      <c r="A923" s="131"/>
      <c r="B923" s="131"/>
      <c r="C923" s="131"/>
      <c r="D923" s="131"/>
      <c r="E923" s="132"/>
      <c r="F923" s="131"/>
      <c r="G923" s="36"/>
      <c r="H923" s="131"/>
      <c r="I923" s="133"/>
      <c r="J923" s="133"/>
      <c r="K923" s="133"/>
      <c r="L923" s="131"/>
      <c r="M923" s="131"/>
      <c r="N923" s="131"/>
      <c r="O923" s="133"/>
      <c r="P923" s="133"/>
      <c r="Q923" s="133"/>
      <c r="R923" s="131"/>
      <c r="S923" s="134"/>
      <c r="T923" s="134"/>
    </row>
    <row r="924" ht="22.5" customHeight="1">
      <c r="A924" s="131"/>
      <c r="B924" s="131"/>
      <c r="C924" s="131"/>
      <c r="D924" s="131"/>
      <c r="E924" s="132"/>
      <c r="F924" s="131"/>
      <c r="G924" s="36"/>
      <c r="H924" s="131"/>
      <c r="I924" s="133"/>
      <c r="J924" s="133"/>
      <c r="K924" s="133"/>
      <c r="L924" s="131"/>
      <c r="M924" s="131"/>
      <c r="N924" s="131"/>
      <c r="O924" s="133"/>
      <c r="P924" s="133"/>
      <c r="Q924" s="133"/>
      <c r="R924" s="131"/>
      <c r="S924" s="134"/>
      <c r="T924" s="134"/>
    </row>
    <row r="925" ht="22.5" customHeight="1">
      <c r="A925" s="131"/>
      <c r="B925" s="131"/>
      <c r="C925" s="131"/>
      <c r="D925" s="131"/>
      <c r="E925" s="132"/>
      <c r="F925" s="131"/>
      <c r="G925" s="36"/>
      <c r="H925" s="131"/>
      <c r="I925" s="133"/>
      <c r="J925" s="133"/>
      <c r="K925" s="133"/>
      <c r="L925" s="131"/>
      <c r="M925" s="131"/>
      <c r="N925" s="131"/>
      <c r="O925" s="133"/>
      <c r="P925" s="133"/>
      <c r="Q925" s="133"/>
      <c r="R925" s="131"/>
      <c r="S925" s="134"/>
      <c r="T925" s="134"/>
    </row>
    <row r="926" ht="22.5" customHeight="1">
      <c r="A926" s="131"/>
      <c r="B926" s="131"/>
      <c r="C926" s="131"/>
      <c r="D926" s="131"/>
      <c r="E926" s="132"/>
      <c r="F926" s="131"/>
      <c r="G926" s="36"/>
      <c r="H926" s="131"/>
      <c r="I926" s="133"/>
      <c r="J926" s="133"/>
      <c r="K926" s="133"/>
      <c r="L926" s="131"/>
      <c r="M926" s="131"/>
      <c r="N926" s="131"/>
      <c r="O926" s="133"/>
      <c r="P926" s="133"/>
      <c r="Q926" s="133"/>
      <c r="R926" s="131"/>
      <c r="S926" s="134"/>
      <c r="T926" s="134"/>
    </row>
    <row r="927" ht="22.5" customHeight="1">
      <c r="A927" s="131"/>
      <c r="B927" s="131"/>
      <c r="C927" s="131"/>
      <c r="D927" s="131"/>
      <c r="E927" s="132"/>
      <c r="F927" s="131"/>
      <c r="G927" s="36"/>
      <c r="H927" s="131"/>
      <c r="I927" s="133"/>
      <c r="J927" s="133"/>
      <c r="K927" s="133"/>
      <c r="L927" s="131"/>
      <c r="M927" s="131"/>
      <c r="N927" s="131"/>
      <c r="O927" s="133"/>
      <c r="P927" s="133"/>
      <c r="Q927" s="133"/>
      <c r="R927" s="131"/>
      <c r="S927" s="134"/>
      <c r="T927" s="134"/>
    </row>
    <row r="928" ht="22.5" customHeight="1">
      <c r="A928" s="131"/>
      <c r="B928" s="131"/>
      <c r="C928" s="131"/>
      <c r="D928" s="131"/>
      <c r="E928" s="132"/>
      <c r="F928" s="131"/>
      <c r="G928" s="36"/>
      <c r="H928" s="131"/>
      <c r="I928" s="133"/>
      <c r="J928" s="133"/>
      <c r="K928" s="133"/>
      <c r="L928" s="131"/>
      <c r="M928" s="131"/>
      <c r="N928" s="131"/>
      <c r="O928" s="133"/>
      <c r="P928" s="133"/>
      <c r="Q928" s="133"/>
      <c r="R928" s="131"/>
      <c r="S928" s="134"/>
      <c r="T928" s="134"/>
    </row>
    <row r="929" ht="22.5" customHeight="1">
      <c r="A929" s="131"/>
      <c r="B929" s="131"/>
      <c r="C929" s="131"/>
      <c r="D929" s="131"/>
      <c r="E929" s="132"/>
      <c r="F929" s="131"/>
      <c r="G929" s="36"/>
      <c r="H929" s="131"/>
      <c r="I929" s="133"/>
      <c r="J929" s="133"/>
      <c r="K929" s="133"/>
      <c r="L929" s="131"/>
      <c r="M929" s="131"/>
      <c r="N929" s="131"/>
      <c r="O929" s="133"/>
      <c r="P929" s="133"/>
      <c r="Q929" s="133"/>
      <c r="R929" s="131"/>
      <c r="S929" s="134"/>
      <c r="T929" s="134"/>
    </row>
    <row r="930" ht="22.5" customHeight="1">
      <c r="A930" s="131"/>
      <c r="B930" s="131"/>
      <c r="C930" s="131"/>
      <c r="D930" s="131"/>
      <c r="E930" s="132"/>
      <c r="F930" s="131"/>
      <c r="G930" s="36"/>
      <c r="H930" s="131"/>
      <c r="I930" s="133"/>
      <c r="J930" s="133"/>
      <c r="K930" s="133"/>
      <c r="L930" s="131"/>
      <c r="M930" s="131"/>
      <c r="N930" s="131"/>
      <c r="O930" s="133"/>
      <c r="P930" s="133"/>
      <c r="Q930" s="133"/>
      <c r="R930" s="131"/>
      <c r="S930" s="134"/>
      <c r="T930" s="134"/>
    </row>
    <row r="931" ht="22.5" customHeight="1">
      <c r="A931" s="131"/>
      <c r="B931" s="131"/>
      <c r="C931" s="131"/>
      <c r="D931" s="131"/>
      <c r="E931" s="132"/>
      <c r="F931" s="131"/>
      <c r="G931" s="36"/>
      <c r="H931" s="131"/>
      <c r="I931" s="133"/>
      <c r="J931" s="133"/>
      <c r="K931" s="133"/>
      <c r="L931" s="131"/>
      <c r="M931" s="131"/>
      <c r="N931" s="131"/>
      <c r="O931" s="133"/>
      <c r="P931" s="133"/>
      <c r="Q931" s="133"/>
      <c r="R931" s="131"/>
      <c r="S931" s="134"/>
      <c r="T931" s="134"/>
    </row>
    <row r="932" ht="22.5" customHeight="1">
      <c r="A932" s="131"/>
      <c r="B932" s="131"/>
      <c r="C932" s="131"/>
      <c r="D932" s="131"/>
      <c r="E932" s="132"/>
      <c r="F932" s="131"/>
      <c r="G932" s="36"/>
      <c r="H932" s="131"/>
      <c r="I932" s="133"/>
      <c r="J932" s="133"/>
      <c r="K932" s="133"/>
      <c r="L932" s="131"/>
      <c r="M932" s="131"/>
      <c r="N932" s="131"/>
      <c r="O932" s="133"/>
      <c r="P932" s="133"/>
      <c r="Q932" s="133"/>
      <c r="R932" s="131"/>
      <c r="S932" s="134"/>
      <c r="T932" s="134"/>
    </row>
    <row r="933" ht="22.5" customHeight="1">
      <c r="A933" s="131"/>
      <c r="B933" s="131"/>
      <c r="C933" s="131"/>
      <c r="D933" s="131"/>
      <c r="E933" s="132"/>
      <c r="F933" s="131"/>
      <c r="G933" s="36"/>
      <c r="H933" s="131"/>
      <c r="I933" s="133"/>
      <c r="J933" s="133"/>
      <c r="K933" s="133"/>
      <c r="L933" s="131"/>
      <c r="M933" s="131"/>
      <c r="N933" s="131"/>
      <c r="O933" s="133"/>
      <c r="P933" s="133"/>
      <c r="Q933" s="133"/>
      <c r="R933" s="131"/>
      <c r="S933" s="134"/>
      <c r="T933" s="134"/>
    </row>
    <row r="934" ht="22.5" customHeight="1">
      <c r="A934" s="131"/>
      <c r="B934" s="131"/>
      <c r="C934" s="131"/>
      <c r="D934" s="131"/>
      <c r="E934" s="132"/>
      <c r="F934" s="131"/>
      <c r="G934" s="36"/>
      <c r="H934" s="131"/>
      <c r="I934" s="133"/>
      <c r="J934" s="133"/>
      <c r="K934" s="133"/>
      <c r="L934" s="131"/>
      <c r="M934" s="131"/>
      <c r="N934" s="131"/>
      <c r="O934" s="133"/>
      <c r="P934" s="133"/>
      <c r="Q934" s="133"/>
      <c r="R934" s="131"/>
      <c r="S934" s="134"/>
      <c r="T934" s="134"/>
    </row>
    <row r="935" ht="22.5" customHeight="1">
      <c r="A935" s="131"/>
      <c r="B935" s="131"/>
      <c r="C935" s="131"/>
      <c r="D935" s="131"/>
      <c r="E935" s="132"/>
      <c r="F935" s="131"/>
      <c r="G935" s="36"/>
      <c r="H935" s="131"/>
      <c r="I935" s="133"/>
      <c r="J935" s="133"/>
      <c r="K935" s="133"/>
      <c r="L935" s="131"/>
      <c r="M935" s="131"/>
      <c r="N935" s="131"/>
      <c r="O935" s="133"/>
      <c r="P935" s="133"/>
      <c r="Q935" s="133"/>
      <c r="R935" s="131"/>
      <c r="S935" s="134"/>
      <c r="T935" s="134"/>
    </row>
    <row r="936" ht="22.5" customHeight="1">
      <c r="A936" s="131"/>
      <c r="B936" s="131"/>
      <c r="C936" s="131"/>
      <c r="D936" s="131"/>
      <c r="E936" s="132"/>
      <c r="F936" s="131"/>
      <c r="G936" s="36"/>
      <c r="H936" s="131"/>
      <c r="I936" s="133"/>
      <c r="J936" s="133"/>
      <c r="K936" s="133"/>
      <c r="L936" s="131"/>
      <c r="M936" s="131"/>
      <c r="N936" s="131"/>
      <c r="O936" s="133"/>
      <c r="P936" s="133"/>
      <c r="Q936" s="133"/>
      <c r="R936" s="131"/>
      <c r="S936" s="134"/>
      <c r="T936" s="134"/>
    </row>
    <row r="937" ht="22.5" customHeight="1">
      <c r="A937" s="131"/>
      <c r="B937" s="131"/>
      <c r="C937" s="131"/>
      <c r="D937" s="131"/>
      <c r="E937" s="132"/>
      <c r="F937" s="131"/>
      <c r="G937" s="36"/>
      <c r="H937" s="131"/>
      <c r="I937" s="133"/>
      <c r="J937" s="133"/>
      <c r="K937" s="133"/>
      <c r="L937" s="131"/>
      <c r="M937" s="131"/>
      <c r="N937" s="131"/>
      <c r="O937" s="133"/>
      <c r="P937" s="133"/>
      <c r="Q937" s="133"/>
      <c r="R937" s="131"/>
      <c r="S937" s="134"/>
      <c r="T937" s="134"/>
    </row>
    <row r="938" ht="22.5" customHeight="1">
      <c r="A938" s="131"/>
      <c r="B938" s="131"/>
      <c r="C938" s="131"/>
      <c r="D938" s="131"/>
      <c r="E938" s="132"/>
      <c r="F938" s="131"/>
      <c r="G938" s="36"/>
      <c r="H938" s="131"/>
      <c r="I938" s="133"/>
      <c r="J938" s="133"/>
      <c r="K938" s="133"/>
      <c r="L938" s="131"/>
      <c r="M938" s="131"/>
      <c r="N938" s="131"/>
      <c r="O938" s="133"/>
      <c r="P938" s="133"/>
      <c r="Q938" s="133"/>
      <c r="R938" s="131"/>
      <c r="S938" s="134"/>
      <c r="T938" s="134"/>
    </row>
    <row r="939" ht="22.5" customHeight="1">
      <c r="A939" s="131"/>
      <c r="B939" s="131"/>
      <c r="C939" s="131"/>
      <c r="D939" s="131"/>
      <c r="E939" s="132"/>
      <c r="F939" s="131"/>
      <c r="G939" s="36"/>
      <c r="H939" s="131"/>
      <c r="I939" s="133"/>
      <c r="J939" s="133"/>
      <c r="K939" s="133"/>
      <c r="L939" s="131"/>
      <c r="M939" s="131"/>
      <c r="N939" s="131"/>
      <c r="O939" s="133"/>
      <c r="P939" s="133"/>
      <c r="Q939" s="133"/>
      <c r="R939" s="131"/>
      <c r="S939" s="134"/>
      <c r="T939" s="134"/>
    </row>
    <row r="940" ht="22.5" customHeight="1">
      <c r="A940" s="131"/>
      <c r="B940" s="131"/>
      <c r="C940" s="131"/>
      <c r="D940" s="131"/>
      <c r="E940" s="132"/>
      <c r="F940" s="131"/>
      <c r="G940" s="36"/>
      <c r="H940" s="131"/>
      <c r="I940" s="133"/>
      <c r="J940" s="133"/>
      <c r="K940" s="133"/>
      <c r="L940" s="131"/>
      <c r="M940" s="131"/>
      <c r="N940" s="131"/>
      <c r="O940" s="133"/>
      <c r="P940" s="133"/>
      <c r="Q940" s="133"/>
      <c r="R940" s="131"/>
      <c r="S940" s="134"/>
      <c r="T940" s="134"/>
    </row>
    <row r="941" ht="22.5" customHeight="1">
      <c r="A941" s="131"/>
      <c r="B941" s="131"/>
      <c r="C941" s="131"/>
      <c r="D941" s="131"/>
      <c r="E941" s="132"/>
      <c r="F941" s="131"/>
      <c r="G941" s="36"/>
      <c r="H941" s="131"/>
      <c r="I941" s="133"/>
      <c r="J941" s="133"/>
      <c r="K941" s="133"/>
      <c r="L941" s="131"/>
      <c r="M941" s="131"/>
      <c r="N941" s="131"/>
      <c r="O941" s="133"/>
      <c r="P941" s="133"/>
      <c r="Q941" s="133"/>
      <c r="R941" s="131"/>
      <c r="S941" s="134"/>
      <c r="T941" s="134"/>
    </row>
    <row r="942" ht="22.5" customHeight="1">
      <c r="A942" s="131"/>
      <c r="B942" s="131"/>
      <c r="C942" s="131"/>
      <c r="D942" s="131"/>
      <c r="E942" s="132"/>
      <c r="F942" s="131"/>
      <c r="G942" s="36"/>
      <c r="H942" s="131"/>
      <c r="I942" s="133"/>
      <c r="J942" s="133"/>
      <c r="K942" s="133"/>
      <c r="L942" s="131"/>
      <c r="M942" s="131"/>
      <c r="N942" s="131"/>
      <c r="O942" s="133"/>
      <c r="P942" s="133"/>
      <c r="Q942" s="133"/>
      <c r="R942" s="131"/>
      <c r="S942" s="134"/>
      <c r="T942" s="134"/>
    </row>
    <row r="943" ht="22.5" customHeight="1">
      <c r="A943" s="131"/>
      <c r="B943" s="131"/>
      <c r="C943" s="131"/>
      <c r="D943" s="131"/>
      <c r="E943" s="132"/>
      <c r="F943" s="131"/>
      <c r="G943" s="36"/>
      <c r="H943" s="131"/>
      <c r="I943" s="133"/>
      <c r="J943" s="133"/>
      <c r="K943" s="133"/>
      <c r="L943" s="131"/>
      <c r="M943" s="131"/>
      <c r="N943" s="131"/>
      <c r="O943" s="133"/>
      <c r="P943" s="133"/>
      <c r="Q943" s="133"/>
      <c r="R943" s="131"/>
      <c r="S943" s="134"/>
      <c r="T943" s="134"/>
    </row>
    <row r="944" ht="22.5" customHeight="1">
      <c r="A944" s="131"/>
      <c r="B944" s="131"/>
      <c r="C944" s="131"/>
      <c r="D944" s="131"/>
      <c r="E944" s="132"/>
      <c r="F944" s="131"/>
      <c r="G944" s="36"/>
      <c r="H944" s="131"/>
      <c r="I944" s="133"/>
      <c r="J944" s="133"/>
      <c r="K944" s="133"/>
      <c r="L944" s="131"/>
      <c r="M944" s="131"/>
      <c r="N944" s="131"/>
      <c r="O944" s="133"/>
      <c r="P944" s="133"/>
      <c r="Q944" s="133"/>
      <c r="R944" s="131"/>
      <c r="S944" s="134"/>
      <c r="T944" s="134"/>
    </row>
    <row r="945" ht="22.5" customHeight="1">
      <c r="A945" s="131"/>
      <c r="B945" s="131"/>
      <c r="C945" s="131"/>
      <c r="D945" s="131"/>
      <c r="E945" s="132"/>
      <c r="F945" s="131"/>
      <c r="G945" s="36"/>
      <c r="H945" s="131"/>
      <c r="I945" s="133"/>
      <c r="J945" s="133"/>
      <c r="K945" s="133"/>
      <c r="L945" s="131"/>
      <c r="M945" s="131"/>
      <c r="N945" s="131"/>
      <c r="O945" s="133"/>
      <c r="P945" s="133"/>
      <c r="Q945" s="133"/>
      <c r="R945" s="131"/>
      <c r="S945" s="134"/>
      <c r="T945" s="134"/>
    </row>
    <row r="946" ht="22.5" customHeight="1">
      <c r="A946" s="131"/>
      <c r="B946" s="131"/>
      <c r="C946" s="131"/>
      <c r="D946" s="131"/>
      <c r="E946" s="132"/>
      <c r="F946" s="131"/>
      <c r="G946" s="36"/>
      <c r="H946" s="131"/>
      <c r="I946" s="133"/>
      <c r="J946" s="133"/>
      <c r="K946" s="133"/>
      <c r="L946" s="131"/>
      <c r="M946" s="131"/>
      <c r="N946" s="131"/>
      <c r="O946" s="133"/>
      <c r="P946" s="133"/>
      <c r="Q946" s="133"/>
      <c r="R946" s="131"/>
      <c r="S946" s="134"/>
      <c r="T946" s="134"/>
    </row>
    <row r="947" ht="22.5" customHeight="1">
      <c r="A947" s="131"/>
      <c r="B947" s="131"/>
      <c r="C947" s="131"/>
      <c r="D947" s="131"/>
      <c r="E947" s="132"/>
      <c r="F947" s="131"/>
      <c r="G947" s="36"/>
      <c r="H947" s="131"/>
      <c r="I947" s="133"/>
      <c r="J947" s="133"/>
      <c r="K947" s="133"/>
      <c r="L947" s="131"/>
      <c r="M947" s="131"/>
      <c r="N947" s="131"/>
      <c r="O947" s="133"/>
      <c r="P947" s="133"/>
      <c r="Q947" s="133"/>
      <c r="R947" s="131"/>
      <c r="S947" s="134"/>
      <c r="T947" s="134"/>
    </row>
    <row r="948" ht="22.5" customHeight="1">
      <c r="A948" s="131"/>
      <c r="B948" s="131"/>
      <c r="C948" s="131"/>
      <c r="D948" s="131"/>
      <c r="E948" s="132"/>
      <c r="F948" s="131"/>
      <c r="G948" s="36"/>
      <c r="H948" s="131"/>
      <c r="I948" s="133"/>
      <c r="J948" s="133"/>
      <c r="K948" s="133"/>
      <c r="L948" s="131"/>
      <c r="M948" s="131"/>
      <c r="N948" s="131"/>
      <c r="O948" s="133"/>
      <c r="P948" s="133"/>
      <c r="Q948" s="133"/>
      <c r="R948" s="131"/>
      <c r="S948" s="134"/>
      <c r="T948" s="134"/>
    </row>
    <row r="949" ht="22.5" customHeight="1">
      <c r="A949" s="131"/>
      <c r="B949" s="131"/>
      <c r="C949" s="131"/>
      <c r="D949" s="131"/>
      <c r="E949" s="132"/>
      <c r="F949" s="131"/>
      <c r="G949" s="36"/>
      <c r="H949" s="131"/>
      <c r="I949" s="133"/>
      <c r="J949" s="133"/>
      <c r="K949" s="133"/>
      <c r="L949" s="131"/>
      <c r="M949" s="131"/>
      <c r="N949" s="131"/>
      <c r="O949" s="133"/>
      <c r="P949" s="133"/>
      <c r="Q949" s="133"/>
      <c r="R949" s="131"/>
      <c r="S949" s="134"/>
      <c r="T949" s="134"/>
    </row>
    <row r="950" ht="22.5" customHeight="1">
      <c r="A950" s="131"/>
      <c r="B950" s="131"/>
      <c r="C950" s="131"/>
      <c r="D950" s="131"/>
      <c r="E950" s="132"/>
      <c r="F950" s="131"/>
      <c r="G950" s="36"/>
      <c r="H950" s="131"/>
      <c r="I950" s="133"/>
      <c r="J950" s="133"/>
      <c r="K950" s="133"/>
      <c r="L950" s="131"/>
      <c r="M950" s="131"/>
      <c r="N950" s="131"/>
      <c r="O950" s="133"/>
      <c r="P950" s="133"/>
      <c r="Q950" s="133"/>
      <c r="R950" s="131"/>
      <c r="S950" s="134"/>
      <c r="T950" s="134"/>
    </row>
    <row r="951" ht="22.5" customHeight="1">
      <c r="A951" s="131"/>
      <c r="B951" s="131"/>
      <c r="C951" s="131"/>
      <c r="D951" s="131"/>
      <c r="E951" s="132"/>
      <c r="F951" s="131"/>
      <c r="G951" s="36"/>
      <c r="H951" s="131"/>
      <c r="I951" s="133"/>
      <c r="J951" s="133"/>
      <c r="K951" s="133"/>
      <c r="L951" s="131"/>
      <c r="M951" s="131"/>
      <c r="N951" s="131"/>
      <c r="O951" s="133"/>
      <c r="P951" s="133"/>
      <c r="Q951" s="133"/>
      <c r="R951" s="131"/>
      <c r="S951" s="134"/>
      <c r="T951" s="134"/>
    </row>
    <row r="952" ht="22.5" customHeight="1">
      <c r="A952" s="131"/>
      <c r="B952" s="131"/>
      <c r="C952" s="131"/>
      <c r="D952" s="131"/>
      <c r="E952" s="132"/>
      <c r="F952" s="131"/>
      <c r="G952" s="36"/>
      <c r="H952" s="131"/>
      <c r="I952" s="133"/>
      <c r="J952" s="133"/>
      <c r="K952" s="133"/>
      <c r="L952" s="131"/>
      <c r="M952" s="131"/>
      <c r="N952" s="131"/>
      <c r="O952" s="133"/>
      <c r="P952" s="133"/>
      <c r="Q952" s="133"/>
      <c r="R952" s="131"/>
      <c r="S952" s="134"/>
      <c r="T952" s="134"/>
    </row>
    <row r="953" ht="22.5" customHeight="1">
      <c r="A953" s="131"/>
      <c r="B953" s="131"/>
      <c r="C953" s="131"/>
      <c r="D953" s="131"/>
      <c r="E953" s="132"/>
      <c r="F953" s="131"/>
      <c r="G953" s="36"/>
      <c r="H953" s="131"/>
      <c r="I953" s="133"/>
      <c r="J953" s="133"/>
      <c r="K953" s="133"/>
      <c r="L953" s="131"/>
      <c r="M953" s="131"/>
      <c r="N953" s="131"/>
      <c r="O953" s="133"/>
      <c r="P953" s="133"/>
      <c r="Q953" s="133"/>
      <c r="R953" s="131"/>
      <c r="S953" s="134"/>
      <c r="T953" s="134"/>
    </row>
    <row r="954" ht="22.5" customHeight="1">
      <c r="A954" s="131"/>
      <c r="B954" s="131"/>
      <c r="C954" s="131"/>
      <c r="D954" s="131"/>
      <c r="E954" s="132"/>
      <c r="F954" s="131"/>
      <c r="G954" s="36"/>
      <c r="H954" s="131"/>
      <c r="I954" s="133"/>
      <c r="J954" s="133"/>
      <c r="K954" s="133"/>
      <c r="L954" s="131"/>
      <c r="M954" s="131"/>
      <c r="N954" s="131"/>
      <c r="O954" s="133"/>
      <c r="P954" s="133"/>
      <c r="Q954" s="133"/>
      <c r="R954" s="131"/>
      <c r="S954" s="134"/>
      <c r="T954" s="134"/>
    </row>
    <row r="955" ht="22.5" customHeight="1">
      <c r="A955" s="131"/>
      <c r="B955" s="131"/>
      <c r="C955" s="131"/>
      <c r="D955" s="131"/>
      <c r="E955" s="132"/>
      <c r="F955" s="131"/>
      <c r="G955" s="36"/>
      <c r="H955" s="131"/>
      <c r="I955" s="133"/>
      <c r="J955" s="133"/>
      <c r="K955" s="133"/>
      <c r="L955" s="131"/>
      <c r="M955" s="131"/>
      <c r="N955" s="131"/>
      <c r="O955" s="133"/>
      <c r="P955" s="133"/>
      <c r="Q955" s="133"/>
      <c r="R955" s="131"/>
      <c r="S955" s="134"/>
      <c r="T955" s="134"/>
    </row>
    <row r="956" ht="22.5" customHeight="1">
      <c r="A956" s="131"/>
      <c r="B956" s="131"/>
      <c r="C956" s="131"/>
      <c r="D956" s="131"/>
      <c r="E956" s="132"/>
      <c r="F956" s="131"/>
      <c r="G956" s="36"/>
      <c r="H956" s="131"/>
      <c r="I956" s="133"/>
      <c r="J956" s="133"/>
      <c r="K956" s="133"/>
      <c r="L956" s="131"/>
      <c r="M956" s="131"/>
      <c r="N956" s="131"/>
      <c r="O956" s="133"/>
      <c r="P956" s="133"/>
      <c r="Q956" s="133"/>
      <c r="R956" s="131"/>
      <c r="S956" s="134"/>
      <c r="T956" s="134"/>
    </row>
    <row r="957" ht="22.5" customHeight="1">
      <c r="A957" s="131"/>
      <c r="B957" s="131"/>
      <c r="C957" s="131"/>
      <c r="D957" s="131"/>
      <c r="E957" s="132"/>
      <c r="F957" s="131"/>
      <c r="G957" s="36"/>
      <c r="H957" s="131"/>
      <c r="I957" s="133"/>
      <c r="J957" s="133"/>
      <c r="K957" s="133"/>
      <c r="L957" s="131"/>
      <c r="M957" s="131"/>
      <c r="N957" s="131"/>
      <c r="O957" s="133"/>
      <c r="P957" s="133"/>
      <c r="Q957" s="133"/>
      <c r="R957" s="131"/>
      <c r="S957" s="134"/>
      <c r="T957" s="134"/>
    </row>
    <row r="958" ht="22.5" customHeight="1">
      <c r="A958" s="131"/>
      <c r="B958" s="131"/>
      <c r="C958" s="131"/>
      <c r="D958" s="131"/>
      <c r="E958" s="132"/>
      <c r="F958" s="131"/>
      <c r="G958" s="36"/>
      <c r="H958" s="131"/>
      <c r="I958" s="133"/>
      <c r="J958" s="133"/>
      <c r="K958" s="133"/>
      <c r="L958" s="131"/>
      <c r="M958" s="131"/>
      <c r="N958" s="131"/>
      <c r="O958" s="133"/>
      <c r="P958" s="133"/>
      <c r="Q958" s="133"/>
      <c r="R958" s="131"/>
      <c r="S958" s="134"/>
      <c r="T958" s="134"/>
    </row>
    <row r="959" ht="22.5" customHeight="1">
      <c r="A959" s="131"/>
      <c r="B959" s="131"/>
      <c r="C959" s="131"/>
      <c r="D959" s="131"/>
      <c r="E959" s="132"/>
      <c r="F959" s="131"/>
      <c r="G959" s="36"/>
      <c r="H959" s="131"/>
      <c r="I959" s="133"/>
      <c r="J959" s="133"/>
      <c r="K959" s="133"/>
      <c r="L959" s="131"/>
      <c r="M959" s="131"/>
      <c r="N959" s="131"/>
      <c r="O959" s="133"/>
      <c r="P959" s="133"/>
      <c r="Q959" s="133"/>
      <c r="R959" s="131"/>
      <c r="S959" s="134"/>
      <c r="T959" s="134"/>
    </row>
    <row r="960" ht="22.5" customHeight="1">
      <c r="A960" s="131"/>
      <c r="B960" s="131"/>
      <c r="C960" s="131"/>
      <c r="D960" s="131"/>
      <c r="E960" s="132"/>
      <c r="F960" s="131"/>
      <c r="G960" s="36"/>
      <c r="H960" s="131"/>
      <c r="I960" s="133"/>
      <c r="J960" s="133"/>
      <c r="K960" s="133"/>
      <c r="L960" s="131"/>
      <c r="M960" s="131"/>
      <c r="N960" s="131"/>
      <c r="O960" s="133"/>
      <c r="P960" s="133"/>
      <c r="Q960" s="133"/>
      <c r="R960" s="131"/>
      <c r="S960" s="134"/>
      <c r="T960" s="134"/>
    </row>
    <row r="961" ht="22.5" customHeight="1">
      <c r="A961" s="131"/>
      <c r="B961" s="131"/>
      <c r="C961" s="131"/>
      <c r="D961" s="131"/>
      <c r="E961" s="132"/>
      <c r="F961" s="131"/>
      <c r="G961" s="36"/>
      <c r="H961" s="131"/>
      <c r="I961" s="133"/>
      <c r="J961" s="133"/>
      <c r="K961" s="133"/>
      <c r="L961" s="131"/>
      <c r="M961" s="131"/>
      <c r="N961" s="131"/>
      <c r="O961" s="133"/>
      <c r="P961" s="133"/>
      <c r="Q961" s="133"/>
      <c r="R961" s="131"/>
      <c r="S961" s="134"/>
      <c r="T961" s="134"/>
    </row>
    <row r="962" ht="22.5" customHeight="1">
      <c r="A962" s="131"/>
      <c r="B962" s="131"/>
      <c r="C962" s="131"/>
      <c r="D962" s="131"/>
      <c r="E962" s="132"/>
      <c r="F962" s="131"/>
      <c r="G962" s="36"/>
      <c r="H962" s="131"/>
      <c r="I962" s="133"/>
      <c r="J962" s="133"/>
      <c r="K962" s="133"/>
      <c r="L962" s="131"/>
      <c r="M962" s="131"/>
      <c r="N962" s="131"/>
      <c r="O962" s="133"/>
      <c r="P962" s="133"/>
      <c r="Q962" s="133"/>
      <c r="R962" s="131"/>
      <c r="S962" s="134"/>
      <c r="T962" s="134"/>
    </row>
    <row r="963" ht="22.5" customHeight="1">
      <c r="A963" s="131"/>
      <c r="B963" s="131"/>
      <c r="C963" s="131"/>
      <c r="D963" s="131"/>
      <c r="E963" s="132"/>
      <c r="F963" s="131"/>
      <c r="G963" s="36"/>
      <c r="H963" s="131"/>
      <c r="I963" s="133"/>
      <c r="J963" s="133"/>
      <c r="K963" s="133"/>
      <c r="L963" s="131"/>
      <c r="M963" s="131"/>
      <c r="N963" s="131"/>
      <c r="O963" s="133"/>
      <c r="P963" s="133"/>
      <c r="Q963" s="133"/>
      <c r="R963" s="131"/>
      <c r="S963" s="134"/>
      <c r="T963" s="134"/>
    </row>
    <row r="964" ht="22.5" customHeight="1">
      <c r="A964" s="131"/>
      <c r="B964" s="131"/>
      <c r="C964" s="131"/>
      <c r="D964" s="131"/>
      <c r="E964" s="132"/>
      <c r="F964" s="131"/>
      <c r="G964" s="36"/>
      <c r="H964" s="131"/>
      <c r="I964" s="133"/>
      <c r="J964" s="133"/>
      <c r="K964" s="133"/>
      <c r="L964" s="131"/>
      <c r="M964" s="131"/>
      <c r="N964" s="131"/>
      <c r="O964" s="133"/>
      <c r="P964" s="133"/>
      <c r="Q964" s="133"/>
      <c r="R964" s="131"/>
      <c r="S964" s="134"/>
      <c r="T964" s="134"/>
    </row>
    <row r="965" ht="22.5" customHeight="1">
      <c r="A965" s="131"/>
      <c r="B965" s="131"/>
      <c r="C965" s="131"/>
      <c r="D965" s="131"/>
      <c r="E965" s="132"/>
      <c r="F965" s="131"/>
      <c r="G965" s="36"/>
      <c r="H965" s="131"/>
      <c r="I965" s="133"/>
      <c r="J965" s="133"/>
      <c r="K965" s="133"/>
      <c r="L965" s="131"/>
      <c r="M965" s="131"/>
      <c r="N965" s="131"/>
      <c r="O965" s="133"/>
      <c r="P965" s="133"/>
      <c r="Q965" s="133"/>
      <c r="R965" s="131"/>
      <c r="S965" s="134"/>
      <c r="T965" s="134"/>
    </row>
    <row r="966" ht="22.5" customHeight="1">
      <c r="A966" s="131"/>
      <c r="B966" s="131"/>
      <c r="C966" s="131"/>
      <c r="D966" s="131"/>
      <c r="E966" s="132"/>
      <c r="F966" s="131"/>
      <c r="G966" s="36"/>
      <c r="H966" s="131"/>
      <c r="I966" s="133"/>
      <c r="J966" s="133"/>
      <c r="K966" s="133"/>
      <c r="L966" s="131"/>
      <c r="M966" s="131"/>
      <c r="N966" s="131"/>
      <c r="O966" s="133"/>
      <c r="P966" s="133"/>
      <c r="Q966" s="133"/>
      <c r="R966" s="131"/>
      <c r="S966" s="134"/>
      <c r="T966" s="134"/>
    </row>
    <row r="967" ht="22.5" customHeight="1">
      <c r="A967" s="131"/>
      <c r="B967" s="131"/>
      <c r="C967" s="131"/>
      <c r="D967" s="131"/>
      <c r="E967" s="132"/>
      <c r="F967" s="131"/>
      <c r="G967" s="36"/>
      <c r="H967" s="131"/>
      <c r="I967" s="133"/>
      <c r="J967" s="133"/>
      <c r="K967" s="133"/>
      <c r="L967" s="131"/>
      <c r="M967" s="131"/>
      <c r="N967" s="131"/>
      <c r="O967" s="133"/>
      <c r="P967" s="133"/>
      <c r="Q967" s="133"/>
      <c r="R967" s="131"/>
      <c r="S967" s="134"/>
      <c r="T967" s="134"/>
    </row>
    <row r="968" ht="22.5" customHeight="1">
      <c r="A968" s="131"/>
      <c r="B968" s="131"/>
      <c r="C968" s="131"/>
      <c r="D968" s="131"/>
      <c r="E968" s="132"/>
      <c r="F968" s="131"/>
      <c r="G968" s="36"/>
      <c r="H968" s="131"/>
      <c r="I968" s="133"/>
      <c r="J968" s="133"/>
      <c r="K968" s="133"/>
      <c r="L968" s="131"/>
      <c r="M968" s="131"/>
      <c r="N968" s="131"/>
      <c r="O968" s="133"/>
      <c r="P968" s="133"/>
      <c r="Q968" s="133"/>
      <c r="R968" s="131"/>
      <c r="S968" s="134"/>
      <c r="T968" s="134"/>
    </row>
    <row r="969" ht="22.5" customHeight="1">
      <c r="A969" s="131"/>
      <c r="B969" s="131"/>
      <c r="C969" s="131"/>
      <c r="D969" s="131"/>
      <c r="E969" s="132"/>
      <c r="F969" s="131"/>
      <c r="G969" s="36"/>
      <c r="H969" s="131"/>
      <c r="I969" s="133"/>
      <c r="J969" s="133"/>
      <c r="K969" s="133"/>
      <c r="L969" s="131"/>
      <c r="M969" s="131"/>
      <c r="N969" s="131"/>
      <c r="O969" s="133"/>
      <c r="P969" s="133"/>
      <c r="Q969" s="133"/>
      <c r="R969" s="131"/>
      <c r="S969" s="134"/>
      <c r="T969" s="134"/>
    </row>
    <row r="970" ht="22.5" customHeight="1">
      <c r="A970" s="131"/>
      <c r="B970" s="131"/>
      <c r="C970" s="131"/>
      <c r="D970" s="131"/>
      <c r="E970" s="132"/>
      <c r="F970" s="131"/>
      <c r="G970" s="36"/>
      <c r="H970" s="131"/>
      <c r="I970" s="133"/>
      <c r="J970" s="133"/>
      <c r="K970" s="133"/>
      <c r="L970" s="131"/>
      <c r="M970" s="131"/>
      <c r="N970" s="131"/>
      <c r="O970" s="133"/>
      <c r="P970" s="133"/>
      <c r="Q970" s="133"/>
      <c r="R970" s="131"/>
      <c r="S970" s="134"/>
      <c r="T970" s="134"/>
    </row>
    <row r="971" ht="22.5" customHeight="1">
      <c r="A971" s="131"/>
      <c r="B971" s="131"/>
      <c r="C971" s="131"/>
      <c r="D971" s="131"/>
      <c r="E971" s="132"/>
      <c r="F971" s="131"/>
      <c r="G971" s="36"/>
      <c r="H971" s="131"/>
      <c r="I971" s="133"/>
      <c r="J971" s="133"/>
      <c r="K971" s="133"/>
      <c r="L971" s="131"/>
      <c r="M971" s="131"/>
      <c r="N971" s="131"/>
      <c r="O971" s="133"/>
      <c r="P971" s="133"/>
      <c r="Q971" s="133"/>
      <c r="R971" s="131"/>
      <c r="S971" s="134"/>
      <c r="T971" s="134"/>
    </row>
    <row r="972" ht="22.5" customHeight="1">
      <c r="A972" s="131"/>
      <c r="B972" s="131"/>
      <c r="C972" s="131"/>
      <c r="D972" s="131"/>
      <c r="E972" s="132"/>
      <c r="F972" s="131"/>
      <c r="G972" s="36"/>
      <c r="H972" s="131"/>
      <c r="I972" s="133"/>
      <c r="J972" s="133"/>
      <c r="K972" s="133"/>
      <c r="L972" s="131"/>
      <c r="M972" s="131"/>
      <c r="N972" s="131"/>
      <c r="O972" s="133"/>
      <c r="P972" s="133"/>
      <c r="Q972" s="133"/>
      <c r="R972" s="131"/>
      <c r="S972" s="134"/>
      <c r="T972" s="134"/>
    </row>
    <row r="973" ht="22.5" customHeight="1">
      <c r="A973" s="131"/>
      <c r="B973" s="131"/>
      <c r="C973" s="131"/>
      <c r="D973" s="131"/>
      <c r="E973" s="132"/>
      <c r="F973" s="131"/>
      <c r="G973" s="36"/>
      <c r="H973" s="131"/>
      <c r="I973" s="133"/>
      <c r="J973" s="133"/>
      <c r="K973" s="133"/>
      <c r="L973" s="131"/>
      <c r="M973" s="131"/>
      <c r="N973" s="131"/>
      <c r="O973" s="133"/>
      <c r="P973" s="133"/>
      <c r="Q973" s="133"/>
      <c r="R973" s="131"/>
      <c r="S973" s="134"/>
      <c r="T973" s="134"/>
    </row>
    <row r="974" ht="22.5" customHeight="1">
      <c r="A974" s="131"/>
      <c r="B974" s="131"/>
      <c r="C974" s="131"/>
      <c r="D974" s="131"/>
      <c r="E974" s="132"/>
      <c r="F974" s="131"/>
      <c r="G974" s="36"/>
      <c r="H974" s="131"/>
      <c r="I974" s="133"/>
      <c r="J974" s="133"/>
      <c r="K974" s="133"/>
      <c r="L974" s="131"/>
      <c r="M974" s="131"/>
      <c r="N974" s="131"/>
      <c r="O974" s="133"/>
      <c r="P974" s="133"/>
      <c r="Q974" s="133"/>
      <c r="R974" s="131"/>
      <c r="S974" s="134"/>
      <c r="T974" s="134"/>
    </row>
    <row r="975" ht="22.5" customHeight="1">
      <c r="A975" s="131"/>
      <c r="B975" s="131"/>
      <c r="C975" s="131"/>
      <c r="D975" s="131"/>
      <c r="E975" s="132"/>
      <c r="F975" s="131"/>
      <c r="G975" s="36"/>
      <c r="H975" s="131"/>
      <c r="I975" s="133"/>
      <c r="J975" s="133"/>
      <c r="K975" s="133"/>
      <c r="L975" s="131"/>
      <c r="M975" s="131"/>
      <c r="N975" s="131"/>
      <c r="O975" s="133"/>
      <c r="P975" s="133"/>
      <c r="Q975" s="133"/>
      <c r="R975" s="131"/>
      <c r="S975" s="134"/>
      <c r="T975" s="134"/>
    </row>
    <row r="976" ht="22.5" customHeight="1">
      <c r="A976" s="131"/>
      <c r="B976" s="131"/>
      <c r="C976" s="131"/>
      <c r="D976" s="131"/>
      <c r="E976" s="132"/>
      <c r="F976" s="131"/>
      <c r="G976" s="36"/>
      <c r="H976" s="131"/>
      <c r="I976" s="133"/>
      <c r="J976" s="133"/>
      <c r="K976" s="133"/>
      <c r="L976" s="131"/>
      <c r="M976" s="131"/>
      <c r="N976" s="131"/>
      <c r="O976" s="133"/>
      <c r="P976" s="133"/>
      <c r="Q976" s="133"/>
      <c r="R976" s="131"/>
      <c r="S976" s="134"/>
      <c r="T976" s="134"/>
    </row>
    <row r="977" ht="22.5" customHeight="1">
      <c r="A977" s="131"/>
      <c r="B977" s="131"/>
      <c r="C977" s="131"/>
      <c r="D977" s="131"/>
      <c r="E977" s="132"/>
      <c r="F977" s="131"/>
      <c r="G977" s="36"/>
      <c r="H977" s="131"/>
      <c r="I977" s="133"/>
      <c r="J977" s="133"/>
      <c r="K977" s="133"/>
      <c r="L977" s="131"/>
      <c r="M977" s="131"/>
      <c r="N977" s="131"/>
      <c r="O977" s="133"/>
      <c r="P977" s="133"/>
      <c r="Q977" s="133"/>
      <c r="R977" s="131"/>
      <c r="S977" s="134"/>
      <c r="T977" s="134"/>
    </row>
    <row r="978" ht="22.5" customHeight="1">
      <c r="A978" s="131"/>
      <c r="B978" s="131"/>
      <c r="C978" s="131"/>
      <c r="D978" s="131"/>
      <c r="E978" s="132"/>
      <c r="F978" s="131"/>
      <c r="G978" s="36"/>
      <c r="H978" s="131"/>
      <c r="I978" s="133"/>
      <c r="J978" s="133"/>
      <c r="K978" s="133"/>
      <c r="L978" s="131"/>
      <c r="M978" s="131"/>
      <c r="N978" s="131"/>
      <c r="O978" s="133"/>
      <c r="P978" s="133"/>
      <c r="Q978" s="133"/>
      <c r="R978" s="131"/>
      <c r="S978" s="134"/>
      <c r="T978" s="134"/>
    </row>
    <row r="979" ht="22.5" customHeight="1">
      <c r="A979" s="131"/>
      <c r="B979" s="131"/>
      <c r="C979" s="131"/>
      <c r="D979" s="131"/>
      <c r="E979" s="132"/>
      <c r="F979" s="131"/>
      <c r="G979" s="36"/>
      <c r="H979" s="131"/>
      <c r="I979" s="133"/>
      <c r="J979" s="133"/>
      <c r="K979" s="133"/>
      <c r="L979" s="131"/>
      <c r="M979" s="131"/>
      <c r="N979" s="131"/>
      <c r="O979" s="133"/>
      <c r="P979" s="133"/>
      <c r="Q979" s="133"/>
      <c r="R979" s="131"/>
      <c r="S979" s="134"/>
      <c r="T979" s="134"/>
    </row>
    <row r="980" ht="22.5" customHeight="1">
      <c r="A980" s="131"/>
      <c r="B980" s="131"/>
      <c r="C980" s="131"/>
      <c r="D980" s="131"/>
      <c r="E980" s="132"/>
      <c r="F980" s="131"/>
      <c r="G980" s="36"/>
      <c r="H980" s="131"/>
      <c r="I980" s="133"/>
      <c r="J980" s="133"/>
      <c r="K980" s="133"/>
      <c r="L980" s="131"/>
      <c r="M980" s="131"/>
      <c r="N980" s="131"/>
      <c r="O980" s="133"/>
      <c r="P980" s="133"/>
      <c r="Q980" s="133"/>
      <c r="R980" s="131"/>
      <c r="S980" s="134"/>
      <c r="T980" s="134"/>
    </row>
    <row r="981" ht="22.5" customHeight="1">
      <c r="A981" s="131"/>
      <c r="B981" s="131"/>
      <c r="C981" s="131"/>
      <c r="D981" s="131"/>
      <c r="E981" s="132"/>
      <c r="F981" s="131"/>
      <c r="G981" s="36"/>
      <c r="H981" s="131"/>
      <c r="I981" s="133"/>
      <c r="J981" s="133"/>
      <c r="K981" s="133"/>
      <c r="L981" s="131"/>
      <c r="M981" s="131"/>
      <c r="N981" s="131"/>
      <c r="O981" s="133"/>
      <c r="P981" s="133"/>
      <c r="Q981" s="133"/>
      <c r="R981" s="131"/>
      <c r="S981" s="134"/>
      <c r="T981" s="134"/>
    </row>
    <row r="982" ht="22.5" customHeight="1">
      <c r="A982" s="131"/>
      <c r="B982" s="131"/>
      <c r="C982" s="131"/>
      <c r="D982" s="131"/>
      <c r="E982" s="132"/>
      <c r="F982" s="131"/>
      <c r="G982" s="36"/>
      <c r="H982" s="131"/>
      <c r="I982" s="133"/>
      <c r="J982" s="133"/>
      <c r="K982" s="133"/>
      <c r="L982" s="131"/>
      <c r="M982" s="131"/>
      <c r="N982" s="131"/>
      <c r="O982" s="133"/>
      <c r="P982" s="133"/>
      <c r="Q982" s="133"/>
      <c r="R982" s="131"/>
      <c r="S982" s="134"/>
      <c r="T982" s="134"/>
    </row>
    <row r="983" ht="22.5" customHeight="1">
      <c r="A983" s="131"/>
      <c r="B983" s="131"/>
      <c r="C983" s="131"/>
      <c r="D983" s="131"/>
      <c r="E983" s="132"/>
      <c r="F983" s="131"/>
      <c r="G983" s="36"/>
      <c r="H983" s="131"/>
      <c r="I983" s="133"/>
      <c r="J983" s="133"/>
      <c r="K983" s="133"/>
      <c r="L983" s="131"/>
      <c r="M983" s="131"/>
      <c r="N983" s="131"/>
      <c r="O983" s="133"/>
      <c r="P983" s="133"/>
      <c r="Q983" s="133"/>
      <c r="R983" s="131"/>
      <c r="S983" s="134"/>
      <c r="T983" s="134"/>
    </row>
    <row r="984" ht="22.5" customHeight="1">
      <c r="A984" s="131"/>
      <c r="B984" s="131"/>
      <c r="C984" s="131"/>
      <c r="D984" s="131"/>
      <c r="E984" s="132"/>
      <c r="F984" s="131"/>
      <c r="G984" s="36"/>
      <c r="H984" s="131"/>
      <c r="I984" s="133"/>
      <c r="J984" s="133"/>
      <c r="K984" s="133"/>
      <c r="L984" s="131"/>
      <c r="M984" s="131"/>
      <c r="N984" s="131"/>
      <c r="O984" s="133"/>
      <c r="P984" s="133"/>
      <c r="Q984" s="133"/>
      <c r="R984" s="131"/>
      <c r="S984" s="134"/>
      <c r="T984" s="134"/>
    </row>
    <row r="985" ht="22.5" customHeight="1">
      <c r="A985" s="131"/>
      <c r="B985" s="131"/>
      <c r="C985" s="131"/>
      <c r="D985" s="131"/>
      <c r="E985" s="132"/>
      <c r="F985" s="131"/>
      <c r="G985" s="36"/>
      <c r="H985" s="131"/>
      <c r="I985" s="133"/>
      <c r="J985" s="133"/>
      <c r="K985" s="133"/>
      <c r="L985" s="131"/>
      <c r="M985" s="131"/>
      <c r="N985" s="131"/>
      <c r="O985" s="133"/>
      <c r="P985" s="133"/>
      <c r="Q985" s="133"/>
      <c r="R985" s="131"/>
      <c r="S985" s="134"/>
      <c r="T985" s="134"/>
    </row>
    <row r="986" ht="22.5" customHeight="1">
      <c r="A986" s="131"/>
      <c r="B986" s="131"/>
      <c r="C986" s="131"/>
      <c r="D986" s="131"/>
      <c r="E986" s="132"/>
      <c r="F986" s="131"/>
      <c r="G986" s="36"/>
      <c r="H986" s="131"/>
      <c r="I986" s="133"/>
      <c r="J986" s="133"/>
      <c r="K986" s="133"/>
      <c r="L986" s="131"/>
      <c r="M986" s="131"/>
      <c r="N986" s="131"/>
      <c r="O986" s="133"/>
      <c r="P986" s="133"/>
      <c r="Q986" s="133"/>
      <c r="R986" s="131"/>
      <c r="S986" s="134"/>
      <c r="T986" s="134"/>
    </row>
    <row r="987" ht="22.5" customHeight="1">
      <c r="A987" s="131"/>
      <c r="B987" s="131"/>
      <c r="C987" s="131"/>
      <c r="D987" s="131"/>
      <c r="E987" s="132"/>
      <c r="F987" s="131"/>
      <c r="G987" s="36"/>
      <c r="H987" s="131"/>
      <c r="I987" s="133"/>
      <c r="J987" s="133"/>
      <c r="K987" s="133"/>
      <c r="L987" s="131"/>
      <c r="M987" s="131"/>
      <c r="N987" s="131"/>
      <c r="O987" s="133"/>
      <c r="P987" s="133"/>
      <c r="Q987" s="133"/>
      <c r="R987" s="131"/>
      <c r="S987" s="134"/>
      <c r="T987" s="134"/>
    </row>
    <row r="988" ht="22.5" customHeight="1">
      <c r="A988" s="131"/>
      <c r="B988" s="131"/>
      <c r="C988" s="131"/>
      <c r="D988" s="131"/>
      <c r="E988" s="132"/>
      <c r="F988" s="131"/>
      <c r="G988" s="36"/>
      <c r="H988" s="131"/>
      <c r="I988" s="133"/>
      <c r="J988" s="133"/>
      <c r="K988" s="133"/>
      <c r="L988" s="131"/>
      <c r="M988" s="131"/>
      <c r="N988" s="131"/>
      <c r="O988" s="133"/>
      <c r="P988" s="133"/>
      <c r="Q988" s="133"/>
      <c r="R988" s="131"/>
      <c r="S988" s="134"/>
      <c r="T988" s="134"/>
    </row>
    <row r="989" ht="22.5" customHeight="1">
      <c r="A989" s="131"/>
      <c r="B989" s="131"/>
      <c r="C989" s="131"/>
      <c r="D989" s="131"/>
      <c r="E989" s="132"/>
      <c r="F989" s="131"/>
      <c r="G989" s="36"/>
      <c r="H989" s="131"/>
      <c r="I989" s="133"/>
      <c r="J989" s="133"/>
      <c r="K989" s="133"/>
      <c r="L989" s="131"/>
      <c r="M989" s="131"/>
      <c r="N989" s="131"/>
      <c r="O989" s="133"/>
      <c r="P989" s="133"/>
      <c r="Q989" s="133"/>
      <c r="R989" s="131"/>
      <c r="S989" s="134"/>
      <c r="T989" s="134"/>
    </row>
    <row r="990" ht="22.5" customHeight="1">
      <c r="A990" s="131"/>
      <c r="B990" s="131"/>
      <c r="C990" s="131"/>
      <c r="D990" s="131"/>
      <c r="E990" s="132"/>
      <c r="F990" s="131"/>
      <c r="G990" s="36"/>
      <c r="H990" s="131"/>
      <c r="I990" s="133"/>
      <c r="J990" s="133"/>
      <c r="K990" s="133"/>
      <c r="L990" s="131"/>
      <c r="M990" s="131"/>
      <c r="N990" s="131"/>
      <c r="O990" s="133"/>
      <c r="P990" s="133"/>
      <c r="Q990" s="133"/>
      <c r="R990" s="131"/>
      <c r="S990" s="134"/>
      <c r="T990" s="134"/>
    </row>
    <row r="991" ht="22.5" customHeight="1">
      <c r="A991" s="131"/>
      <c r="B991" s="131"/>
      <c r="C991" s="131"/>
      <c r="D991" s="131"/>
      <c r="E991" s="132"/>
      <c r="F991" s="131"/>
      <c r="G991" s="36"/>
      <c r="H991" s="131"/>
      <c r="I991" s="133"/>
      <c r="J991" s="133"/>
      <c r="K991" s="133"/>
      <c r="L991" s="131"/>
      <c r="M991" s="131"/>
      <c r="N991" s="131"/>
      <c r="O991" s="133"/>
      <c r="P991" s="133"/>
      <c r="Q991" s="133"/>
      <c r="R991" s="131"/>
      <c r="S991" s="134"/>
      <c r="T991" s="134"/>
    </row>
    <row r="992" ht="22.5" customHeight="1">
      <c r="A992" s="131"/>
      <c r="B992" s="131"/>
      <c r="C992" s="131"/>
      <c r="D992" s="131"/>
      <c r="E992" s="132"/>
      <c r="F992" s="131"/>
      <c r="G992" s="36"/>
      <c r="H992" s="131"/>
      <c r="I992" s="133"/>
      <c r="J992" s="133"/>
      <c r="K992" s="133"/>
      <c r="L992" s="131"/>
      <c r="M992" s="131"/>
      <c r="N992" s="131"/>
      <c r="O992" s="133"/>
      <c r="P992" s="133"/>
      <c r="Q992" s="133"/>
      <c r="R992" s="131"/>
      <c r="S992" s="134"/>
      <c r="T992" s="134"/>
    </row>
    <row r="993" ht="22.5" customHeight="1">
      <c r="A993" s="131"/>
      <c r="B993" s="131"/>
      <c r="C993" s="131"/>
      <c r="D993" s="131"/>
      <c r="E993" s="132"/>
      <c r="F993" s="131"/>
      <c r="G993" s="36"/>
      <c r="H993" s="131"/>
      <c r="I993" s="133"/>
      <c r="J993" s="133"/>
      <c r="K993" s="133"/>
      <c r="L993" s="131"/>
      <c r="M993" s="131"/>
      <c r="N993" s="131"/>
      <c r="O993" s="133"/>
      <c r="P993" s="133"/>
      <c r="Q993" s="133"/>
      <c r="R993" s="131"/>
      <c r="S993" s="134"/>
      <c r="T993" s="134"/>
    </row>
    <row r="994" ht="22.5" customHeight="1">
      <c r="A994" s="131"/>
      <c r="B994" s="131"/>
      <c r="C994" s="131"/>
      <c r="D994" s="131"/>
      <c r="E994" s="132"/>
      <c r="F994" s="131"/>
      <c r="G994" s="36"/>
      <c r="H994" s="131"/>
      <c r="I994" s="133"/>
      <c r="J994" s="133"/>
      <c r="K994" s="133"/>
      <c r="L994" s="131"/>
      <c r="M994" s="131"/>
      <c r="N994" s="131"/>
      <c r="O994" s="133"/>
      <c r="P994" s="133"/>
      <c r="Q994" s="133"/>
      <c r="R994" s="131"/>
      <c r="S994" s="134"/>
      <c r="T994" s="134"/>
    </row>
    <row r="995" ht="22.5" customHeight="1">
      <c r="A995" s="131"/>
      <c r="B995" s="131"/>
      <c r="C995" s="131"/>
      <c r="D995" s="131"/>
      <c r="E995" s="132"/>
      <c r="F995" s="131"/>
      <c r="G995" s="36"/>
      <c r="H995" s="131"/>
      <c r="I995" s="133"/>
      <c r="J995" s="133"/>
      <c r="K995" s="133"/>
      <c r="L995" s="131"/>
      <c r="M995" s="131"/>
      <c r="N995" s="131"/>
      <c r="O995" s="133"/>
      <c r="P995" s="133"/>
      <c r="Q995" s="133"/>
      <c r="R995" s="131"/>
      <c r="S995" s="134"/>
      <c r="T995" s="134"/>
    </row>
    <row r="996" ht="22.5" customHeight="1">
      <c r="A996" s="131"/>
      <c r="B996" s="131"/>
      <c r="C996" s="131"/>
      <c r="D996" s="131"/>
      <c r="E996" s="132"/>
      <c r="F996" s="131"/>
      <c r="G996" s="36"/>
      <c r="H996" s="131"/>
      <c r="I996" s="133"/>
      <c r="J996" s="133"/>
      <c r="K996" s="133"/>
      <c r="L996" s="131"/>
      <c r="M996" s="131"/>
      <c r="N996" s="131"/>
      <c r="O996" s="133"/>
      <c r="P996" s="133"/>
      <c r="Q996" s="133"/>
      <c r="R996" s="131"/>
      <c r="S996" s="134"/>
      <c r="T996" s="134"/>
    </row>
    <row r="997" ht="22.5" customHeight="1">
      <c r="A997" s="131"/>
      <c r="B997" s="131"/>
      <c r="C997" s="131"/>
      <c r="D997" s="131"/>
      <c r="E997" s="132"/>
      <c r="F997" s="131"/>
      <c r="G997" s="36"/>
      <c r="H997" s="131"/>
      <c r="I997" s="133"/>
      <c r="J997" s="133"/>
      <c r="K997" s="133"/>
      <c r="L997" s="131"/>
      <c r="M997" s="131"/>
      <c r="N997" s="131"/>
      <c r="O997" s="133"/>
      <c r="P997" s="133"/>
      <c r="Q997" s="133"/>
      <c r="R997" s="131"/>
      <c r="S997" s="134"/>
      <c r="T997" s="134"/>
    </row>
    <row r="998" ht="22.5" customHeight="1">
      <c r="A998" s="131"/>
      <c r="B998" s="131"/>
      <c r="C998" s="131"/>
      <c r="D998" s="131"/>
      <c r="E998" s="132"/>
      <c r="F998" s="131"/>
      <c r="G998" s="36"/>
      <c r="H998" s="131"/>
      <c r="I998" s="133"/>
      <c r="J998" s="133"/>
      <c r="K998" s="133"/>
      <c r="L998" s="131"/>
      <c r="M998" s="131"/>
      <c r="N998" s="131"/>
      <c r="O998" s="133"/>
      <c r="P998" s="133"/>
      <c r="Q998" s="133"/>
      <c r="R998" s="131"/>
      <c r="S998" s="134"/>
      <c r="T998" s="134"/>
    </row>
    <row r="999" ht="22.5" customHeight="1">
      <c r="A999" s="131"/>
      <c r="B999" s="131"/>
      <c r="C999" s="131"/>
      <c r="D999" s="131"/>
      <c r="E999" s="132"/>
      <c r="F999" s="131"/>
      <c r="G999" s="36"/>
      <c r="H999" s="131"/>
      <c r="I999" s="133"/>
      <c r="J999" s="133"/>
      <c r="K999" s="133"/>
      <c r="L999" s="131"/>
      <c r="M999" s="131"/>
      <c r="N999" s="131"/>
      <c r="O999" s="133"/>
      <c r="P999" s="133"/>
      <c r="Q999" s="133"/>
      <c r="R999" s="131"/>
      <c r="S999" s="134"/>
      <c r="T999" s="134"/>
    </row>
    <row r="1000" ht="22.5" customHeight="1">
      <c r="A1000" s="131"/>
      <c r="B1000" s="131"/>
      <c r="C1000" s="131"/>
      <c r="D1000" s="131"/>
      <c r="E1000" s="132"/>
      <c r="F1000" s="131"/>
      <c r="G1000" s="36"/>
      <c r="H1000" s="131"/>
      <c r="I1000" s="133"/>
      <c r="J1000" s="133"/>
      <c r="K1000" s="133"/>
      <c r="L1000" s="131"/>
      <c r="M1000" s="131"/>
      <c r="N1000" s="131"/>
      <c r="O1000" s="133"/>
      <c r="P1000" s="133"/>
      <c r="Q1000" s="133"/>
      <c r="R1000" s="131"/>
      <c r="S1000" s="134"/>
      <c r="T1000" s="134"/>
    </row>
  </sheetData>
  <mergeCells count="8">
    <mergeCell ref="A1:B4"/>
    <mergeCell ref="C1:H4"/>
    <mergeCell ref="I1:Q2"/>
    <mergeCell ref="R1:T2"/>
    <mergeCell ref="I3:K4"/>
    <mergeCell ref="L3:N4"/>
    <mergeCell ref="O3:Q4"/>
    <mergeCell ref="R3:T4"/>
  </mergeCells>
  <dataValidations>
    <dataValidation type="list" allowBlank="1" sqref="E6:E1000">
      <formula1>"0/0,1/0,2/0,3/0,4/0"</formula1>
    </dataValidation>
    <dataValidation type="list" allowBlank="1" showErrorMessage="1" sqref="G6:G1000">
      <formula1>"RTU,Sablon,Custom"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2.63" defaultRowHeight="15.75"/>
  <cols>
    <col customWidth="1" min="3" max="3" width="15.75"/>
    <col customWidth="1" min="9" max="9" width="18.25"/>
    <col hidden="1" min="19" max="19" width="12.63"/>
  </cols>
  <sheetData>
    <row r="1">
      <c r="A1" s="1"/>
      <c r="C1" s="2" t="s">
        <v>1297</v>
      </c>
      <c r="J1" s="3" t="s">
        <v>2</v>
      </c>
      <c r="S1" s="125" t="s">
        <v>4</v>
      </c>
    </row>
    <row r="3">
      <c r="J3" s="6" t="s">
        <v>7</v>
      </c>
      <c r="K3" s="7"/>
      <c r="L3" s="8"/>
      <c r="M3" s="9" t="s">
        <v>8</v>
      </c>
      <c r="N3" s="7"/>
      <c r="O3" s="8"/>
      <c r="P3" s="6" t="s">
        <v>9</v>
      </c>
      <c r="Q3" s="7"/>
      <c r="R3" s="8"/>
      <c r="S3" s="10" t="s">
        <v>10</v>
      </c>
      <c r="T3" s="7"/>
      <c r="U3" s="8"/>
    </row>
    <row r="4">
      <c r="J4" s="11"/>
      <c r="K4" s="11"/>
      <c r="L4" s="12"/>
      <c r="M4" s="11"/>
      <c r="N4" s="11"/>
      <c r="O4" s="12"/>
      <c r="P4" s="11"/>
      <c r="Q4" s="11"/>
      <c r="R4" s="12"/>
      <c r="S4" s="11"/>
      <c r="T4" s="11"/>
      <c r="U4" s="12"/>
    </row>
    <row r="5" ht="22.5" customHeight="1">
      <c r="A5" s="14" t="s">
        <v>11</v>
      </c>
      <c r="B5" s="16" t="s">
        <v>13</v>
      </c>
      <c r="C5" s="17" t="s">
        <v>14</v>
      </c>
      <c r="D5" s="17" t="s">
        <v>15</v>
      </c>
      <c r="E5" s="17" t="s">
        <v>319</v>
      </c>
      <c r="F5" s="17" t="s">
        <v>16</v>
      </c>
      <c r="G5" s="16" t="s">
        <v>18</v>
      </c>
      <c r="H5" s="17" t="s">
        <v>19</v>
      </c>
      <c r="I5" s="17" t="s">
        <v>20</v>
      </c>
      <c r="J5" s="22" t="s">
        <v>21</v>
      </c>
      <c r="K5" s="22" t="s">
        <v>22</v>
      </c>
      <c r="L5" s="22" t="s">
        <v>23</v>
      </c>
      <c r="M5" s="23" t="s">
        <v>24</v>
      </c>
      <c r="N5" s="23" t="s">
        <v>25</v>
      </c>
      <c r="O5" s="23" t="s">
        <v>26</v>
      </c>
      <c r="P5" s="22" t="s">
        <v>27</v>
      </c>
      <c r="Q5" s="22" t="s">
        <v>28</v>
      </c>
      <c r="R5" s="22" t="s">
        <v>29</v>
      </c>
      <c r="S5" s="17" t="s">
        <v>30</v>
      </c>
      <c r="T5" s="26" t="s">
        <v>10</v>
      </c>
      <c r="U5" s="25" t="s">
        <v>31</v>
      </c>
    </row>
    <row r="6" ht="22.5" customHeight="1">
      <c r="A6" s="34" t="s">
        <v>104</v>
      </c>
      <c r="B6" s="34" t="s">
        <v>1303</v>
      </c>
      <c r="C6" s="37" t="s">
        <v>1304</v>
      </c>
      <c r="D6" s="38" t="s">
        <v>1305</v>
      </c>
      <c r="E6" s="76"/>
      <c r="F6" s="40" t="s">
        <v>55</v>
      </c>
      <c r="G6" s="34" t="s">
        <v>108</v>
      </c>
      <c r="H6" s="43" t="s">
        <v>41</v>
      </c>
      <c r="I6" s="34" t="s">
        <v>49</v>
      </c>
      <c r="J6" s="39">
        <v>2000.0</v>
      </c>
      <c r="K6" s="39">
        <v>2000.0</v>
      </c>
      <c r="L6" s="41"/>
      <c r="M6" s="42">
        <v>2000.0</v>
      </c>
      <c r="N6" s="42">
        <v>2000.0</v>
      </c>
      <c r="O6" s="42">
        <v>264.0</v>
      </c>
      <c r="P6" s="39">
        <v>2000.0</v>
      </c>
      <c r="Q6" s="39">
        <v>2000.0</v>
      </c>
      <c r="R6" s="39"/>
      <c r="S6" s="46">
        <v>0.67</v>
      </c>
      <c r="T6" s="50">
        <f>IFERROR(__xludf.DUMMYFUNCTION("((IFERROR(MIN(FILTER({L6, O6, R6}, ISNUMBER({L6, O6, R6}), {L6, O6, R6} &gt; 0)), """"))*S6)+IFERROR(MIN(FILTER({L6, O6, R6}, ISNUMBER({L6, O6, R6}), {L6, O6, R6} &gt; 0)), """")"),440.88)</f>
        <v>440.88</v>
      </c>
      <c r="U6" s="53">
        <f>IFERROR(__xludf.DUMMYFUNCTION("(T6-(IFERROR(MIN(FILTER({L6, O6, R6}, ISNUMBER({L6, O6, R6}), {L6, O6, R6} &gt; 0)), """")))/T6"),0.40119760479041916)</f>
        <v>0.4011976048</v>
      </c>
    </row>
    <row r="7" ht="22.5" customHeight="1">
      <c r="A7" s="34" t="s">
        <v>104</v>
      </c>
      <c r="B7" s="34" t="s">
        <v>1303</v>
      </c>
      <c r="C7" s="37" t="s">
        <v>1304</v>
      </c>
      <c r="D7" s="38" t="s">
        <v>1305</v>
      </c>
      <c r="E7" s="76"/>
      <c r="F7" s="40" t="s">
        <v>55</v>
      </c>
      <c r="G7" s="34" t="s">
        <v>108</v>
      </c>
      <c r="H7" s="43" t="s">
        <v>41</v>
      </c>
      <c r="I7" s="34" t="s">
        <v>49</v>
      </c>
      <c r="J7" s="39">
        <v>5000.0</v>
      </c>
      <c r="K7" s="39">
        <v>5000.0</v>
      </c>
      <c r="L7" s="41"/>
      <c r="M7" s="42">
        <v>5000.0</v>
      </c>
      <c r="N7" s="42">
        <v>5000.0</v>
      </c>
      <c r="O7" s="42">
        <v>165.0</v>
      </c>
      <c r="P7" s="39">
        <v>5000.0</v>
      </c>
      <c r="Q7" s="39">
        <v>5000.0</v>
      </c>
      <c r="R7" s="39"/>
      <c r="S7" s="46">
        <v>0.67</v>
      </c>
      <c r="T7" s="50">
        <f>IFERROR(__xludf.DUMMYFUNCTION("((IFERROR(MIN(FILTER({L7, O7, R7}, ISNUMBER({L7, O7, R7}), {L7, O7, R7} &gt; 0)), """"))*S7)+IFERROR(MIN(FILTER({L7, O7, R7}, ISNUMBER({L7, O7, R7}), {L7, O7, R7} &gt; 0)), """")"),275.55)</f>
        <v>275.55</v>
      </c>
      <c r="U7" s="53">
        <f>IFERROR(__xludf.DUMMYFUNCTION("(T7-(IFERROR(MIN(FILTER({L7, O7, R7}, ISNUMBER({L7, O7, R7}), {L7, O7, R7} &gt; 0)), """")))/T7"),0.40119760479041916)</f>
        <v>0.4011976048</v>
      </c>
    </row>
    <row r="8" ht="22.5" customHeight="1">
      <c r="A8" s="34" t="s">
        <v>104</v>
      </c>
      <c r="B8" s="34" t="s">
        <v>1309</v>
      </c>
      <c r="C8" s="37" t="s">
        <v>1310</v>
      </c>
      <c r="D8" s="38" t="s">
        <v>1311</v>
      </c>
      <c r="E8" s="76"/>
      <c r="F8" s="40" t="s">
        <v>63</v>
      </c>
      <c r="G8" s="34" t="s">
        <v>67</v>
      </c>
      <c r="H8" s="43" t="s">
        <v>41</v>
      </c>
      <c r="I8" s="34" t="s">
        <v>49</v>
      </c>
      <c r="J8" s="39">
        <v>1000.0</v>
      </c>
      <c r="K8" s="39">
        <v>1000.0</v>
      </c>
      <c r="L8" s="41"/>
      <c r="M8" s="42">
        <v>1000.0</v>
      </c>
      <c r="N8" s="42">
        <v>1000.0</v>
      </c>
      <c r="O8" s="42">
        <v>2698.0</v>
      </c>
      <c r="P8" s="39">
        <v>1000.0</v>
      </c>
      <c r="Q8" s="39">
        <v>1000.0</v>
      </c>
      <c r="R8" s="41"/>
      <c r="S8" s="46">
        <v>0.67</v>
      </c>
      <c r="T8" s="50">
        <f>IFERROR(__xludf.DUMMYFUNCTION("((IFERROR(MIN(FILTER({L8, O8, R8}, ISNUMBER({L8, O8, R8}), {L8, O8, R8} &gt; 0)), """"))*S8)+IFERROR(MIN(FILTER({L8, O8, R8}, ISNUMBER({L8, O8, R8}), {L8, O8, R8} &gt; 0)), """")"),4505.66)</f>
        <v>4505.66</v>
      </c>
      <c r="U8" s="53">
        <f>IFERROR(__xludf.DUMMYFUNCTION("(T8-(IFERROR(MIN(FILTER({L8, O8, R8}, ISNUMBER({L8, O8, R8}), {L8, O8, R8} &gt; 0)), """")))/T8"),0.40119760479041916)</f>
        <v>0.4011976048</v>
      </c>
    </row>
    <row r="9" ht="22.5" customHeight="1">
      <c r="A9" s="34" t="s">
        <v>104</v>
      </c>
      <c r="B9" s="34" t="s">
        <v>1309</v>
      </c>
      <c r="C9" s="37" t="s">
        <v>1310</v>
      </c>
      <c r="D9" s="38" t="s">
        <v>1312</v>
      </c>
      <c r="E9" s="76"/>
      <c r="F9" s="40" t="s">
        <v>63</v>
      </c>
      <c r="G9" s="34" t="s">
        <v>67</v>
      </c>
      <c r="H9" s="43" t="s">
        <v>41</v>
      </c>
      <c r="I9" s="34" t="s">
        <v>49</v>
      </c>
      <c r="J9" s="39">
        <v>1000.0</v>
      </c>
      <c r="K9" s="39">
        <v>1000.0</v>
      </c>
      <c r="L9" s="41"/>
      <c r="M9" s="42">
        <v>1000.0</v>
      </c>
      <c r="N9" s="42">
        <v>1000.0</v>
      </c>
      <c r="O9" s="42">
        <v>3769.0</v>
      </c>
      <c r="P9" s="39">
        <v>1000.0</v>
      </c>
      <c r="Q9" s="39">
        <v>1000.0</v>
      </c>
      <c r="R9" s="39"/>
      <c r="S9" s="46">
        <v>0.67</v>
      </c>
      <c r="T9" s="50">
        <f>IFERROR(__xludf.DUMMYFUNCTION("((IFERROR(MIN(FILTER({L9, O9, R9}, ISNUMBER({L9, O9, R9}), {L9, O9, R9} &gt; 0)), """"))*S9)+IFERROR(MIN(FILTER({L9, O9, R9}, ISNUMBER({L9, O9, R9}), {L9, O9, R9} &gt; 0)), """")"),6294.23)</f>
        <v>6294.23</v>
      </c>
      <c r="U9" s="53">
        <f>IFERROR(__xludf.DUMMYFUNCTION("(T9-(IFERROR(MIN(FILTER({L9, O9, R9}, ISNUMBER({L9, O9, R9}), {L9, O9, R9} &gt; 0)), """")))/T9"),0.4011976047904191)</f>
        <v>0.4011976048</v>
      </c>
    </row>
    <row r="10" ht="22.5" customHeight="1">
      <c r="A10" s="34" t="s">
        <v>104</v>
      </c>
      <c r="B10" s="34" t="s">
        <v>1313</v>
      </c>
      <c r="C10" s="37" t="s">
        <v>1314</v>
      </c>
      <c r="D10" s="38" t="s">
        <v>1315</v>
      </c>
      <c r="E10" s="76"/>
      <c r="F10" s="40" t="s">
        <v>63</v>
      </c>
      <c r="G10" s="34" t="s">
        <v>67</v>
      </c>
      <c r="H10" s="43" t="s">
        <v>41</v>
      </c>
      <c r="I10" s="34" t="s">
        <v>49</v>
      </c>
      <c r="J10" s="39">
        <v>5000.0</v>
      </c>
      <c r="K10" s="39">
        <v>5000.0</v>
      </c>
      <c r="L10" s="41"/>
      <c r="M10" s="42">
        <v>5000.0</v>
      </c>
      <c r="N10" s="42">
        <v>5000.0</v>
      </c>
      <c r="O10" s="60"/>
      <c r="P10" s="39">
        <v>5000.0</v>
      </c>
      <c r="Q10" s="39">
        <v>5000.0</v>
      </c>
      <c r="R10" s="39">
        <v>420.0</v>
      </c>
      <c r="S10" s="46">
        <v>0.67</v>
      </c>
      <c r="T10" s="50">
        <f>IFERROR(__xludf.DUMMYFUNCTION("((IFERROR(MIN(FILTER({L10, O10, R10}, ISNUMBER({L10, O10, R10}), {L10, O10, R10} &gt; 0)), """"))*S10)+IFERROR(MIN(FILTER({L10, O10, R10}, ISNUMBER({L10, O10, R10}), {L10, O10, R10} &gt; 0)), """")"),701.4000000000001)</f>
        <v>701.4</v>
      </c>
      <c r="U10" s="53">
        <f>IFERROR(__xludf.DUMMYFUNCTION("(T10-(IFERROR(MIN(FILTER({L10, O10, R10}, ISNUMBER({L10, O10, R10}), {L10, O10, R10} &gt; 0)), """")))/T10"),0.4011976047904192)</f>
        <v>0.4011976048</v>
      </c>
    </row>
    <row r="11" ht="22.5" customHeight="1">
      <c r="A11" s="34" t="s">
        <v>1084</v>
      </c>
      <c r="B11" s="34" t="s">
        <v>1322</v>
      </c>
      <c r="C11" s="37" t="s">
        <v>1324</v>
      </c>
      <c r="D11" s="38" t="s">
        <v>1326</v>
      </c>
      <c r="E11" s="76"/>
      <c r="F11" s="40" t="s">
        <v>55</v>
      </c>
      <c r="G11" s="34" t="s">
        <v>108</v>
      </c>
      <c r="H11" s="43" t="s">
        <v>41</v>
      </c>
      <c r="I11" s="34" t="s">
        <v>49</v>
      </c>
      <c r="J11" s="39">
        <v>350000.0</v>
      </c>
      <c r="K11" s="39">
        <v>350000.0</v>
      </c>
      <c r="L11" s="41"/>
      <c r="M11" s="42">
        <v>350000.0</v>
      </c>
      <c r="N11" s="42">
        <v>350000.0</v>
      </c>
      <c r="O11" s="60"/>
      <c r="P11" s="39">
        <v>350000.0</v>
      </c>
      <c r="Q11" s="39">
        <v>350000.0</v>
      </c>
      <c r="R11" s="39">
        <v>500.0</v>
      </c>
      <c r="S11" s="46">
        <v>0.67</v>
      </c>
      <c r="T11" s="50">
        <f>IFERROR(__xludf.DUMMYFUNCTION("((IFERROR(MIN(FILTER({L11, O11, R11}, ISNUMBER({L11, O11, R11}), {L11, O11, R11} &gt; 0)), """"))*S11)+IFERROR(MIN(FILTER({L11, O11, R11}, ISNUMBER({L11, O11, R11}), {L11, O11, R11} &gt; 0)), """")"),835.0)</f>
        <v>835</v>
      </c>
      <c r="U11" s="53">
        <f>IFERROR(__xludf.DUMMYFUNCTION("(T11-(IFERROR(MIN(FILTER({L11, O11, R11}, ISNUMBER({L11, O11, R11}), {L11, O11, R11} &gt; 0)), """")))/T11"),0.40119760479041916)</f>
        <v>0.4011976048</v>
      </c>
    </row>
    <row r="12" ht="22.5" customHeight="1">
      <c r="A12" s="34" t="s">
        <v>1330</v>
      </c>
      <c r="B12" s="34" t="s">
        <v>1331</v>
      </c>
      <c r="C12" s="37" t="s">
        <v>128</v>
      </c>
      <c r="D12" s="38" t="s">
        <v>1332</v>
      </c>
      <c r="E12" s="76"/>
      <c r="F12" s="40" t="s">
        <v>63</v>
      </c>
      <c r="G12" s="34" t="s">
        <v>67</v>
      </c>
      <c r="H12" s="43" t="s">
        <v>41</v>
      </c>
      <c r="I12" s="34" t="s">
        <v>1333</v>
      </c>
      <c r="J12" s="39">
        <v>2000.0</v>
      </c>
      <c r="K12" s="39">
        <v>2000.0</v>
      </c>
      <c r="L12" s="41"/>
      <c r="M12" s="42">
        <v>2000.0</v>
      </c>
      <c r="N12" s="42">
        <v>2000.0</v>
      </c>
      <c r="O12" s="42">
        <v>1478.0</v>
      </c>
      <c r="P12" s="39">
        <v>2000.0</v>
      </c>
      <c r="Q12" s="39">
        <v>2000.0</v>
      </c>
      <c r="R12" s="39"/>
      <c r="S12" s="46">
        <v>0.67</v>
      </c>
      <c r="T12" s="50">
        <f>IFERROR(__xludf.DUMMYFUNCTION("((IFERROR(MIN(FILTER({L12, O12, R12}, ISNUMBER({L12, O12, R12}), {L12, O12, R12} &gt; 0)), """"))*S12)+IFERROR(MIN(FILTER({L12, O12, R12}, ISNUMBER({L12, O12, R12}), {L12, O12, R12} &gt; 0)), """")"),2468.26)</f>
        <v>2468.26</v>
      </c>
      <c r="U12" s="53">
        <f>IFERROR(__xludf.DUMMYFUNCTION("(T12-(IFERROR(MIN(FILTER({L12, O12, R12}, ISNUMBER({L12, O12, R12}), {L12, O12, R12} &gt; 0)), """")))/T12"),0.4011976047904192)</f>
        <v>0.4011976048</v>
      </c>
    </row>
    <row r="13" ht="22.5" customHeight="1">
      <c r="A13" s="34" t="s">
        <v>1330</v>
      </c>
      <c r="B13" s="34" t="s">
        <v>1331</v>
      </c>
      <c r="C13" s="37" t="s">
        <v>128</v>
      </c>
      <c r="D13" s="38" t="s">
        <v>1332</v>
      </c>
      <c r="E13" s="76"/>
      <c r="F13" s="40" t="s">
        <v>63</v>
      </c>
      <c r="G13" s="34" t="s">
        <v>67</v>
      </c>
      <c r="H13" s="43" t="s">
        <v>41</v>
      </c>
      <c r="I13" s="34" t="s">
        <v>1333</v>
      </c>
      <c r="J13" s="39">
        <v>5000.0</v>
      </c>
      <c r="K13" s="39">
        <v>5000.0</v>
      </c>
      <c r="L13" s="41"/>
      <c r="M13" s="42">
        <v>5000.0</v>
      </c>
      <c r="N13" s="42">
        <v>5000.0</v>
      </c>
      <c r="O13" s="42">
        <v>1084.0</v>
      </c>
      <c r="P13" s="39">
        <v>5000.0</v>
      </c>
      <c r="Q13" s="39">
        <v>5000.0</v>
      </c>
      <c r="R13" s="39"/>
      <c r="S13" s="46">
        <v>0.67</v>
      </c>
      <c r="T13" s="50">
        <f>IFERROR(__xludf.DUMMYFUNCTION("((IFERROR(MIN(FILTER({L13, O13, R13}, ISNUMBER({L13, O13, R13}), {L13, O13, R13} &gt; 0)), """"))*S13)+IFERROR(MIN(FILTER({L13, O13, R13}, ISNUMBER({L13, O13, R13}), {L13, O13, R13} &gt; 0)), """")"),1810.2800000000002)</f>
        <v>1810.28</v>
      </c>
      <c r="U13" s="53">
        <f>IFERROR(__xludf.DUMMYFUNCTION("(T13-(IFERROR(MIN(FILTER({L13, O13, R13}, ISNUMBER({L13, O13, R13}), {L13, O13, R13} &gt; 0)), """")))/T13"),0.4011976047904192)</f>
        <v>0.4011976048</v>
      </c>
    </row>
    <row r="14" ht="22.5" customHeight="1">
      <c r="A14" s="34" t="s">
        <v>1330</v>
      </c>
      <c r="B14" s="34" t="s">
        <v>1331</v>
      </c>
      <c r="C14" s="37" t="s">
        <v>128</v>
      </c>
      <c r="D14" s="38" t="s">
        <v>1332</v>
      </c>
      <c r="E14" s="76"/>
      <c r="F14" s="40" t="s">
        <v>63</v>
      </c>
      <c r="G14" s="34" t="s">
        <v>67</v>
      </c>
      <c r="H14" s="43" t="s">
        <v>41</v>
      </c>
      <c r="I14" s="34" t="s">
        <v>1333</v>
      </c>
      <c r="J14" s="39">
        <v>5500.0</v>
      </c>
      <c r="K14" s="39">
        <v>5500.0</v>
      </c>
      <c r="L14" s="41"/>
      <c r="M14" s="42">
        <v>5500.0</v>
      </c>
      <c r="N14" s="42">
        <v>5500.0</v>
      </c>
      <c r="O14" s="42">
        <v>1025.0</v>
      </c>
      <c r="P14" s="39">
        <v>5500.0</v>
      </c>
      <c r="Q14" s="39">
        <v>5500.0</v>
      </c>
      <c r="R14" s="39"/>
      <c r="S14" s="46">
        <v>0.67</v>
      </c>
      <c r="T14" s="50">
        <f>IFERROR(__xludf.DUMMYFUNCTION("((IFERROR(MIN(FILTER({L14, O14, R14}, ISNUMBER({L14, O14, R14}), {L14, O14, R14} &gt; 0)), """"))*S14)+IFERROR(MIN(FILTER({L14, O14, R14}, ISNUMBER({L14, O14, R14}), {L14, O14, R14} &gt; 0)), """")"),1711.75)</f>
        <v>1711.75</v>
      </c>
      <c r="U14" s="53">
        <f>IFERROR(__xludf.DUMMYFUNCTION("(T14-(IFERROR(MIN(FILTER({L14, O14, R14}, ISNUMBER({L14, O14, R14}), {L14, O14, R14} &gt; 0)), """")))/T14"),0.40119760479041916)</f>
        <v>0.4011976048</v>
      </c>
    </row>
    <row r="15" ht="22.5" customHeight="1">
      <c r="A15" s="34" t="s">
        <v>1330</v>
      </c>
      <c r="B15" s="34" t="s">
        <v>1331</v>
      </c>
      <c r="C15" s="37" t="s">
        <v>128</v>
      </c>
      <c r="D15" s="38" t="s">
        <v>1332</v>
      </c>
      <c r="E15" s="76"/>
      <c r="F15" s="40" t="s">
        <v>63</v>
      </c>
      <c r="G15" s="34" t="s">
        <v>67</v>
      </c>
      <c r="H15" s="43" t="s">
        <v>41</v>
      </c>
      <c r="I15" s="34" t="s">
        <v>979</v>
      </c>
      <c r="J15" s="39">
        <v>2000.0</v>
      </c>
      <c r="K15" s="39">
        <v>2000.0</v>
      </c>
      <c r="L15" s="41"/>
      <c r="M15" s="42">
        <v>2000.0</v>
      </c>
      <c r="N15" s="42">
        <v>2000.0</v>
      </c>
      <c r="O15" s="42">
        <v>1693.0</v>
      </c>
      <c r="P15" s="39">
        <v>2000.0</v>
      </c>
      <c r="Q15" s="39">
        <v>2000.0</v>
      </c>
      <c r="R15" s="39"/>
      <c r="S15" s="46">
        <v>0.67</v>
      </c>
      <c r="T15" s="50">
        <f>IFERROR(__xludf.DUMMYFUNCTION("((IFERROR(MIN(FILTER({L15, O15, R15}, ISNUMBER({L15, O15, R15}), {L15, O15, R15} &gt; 0)), """"))*S15)+IFERROR(MIN(FILTER({L15, O15, R15}, ISNUMBER({L15, O15, R15}), {L15, O15, R15} &gt; 0)), """")"),2827.3100000000004)</f>
        <v>2827.31</v>
      </c>
      <c r="U15" s="53">
        <f>IFERROR(__xludf.DUMMYFUNCTION("(T15-(IFERROR(MIN(FILTER({L15, O15, R15}, ISNUMBER({L15, O15, R15}), {L15, O15, R15} &gt; 0)), """")))/T15"),0.40119760479041927)</f>
        <v>0.4011976048</v>
      </c>
    </row>
    <row r="16" ht="22.5" customHeight="1">
      <c r="A16" s="34" t="s">
        <v>1330</v>
      </c>
      <c r="B16" s="34" t="s">
        <v>1331</v>
      </c>
      <c r="C16" s="37" t="s">
        <v>128</v>
      </c>
      <c r="D16" s="38" t="s">
        <v>1332</v>
      </c>
      <c r="E16" s="76"/>
      <c r="F16" s="40" t="s">
        <v>63</v>
      </c>
      <c r="G16" s="34" t="s">
        <v>67</v>
      </c>
      <c r="H16" s="43" t="s">
        <v>41</v>
      </c>
      <c r="I16" s="34" t="s">
        <v>979</v>
      </c>
      <c r="J16" s="39">
        <v>5000.0</v>
      </c>
      <c r="K16" s="39">
        <v>5000.0</v>
      </c>
      <c r="L16" s="41"/>
      <c r="M16" s="42">
        <v>5000.0</v>
      </c>
      <c r="N16" s="42">
        <v>5000.0</v>
      </c>
      <c r="O16" s="42">
        <v>1290.0</v>
      </c>
      <c r="P16" s="39">
        <v>5000.0</v>
      </c>
      <c r="Q16" s="39">
        <v>5000.0</v>
      </c>
      <c r="R16" s="39"/>
      <c r="S16" s="46">
        <v>0.67</v>
      </c>
      <c r="T16" s="50">
        <f>IFERROR(__xludf.DUMMYFUNCTION("((IFERROR(MIN(FILTER({L16, O16, R16}, ISNUMBER({L16, O16, R16}), {L16, O16, R16} &gt; 0)), """"))*S16)+IFERROR(MIN(FILTER({L16, O16, R16}, ISNUMBER({L16, O16, R16}), {L16, O16, R16} &gt; 0)), """")"),2154.3)</f>
        <v>2154.3</v>
      </c>
      <c r="U16" s="53">
        <f>IFERROR(__xludf.DUMMYFUNCTION("(T16-(IFERROR(MIN(FILTER({L16, O16, R16}, ISNUMBER({L16, O16, R16}), {L16, O16, R16} &gt; 0)), """")))/T16"),0.4011976047904192)</f>
        <v>0.4011976048</v>
      </c>
    </row>
    <row r="17" ht="22.5" customHeight="1">
      <c r="A17" s="34" t="s">
        <v>1330</v>
      </c>
      <c r="B17" s="34" t="s">
        <v>1331</v>
      </c>
      <c r="C17" s="37" t="s">
        <v>128</v>
      </c>
      <c r="D17" s="38" t="s">
        <v>1332</v>
      </c>
      <c r="E17" s="76"/>
      <c r="F17" s="40" t="s">
        <v>63</v>
      </c>
      <c r="G17" s="34" t="s">
        <v>67</v>
      </c>
      <c r="H17" s="43" t="s">
        <v>41</v>
      </c>
      <c r="I17" s="34" t="s">
        <v>979</v>
      </c>
      <c r="J17" s="39">
        <v>5500.0</v>
      </c>
      <c r="K17" s="39">
        <v>5500.0</v>
      </c>
      <c r="L17" s="41"/>
      <c r="M17" s="42">
        <v>5500.0</v>
      </c>
      <c r="N17" s="42">
        <v>5500.0</v>
      </c>
      <c r="O17" s="42">
        <v>1229.0</v>
      </c>
      <c r="P17" s="39">
        <v>5500.0</v>
      </c>
      <c r="Q17" s="39">
        <v>5500.0</v>
      </c>
      <c r="R17" s="39"/>
      <c r="S17" s="46">
        <v>0.67</v>
      </c>
      <c r="T17" s="50">
        <f>IFERROR(__xludf.DUMMYFUNCTION("((IFERROR(MIN(FILTER({L17, O17, R17}, ISNUMBER({L17, O17, R17}), {L17, O17, R17} &gt; 0)), """"))*S17)+IFERROR(MIN(FILTER({L17, O17, R17}, ISNUMBER({L17, O17, R17}), {L17, O17, R17} &gt; 0)), """")"),2052.4300000000003)</f>
        <v>2052.43</v>
      </c>
      <c r="U17" s="53">
        <f>IFERROR(__xludf.DUMMYFUNCTION("(T17-(IFERROR(MIN(FILTER({L17, O17, R17}, ISNUMBER({L17, O17, R17}), {L17, O17, R17} &gt; 0)), """")))/T17"),0.40119760479041927)</f>
        <v>0.4011976048</v>
      </c>
    </row>
    <row r="18" ht="22.5" customHeight="1">
      <c r="A18" s="34" t="s">
        <v>104</v>
      </c>
      <c r="B18" s="34" t="s">
        <v>1313</v>
      </c>
      <c r="C18" s="37" t="s">
        <v>1360</v>
      </c>
      <c r="D18" s="38" t="s">
        <v>1315</v>
      </c>
      <c r="E18" s="76"/>
      <c r="F18" s="40" t="s">
        <v>63</v>
      </c>
      <c r="G18" s="34" t="s">
        <v>67</v>
      </c>
      <c r="H18" s="43" t="s">
        <v>41</v>
      </c>
      <c r="I18" s="34" t="s">
        <v>49</v>
      </c>
      <c r="J18" s="39">
        <v>5000.0</v>
      </c>
      <c r="K18" s="39">
        <v>5000.0</v>
      </c>
      <c r="L18" s="41"/>
      <c r="M18" s="42">
        <v>5000.0</v>
      </c>
      <c r="N18" s="42">
        <v>5000.0</v>
      </c>
      <c r="O18" s="42">
        <v>200.0</v>
      </c>
      <c r="P18" s="39">
        <v>5000.0</v>
      </c>
      <c r="Q18" s="39">
        <v>5000.0</v>
      </c>
      <c r="R18" s="39"/>
      <c r="S18" s="46">
        <v>0.67</v>
      </c>
      <c r="T18" s="50">
        <f>IFERROR(__xludf.DUMMYFUNCTION("((IFERROR(MIN(FILTER({L18, O18, R18}, ISNUMBER({L18, O18, R18}), {L18, O18, R18} &gt; 0)), """"))*S18)+IFERROR(MIN(FILTER({L18, O18, R18}, ISNUMBER({L18, O18, R18}), {L18, O18, R18} &gt; 0)), """")"),334.0)</f>
        <v>334</v>
      </c>
      <c r="U18" s="53">
        <f>IFERROR(__xludf.DUMMYFUNCTION("(T18-(IFERROR(MIN(FILTER({L18, O18, R18}, ISNUMBER({L18, O18, R18}), {L18, O18, R18} &gt; 0)), """")))/T18"),0.40119760479041916)</f>
        <v>0.4011976048</v>
      </c>
    </row>
    <row r="19" ht="22.5" customHeight="1">
      <c r="A19" s="34" t="s">
        <v>104</v>
      </c>
      <c r="B19" s="34" t="s">
        <v>1313</v>
      </c>
      <c r="C19" s="37" t="s">
        <v>1314</v>
      </c>
      <c r="D19" s="38" t="s">
        <v>1315</v>
      </c>
      <c r="E19" s="76"/>
      <c r="F19" s="40" t="s">
        <v>63</v>
      </c>
      <c r="G19" s="34" t="s">
        <v>67</v>
      </c>
      <c r="H19" s="43" t="s">
        <v>41</v>
      </c>
      <c r="I19" s="34" t="s">
        <v>49</v>
      </c>
      <c r="J19" s="39">
        <v>5000.0</v>
      </c>
      <c r="K19" s="39">
        <v>5000.0</v>
      </c>
      <c r="L19" s="41"/>
      <c r="M19" s="42">
        <v>5000.0</v>
      </c>
      <c r="N19" s="42">
        <v>5000.0</v>
      </c>
      <c r="O19" s="42">
        <v>210.0</v>
      </c>
      <c r="P19" s="39">
        <v>5000.0</v>
      </c>
      <c r="Q19" s="39">
        <v>5000.0</v>
      </c>
      <c r="R19" s="39"/>
      <c r="S19" s="46">
        <v>0.67</v>
      </c>
      <c r="T19" s="50">
        <f>IFERROR(__xludf.DUMMYFUNCTION("((IFERROR(MIN(FILTER({L19, O19, R19}, ISNUMBER({L19, O19, R19}), {L19, O19, R19} &gt; 0)), """"))*S19)+IFERROR(MIN(FILTER({L19, O19, R19}, ISNUMBER({L19, O19, R19}), {L19, O19, R19} &gt; 0)), """")"),350.70000000000005)</f>
        <v>350.7</v>
      </c>
      <c r="U19" s="53">
        <f>IFERROR(__xludf.DUMMYFUNCTION("(T19-(IFERROR(MIN(FILTER({L19, O19, R19}, ISNUMBER({L19, O19, R19}), {L19, O19, R19} &gt; 0)), """")))/T19"),0.4011976047904192)</f>
        <v>0.4011976048</v>
      </c>
    </row>
    <row r="20" ht="22.5" customHeight="1">
      <c r="A20" s="34" t="s">
        <v>104</v>
      </c>
      <c r="B20" s="34" t="s">
        <v>1371</v>
      </c>
      <c r="C20" s="37" t="s">
        <v>1372</v>
      </c>
      <c r="D20" s="38" t="s">
        <v>1373</v>
      </c>
      <c r="E20" s="76"/>
      <c r="F20" s="40"/>
      <c r="G20" s="34" t="s">
        <v>1374</v>
      </c>
      <c r="H20" s="43" t="s">
        <v>41</v>
      </c>
      <c r="I20" s="34" t="s">
        <v>1375</v>
      </c>
      <c r="J20" s="39">
        <v>3000.0</v>
      </c>
      <c r="K20" s="39">
        <v>3000.0</v>
      </c>
      <c r="L20" s="41"/>
      <c r="M20" s="42">
        <v>3000.0</v>
      </c>
      <c r="N20" s="42">
        <v>3000.0</v>
      </c>
      <c r="O20" s="42">
        <v>753.0</v>
      </c>
      <c r="P20" s="39">
        <v>3000.0</v>
      </c>
      <c r="Q20" s="39">
        <v>3000.0</v>
      </c>
      <c r="R20" s="39"/>
      <c r="S20" s="46">
        <v>0.67</v>
      </c>
      <c r="T20" s="50">
        <f>IFERROR(__xludf.DUMMYFUNCTION("((IFERROR(MIN(FILTER({L20, O20, R20}, ISNUMBER({L20, O20, R20}), {L20, O20, R20} &gt; 0)), """"))*S20)+IFERROR(MIN(FILTER({L20, O20, R20}, ISNUMBER({L20, O20, R20}), {L20, O20, R20} &gt; 0)), """")"),1257.51)</f>
        <v>1257.51</v>
      </c>
      <c r="U20" s="53">
        <f>IFERROR(__xludf.DUMMYFUNCTION("(T20-(IFERROR(MIN(FILTER({L20, O20, R20}, ISNUMBER({L20, O20, R20}), {L20, O20, R20} &gt; 0)), """")))/T20"),0.40119760479041916)</f>
        <v>0.4011976048</v>
      </c>
    </row>
    <row r="21" ht="22.5" customHeight="1">
      <c r="A21" s="34" t="s">
        <v>104</v>
      </c>
      <c r="B21" s="34" t="s">
        <v>1371</v>
      </c>
      <c r="C21" s="37" t="s">
        <v>1372</v>
      </c>
      <c r="D21" s="38" t="s">
        <v>1373</v>
      </c>
      <c r="E21" s="76"/>
      <c r="F21" s="40"/>
      <c r="G21" s="34" t="s">
        <v>1374</v>
      </c>
      <c r="H21" s="43" t="s">
        <v>41</v>
      </c>
      <c r="I21" s="34" t="s">
        <v>1375</v>
      </c>
      <c r="J21" s="39">
        <v>5000.0</v>
      </c>
      <c r="K21" s="39">
        <v>5000.0</v>
      </c>
      <c r="L21" s="41"/>
      <c r="M21" s="42">
        <v>5000.0</v>
      </c>
      <c r="N21" s="42">
        <v>5000.0</v>
      </c>
      <c r="O21" s="42">
        <v>627.0</v>
      </c>
      <c r="P21" s="39">
        <v>5000.0</v>
      </c>
      <c r="Q21" s="39">
        <v>5000.0</v>
      </c>
      <c r="R21" s="39"/>
      <c r="S21" s="46">
        <v>0.67</v>
      </c>
      <c r="T21" s="50">
        <f>IFERROR(__xludf.DUMMYFUNCTION("((IFERROR(MIN(FILTER({L21, O21, R21}, ISNUMBER({L21, O21, R21}), {L21, O21, R21} &gt; 0)), """"))*S21)+IFERROR(MIN(FILTER({L21, O21, R21}, ISNUMBER({L21, O21, R21}), {L21, O21, R21} &gt; 0)), """")"),1047.0900000000001)</f>
        <v>1047.09</v>
      </c>
      <c r="U21" s="53">
        <f>IFERROR(__xludf.DUMMYFUNCTION("(T21-(IFERROR(MIN(FILTER({L21, O21, R21}, ISNUMBER({L21, O21, R21}), {L21, O21, R21} &gt; 0)), """")))/T21"),0.40119760479041927)</f>
        <v>0.4011976048</v>
      </c>
    </row>
    <row r="22" ht="22.5" customHeight="1">
      <c r="A22" s="34" t="s">
        <v>104</v>
      </c>
      <c r="B22" s="34" t="s">
        <v>1371</v>
      </c>
      <c r="C22" s="37" t="s">
        <v>1372</v>
      </c>
      <c r="D22" s="38" t="s">
        <v>1385</v>
      </c>
      <c r="E22" s="76"/>
      <c r="F22" s="40"/>
      <c r="G22" s="34" t="s">
        <v>1374</v>
      </c>
      <c r="H22" s="43" t="s">
        <v>41</v>
      </c>
      <c r="I22" s="34" t="s">
        <v>1375</v>
      </c>
      <c r="J22" s="39">
        <v>3000.0</v>
      </c>
      <c r="K22" s="39">
        <v>3000.0</v>
      </c>
      <c r="L22" s="41"/>
      <c r="M22" s="42">
        <v>3000.0</v>
      </c>
      <c r="N22" s="42">
        <v>3000.0</v>
      </c>
      <c r="O22" s="42">
        <v>498.0</v>
      </c>
      <c r="P22" s="39">
        <v>3000.0</v>
      </c>
      <c r="Q22" s="39">
        <v>3000.0</v>
      </c>
      <c r="R22" s="39"/>
      <c r="S22" s="46">
        <v>0.67</v>
      </c>
      <c r="T22" s="50">
        <f>IFERROR(__xludf.DUMMYFUNCTION("((IFERROR(MIN(FILTER({L22, O22, R22}, ISNUMBER({L22, O22, R22}), {L22, O22, R22} &gt; 0)), """"))*S22)+IFERROR(MIN(FILTER({L22, O22, R22}, ISNUMBER({L22, O22, R22}), {L22, O22, R22} &gt; 0)), """")"),831.6600000000001)</f>
        <v>831.66</v>
      </c>
      <c r="U22" s="53">
        <f>IFERROR(__xludf.DUMMYFUNCTION("(T22-(IFERROR(MIN(FILTER({L22, O22, R22}, ISNUMBER({L22, O22, R22}), {L22, O22, R22} &gt; 0)), """")))/T22"),0.4011976047904192)</f>
        <v>0.4011976048</v>
      </c>
    </row>
    <row r="23" ht="22.5" customHeight="1">
      <c r="A23" s="34" t="s">
        <v>104</v>
      </c>
      <c r="B23" s="34" t="s">
        <v>1371</v>
      </c>
      <c r="C23" s="37" t="s">
        <v>1372</v>
      </c>
      <c r="D23" s="38" t="s">
        <v>1385</v>
      </c>
      <c r="E23" s="76"/>
      <c r="F23" s="40"/>
      <c r="G23" s="34" t="s">
        <v>1374</v>
      </c>
      <c r="H23" s="43" t="s">
        <v>41</v>
      </c>
      <c r="I23" s="34" t="s">
        <v>1375</v>
      </c>
      <c r="J23" s="39">
        <v>5000.0</v>
      </c>
      <c r="K23" s="39">
        <v>5000.0</v>
      </c>
      <c r="L23" s="41"/>
      <c r="M23" s="42">
        <v>5000.0</v>
      </c>
      <c r="N23" s="42">
        <v>5000.0</v>
      </c>
      <c r="O23" s="42">
        <v>426.0</v>
      </c>
      <c r="P23" s="39">
        <v>5000.0</v>
      </c>
      <c r="Q23" s="39">
        <v>5000.0</v>
      </c>
      <c r="R23" s="39"/>
      <c r="S23" s="46">
        <v>0.67</v>
      </c>
      <c r="T23" s="50">
        <f>IFERROR(__xludf.DUMMYFUNCTION("((IFERROR(MIN(FILTER({L23, O23, R23}, ISNUMBER({L23, O23, R23}), {L23, O23, R23} &gt; 0)), """"))*S23)+IFERROR(MIN(FILTER({L23, O23, R23}, ISNUMBER({L23, O23, R23}), {L23, O23, R23} &gt; 0)), """")"),711.4200000000001)</f>
        <v>711.42</v>
      </c>
      <c r="U23" s="53">
        <f>IFERROR(__xludf.DUMMYFUNCTION("(T23-(IFERROR(MIN(FILTER({L23, O23, R23}, ISNUMBER({L23, O23, R23}), {L23, O23, R23} &gt; 0)), """")))/T23"),0.4011976047904192)</f>
        <v>0.4011976048</v>
      </c>
    </row>
    <row r="24" ht="22.5" customHeight="1">
      <c r="A24" s="34" t="s">
        <v>104</v>
      </c>
      <c r="B24" s="34" t="s">
        <v>1371</v>
      </c>
      <c r="C24" s="37" t="s">
        <v>1372</v>
      </c>
      <c r="D24" s="38" t="s">
        <v>1394</v>
      </c>
      <c r="E24" s="76"/>
      <c r="F24" s="40"/>
      <c r="G24" s="34" t="s">
        <v>1374</v>
      </c>
      <c r="H24" s="43" t="s">
        <v>41</v>
      </c>
      <c r="I24" s="34" t="s">
        <v>1375</v>
      </c>
      <c r="J24" s="39">
        <v>3000.0</v>
      </c>
      <c r="K24" s="39">
        <v>3000.0</v>
      </c>
      <c r="L24" s="41"/>
      <c r="M24" s="42">
        <v>3000.0</v>
      </c>
      <c r="N24" s="42">
        <v>3000.0</v>
      </c>
      <c r="O24" s="42">
        <v>585.0</v>
      </c>
      <c r="P24" s="39">
        <v>3000.0</v>
      </c>
      <c r="Q24" s="39">
        <v>3000.0</v>
      </c>
      <c r="R24" s="39"/>
      <c r="S24" s="46">
        <v>0.67</v>
      </c>
      <c r="T24" s="50">
        <f>IFERROR(__xludf.DUMMYFUNCTION("((IFERROR(MIN(FILTER({L24, O24, R24}, ISNUMBER({L24, O24, R24}), {L24, O24, R24} &gt; 0)), """"))*S24)+IFERROR(MIN(FILTER({L24, O24, R24}, ISNUMBER({L24, O24, R24}), {L24, O24, R24} &gt; 0)), """")"),976.95)</f>
        <v>976.95</v>
      </c>
      <c r="U24" s="53">
        <f>IFERROR(__xludf.DUMMYFUNCTION("(T24-(IFERROR(MIN(FILTER({L24, O24, R24}, ISNUMBER({L24, O24, R24}), {L24, O24, R24} &gt; 0)), """")))/T24"),0.4011976047904192)</f>
        <v>0.4011976048</v>
      </c>
    </row>
    <row r="25" ht="22.5" customHeight="1">
      <c r="A25" s="34" t="s">
        <v>104</v>
      </c>
      <c r="B25" s="34" t="s">
        <v>1371</v>
      </c>
      <c r="C25" s="37" t="s">
        <v>1372</v>
      </c>
      <c r="D25" s="38" t="s">
        <v>1394</v>
      </c>
      <c r="E25" s="76"/>
      <c r="F25" s="40"/>
      <c r="G25" s="34" t="s">
        <v>1374</v>
      </c>
      <c r="H25" s="43" t="s">
        <v>41</v>
      </c>
      <c r="I25" s="34" t="s">
        <v>1375</v>
      </c>
      <c r="J25" s="39">
        <v>5000.0</v>
      </c>
      <c r="K25" s="39">
        <v>5000.0</v>
      </c>
      <c r="L25" s="41"/>
      <c r="M25" s="42">
        <v>5000.0</v>
      </c>
      <c r="N25" s="42">
        <v>5000.0</v>
      </c>
      <c r="O25" s="42">
        <v>483.0</v>
      </c>
      <c r="P25" s="39">
        <v>5000.0</v>
      </c>
      <c r="Q25" s="39">
        <v>5000.0</v>
      </c>
      <c r="R25" s="39"/>
      <c r="S25" s="46">
        <v>0.67</v>
      </c>
      <c r="T25" s="50">
        <f>IFERROR(__xludf.DUMMYFUNCTION("((IFERROR(MIN(FILTER({L25, O25, R25}, ISNUMBER({L25, O25, R25}), {L25, O25, R25} &gt; 0)), """"))*S25)+IFERROR(MIN(FILTER({L25, O25, R25}, ISNUMBER({L25, O25, R25}), {L25, O25, R25} &gt; 0)), """")"),806.61)</f>
        <v>806.61</v>
      </c>
      <c r="U25" s="53">
        <f>IFERROR(__xludf.DUMMYFUNCTION("(T25-(IFERROR(MIN(FILTER({L25, O25, R25}, ISNUMBER({L25, O25, R25}), {L25, O25, R25} &gt; 0)), """")))/T25"),0.40119760479041916)</f>
        <v>0.4011976048</v>
      </c>
    </row>
    <row r="26" ht="22.5" customHeight="1">
      <c r="A26" s="34" t="s">
        <v>341</v>
      </c>
      <c r="B26" s="34" t="s">
        <v>1400</v>
      </c>
      <c r="C26" s="37" t="s">
        <v>106</v>
      </c>
      <c r="D26" s="38" t="s">
        <v>1401</v>
      </c>
      <c r="E26" s="76"/>
      <c r="F26" s="40" t="s">
        <v>36</v>
      </c>
      <c r="G26" s="34" t="s">
        <v>329</v>
      </c>
      <c r="H26" s="43" t="s">
        <v>41</v>
      </c>
      <c r="I26" s="34" t="s">
        <v>453</v>
      </c>
      <c r="J26" s="39">
        <v>5000.0</v>
      </c>
      <c r="K26" s="39">
        <v>5000.0</v>
      </c>
      <c r="L26" s="41"/>
      <c r="M26" s="42">
        <v>5000.0</v>
      </c>
      <c r="N26" s="42">
        <v>5000.0</v>
      </c>
      <c r="O26" s="42">
        <v>1361.0</v>
      </c>
      <c r="P26" s="39">
        <v>5000.0</v>
      </c>
      <c r="Q26" s="39">
        <v>5000.0</v>
      </c>
      <c r="R26" s="39"/>
      <c r="S26" s="46">
        <v>0.67</v>
      </c>
      <c r="T26" s="50">
        <f>IFERROR(__xludf.DUMMYFUNCTION("((IFERROR(MIN(FILTER({L26, O26, R26}, ISNUMBER({L26, O26, R26}), {L26, O26, R26} &gt; 0)), """"))*S26)+IFERROR(MIN(FILTER({L26, O26, R26}, ISNUMBER({L26, O26, R26}), {L26, O26, R26} &gt; 0)), """")"),2272.87)</f>
        <v>2272.87</v>
      </c>
      <c r="U26" s="53">
        <f>IFERROR(__xludf.DUMMYFUNCTION("(T26-(IFERROR(MIN(FILTER({L26, O26, R26}, ISNUMBER({L26, O26, R26}), {L26, O26, R26} &gt; 0)), """")))/T26"),0.40119760479041916)</f>
        <v>0.4011976048</v>
      </c>
    </row>
    <row r="27" ht="22.5" customHeight="1">
      <c r="A27" s="34" t="s">
        <v>104</v>
      </c>
      <c r="B27" s="34" t="s">
        <v>1410</v>
      </c>
      <c r="C27" s="37" t="s">
        <v>1411</v>
      </c>
      <c r="D27" s="38" t="s">
        <v>1412</v>
      </c>
      <c r="E27" s="76"/>
      <c r="F27" s="40" t="s">
        <v>63</v>
      </c>
      <c r="G27" s="34"/>
      <c r="H27" s="43" t="s">
        <v>41</v>
      </c>
      <c r="I27" s="34" t="s">
        <v>1413</v>
      </c>
      <c r="J27" s="39">
        <v>5000.0</v>
      </c>
      <c r="K27" s="39">
        <v>5000.0</v>
      </c>
      <c r="L27" s="41"/>
      <c r="M27" s="42">
        <v>5000.0</v>
      </c>
      <c r="N27" s="42">
        <v>5000.0</v>
      </c>
      <c r="O27" s="42">
        <v>225.0</v>
      </c>
      <c r="P27" s="39">
        <v>5000.0</v>
      </c>
      <c r="Q27" s="39">
        <v>5000.0</v>
      </c>
      <c r="R27" s="39"/>
      <c r="S27" s="46">
        <v>0.67</v>
      </c>
      <c r="T27" s="50">
        <f>IFERROR(__xludf.DUMMYFUNCTION("((IFERROR(MIN(FILTER({L27, O27, R27}, ISNUMBER({L27, O27, R27}), {L27, O27, R27} &gt; 0)), """"))*S27)+IFERROR(MIN(FILTER({L27, O27, R27}, ISNUMBER({L27, O27, R27}), {L27, O27, R27} &gt; 0)), """")"),375.75)</f>
        <v>375.75</v>
      </c>
      <c r="U27" s="53">
        <f>IFERROR(__xludf.DUMMYFUNCTION("(T27-(IFERROR(MIN(FILTER({L27, O27, R27}, ISNUMBER({L27, O27, R27}), {L27, O27, R27} &gt; 0)), """")))/T27"),0.40119760479041916)</f>
        <v>0.4011976048</v>
      </c>
    </row>
    <row r="28" ht="22.5" customHeight="1">
      <c r="A28" s="34" t="s">
        <v>104</v>
      </c>
      <c r="B28" s="34" t="s">
        <v>1410</v>
      </c>
      <c r="C28" s="37" t="s">
        <v>1411</v>
      </c>
      <c r="D28" s="38" t="s">
        <v>1315</v>
      </c>
      <c r="E28" s="76"/>
      <c r="F28" s="40" t="s">
        <v>63</v>
      </c>
      <c r="G28" s="34"/>
      <c r="H28" s="43" t="s">
        <v>41</v>
      </c>
      <c r="I28" s="34" t="s">
        <v>1413</v>
      </c>
      <c r="J28" s="39">
        <v>5000.0</v>
      </c>
      <c r="K28" s="39">
        <v>5000.0</v>
      </c>
      <c r="L28" s="41"/>
      <c r="M28" s="42">
        <v>5000.0</v>
      </c>
      <c r="N28" s="42">
        <v>5000.0</v>
      </c>
      <c r="O28" s="42">
        <v>232.0</v>
      </c>
      <c r="P28" s="39">
        <v>5000.0</v>
      </c>
      <c r="Q28" s="39">
        <v>5000.0</v>
      </c>
      <c r="R28" s="39"/>
      <c r="S28" s="46">
        <v>0.67</v>
      </c>
      <c r="T28" s="50">
        <f>IFERROR(__xludf.DUMMYFUNCTION("((IFERROR(MIN(FILTER({L28, O28, R28}, ISNUMBER({L28, O28, R28}), {L28, O28, R28} &gt; 0)), """"))*S28)+IFERROR(MIN(FILTER({L28, O28, R28}, ISNUMBER({L28, O28, R28}), {L28, O28, R28} &gt; 0)), """")"),387.44)</f>
        <v>387.44</v>
      </c>
      <c r="U28" s="53">
        <f>IFERROR(__xludf.DUMMYFUNCTION("(T28-(IFERROR(MIN(FILTER({L28, O28, R28}, ISNUMBER({L28, O28, R28}), {L28, O28, R28} &gt; 0)), """")))/T28"),0.40119760479041916)</f>
        <v>0.4011976048</v>
      </c>
    </row>
    <row r="29" ht="22.5" customHeight="1">
      <c r="A29" s="34" t="s">
        <v>104</v>
      </c>
      <c r="B29" s="34" t="s">
        <v>1303</v>
      </c>
      <c r="C29" s="37" t="s">
        <v>1420</v>
      </c>
      <c r="D29" s="38" t="s">
        <v>1421</v>
      </c>
      <c r="E29" s="76"/>
      <c r="F29" s="40" t="s">
        <v>36</v>
      </c>
      <c r="G29" s="34" t="s">
        <v>1424</v>
      </c>
      <c r="H29" s="43" t="s">
        <v>41</v>
      </c>
      <c r="I29" s="34" t="s">
        <v>49</v>
      </c>
      <c r="J29" s="39">
        <v>12000.0</v>
      </c>
      <c r="K29" s="39">
        <v>12000.0</v>
      </c>
      <c r="L29" s="41"/>
      <c r="M29" s="42">
        <v>12000.0</v>
      </c>
      <c r="N29" s="42">
        <v>12000.0</v>
      </c>
      <c r="O29" s="42">
        <v>550.0</v>
      </c>
      <c r="P29" s="39">
        <v>12000.0</v>
      </c>
      <c r="Q29" s="39">
        <v>12000.0</v>
      </c>
      <c r="R29" s="39"/>
      <c r="S29" s="46">
        <v>0.67</v>
      </c>
      <c r="T29" s="50">
        <f>IFERROR(__xludf.DUMMYFUNCTION("((IFERROR(MIN(FILTER({L29, O29, R29}, ISNUMBER({L29, O29, R29}), {L29, O29, R29} &gt; 0)), """"))*S29)+IFERROR(MIN(FILTER({L29, O29, R29}, ISNUMBER({L29, O29, R29}), {L29, O29, R29} &gt; 0)), """")"),918.5)</f>
        <v>918.5</v>
      </c>
      <c r="U29" s="53">
        <f>IFERROR(__xludf.DUMMYFUNCTION("(T29-(IFERROR(MIN(FILTER({L29, O29, R29}, ISNUMBER({L29, O29, R29}), {L29, O29, R29} &gt; 0)), """")))/T29"),0.40119760479041916)</f>
        <v>0.4011976048</v>
      </c>
    </row>
    <row r="30" ht="22.5" customHeight="1">
      <c r="A30" s="34" t="s">
        <v>104</v>
      </c>
      <c r="B30" s="34" t="s">
        <v>1427</v>
      </c>
      <c r="C30" s="37" t="s">
        <v>1428</v>
      </c>
      <c r="D30" s="38" t="s">
        <v>1421</v>
      </c>
      <c r="E30" s="76"/>
      <c r="F30" s="40" t="s">
        <v>36</v>
      </c>
      <c r="G30" s="34" t="s">
        <v>1424</v>
      </c>
      <c r="H30" s="43" t="s">
        <v>41</v>
      </c>
      <c r="I30" s="34" t="s">
        <v>49</v>
      </c>
      <c r="J30" s="39">
        <v>12000.0</v>
      </c>
      <c r="K30" s="39">
        <v>12000.0</v>
      </c>
      <c r="L30" s="39"/>
      <c r="M30" s="42">
        <v>12000.0</v>
      </c>
      <c r="N30" s="42">
        <v>12000.0</v>
      </c>
      <c r="O30" s="42">
        <v>1436.0</v>
      </c>
      <c r="P30" s="39">
        <v>12000.0</v>
      </c>
      <c r="Q30" s="39">
        <v>12000.0</v>
      </c>
      <c r="R30" s="39"/>
      <c r="S30" s="46">
        <v>0.67</v>
      </c>
      <c r="T30" s="50">
        <f>IFERROR(__xludf.DUMMYFUNCTION("((IFERROR(MIN(FILTER({L30, O30, R30}, ISNUMBER({L30, O30, R30}), {L30, O30, R30} &gt; 0)), """"))*S30)+IFERROR(MIN(FILTER({L30, O30, R30}, ISNUMBER({L30, O30, R30}), {L30, O30, R30} &gt; 0)), """")"),2398.12)</f>
        <v>2398.12</v>
      </c>
      <c r="U30" s="53">
        <f>IFERROR(__xludf.DUMMYFUNCTION("(T30-(IFERROR(MIN(FILTER({L30, O30, R30}, ISNUMBER({L30, O30, R30}), {L30, O30, R30} &gt; 0)), """")))/T30"),0.40119760479041916)</f>
        <v>0.4011976048</v>
      </c>
    </row>
    <row r="31" ht="22.5" customHeight="1">
      <c r="A31" s="34" t="s">
        <v>557</v>
      </c>
      <c r="B31" s="34" t="s">
        <v>1430</v>
      </c>
      <c r="C31" s="37" t="s">
        <v>560</v>
      </c>
      <c r="D31" s="38" t="s">
        <v>1431</v>
      </c>
      <c r="E31" s="76"/>
      <c r="F31" s="40" t="s">
        <v>55</v>
      </c>
      <c r="G31" s="34" t="s">
        <v>1212</v>
      </c>
      <c r="H31" s="43" t="s">
        <v>41</v>
      </c>
      <c r="I31" s="34" t="s">
        <v>1120</v>
      </c>
      <c r="J31" s="39">
        <v>250.0</v>
      </c>
      <c r="K31" s="39">
        <v>250.0</v>
      </c>
      <c r="L31" s="41"/>
      <c r="M31" s="42">
        <v>250.0</v>
      </c>
      <c r="N31" s="42">
        <v>250.0</v>
      </c>
      <c r="O31" s="42">
        <v>11264.0</v>
      </c>
      <c r="P31" s="39">
        <v>250.0</v>
      </c>
      <c r="Q31" s="39">
        <v>250.0</v>
      </c>
      <c r="R31" s="39"/>
      <c r="S31" s="46">
        <v>0.67</v>
      </c>
      <c r="T31" s="50">
        <f>IFERROR(__xludf.DUMMYFUNCTION("((IFERROR(MIN(FILTER({L31, O31, R31}, ISNUMBER({L31, O31, R31}), {L31, O31, R31} &gt; 0)), """"))*S31)+IFERROR(MIN(FILTER({L31, O31, R31}, ISNUMBER({L31, O31, R31}), {L31, O31, R31} &gt; 0)), """")"),18810.88)</f>
        <v>18810.88</v>
      </c>
      <c r="U31" s="53">
        <f>IFERROR(__xludf.DUMMYFUNCTION("(T31-(IFERROR(MIN(FILTER({L31, O31, R31}, ISNUMBER({L31, O31, R31}), {L31, O31, R31} &gt; 0)), """")))/T31"),0.4011976047904192)</f>
        <v>0.4011976048</v>
      </c>
    </row>
    <row r="32" ht="22.5" customHeight="1">
      <c r="A32" s="34" t="s">
        <v>557</v>
      </c>
      <c r="B32" s="34" t="s">
        <v>1430</v>
      </c>
      <c r="C32" s="37" t="s">
        <v>560</v>
      </c>
      <c r="D32" s="38" t="s">
        <v>1431</v>
      </c>
      <c r="E32" s="76"/>
      <c r="F32" s="40" t="s">
        <v>55</v>
      </c>
      <c r="G32" s="34" t="s">
        <v>1212</v>
      </c>
      <c r="H32" s="43" t="s">
        <v>41</v>
      </c>
      <c r="I32" s="34" t="s">
        <v>1120</v>
      </c>
      <c r="J32" s="39">
        <v>500.0</v>
      </c>
      <c r="K32" s="39">
        <v>500.0</v>
      </c>
      <c r="L32" s="41"/>
      <c r="M32" s="42">
        <v>500.0</v>
      </c>
      <c r="N32" s="42">
        <v>500.0</v>
      </c>
      <c r="O32" s="42">
        <v>6352.0</v>
      </c>
      <c r="P32" s="39">
        <v>500.0</v>
      </c>
      <c r="Q32" s="39">
        <v>500.0</v>
      </c>
      <c r="R32" s="39"/>
      <c r="S32" s="46">
        <v>0.67</v>
      </c>
      <c r="T32" s="50">
        <f>IFERROR(__xludf.DUMMYFUNCTION("((IFERROR(MIN(FILTER({L32, O32, R32}, ISNUMBER({L32, O32, R32}), {L32, O32, R32} &gt; 0)), """"))*S32)+IFERROR(MIN(FILTER({L32, O32, R32}, ISNUMBER({L32, O32, R32}), {L32, O32, R32} &gt; 0)), """")"),10607.84)</f>
        <v>10607.84</v>
      </c>
      <c r="U32" s="53">
        <f>IFERROR(__xludf.DUMMYFUNCTION("(T32-(IFERROR(MIN(FILTER({L32, O32, R32}, ISNUMBER({L32, O32, R32}), {L32, O32, R32} &gt; 0)), """")))/T32"),0.40119760479041916)</f>
        <v>0.4011976048</v>
      </c>
    </row>
    <row r="33" ht="22.5" customHeight="1">
      <c r="A33" s="34" t="s">
        <v>557</v>
      </c>
      <c r="B33" s="34" t="s">
        <v>1430</v>
      </c>
      <c r="C33" s="37" t="s">
        <v>560</v>
      </c>
      <c r="D33" s="38" t="s">
        <v>1431</v>
      </c>
      <c r="E33" s="76"/>
      <c r="F33" s="40" t="s">
        <v>55</v>
      </c>
      <c r="G33" s="34" t="s">
        <v>1212</v>
      </c>
      <c r="H33" s="43" t="s">
        <v>41</v>
      </c>
      <c r="I33" s="34" t="s">
        <v>1120</v>
      </c>
      <c r="J33" s="39">
        <v>1000.0</v>
      </c>
      <c r="K33" s="39">
        <v>1000.0</v>
      </c>
      <c r="L33" s="41"/>
      <c r="M33" s="42">
        <v>1000.0</v>
      </c>
      <c r="N33" s="42">
        <v>1000.0</v>
      </c>
      <c r="O33" s="42">
        <v>3680.0</v>
      </c>
      <c r="P33" s="39">
        <v>1000.0</v>
      </c>
      <c r="Q33" s="39">
        <v>1000.0</v>
      </c>
      <c r="R33" s="39"/>
      <c r="S33" s="46">
        <v>0.67</v>
      </c>
      <c r="T33" s="50">
        <f>IFERROR(__xludf.DUMMYFUNCTION("((IFERROR(MIN(FILTER({L33, O33, R33}, ISNUMBER({L33, O33, R33}), {L33, O33, R33} &gt; 0)), """"))*S33)+IFERROR(MIN(FILTER({L33, O33, R33}, ISNUMBER({L33, O33, R33}), {L33, O33, R33} &gt; 0)), """")"),6145.6)</f>
        <v>6145.6</v>
      </c>
      <c r="U33" s="53">
        <f>IFERROR(__xludf.DUMMYFUNCTION("(T33-(IFERROR(MIN(FILTER({L33, O33, R33}, ISNUMBER({L33, O33, R33}), {L33, O33, R33} &gt; 0)), """")))/T33"),0.4011976047904192)</f>
        <v>0.4011976048</v>
      </c>
    </row>
    <row r="34" ht="22.5" customHeight="1">
      <c r="A34" s="34" t="s">
        <v>557</v>
      </c>
      <c r="B34" s="34" t="s">
        <v>1436</v>
      </c>
      <c r="C34" s="37" t="s">
        <v>560</v>
      </c>
      <c r="D34" s="38" t="s">
        <v>1437</v>
      </c>
      <c r="E34" s="76"/>
      <c r="F34" s="40" t="s">
        <v>63</v>
      </c>
      <c r="G34" s="34" t="s">
        <v>1212</v>
      </c>
      <c r="H34" s="43" t="s">
        <v>41</v>
      </c>
      <c r="I34" s="34" t="s">
        <v>1120</v>
      </c>
      <c r="J34" s="39">
        <v>250.0</v>
      </c>
      <c r="K34" s="39">
        <v>250.0</v>
      </c>
      <c r="L34" s="41"/>
      <c r="M34" s="42">
        <v>250.0</v>
      </c>
      <c r="N34" s="42">
        <v>250.0</v>
      </c>
      <c r="O34" s="42">
        <v>20207.0</v>
      </c>
      <c r="P34" s="39">
        <v>250.0</v>
      </c>
      <c r="Q34" s="39">
        <v>250.0</v>
      </c>
      <c r="R34" s="39"/>
      <c r="S34" s="46">
        <v>0.67</v>
      </c>
      <c r="T34" s="50">
        <f>IFERROR(__xludf.DUMMYFUNCTION("((IFERROR(MIN(FILTER({L34, O34, R34}, ISNUMBER({L34, O34, R34}), {L34, O34, R34} &gt; 0)), """"))*S34)+IFERROR(MIN(FILTER({L34, O34, R34}, ISNUMBER({L34, O34, R34}), {L34, O34, R34} &gt; 0)), """")"),33745.69)</f>
        <v>33745.69</v>
      </c>
      <c r="U34" s="53">
        <f>IFERROR(__xludf.DUMMYFUNCTION("(T34-(IFERROR(MIN(FILTER({L34, O34, R34}, ISNUMBER({L34, O34, R34}), {L34, O34, R34} &gt; 0)), """")))/T34"),0.4011976047904192)</f>
        <v>0.4011976048</v>
      </c>
    </row>
    <row r="35" ht="22.5" customHeight="1">
      <c r="A35" s="34" t="s">
        <v>557</v>
      </c>
      <c r="B35" s="34" t="s">
        <v>1436</v>
      </c>
      <c r="C35" s="37" t="s">
        <v>560</v>
      </c>
      <c r="D35" s="38" t="s">
        <v>1437</v>
      </c>
      <c r="E35" s="76"/>
      <c r="F35" s="40" t="s">
        <v>63</v>
      </c>
      <c r="G35" s="34" t="s">
        <v>1212</v>
      </c>
      <c r="H35" s="43" t="s">
        <v>41</v>
      </c>
      <c r="I35" s="34" t="s">
        <v>1120</v>
      </c>
      <c r="J35" s="39">
        <v>500.0</v>
      </c>
      <c r="K35" s="39">
        <v>500.0</v>
      </c>
      <c r="L35" s="41"/>
      <c r="M35" s="42">
        <v>500.0</v>
      </c>
      <c r="N35" s="42">
        <v>500.0</v>
      </c>
      <c r="O35" s="42">
        <v>10103.0</v>
      </c>
      <c r="P35" s="39">
        <v>500.0</v>
      </c>
      <c r="Q35" s="39">
        <v>500.0</v>
      </c>
      <c r="R35" s="39"/>
      <c r="S35" s="46">
        <v>0.67</v>
      </c>
      <c r="T35" s="50">
        <f>IFERROR(__xludf.DUMMYFUNCTION("((IFERROR(MIN(FILTER({L35, O35, R35}, ISNUMBER({L35, O35, R35}), {L35, O35, R35} &gt; 0)), """"))*S35)+IFERROR(MIN(FILTER({L35, O35, R35}, ISNUMBER({L35, O35, R35}), {L35, O35, R35} &gt; 0)), """")"),16872.010000000002)</f>
        <v>16872.01</v>
      </c>
      <c r="U35" s="53">
        <f>IFERROR(__xludf.DUMMYFUNCTION("(T35-(IFERROR(MIN(FILTER({L35, O35, R35}, ISNUMBER({L35, O35, R35}), {L35, O35, R35} &gt; 0)), """")))/T35"),0.4011976047904192)</f>
        <v>0.4011976048</v>
      </c>
    </row>
    <row r="36" ht="22.5" customHeight="1">
      <c r="A36" s="34" t="s">
        <v>557</v>
      </c>
      <c r="B36" s="34" t="s">
        <v>1436</v>
      </c>
      <c r="C36" s="37" t="s">
        <v>560</v>
      </c>
      <c r="D36" s="38" t="s">
        <v>1437</v>
      </c>
      <c r="E36" s="76"/>
      <c r="F36" s="40" t="s">
        <v>63</v>
      </c>
      <c r="G36" s="34" t="s">
        <v>1212</v>
      </c>
      <c r="H36" s="43" t="s">
        <v>41</v>
      </c>
      <c r="I36" s="34" t="s">
        <v>1120</v>
      </c>
      <c r="J36" s="39">
        <v>1000.0</v>
      </c>
      <c r="K36" s="39">
        <v>1000.0</v>
      </c>
      <c r="L36" s="41"/>
      <c r="M36" s="42">
        <v>1000.0</v>
      </c>
      <c r="N36" s="42">
        <v>1000.0</v>
      </c>
      <c r="O36" s="42">
        <v>5659.0</v>
      </c>
      <c r="P36" s="39">
        <v>1000.0</v>
      </c>
      <c r="Q36" s="39">
        <v>1000.0</v>
      </c>
      <c r="R36" s="39"/>
      <c r="S36" s="46">
        <v>0.67</v>
      </c>
      <c r="T36" s="50">
        <f>IFERROR(__xludf.DUMMYFUNCTION("((IFERROR(MIN(FILTER({L36, O36, R36}, ISNUMBER({L36, O36, R36}), {L36, O36, R36} &gt; 0)), """"))*S36)+IFERROR(MIN(FILTER({L36, O36, R36}, ISNUMBER({L36, O36, R36}), {L36, O36, R36} &gt; 0)), """")"),9450.53)</f>
        <v>9450.53</v>
      </c>
      <c r="U36" s="53">
        <f>IFERROR(__xludf.DUMMYFUNCTION("(T36-(IFERROR(MIN(FILTER({L36, O36, R36}, ISNUMBER({L36, O36, R36}), {L36, O36, R36} &gt; 0)), """")))/T36"),0.4011976047904192)</f>
        <v>0.4011976048</v>
      </c>
    </row>
    <row r="37" ht="22.5" customHeight="1">
      <c r="A37" s="34" t="s">
        <v>104</v>
      </c>
      <c r="B37" s="34" t="s">
        <v>1443</v>
      </c>
      <c r="C37" s="37" t="s">
        <v>1444</v>
      </c>
      <c r="D37" s="38" t="s">
        <v>1445</v>
      </c>
      <c r="E37" s="76"/>
      <c r="F37" s="40" t="s">
        <v>55</v>
      </c>
      <c r="G37" s="34" t="s">
        <v>1446</v>
      </c>
      <c r="H37" s="43" t="s">
        <v>41</v>
      </c>
      <c r="I37" s="38" t="s">
        <v>1012</v>
      </c>
      <c r="J37" s="39">
        <v>5000.0</v>
      </c>
      <c r="K37" s="39">
        <v>5000.0</v>
      </c>
      <c r="L37" s="41"/>
      <c r="M37" s="42">
        <v>5000.0</v>
      </c>
      <c r="N37" s="42">
        <v>5000.0</v>
      </c>
      <c r="O37" s="60"/>
      <c r="P37" s="39">
        <v>5000.0</v>
      </c>
      <c r="Q37" s="39">
        <v>5000.0</v>
      </c>
      <c r="R37" s="39">
        <v>3800.0</v>
      </c>
      <c r="S37" s="46">
        <v>0.67</v>
      </c>
      <c r="T37" s="50">
        <f>IFERROR(__xludf.DUMMYFUNCTION("((IFERROR(MIN(FILTER({L37, O37, R37}, ISNUMBER({L37, O37, R37}), {L37, O37, R37} &gt; 0)), """"))*S37)+IFERROR(MIN(FILTER({L37, O37, R37}, ISNUMBER({L37, O37, R37}), {L37, O37, R37} &gt; 0)), """")"),6346.0)</f>
        <v>6346</v>
      </c>
      <c r="U37" s="53">
        <f>IFERROR(__xludf.DUMMYFUNCTION("(T37-(IFERROR(MIN(FILTER({L37, O37, R37}, ISNUMBER({L37, O37, R37}), {L37, O37, R37} &gt; 0)), """")))/T37"),0.40119760479041916)</f>
        <v>0.4011976048</v>
      </c>
    </row>
    <row r="38" ht="22.5" customHeight="1">
      <c r="A38" s="34" t="s">
        <v>104</v>
      </c>
      <c r="B38" s="34" t="s">
        <v>1443</v>
      </c>
      <c r="C38" s="37" t="s">
        <v>1448</v>
      </c>
      <c r="D38" s="38" t="s">
        <v>1445</v>
      </c>
      <c r="E38" s="76"/>
      <c r="F38" s="40" t="s">
        <v>55</v>
      </c>
      <c r="G38" s="34" t="s">
        <v>1446</v>
      </c>
      <c r="H38" s="43" t="s">
        <v>41</v>
      </c>
      <c r="I38" s="38" t="s">
        <v>1012</v>
      </c>
      <c r="J38" s="39">
        <v>5000.0</v>
      </c>
      <c r="K38" s="39">
        <v>5000.0</v>
      </c>
      <c r="L38" s="41"/>
      <c r="M38" s="42">
        <v>5000.0</v>
      </c>
      <c r="N38" s="42">
        <v>5000.0</v>
      </c>
      <c r="O38" s="60"/>
      <c r="P38" s="39">
        <v>5000.0</v>
      </c>
      <c r="Q38" s="39">
        <v>5000.0</v>
      </c>
      <c r="R38" s="39">
        <v>3800.0</v>
      </c>
      <c r="S38" s="46">
        <v>0.67</v>
      </c>
      <c r="T38" s="50">
        <f>IFERROR(__xludf.DUMMYFUNCTION("((IFERROR(MIN(FILTER({L38, O38, R38}, ISNUMBER({L38, O38, R38}), {L38, O38, R38} &gt; 0)), """"))*S38)+IFERROR(MIN(FILTER({L38, O38, R38}, ISNUMBER({L38, O38, R38}), {L38, O38, R38} &gt; 0)), """")"),6346.0)</f>
        <v>6346</v>
      </c>
      <c r="U38" s="53">
        <f>IFERROR(__xludf.DUMMYFUNCTION("(T38-(IFERROR(MIN(FILTER({L38, O38, R38}, ISNUMBER({L38, O38, R38}), {L38, O38, R38} &gt; 0)), """")))/T38"),0.40119760479041916)</f>
        <v>0.4011976048</v>
      </c>
    </row>
    <row r="39" ht="22.5" customHeight="1">
      <c r="A39" s="34" t="s">
        <v>104</v>
      </c>
      <c r="B39" s="34" t="s">
        <v>1443</v>
      </c>
      <c r="C39" s="37" t="s">
        <v>1444</v>
      </c>
      <c r="D39" s="38" t="s">
        <v>1445</v>
      </c>
      <c r="E39" s="76"/>
      <c r="F39" s="40" t="s">
        <v>55</v>
      </c>
      <c r="G39" s="34" t="s">
        <v>1446</v>
      </c>
      <c r="H39" s="43" t="s">
        <v>41</v>
      </c>
      <c r="I39" s="38" t="s">
        <v>1012</v>
      </c>
      <c r="J39" s="39">
        <v>5000.0</v>
      </c>
      <c r="K39" s="39">
        <v>5000.0</v>
      </c>
      <c r="L39" s="41"/>
      <c r="M39" s="42">
        <v>5000.0</v>
      </c>
      <c r="N39" s="42">
        <v>5000.0</v>
      </c>
      <c r="O39" s="42">
        <v>3104.0</v>
      </c>
      <c r="P39" s="39">
        <v>5000.0</v>
      </c>
      <c r="Q39" s="39">
        <v>5000.0</v>
      </c>
      <c r="R39" s="39">
        <v>3104.0</v>
      </c>
      <c r="S39" s="46">
        <v>0.67</v>
      </c>
      <c r="T39" s="50">
        <f>IFERROR(__xludf.DUMMYFUNCTION("((IFERROR(MIN(FILTER({L39, O39, R39}, ISNUMBER({L39, O39, R39}), {L39, O39, R39} &gt; 0)), """"))*S39)+IFERROR(MIN(FILTER({L39, O39, R39}, ISNUMBER({L39, O39, R39}), {L39, O39, R39} &gt; 0)), """")"),5183.68)</f>
        <v>5183.68</v>
      </c>
      <c r="U39" s="53">
        <f>IFERROR(__xludf.DUMMYFUNCTION("(T39-(IFERROR(MIN(FILTER({L39, O39, R39}, ISNUMBER({L39, O39, R39}), {L39, O39, R39} &gt; 0)), """")))/T39"),0.4011976047904192)</f>
        <v>0.4011976048</v>
      </c>
    </row>
    <row r="40" ht="22.5" customHeight="1">
      <c r="A40" s="34" t="s">
        <v>104</v>
      </c>
      <c r="B40" s="34" t="s">
        <v>1443</v>
      </c>
      <c r="C40" s="37" t="s">
        <v>1448</v>
      </c>
      <c r="D40" s="38" t="s">
        <v>1445</v>
      </c>
      <c r="E40" s="76"/>
      <c r="F40" s="40" t="s">
        <v>55</v>
      </c>
      <c r="G40" s="34" t="s">
        <v>1446</v>
      </c>
      <c r="H40" s="43" t="s">
        <v>41</v>
      </c>
      <c r="I40" s="38" t="s">
        <v>1012</v>
      </c>
      <c r="J40" s="39">
        <v>5000.0</v>
      </c>
      <c r="K40" s="39">
        <v>5000.0</v>
      </c>
      <c r="L40" s="41"/>
      <c r="M40" s="42">
        <v>5000.0</v>
      </c>
      <c r="N40" s="42">
        <v>5000.0</v>
      </c>
      <c r="O40" s="42">
        <v>1217.0</v>
      </c>
      <c r="P40" s="39">
        <v>5000.0</v>
      </c>
      <c r="Q40" s="39">
        <v>5000.0</v>
      </c>
      <c r="R40" s="39">
        <v>1217.0</v>
      </c>
      <c r="S40" s="46">
        <v>0.67</v>
      </c>
      <c r="T40" s="50">
        <f>IFERROR(__xludf.DUMMYFUNCTION("((IFERROR(MIN(FILTER({L40, O40, R40}, ISNUMBER({L40, O40, R40}), {L40, O40, R40} &gt; 0)), """"))*S40)+IFERROR(MIN(FILTER({L40, O40, R40}, ISNUMBER({L40, O40, R40}), {L40, O40, R40} &gt; 0)), """")"),2032.39)</f>
        <v>2032.39</v>
      </c>
      <c r="U40" s="53">
        <f>IFERROR(__xludf.DUMMYFUNCTION("(T40-(IFERROR(MIN(FILTER({L40, O40, R40}, ISNUMBER({L40, O40, R40}), {L40, O40, R40} &gt; 0)), """")))/T40"),0.4011976047904192)</f>
        <v>0.4011976048</v>
      </c>
    </row>
    <row r="41" ht="22.5" customHeight="1">
      <c r="A41" s="34" t="s">
        <v>104</v>
      </c>
      <c r="B41" s="34" t="s">
        <v>1443</v>
      </c>
      <c r="C41" s="37" t="s">
        <v>1444</v>
      </c>
      <c r="D41" s="38" t="s">
        <v>1454</v>
      </c>
      <c r="E41" s="76"/>
      <c r="F41" s="40" t="s">
        <v>63</v>
      </c>
      <c r="G41" s="34" t="s">
        <v>67</v>
      </c>
      <c r="H41" s="43" t="s">
        <v>41</v>
      </c>
      <c r="I41" s="38" t="s">
        <v>1012</v>
      </c>
      <c r="J41" s="39">
        <v>5000.0</v>
      </c>
      <c r="K41" s="39">
        <v>5000.0</v>
      </c>
      <c r="L41" s="39"/>
      <c r="M41" s="42">
        <v>5000.0</v>
      </c>
      <c r="N41" s="42">
        <v>5000.0</v>
      </c>
      <c r="O41" s="42">
        <v>1732.0</v>
      </c>
      <c r="P41" s="39">
        <v>5000.0</v>
      </c>
      <c r="Q41" s="39">
        <v>5000.0</v>
      </c>
      <c r="R41" s="39">
        <v>1732.0</v>
      </c>
      <c r="S41" s="46">
        <v>0.67</v>
      </c>
      <c r="T41" s="50">
        <f>IFERROR(__xludf.DUMMYFUNCTION("((IFERROR(MIN(FILTER({L41, O41, R41}, ISNUMBER({L41, O41, R41}), {L41, O41, R41} &gt; 0)), """"))*S41)+IFERROR(MIN(FILTER({L41, O41, R41}, ISNUMBER({L41, O41, R41}), {L41, O41, R41} &gt; 0)), """")"),2892.44)</f>
        <v>2892.44</v>
      </c>
      <c r="U41" s="53">
        <f>IFERROR(__xludf.DUMMYFUNCTION("(T41-(IFERROR(MIN(FILTER({L41, O41, R41}, ISNUMBER({L41, O41, R41}), {L41, O41, R41} &gt; 0)), """")))/T41"),0.40119760479041916)</f>
        <v>0.4011976048</v>
      </c>
    </row>
    <row r="42" ht="22.5" customHeight="1">
      <c r="A42" s="34" t="s">
        <v>104</v>
      </c>
      <c r="B42" s="34" t="s">
        <v>1443</v>
      </c>
      <c r="C42" s="37" t="s">
        <v>1448</v>
      </c>
      <c r="D42" s="38" t="s">
        <v>1454</v>
      </c>
      <c r="E42" s="76"/>
      <c r="F42" s="40" t="s">
        <v>63</v>
      </c>
      <c r="G42" s="34" t="s">
        <v>67</v>
      </c>
      <c r="H42" s="43" t="s">
        <v>41</v>
      </c>
      <c r="I42" s="38" t="s">
        <v>1012</v>
      </c>
      <c r="J42" s="39">
        <v>5000.0</v>
      </c>
      <c r="K42" s="39">
        <v>5000.0</v>
      </c>
      <c r="L42" s="39"/>
      <c r="M42" s="42">
        <v>5000.0</v>
      </c>
      <c r="N42" s="42">
        <v>5000.0</v>
      </c>
      <c r="O42" s="42">
        <v>762.0</v>
      </c>
      <c r="P42" s="39">
        <v>5000.0</v>
      </c>
      <c r="Q42" s="39">
        <v>5000.0</v>
      </c>
      <c r="R42" s="39">
        <v>762.0</v>
      </c>
      <c r="S42" s="46">
        <v>0.67</v>
      </c>
      <c r="T42" s="50">
        <f>IFERROR(__xludf.DUMMYFUNCTION("((IFERROR(MIN(FILTER({L42, O42, R42}, ISNUMBER({L42, O42, R42}), {L42, O42, R42} &gt; 0)), """"))*S42)+IFERROR(MIN(FILTER({L42, O42, R42}, ISNUMBER({L42, O42, R42}), {L42, O42, R42} &gt; 0)), """")"),1272.54)</f>
        <v>1272.54</v>
      </c>
      <c r="U42" s="53">
        <f>IFERROR(__xludf.DUMMYFUNCTION("(T42-(IFERROR(MIN(FILTER({L42, O42, R42}, ISNUMBER({L42, O42, R42}), {L42, O42, R42} &gt; 0)), """")))/T42"),0.40119760479041916)</f>
        <v>0.4011976048</v>
      </c>
    </row>
    <row r="43" ht="22.5" customHeight="1">
      <c r="A43" s="34" t="s">
        <v>557</v>
      </c>
      <c r="B43" s="34" t="s">
        <v>1460</v>
      </c>
      <c r="C43" s="37" t="s">
        <v>560</v>
      </c>
      <c r="D43" s="38" t="s">
        <v>1461</v>
      </c>
      <c r="E43" s="140" t="s">
        <v>1462</v>
      </c>
      <c r="F43" s="40" t="s">
        <v>55</v>
      </c>
      <c r="G43" s="34" t="s">
        <v>121</v>
      </c>
      <c r="H43" s="43" t="s">
        <v>41</v>
      </c>
      <c r="I43" s="34" t="s">
        <v>699</v>
      </c>
      <c r="J43" s="39">
        <v>500.0</v>
      </c>
      <c r="K43" s="39">
        <v>500.0</v>
      </c>
      <c r="L43" s="39"/>
      <c r="M43" s="42">
        <v>500.0</v>
      </c>
      <c r="N43" s="42">
        <v>500.0</v>
      </c>
      <c r="O43" s="42">
        <v>7173.0</v>
      </c>
      <c r="P43" s="39">
        <v>500.0</v>
      </c>
      <c r="Q43" s="39">
        <v>500.0</v>
      </c>
      <c r="R43" s="39">
        <v>7173.0</v>
      </c>
      <c r="S43" s="46">
        <v>0.67</v>
      </c>
      <c r="T43" s="50">
        <f>IFERROR(__xludf.DUMMYFUNCTION("((IFERROR(MIN(FILTER({L43, O43, R43}, ISNUMBER({L43, O43, R43}), {L43, O43, R43} &gt; 0)), """"))*S43)+IFERROR(MIN(FILTER({L43, O43, R43}, ISNUMBER({L43, O43, R43}), {L43, O43, R43} &gt; 0)), """")"),11978.91)</f>
        <v>11978.91</v>
      </c>
      <c r="U43" s="53">
        <f>IFERROR(__xludf.DUMMYFUNCTION("(T43-(IFERROR(MIN(FILTER({L43, O43, R43}, ISNUMBER({L43, O43, R43}), {L43, O43, R43} &gt; 0)), """")))/T43"),0.40119760479041916)</f>
        <v>0.4011976048</v>
      </c>
    </row>
    <row r="44" ht="22.5" customHeight="1">
      <c r="A44" s="34" t="s">
        <v>104</v>
      </c>
      <c r="B44" s="34" t="s">
        <v>1463</v>
      </c>
      <c r="C44" s="37" t="s">
        <v>1464</v>
      </c>
      <c r="D44" s="38" t="s">
        <v>1466</v>
      </c>
      <c r="E44" s="76"/>
      <c r="F44" s="40" t="s">
        <v>63</v>
      </c>
      <c r="G44" s="34" t="s">
        <v>67</v>
      </c>
      <c r="H44" s="43" t="s">
        <v>41</v>
      </c>
      <c r="I44" s="34" t="s">
        <v>49</v>
      </c>
      <c r="J44" s="39">
        <v>300.0</v>
      </c>
      <c r="K44" s="39">
        <v>300.0</v>
      </c>
      <c r="L44" s="39"/>
      <c r="M44" s="42">
        <v>300.0</v>
      </c>
      <c r="N44" s="42">
        <v>300.0</v>
      </c>
      <c r="O44" s="42">
        <v>2740.0</v>
      </c>
      <c r="P44" s="39">
        <v>300.0</v>
      </c>
      <c r="Q44" s="39">
        <v>300.0</v>
      </c>
      <c r="R44" s="39">
        <v>2740.0</v>
      </c>
      <c r="S44" s="46">
        <v>0.67</v>
      </c>
      <c r="T44" s="50">
        <f>IFERROR(__xludf.DUMMYFUNCTION("((IFERROR(MIN(FILTER({L44, O44, R44}, ISNUMBER({L44, O44, R44}), {L44, O44, R44} &gt; 0)), """"))*S44)+IFERROR(MIN(FILTER({L44, O44, R44}, ISNUMBER({L44, O44, R44}), {L44, O44, R44} &gt; 0)), """")"),4575.8)</f>
        <v>4575.8</v>
      </c>
      <c r="U44" s="53">
        <f>IFERROR(__xludf.DUMMYFUNCTION("(T44-(IFERROR(MIN(FILTER({L44, O44, R44}, ISNUMBER({L44, O44, R44}), {L44, O44, R44} &gt; 0)), """")))/T44"),0.40119760479041916)</f>
        <v>0.4011976048</v>
      </c>
    </row>
    <row r="45" ht="22.5" customHeight="1">
      <c r="A45" s="34" t="s">
        <v>104</v>
      </c>
      <c r="B45" s="34" t="s">
        <v>1468</v>
      </c>
      <c r="C45" s="37" t="s">
        <v>479</v>
      </c>
      <c r="D45" s="38" t="s">
        <v>1469</v>
      </c>
      <c r="E45" s="76"/>
      <c r="F45" s="40" t="s">
        <v>63</v>
      </c>
      <c r="G45" s="34" t="s">
        <v>67</v>
      </c>
      <c r="H45" s="43" t="s">
        <v>41</v>
      </c>
      <c r="I45" s="34" t="s">
        <v>1164</v>
      </c>
      <c r="J45" s="39">
        <v>500.0</v>
      </c>
      <c r="K45" s="39">
        <v>500.0</v>
      </c>
      <c r="L45" s="39"/>
      <c r="M45" s="42">
        <v>500.0</v>
      </c>
      <c r="N45" s="42">
        <v>500.0</v>
      </c>
      <c r="O45" s="42">
        <v>3011.0</v>
      </c>
      <c r="P45" s="39">
        <v>500.0</v>
      </c>
      <c r="Q45" s="39">
        <v>500.0</v>
      </c>
      <c r="R45" s="39">
        <v>3011.0</v>
      </c>
      <c r="S45" s="46">
        <v>0.67</v>
      </c>
      <c r="T45" s="50">
        <f>IFERROR(__xludf.DUMMYFUNCTION("((IFERROR(MIN(FILTER({L45, O45, R45}, ISNUMBER({L45, O45, R45}), {L45, O45, R45} &gt; 0)), """"))*S45)+IFERROR(MIN(FILTER({L45, O45, R45}, ISNUMBER({L45, O45, R45}), {L45, O45, R45} &gt; 0)), """")"),5028.37)</f>
        <v>5028.37</v>
      </c>
      <c r="U45" s="53">
        <f>IFERROR(__xludf.DUMMYFUNCTION("(T45-(IFERROR(MIN(FILTER({L45, O45, R45}, ISNUMBER({L45, O45, R45}), {L45, O45, R45} &gt; 0)), """")))/T45"),0.40119760479041916)</f>
        <v>0.4011976048</v>
      </c>
    </row>
    <row r="46" ht="22.5" customHeight="1">
      <c r="A46" s="34" t="s">
        <v>104</v>
      </c>
      <c r="B46" s="34" t="s">
        <v>1468</v>
      </c>
      <c r="C46" s="37" t="s">
        <v>479</v>
      </c>
      <c r="D46" s="38" t="s">
        <v>1469</v>
      </c>
      <c r="E46" s="76"/>
      <c r="F46" s="40" t="s">
        <v>63</v>
      </c>
      <c r="G46" s="34" t="s">
        <v>67</v>
      </c>
      <c r="H46" s="43" t="s">
        <v>41</v>
      </c>
      <c r="I46" s="34" t="s">
        <v>1164</v>
      </c>
      <c r="J46" s="39">
        <v>1000.0</v>
      </c>
      <c r="K46" s="39">
        <v>1000.0</v>
      </c>
      <c r="L46" s="39"/>
      <c r="M46" s="42">
        <v>1000.0</v>
      </c>
      <c r="N46" s="42">
        <v>1000.0</v>
      </c>
      <c r="O46" s="42">
        <v>1556.0</v>
      </c>
      <c r="P46" s="39">
        <v>1000.0</v>
      </c>
      <c r="Q46" s="39">
        <v>1000.0</v>
      </c>
      <c r="R46" s="39">
        <v>1556.0</v>
      </c>
      <c r="S46" s="46">
        <v>0.67</v>
      </c>
      <c r="T46" s="50">
        <f>IFERROR(__xludf.DUMMYFUNCTION("((IFERROR(MIN(FILTER({L46, O46, R46}, ISNUMBER({L46, O46, R46}), {L46, O46, R46} &gt; 0)), """"))*S46)+IFERROR(MIN(FILTER({L46, O46, R46}, ISNUMBER({L46, O46, R46}), {L46, O46, R46} &gt; 0)), """")"),2598.52)</f>
        <v>2598.52</v>
      </c>
      <c r="U46" s="53">
        <f>IFERROR(__xludf.DUMMYFUNCTION("(T46-(IFERROR(MIN(FILTER({L46, O46, R46}, ISNUMBER({L46, O46, R46}), {L46, O46, R46} &gt; 0)), """")))/T46"),0.40119760479041916)</f>
        <v>0.4011976048</v>
      </c>
    </row>
    <row r="47" ht="22.5" customHeight="1">
      <c r="A47" s="34" t="s">
        <v>104</v>
      </c>
      <c r="B47" s="34" t="s">
        <v>1474</v>
      </c>
      <c r="C47" s="37" t="s">
        <v>479</v>
      </c>
      <c r="D47" s="38" t="s">
        <v>1475</v>
      </c>
      <c r="E47" s="76"/>
      <c r="F47" s="40" t="s">
        <v>63</v>
      </c>
      <c r="G47" s="34" t="s">
        <v>67</v>
      </c>
      <c r="H47" s="43" t="s">
        <v>41</v>
      </c>
      <c r="I47" s="34" t="s">
        <v>1164</v>
      </c>
      <c r="J47" s="39">
        <v>500.0</v>
      </c>
      <c r="K47" s="39">
        <v>500.0</v>
      </c>
      <c r="L47" s="39"/>
      <c r="M47" s="42">
        <v>500.0</v>
      </c>
      <c r="N47" s="42">
        <v>500.0</v>
      </c>
      <c r="O47" s="42">
        <v>2887.0</v>
      </c>
      <c r="P47" s="39">
        <v>500.0</v>
      </c>
      <c r="Q47" s="39">
        <v>500.0</v>
      </c>
      <c r="R47" s="39">
        <v>2887.0</v>
      </c>
      <c r="S47" s="46">
        <v>0.67</v>
      </c>
      <c r="T47" s="50">
        <f>IFERROR(__xludf.DUMMYFUNCTION("((IFERROR(MIN(FILTER({L47, O47, R47}, ISNUMBER({L47, O47, R47}), {L47, O47, R47} &gt; 0)), """"))*S47)+IFERROR(MIN(FILTER({L47, O47, R47}, ISNUMBER({L47, O47, R47}), {L47, O47, R47} &gt; 0)), """")"),4821.29)</f>
        <v>4821.29</v>
      </c>
      <c r="U47" s="53">
        <f>IFERROR(__xludf.DUMMYFUNCTION("(T47-(IFERROR(MIN(FILTER({L47, O47, R47}, ISNUMBER({L47, O47, R47}), {L47, O47, R47} &gt; 0)), """")))/T47"),0.40119760479041916)</f>
        <v>0.4011976048</v>
      </c>
    </row>
    <row r="48" ht="22.5" customHeight="1">
      <c r="A48" s="34" t="s">
        <v>104</v>
      </c>
      <c r="B48" s="34" t="s">
        <v>1474</v>
      </c>
      <c r="C48" s="37" t="s">
        <v>479</v>
      </c>
      <c r="D48" s="38" t="s">
        <v>1475</v>
      </c>
      <c r="E48" s="76"/>
      <c r="F48" s="40" t="s">
        <v>63</v>
      </c>
      <c r="G48" s="34" t="s">
        <v>67</v>
      </c>
      <c r="H48" s="43" t="s">
        <v>41</v>
      </c>
      <c r="I48" s="34" t="s">
        <v>1164</v>
      </c>
      <c r="J48" s="39">
        <v>1000.0</v>
      </c>
      <c r="K48" s="39">
        <v>1000.0</v>
      </c>
      <c r="L48" s="39"/>
      <c r="M48" s="42">
        <v>1000.0</v>
      </c>
      <c r="N48" s="42">
        <v>1000.0</v>
      </c>
      <c r="O48" s="42">
        <v>1489.0</v>
      </c>
      <c r="P48" s="39">
        <v>1000.0</v>
      </c>
      <c r="Q48" s="39">
        <v>1000.0</v>
      </c>
      <c r="R48" s="39">
        <v>1489.0</v>
      </c>
      <c r="S48" s="46">
        <v>0.67</v>
      </c>
      <c r="T48" s="50">
        <f>IFERROR(__xludf.DUMMYFUNCTION("((IFERROR(MIN(FILTER({L48, O48, R48}, ISNUMBER({L48, O48, R48}), {L48, O48, R48} &gt; 0)), """"))*S48)+IFERROR(MIN(FILTER({L48, O48, R48}, ISNUMBER({L48, O48, R48}), {L48, O48, R48} &gt; 0)), """")"),2486.63)</f>
        <v>2486.63</v>
      </c>
      <c r="U48" s="53">
        <f>IFERROR(__xludf.DUMMYFUNCTION("(T48-(IFERROR(MIN(FILTER({L48, O48, R48}, ISNUMBER({L48, O48, R48}), {L48, O48, R48} &gt; 0)), """")))/T48"),0.4011976047904192)</f>
        <v>0.4011976048</v>
      </c>
    </row>
    <row r="49" ht="22.5" customHeight="1">
      <c r="A49" s="34" t="s">
        <v>104</v>
      </c>
      <c r="B49" s="34" t="s">
        <v>1479</v>
      </c>
      <c r="C49" s="37" t="s">
        <v>479</v>
      </c>
      <c r="D49" s="38" t="s">
        <v>1480</v>
      </c>
      <c r="E49" s="76"/>
      <c r="F49" s="40" t="s">
        <v>63</v>
      </c>
      <c r="G49" s="141" t="s">
        <v>67</v>
      </c>
      <c r="H49" s="43" t="s">
        <v>41</v>
      </c>
      <c r="I49" s="143" t="s">
        <v>1164</v>
      </c>
      <c r="J49" s="39">
        <v>1000.0</v>
      </c>
      <c r="K49" s="39">
        <v>1000.0</v>
      </c>
      <c r="L49" s="39"/>
      <c r="M49" s="42">
        <v>1000.0</v>
      </c>
      <c r="N49" s="42">
        <v>1000.0</v>
      </c>
      <c r="O49" s="42"/>
      <c r="P49" s="39">
        <v>1000.0</v>
      </c>
      <c r="Q49" s="39">
        <v>1000.0</v>
      </c>
      <c r="R49" s="39"/>
      <c r="S49" s="46">
        <v>0.67</v>
      </c>
      <c r="T49" s="50">
        <f>IFERROR(__xludf.DUMMYFUNCTION("((IFERROR(MIN(FILTER({L49, O49, R49}, ISNUMBER({L49, O49, R49}), {L49, O49, R49} &gt; 0)), """"))*S49)+IFERROR(MIN(FILTER({L49, O49, R49}, ISNUMBER({L49, O49, R49}), {L49, O49, R49} &gt; 0)), """")"),0.0)</f>
        <v>0</v>
      </c>
      <c r="U49" s="53" t="str">
        <f>IFERROR(__xludf.DUMMYFUNCTION("(T49-(IFERROR(MIN(FILTER({L49, O49, R49}, ISNUMBER({L49, O49, R49}), {L49, O49, R49} &gt; 0)), """")))/T49"),"#DIV/0!")</f>
        <v>#DIV/0!</v>
      </c>
    </row>
    <row r="50" ht="22.5" customHeight="1">
      <c r="A50" s="34"/>
      <c r="B50" s="34"/>
      <c r="C50" s="37"/>
      <c r="D50" s="38"/>
      <c r="E50" s="76"/>
      <c r="F50" s="40"/>
      <c r="G50" s="34"/>
      <c r="H50" s="38"/>
      <c r="I50" s="34"/>
      <c r="J50" s="41" t="s">
        <v>261</v>
      </c>
      <c r="K50" s="41" t="s">
        <v>261</v>
      </c>
      <c r="L50" s="41"/>
      <c r="M50" s="42"/>
      <c r="N50" s="42"/>
      <c r="O50" s="42"/>
      <c r="P50" s="41"/>
      <c r="Q50" s="39"/>
      <c r="R50" s="41"/>
      <c r="S50" s="46">
        <v>0.67</v>
      </c>
      <c r="T50" s="50">
        <f>IFERROR(__xludf.DUMMYFUNCTION("((IFERROR(MIN(FILTER({L50, O50, R50}, ISNUMBER({L50, O50, R50}), {L50, O50, R50} &gt; 0)), """"))*S50)+IFERROR(MIN(FILTER({L50, O50, R50}, ISNUMBER({L50, O50, R50}), {L50, O50, R50} &gt; 0)), """")"),0.0)</f>
        <v>0</v>
      </c>
      <c r="U50" s="53" t="str">
        <f>IFERROR(__xludf.DUMMYFUNCTION("(T50-(IFERROR(MIN(FILTER({L50, O50, R50}, ISNUMBER({L50, O50, R50}), {L50, O50, R50} &gt; 0)), """")))/T50"),"#DIV/0!")</f>
        <v>#DIV/0!</v>
      </c>
    </row>
    <row r="51" ht="22.5" customHeight="1">
      <c r="A51" s="34"/>
      <c r="B51" s="34"/>
      <c r="C51" s="37"/>
      <c r="D51" s="38"/>
      <c r="E51" s="76"/>
      <c r="F51" s="40"/>
      <c r="G51" s="34"/>
      <c r="H51" s="38"/>
      <c r="I51" s="34"/>
      <c r="J51" s="41" t="s">
        <v>261</v>
      </c>
      <c r="K51" s="41" t="s">
        <v>261</v>
      </c>
      <c r="L51" s="41"/>
      <c r="M51" s="42"/>
      <c r="N51" s="42"/>
      <c r="O51" s="42"/>
      <c r="P51" s="41"/>
      <c r="Q51" s="39"/>
      <c r="R51" s="41"/>
      <c r="S51" s="46">
        <v>0.67</v>
      </c>
      <c r="T51" s="50">
        <f>IFERROR(__xludf.DUMMYFUNCTION("((IFERROR(MIN(FILTER({L51, O51, R51}, ISNUMBER({L51, O51, R51}), {L51, O51, R51} &gt; 0)), """"))*S51)+IFERROR(MIN(FILTER({L51, O51, R51}, ISNUMBER({L51, O51, R51}), {L51, O51, R51} &gt; 0)), """")"),0.0)</f>
        <v>0</v>
      </c>
      <c r="U51" s="53" t="str">
        <f>IFERROR(__xludf.DUMMYFUNCTION("(T51-(IFERROR(MIN(FILTER({L51, O51, R51}, ISNUMBER({L51, O51, R51}), {L51, O51, R51} &gt; 0)), """")))/T51"),"#DIV/0!")</f>
        <v>#DIV/0!</v>
      </c>
    </row>
    <row r="52" ht="22.5" customHeight="1">
      <c r="A52" s="34"/>
      <c r="B52" s="34"/>
      <c r="C52" s="37"/>
      <c r="D52" s="38"/>
      <c r="E52" s="76"/>
      <c r="F52" s="40"/>
      <c r="G52" s="34"/>
      <c r="H52" s="38"/>
      <c r="I52" s="34"/>
      <c r="J52" s="41" t="s">
        <v>261</v>
      </c>
      <c r="K52" s="41" t="s">
        <v>261</v>
      </c>
      <c r="L52" s="41"/>
      <c r="M52" s="42"/>
      <c r="N52" s="42"/>
      <c r="O52" s="60"/>
      <c r="P52" s="41"/>
      <c r="Q52" s="39"/>
      <c r="R52" s="41"/>
      <c r="S52" s="46">
        <v>0.67</v>
      </c>
      <c r="T52" s="50">
        <f>IFERROR(__xludf.DUMMYFUNCTION("((IFERROR(MIN(FILTER({L52, O52, R52}, ISNUMBER({L52, O52, R52}), {L52, O52, R52} &gt; 0)), """"))*S52)+IFERROR(MIN(FILTER({L52, O52, R52}, ISNUMBER({L52, O52, R52}), {L52, O52, R52} &gt; 0)), """")"),0.0)</f>
        <v>0</v>
      </c>
      <c r="U52" s="53" t="str">
        <f>IFERROR(__xludf.DUMMYFUNCTION("(T52-(IFERROR(MIN(FILTER({L52, O52, R52}, ISNUMBER({L52, O52, R52}), {L52, O52, R52} &gt; 0)), """")))/T52"),"#DIV/0!")</f>
        <v>#DIV/0!</v>
      </c>
    </row>
    <row r="53" ht="22.5" customHeight="1">
      <c r="A53" s="34"/>
      <c r="B53" s="34"/>
      <c r="C53" s="37"/>
      <c r="D53" s="38"/>
      <c r="E53" s="76"/>
      <c r="F53" s="40"/>
      <c r="G53" s="34"/>
      <c r="H53" s="38"/>
      <c r="I53" s="34"/>
      <c r="J53" s="41" t="s">
        <v>261</v>
      </c>
      <c r="K53" s="41" t="s">
        <v>261</v>
      </c>
      <c r="L53" s="41"/>
      <c r="M53" s="42"/>
      <c r="N53" s="42"/>
      <c r="O53" s="42"/>
      <c r="P53" s="41"/>
      <c r="Q53" s="39"/>
      <c r="R53" s="41"/>
      <c r="S53" s="46">
        <v>0.67</v>
      </c>
      <c r="T53" s="50">
        <f>IFERROR(__xludf.DUMMYFUNCTION("((IFERROR(MIN(FILTER({L53, O53, R53}, ISNUMBER({L53, O53, R53}), {L53, O53, R53} &gt; 0)), """"))*S53)+IFERROR(MIN(FILTER({L53, O53, R53}, ISNUMBER({L53, O53, R53}), {L53, O53, R53} &gt; 0)), """")"),0.0)</f>
        <v>0</v>
      </c>
      <c r="U53" s="53" t="str">
        <f>IFERROR(__xludf.DUMMYFUNCTION("(T53-(IFERROR(MIN(FILTER({L53, O53, R53}, ISNUMBER({L53, O53, R53}), {L53, O53, R53} &gt; 0)), """")))/T53"),"#DIV/0!")</f>
        <v>#DIV/0!</v>
      </c>
    </row>
    <row r="54" ht="22.5" customHeight="1">
      <c r="A54" s="34"/>
      <c r="B54" s="34"/>
      <c r="C54" s="37"/>
      <c r="D54" s="38"/>
      <c r="E54" s="76"/>
      <c r="F54" s="40"/>
      <c r="G54" s="34"/>
      <c r="H54" s="38"/>
      <c r="I54" s="34"/>
      <c r="J54" s="41" t="s">
        <v>261</v>
      </c>
      <c r="K54" s="41" t="s">
        <v>261</v>
      </c>
      <c r="L54" s="41"/>
      <c r="M54" s="42"/>
      <c r="N54" s="42"/>
      <c r="O54" s="42"/>
      <c r="P54" s="41"/>
      <c r="Q54" s="39"/>
      <c r="R54" s="41"/>
      <c r="S54" s="46">
        <v>0.67</v>
      </c>
      <c r="T54" s="50">
        <f>IFERROR(__xludf.DUMMYFUNCTION("((IFERROR(MIN(FILTER({L54, O54, R54}, ISNUMBER({L54, O54, R54}), {L54, O54, R54} &gt; 0)), """"))*S54)+IFERROR(MIN(FILTER({L54, O54, R54}, ISNUMBER({L54, O54, R54}), {L54, O54, R54} &gt; 0)), """")"),0.0)</f>
        <v>0</v>
      </c>
      <c r="U54" s="53" t="str">
        <f>IFERROR(__xludf.DUMMYFUNCTION("(T54-(IFERROR(MIN(FILTER({L54, O54, R54}, ISNUMBER({L54, O54, R54}), {L54, O54, R54} &gt; 0)), """")))/T54"),"#DIV/0!")</f>
        <v>#DIV/0!</v>
      </c>
    </row>
    <row r="55" ht="22.5" customHeight="1">
      <c r="A55" s="34"/>
      <c r="B55" s="34"/>
      <c r="C55" s="37"/>
      <c r="D55" s="38"/>
      <c r="E55" s="76"/>
      <c r="F55" s="40"/>
      <c r="G55" s="34"/>
      <c r="H55" s="38"/>
      <c r="I55" s="34"/>
      <c r="J55" s="41" t="s">
        <v>261</v>
      </c>
      <c r="K55" s="41" t="s">
        <v>261</v>
      </c>
      <c r="L55" s="41"/>
      <c r="M55" s="42"/>
      <c r="N55" s="42"/>
      <c r="O55" s="60"/>
      <c r="P55" s="41"/>
      <c r="Q55" s="39"/>
      <c r="R55" s="41"/>
      <c r="S55" s="46">
        <v>0.67</v>
      </c>
      <c r="T55" s="50">
        <f>IFERROR(__xludf.DUMMYFUNCTION("((IFERROR(MIN(FILTER({L55, O55, R55}, ISNUMBER({L55, O55, R55}), {L55, O55, R55} &gt; 0)), """"))*S55)+IFERROR(MIN(FILTER({L55, O55, R55}, ISNUMBER({L55, O55, R55}), {L55, O55, R55} &gt; 0)), """")"),0.0)</f>
        <v>0</v>
      </c>
      <c r="U55" s="53" t="str">
        <f>IFERROR(__xludf.DUMMYFUNCTION("(T55-(IFERROR(MIN(FILTER({L55, O55, R55}, ISNUMBER({L55, O55, R55}), {L55, O55, R55} &gt; 0)), """")))/T55"),"#DIV/0!")</f>
        <v>#DIV/0!</v>
      </c>
    </row>
    <row r="56" ht="22.5" customHeight="1">
      <c r="A56" s="34"/>
      <c r="B56" s="34"/>
      <c r="C56" s="37"/>
      <c r="D56" s="38"/>
      <c r="E56" s="76"/>
      <c r="F56" s="40"/>
      <c r="G56" s="34"/>
      <c r="H56" s="38"/>
      <c r="I56" s="34"/>
      <c r="J56" s="41" t="s">
        <v>261</v>
      </c>
      <c r="K56" s="41" t="s">
        <v>261</v>
      </c>
      <c r="L56" s="41"/>
      <c r="M56" s="42"/>
      <c r="N56" s="42"/>
      <c r="O56" s="60"/>
      <c r="P56" s="41"/>
      <c r="Q56" s="39"/>
      <c r="R56" s="39"/>
      <c r="S56" s="46">
        <v>0.67</v>
      </c>
      <c r="T56" s="50">
        <f>IFERROR(__xludf.DUMMYFUNCTION("((IFERROR(MIN(FILTER({L56, O56, R56}, ISNUMBER({L56, O56, R56}), {L56, O56, R56} &gt; 0)), """"))*S56)+IFERROR(MIN(FILTER({L56, O56, R56}, ISNUMBER({L56, O56, R56}), {L56, O56, R56} &gt; 0)), """")"),0.0)</f>
        <v>0</v>
      </c>
      <c r="U56" s="53" t="str">
        <f>IFERROR(__xludf.DUMMYFUNCTION("(T56-(IFERROR(MIN(FILTER({L56, O56, R56}, ISNUMBER({L56, O56, R56}), {L56, O56, R56} &gt; 0)), """")))/T56"),"#DIV/0!")</f>
        <v>#DIV/0!</v>
      </c>
    </row>
    <row r="57" ht="22.5" customHeight="1">
      <c r="A57" s="34"/>
      <c r="B57" s="34"/>
      <c r="C57" s="37"/>
      <c r="D57" s="38"/>
      <c r="E57" s="76"/>
      <c r="F57" s="40"/>
      <c r="G57" s="34"/>
      <c r="H57" s="38"/>
      <c r="I57" s="34"/>
      <c r="J57" s="41" t="s">
        <v>261</v>
      </c>
      <c r="K57" s="41" t="s">
        <v>261</v>
      </c>
      <c r="L57" s="41"/>
      <c r="M57" s="42"/>
      <c r="N57" s="42"/>
      <c r="O57" s="60"/>
      <c r="P57" s="41"/>
      <c r="Q57" s="39"/>
      <c r="R57" s="39"/>
      <c r="S57" s="46">
        <v>0.67</v>
      </c>
      <c r="T57" s="50">
        <f>IFERROR(__xludf.DUMMYFUNCTION("((IFERROR(MIN(FILTER({L57, O57, R57}, ISNUMBER({L57, O57, R57}), {L57, O57, R57} &gt; 0)), """"))*S57)+IFERROR(MIN(FILTER({L57, O57, R57}, ISNUMBER({L57, O57, R57}), {L57, O57, R57} &gt; 0)), """")"),0.0)</f>
        <v>0</v>
      </c>
      <c r="U57" s="53" t="str">
        <f>IFERROR(__xludf.DUMMYFUNCTION("(T57-(IFERROR(MIN(FILTER({L57, O57, R57}, ISNUMBER({L57, O57, R57}), {L57, O57, R57} &gt; 0)), """")))/T57"),"#DIV/0!")</f>
        <v>#DIV/0!</v>
      </c>
    </row>
    <row r="58" ht="22.5" customHeight="1">
      <c r="A58" s="34"/>
      <c r="B58" s="34"/>
      <c r="C58" s="37"/>
      <c r="D58" s="38"/>
      <c r="E58" s="76"/>
      <c r="F58" s="40"/>
      <c r="G58" s="34"/>
      <c r="H58" s="38"/>
      <c r="I58" s="34"/>
      <c r="J58" s="41" t="s">
        <v>261</v>
      </c>
      <c r="K58" s="41" t="s">
        <v>261</v>
      </c>
      <c r="L58" s="41"/>
      <c r="M58" s="42"/>
      <c r="N58" s="42"/>
      <c r="O58" s="42"/>
      <c r="P58" s="41"/>
      <c r="Q58" s="39"/>
      <c r="R58" s="41"/>
      <c r="S58" s="46">
        <v>0.67</v>
      </c>
      <c r="T58" s="50">
        <f>IFERROR(__xludf.DUMMYFUNCTION("((IFERROR(MIN(FILTER({L58, O58, R58}, ISNUMBER({L58, O58, R58}), {L58, O58, R58} &gt; 0)), """"))*S58)+IFERROR(MIN(FILTER({L58, O58, R58}, ISNUMBER({L58, O58, R58}), {L58, O58, R58} &gt; 0)), """")"),0.0)</f>
        <v>0</v>
      </c>
      <c r="U58" s="53" t="str">
        <f>IFERROR(__xludf.DUMMYFUNCTION("(T58-(IFERROR(MIN(FILTER({L58, O58, R58}, ISNUMBER({L58, O58, R58}), {L58, O58, R58} &gt; 0)), """")))/T58"),"#DIV/0!")</f>
        <v>#DIV/0!</v>
      </c>
    </row>
    <row r="59" ht="22.5" customHeight="1">
      <c r="A59" s="34"/>
      <c r="B59" s="34"/>
      <c r="C59" s="37"/>
      <c r="D59" s="38"/>
      <c r="E59" s="76"/>
      <c r="F59" s="40"/>
      <c r="G59" s="34"/>
      <c r="H59" s="38"/>
      <c r="I59" s="34"/>
      <c r="J59" s="41" t="s">
        <v>261</v>
      </c>
      <c r="K59" s="41" t="s">
        <v>261</v>
      </c>
      <c r="L59" s="41"/>
      <c r="M59" s="42"/>
      <c r="N59" s="42"/>
      <c r="O59" s="42"/>
      <c r="P59" s="41"/>
      <c r="Q59" s="39"/>
      <c r="R59" s="41"/>
      <c r="S59" s="46">
        <v>0.67</v>
      </c>
      <c r="T59" s="50">
        <f>IFERROR(__xludf.DUMMYFUNCTION("((IFERROR(MIN(FILTER({L59, O59, R59}, ISNUMBER({L59, O59, R59}), {L59, O59, R59} &gt; 0)), """"))*S59)+IFERROR(MIN(FILTER({L59, O59, R59}, ISNUMBER({L59, O59, R59}), {L59, O59, R59} &gt; 0)), """")"),0.0)</f>
        <v>0</v>
      </c>
      <c r="U59" s="53" t="str">
        <f>IFERROR(__xludf.DUMMYFUNCTION("(T59-(IFERROR(MIN(FILTER({L59, O59, R59}, ISNUMBER({L59, O59, R59}), {L59, O59, R59} &gt; 0)), """")))/T59"),"#DIV/0!")</f>
        <v>#DIV/0!</v>
      </c>
    </row>
    <row r="60" ht="22.5" customHeight="1">
      <c r="A60" s="34"/>
      <c r="B60" s="34"/>
      <c r="C60" s="37"/>
      <c r="D60" s="38"/>
      <c r="E60" s="76"/>
      <c r="F60" s="40"/>
      <c r="G60" s="34"/>
      <c r="H60" s="38"/>
      <c r="I60" s="34"/>
      <c r="J60" s="41" t="s">
        <v>261</v>
      </c>
      <c r="K60" s="41" t="s">
        <v>261</v>
      </c>
      <c r="L60" s="41"/>
      <c r="M60" s="42"/>
      <c r="N60" s="42"/>
      <c r="O60" s="42"/>
      <c r="P60" s="41"/>
      <c r="Q60" s="39"/>
      <c r="R60" s="41"/>
      <c r="S60" s="46">
        <v>0.67</v>
      </c>
      <c r="T60" s="50">
        <f>IFERROR(__xludf.DUMMYFUNCTION("((IFERROR(MIN(FILTER({L60, O60, R60}, ISNUMBER({L60, O60, R60}), {L60, O60, R60} &gt; 0)), """"))*S60)+IFERROR(MIN(FILTER({L60, O60, R60}, ISNUMBER({L60, O60, R60}), {L60, O60, R60} &gt; 0)), """")"),0.0)</f>
        <v>0</v>
      </c>
      <c r="U60" s="53" t="str">
        <f>IFERROR(__xludf.DUMMYFUNCTION("(T60-(IFERROR(MIN(FILTER({L60, O60, R60}, ISNUMBER({L60, O60, R60}), {L60, O60, R60} &gt; 0)), """")))/T60"),"#DIV/0!")</f>
        <v>#DIV/0!</v>
      </c>
    </row>
    <row r="61" ht="22.5" customHeight="1">
      <c r="A61" s="34"/>
      <c r="B61" s="34"/>
      <c r="C61" s="37"/>
      <c r="D61" s="38"/>
      <c r="E61" s="76"/>
      <c r="F61" s="40"/>
      <c r="G61" s="34"/>
      <c r="H61" s="38"/>
      <c r="I61" s="34"/>
      <c r="J61" s="41" t="s">
        <v>261</v>
      </c>
      <c r="K61" s="41" t="s">
        <v>261</v>
      </c>
      <c r="L61" s="41"/>
      <c r="M61" s="42"/>
      <c r="N61" s="42"/>
      <c r="O61" s="42"/>
      <c r="P61" s="41"/>
      <c r="Q61" s="39"/>
      <c r="R61" s="41"/>
      <c r="S61" s="46">
        <v>0.67</v>
      </c>
      <c r="T61" s="50">
        <f>IFERROR(__xludf.DUMMYFUNCTION("((IFERROR(MIN(FILTER({L61, O61, R61}, ISNUMBER({L61, O61, R61}), {L61, O61, R61} &gt; 0)), """"))*S61)+IFERROR(MIN(FILTER({L61, O61, R61}, ISNUMBER({L61, O61, R61}), {L61, O61, R61} &gt; 0)), """")"),0.0)</f>
        <v>0</v>
      </c>
      <c r="U61" s="53" t="str">
        <f>IFERROR(__xludf.DUMMYFUNCTION("(T61-(IFERROR(MIN(FILTER({L61, O61, R61}, ISNUMBER({L61, O61, R61}), {L61, O61, R61} &gt; 0)), """")))/T61"),"#DIV/0!")</f>
        <v>#DIV/0!</v>
      </c>
    </row>
    <row r="62" ht="22.5" customHeight="1">
      <c r="A62" s="34"/>
      <c r="B62" s="34"/>
      <c r="C62" s="37"/>
      <c r="D62" s="38"/>
      <c r="E62" s="76"/>
      <c r="F62" s="40"/>
      <c r="G62" s="34"/>
      <c r="H62" s="38"/>
      <c r="I62" s="34"/>
      <c r="J62" s="41" t="s">
        <v>261</v>
      </c>
      <c r="K62" s="41" t="s">
        <v>261</v>
      </c>
      <c r="L62" s="41"/>
      <c r="M62" s="42"/>
      <c r="N62" s="42"/>
      <c r="O62" s="42"/>
      <c r="P62" s="41"/>
      <c r="Q62" s="39"/>
      <c r="R62" s="41"/>
      <c r="S62" s="46">
        <v>0.67</v>
      </c>
      <c r="T62" s="50">
        <f>IFERROR(__xludf.DUMMYFUNCTION("((IFERROR(MIN(FILTER({L62, O62, R62}, ISNUMBER({L62, O62, R62}), {L62, O62, R62} &gt; 0)), """"))*S62)+IFERROR(MIN(FILTER({L62, O62, R62}, ISNUMBER({L62, O62, R62}), {L62, O62, R62} &gt; 0)), """")"),0.0)</f>
        <v>0</v>
      </c>
      <c r="U62" s="53" t="str">
        <f>IFERROR(__xludf.DUMMYFUNCTION("(T62-(IFERROR(MIN(FILTER({L62, O62, R62}, ISNUMBER({L62, O62, R62}), {L62, O62, R62} &gt; 0)), """")))/T62"),"#DIV/0!")</f>
        <v>#DIV/0!</v>
      </c>
    </row>
    <row r="63" ht="22.5" customHeight="1">
      <c r="A63" s="34"/>
      <c r="B63" s="34"/>
      <c r="C63" s="37"/>
      <c r="D63" s="38"/>
      <c r="E63" s="76"/>
      <c r="F63" s="40"/>
      <c r="G63" s="34"/>
      <c r="H63" s="38"/>
      <c r="I63" s="34"/>
      <c r="J63" s="41" t="s">
        <v>261</v>
      </c>
      <c r="K63" s="41" t="s">
        <v>261</v>
      </c>
      <c r="L63" s="41"/>
      <c r="M63" s="42"/>
      <c r="N63" s="42"/>
      <c r="O63" s="42"/>
      <c r="P63" s="41"/>
      <c r="Q63" s="39"/>
      <c r="R63" s="41"/>
      <c r="S63" s="46">
        <v>0.67</v>
      </c>
      <c r="T63" s="50">
        <f>IFERROR(__xludf.DUMMYFUNCTION("((IFERROR(MIN(FILTER({L63, O63, R63}, ISNUMBER({L63, O63, R63}), {L63, O63, R63} &gt; 0)), """"))*S63)+IFERROR(MIN(FILTER({L63, O63, R63}, ISNUMBER({L63, O63, R63}), {L63, O63, R63} &gt; 0)), """")"),0.0)</f>
        <v>0</v>
      </c>
      <c r="U63" s="53" t="str">
        <f>IFERROR(__xludf.DUMMYFUNCTION("(T63-(IFERROR(MIN(FILTER({L63, O63, R63}, ISNUMBER({L63, O63, R63}), {L63, O63, R63} &gt; 0)), """")))/T63"),"#DIV/0!")</f>
        <v>#DIV/0!</v>
      </c>
    </row>
    <row r="64" ht="22.5" customHeight="1">
      <c r="A64" s="34"/>
      <c r="B64" s="34"/>
      <c r="C64" s="37"/>
      <c r="D64" s="38"/>
      <c r="E64" s="76"/>
      <c r="F64" s="40"/>
      <c r="G64" s="34"/>
      <c r="H64" s="38"/>
      <c r="I64" s="34"/>
      <c r="J64" s="41" t="s">
        <v>261</v>
      </c>
      <c r="K64" s="41" t="s">
        <v>261</v>
      </c>
      <c r="L64" s="41"/>
      <c r="M64" s="42"/>
      <c r="N64" s="42"/>
      <c r="O64" s="42"/>
      <c r="P64" s="41"/>
      <c r="Q64" s="39"/>
      <c r="R64" s="41"/>
      <c r="S64" s="46">
        <v>0.67</v>
      </c>
      <c r="T64" s="50">
        <f>IFERROR(__xludf.DUMMYFUNCTION("((IFERROR(MIN(FILTER({L64, O64, R64}, ISNUMBER({L64, O64, R64}), {L64, O64, R64} &gt; 0)), """"))*S64)+IFERROR(MIN(FILTER({L64, O64, R64}, ISNUMBER({L64, O64, R64}), {L64, O64, R64} &gt; 0)), """")"),0.0)</f>
        <v>0</v>
      </c>
      <c r="U64" s="53" t="str">
        <f>IFERROR(__xludf.DUMMYFUNCTION("(T64-(IFERROR(MIN(FILTER({L64, O64, R64}, ISNUMBER({L64, O64, R64}), {L64, O64, R64} &gt; 0)), """")))/T64"),"#DIV/0!")</f>
        <v>#DIV/0!</v>
      </c>
    </row>
    <row r="65" ht="22.5" customHeight="1">
      <c r="A65" s="34"/>
      <c r="B65" s="34"/>
      <c r="C65" s="37"/>
      <c r="D65" s="38"/>
      <c r="E65" s="76"/>
      <c r="F65" s="40"/>
      <c r="G65" s="34"/>
      <c r="H65" s="38"/>
      <c r="I65" s="34"/>
      <c r="J65" s="41" t="s">
        <v>261</v>
      </c>
      <c r="K65" s="41" t="s">
        <v>261</v>
      </c>
      <c r="L65" s="41"/>
      <c r="M65" s="42"/>
      <c r="N65" s="42"/>
      <c r="O65" s="42"/>
      <c r="P65" s="41"/>
      <c r="Q65" s="39"/>
      <c r="R65" s="41"/>
      <c r="S65" s="46">
        <v>0.67</v>
      </c>
      <c r="T65" s="50">
        <f>IFERROR(__xludf.DUMMYFUNCTION("((IFERROR(MIN(FILTER({L65, O65, R65}, ISNUMBER({L65, O65, R65}), {L65, O65, R65} &gt; 0)), """"))*S65)+IFERROR(MIN(FILTER({L65, O65, R65}, ISNUMBER({L65, O65, R65}), {L65, O65, R65} &gt; 0)), """")"),0.0)</f>
        <v>0</v>
      </c>
      <c r="U65" s="53" t="str">
        <f>IFERROR(__xludf.DUMMYFUNCTION("(T65-(IFERROR(MIN(FILTER({L65, O65, R65}, ISNUMBER({L65, O65, R65}), {L65, O65, R65} &gt; 0)), """")))/T65"),"#DIV/0!")</f>
        <v>#DIV/0!</v>
      </c>
    </row>
    <row r="66" ht="22.5" customHeight="1">
      <c r="A66" s="34"/>
      <c r="B66" s="34"/>
      <c r="C66" s="37"/>
      <c r="D66" s="38"/>
      <c r="E66" s="76"/>
      <c r="F66" s="40"/>
      <c r="G66" s="34"/>
      <c r="H66" s="38"/>
      <c r="I66" s="34"/>
      <c r="J66" s="41" t="s">
        <v>261</v>
      </c>
      <c r="K66" s="41" t="s">
        <v>261</v>
      </c>
      <c r="L66" s="41"/>
      <c r="M66" s="42"/>
      <c r="N66" s="42"/>
      <c r="O66" s="42"/>
      <c r="P66" s="41"/>
      <c r="Q66" s="39"/>
      <c r="R66" s="41"/>
      <c r="S66" s="46">
        <v>0.67</v>
      </c>
      <c r="T66" s="50">
        <f>IFERROR(__xludf.DUMMYFUNCTION("((IFERROR(MIN(FILTER({L66, O66, R66}, ISNUMBER({L66, O66, R66}), {L66, O66, R66} &gt; 0)), """"))*S66)+IFERROR(MIN(FILTER({L66, O66, R66}, ISNUMBER({L66, O66, R66}), {L66, O66, R66} &gt; 0)), """")"),0.0)</f>
        <v>0</v>
      </c>
      <c r="U66" s="53" t="str">
        <f>IFERROR(__xludf.DUMMYFUNCTION("(T66-(IFERROR(MIN(FILTER({L66, O66, R66}, ISNUMBER({L66, O66, R66}), {L66, O66, R66} &gt; 0)), """")))/T66"),"#DIV/0!")</f>
        <v>#DIV/0!</v>
      </c>
    </row>
    <row r="67" ht="22.5" customHeight="1">
      <c r="A67" s="34"/>
      <c r="B67" s="34"/>
      <c r="C67" s="37"/>
      <c r="D67" s="38"/>
      <c r="E67" s="76"/>
      <c r="F67" s="40"/>
      <c r="G67" s="34"/>
      <c r="H67" s="38"/>
      <c r="I67" s="34"/>
      <c r="J67" s="41" t="s">
        <v>261</v>
      </c>
      <c r="K67" s="41" t="s">
        <v>261</v>
      </c>
      <c r="L67" s="41"/>
      <c r="M67" s="42"/>
      <c r="N67" s="42"/>
      <c r="O67" s="42"/>
      <c r="P67" s="41"/>
      <c r="Q67" s="39"/>
      <c r="R67" s="41"/>
      <c r="S67" s="46">
        <v>0.67</v>
      </c>
      <c r="T67" s="50">
        <f>IFERROR(__xludf.DUMMYFUNCTION("((IFERROR(MIN(FILTER({L67, O67, R67}, ISNUMBER({L67, O67, R67}), {L67, O67, R67} &gt; 0)), """"))*S67)+IFERROR(MIN(FILTER({L67, O67, R67}, ISNUMBER({L67, O67, R67}), {L67, O67, R67} &gt; 0)), """")"),0.0)</f>
        <v>0</v>
      </c>
      <c r="U67" s="53" t="str">
        <f>IFERROR(__xludf.DUMMYFUNCTION("(T67-(IFERROR(MIN(FILTER({L67, O67, R67}, ISNUMBER({L67, O67, R67}), {L67, O67, R67} &gt; 0)), """")))/T67"),"#DIV/0!")</f>
        <v>#DIV/0!</v>
      </c>
    </row>
    <row r="68" ht="22.5" customHeight="1">
      <c r="A68" s="34"/>
      <c r="B68" s="34"/>
      <c r="C68" s="37"/>
      <c r="D68" s="38"/>
      <c r="E68" s="76"/>
      <c r="F68" s="40"/>
      <c r="G68" s="67"/>
      <c r="H68" s="38"/>
      <c r="I68" s="34"/>
      <c r="J68" s="41" t="s">
        <v>261</v>
      </c>
      <c r="K68" s="41" t="s">
        <v>261</v>
      </c>
      <c r="L68" s="41"/>
      <c r="M68" s="42"/>
      <c r="N68" s="42"/>
      <c r="O68" s="42"/>
      <c r="P68" s="41"/>
      <c r="Q68" s="39"/>
      <c r="R68" s="41"/>
      <c r="S68" s="46">
        <v>0.67</v>
      </c>
      <c r="T68" s="50">
        <f>IFERROR(__xludf.DUMMYFUNCTION("((IFERROR(MIN(FILTER({L68, O68, R68}, ISNUMBER({L68, O68, R68}), {L68, O68, R68} &gt; 0)), """"))*S68)+IFERROR(MIN(FILTER({L68, O68, R68}, ISNUMBER({L68, O68, R68}), {L68, O68, R68} &gt; 0)), """")"),0.0)</f>
        <v>0</v>
      </c>
      <c r="U68" s="53" t="str">
        <f>IFERROR(__xludf.DUMMYFUNCTION("(T68-(IFERROR(MIN(FILTER({L68, O68, R68}, ISNUMBER({L68, O68, R68}), {L68, O68, R68} &gt; 0)), """")))/T68"),"#DIV/0!")</f>
        <v>#DIV/0!</v>
      </c>
    </row>
    <row r="69" ht="22.5" customHeight="1">
      <c r="A69" s="34"/>
      <c r="B69" s="34"/>
      <c r="C69" s="37"/>
      <c r="D69" s="38"/>
      <c r="E69" s="76"/>
      <c r="F69" s="40"/>
      <c r="G69" s="67"/>
      <c r="H69" s="38"/>
      <c r="I69" s="34"/>
      <c r="J69" s="41" t="s">
        <v>261</v>
      </c>
      <c r="K69" s="41" t="s">
        <v>261</v>
      </c>
      <c r="L69" s="41"/>
      <c r="M69" s="42"/>
      <c r="N69" s="42"/>
      <c r="O69" s="42"/>
      <c r="P69" s="41"/>
      <c r="Q69" s="39"/>
      <c r="R69" s="41"/>
      <c r="S69" s="46">
        <v>0.67</v>
      </c>
      <c r="T69" s="50">
        <f>IFERROR(__xludf.DUMMYFUNCTION("((IFERROR(MIN(FILTER({L69, O69, R69}, ISNUMBER({L69, O69, R69}), {L69, O69, R69} &gt; 0)), """"))*S69)+IFERROR(MIN(FILTER({L69, O69, R69}, ISNUMBER({L69, O69, R69}), {L69, O69, R69} &gt; 0)), """")"),0.0)</f>
        <v>0</v>
      </c>
      <c r="U69" s="53" t="str">
        <f>IFERROR(__xludf.DUMMYFUNCTION("(T69-(IFERROR(MIN(FILTER({L69, O69, R69}, ISNUMBER({L69, O69, R69}), {L69, O69, R69} &gt; 0)), """")))/T69"),"#DIV/0!")</f>
        <v>#DIV/0!</v>
      </c>
    </row>
    <row r="70" ht="22.5" customHeight="1">
      <c r="A70" s="34"/>
      <c r="B70" s="34"/>
      <c r="C70" s="37"/>
      <c r="D70" s="38"/>
      <c r="E70" s="76"/>
      <c r="F70" s="40"/>
      <c r="G70" s="34"/>
      <c r="H70" s="38"/>
      <c r="I70" s="34"/>
      <c r="J70" s="41" t="s">
        <v>261</v>
      </c>
      <c r="K70" s="41" t="s">
        <v>261</v>
      </c>
      <c r="L70" s="41"/>
      <c r="M70" s="42"/>
      <c r="N70" s="42"/>
      <c r="O70" s="42"/>
      <c r="P70" s="41"/>
      <c r="Q70" s="39"/>
      <c r="R70" s="41"/>
      <c r="S70" s="46">
        <v>0.67</v>
      </c>
      <c r="T70" s="50">
        <f>IFERROR(__xludf.DUMMYFUNCTION("((IFERROR(MIN(FILTER({L70, O70, R70}, ISNUMBER({L70, O70, R70}), {L70, O70, R70} &gt; 0)), """"))*S70)+IFERROR(MIN(FILTER({L70, O70, R70}, ISNUMBER({L70, O70, R70}), {L70, O70, R70} &gt; 0)), """")"),0.0)</f>
        <v>0</v>
      </c>
      <c r="U70" s="53" t="str">
        <f>IFERROR(__xludf.DUMMYFUNCTION("(T70-(IFERROR(MIN(FILTER({L70, O70, R70}, ISNUMBER({L70, O70, R70}), {L70, O70, R70} &gt; 0)), """")))/T70"),"#DIV/0!")</f>
        <v>#DIV/0!</v>
      </c>
    </row>
    <row r="71" ht="22.5" customHeight="1">
      <c r="A71" s="34"/>
      <c r="B71" s="34"/>
      <c r="C71" s="37"/>
      <c r="D71" s="38"/>
      <c r="E71" s="76"/>
      <c r="F71" s="40"/>
      <c r="G71" s="34"/>
      <c r="H71" s="38"/>
      <c r="I71" s="34"/>
      <c r="J71" s="41" t="s">
        <v>261</v>
      </c>
      <c r="K71" s="41" t="s">
        <v>261</v>
      </c>
      <c r="L71" s="41"/>
      <c r="M71" s="42"/>
      <c r="N71" s="42"/>
      <c r="O71" s="60"/>
      <c r="P71" s="41"/>
      <c r="Q71" s="39"/>
      <c r="R71" s="39"/>
      <c r="S71" s="46">
        <v>0.67</v>
      </c>
      <c r="T71" s="50">
        <f>IFERROR(__xludf.DUMMYFUNCTION("((IFERROR(MIN(FILTER({L71, O71, R71}, ISNUMBER({L71, O71, R71}), {L71, O71, R71} &gt; 0)), """"))*S71)+IFERROR(MIN(FILTER({L71, O71, R71}, ISNUMBER({L71, O71, R71}), {L71, O71, R71} &gt; 0)), """")"),0.0)</f>
        <v>0</v>
      </c>
      <c r="U71" s="53" t="str">
        <f>IFERROR(__xludf.DUMMYFUNCTION("(T71-(IFERROR(MIN(FILTER({L71, O71, R71}, ISNUMBER({L71, O71, R71}), {L71, O71, R71} &gt; 0)), """")))/T71"),"#DIV/0!")</f>
        <v>#DIV/0!</v>
      </c>
    </row>
    <row r="72" ht="22.5" customHeight="1">
      <c r="A72" s="34"/>
      <c r="B72" s="34"/>
      <c r="C72" s="37"/>
      <c r="D72" s="38"/>
      <c r="E72" s="76"/>
      <c r="F72" s="40"/>
      <c r="G72" s="34"/>
      <c r="H72" s="38"/>
      <c r="I72" s="34"/>
      <c r="J72" s="41" t="s">
        <v>261</v>
      </c>
      <c r="K72" s="41" t="s">
        <v>261</v>
      </c>
      <c r="L72" s="41"/>
      <c r="M72" s="42"/>
      <c r="N72" s="42"/>
      <c r="O72" s="60"/>
      <c r="P72" s="41"/>
      <c r="Q72" s="39"/>
      <c r="R72" s="39"/>
      <c r="S72" s="46">
        <v>0.67</v>
      </c>
      <c r="T72" s="50">
        <f>IFERROR(__xludf.DUMMYFUNCTION("((IFERROR(MIN(FILTER({L72, O72, R72}, ISNUMBER({L72, O72, R72}), {L72, O72, R72} &gt; 0)), """"))*S72)+IFERROR(MIN(FILTER({L72, O72, R72}, ISNUMBER({L72, O72, R72}), {L72, O72, R72} &gt; 0)), """")"),0.0)</f>
        <v>0</v>
      </c>
      <c r="U72" s="53" t="str">
        <f>IFERROR(__xludf.DUMMYFUNCTION("(T72-(IFERROR(MIN(FILTER({L72, O72, R72}, ISNUMBER({L72, O72, R72}), {L72, O72, R72} &gt; 0)), """")))/T72"),"#DIV/0!")</f>
        <v>#DIV/0!</v>
      </c>
    </row>
    <row r="73" ht="22.5" customHeight="1">
      <c r="A73" s="34"/>
      <c r="B73" s="34"/>
      <c r="C73" s="37"/>
      <c r="D73" s="38"/>
      <c r="E73" s="76"/>
      <c r="F73" s="40"/>
      <c r="G73" s="34"/>
      <c r="H73" s="38"/>
      <c r="I73" s="34"/>
      <c r="J73" s="41" t="s">
        <v>261</v>
      </c>
      <c r="K73" s="41" t="s">
        <v>261</v>
      </c>
      <c r="L73" s="41"/>
      <c r="M73" s="42"/>
      <c r="N73" s="42"/>
      <c r="O73" s="42"/>
      <c r="P73" s="41"/>
      <c r="Q73" s="39"/>
      <c r="R73" s="41"/>
      <c r="S73" s="46">
        <v>0.67</v>
      </c>
      <c r="T73" s="50">
        <f>IFERROR(__xludf.DUMMYFUNCTION("((IFERROR(MIN(FILTER({L73, O73, R73}, ISNUMBER({L73, O73, R73}), {L73, O73, R73} &gt; 0)), """"))*S73)+IFERROR(MIN(FILTER({L73, O73, R73}, ISNUMBER({L73, O73, R73}), {L73, O73, R73} &gt; 0)), """")"),0.0)</f>
        <v>0</v>
      </c>
      <c r="U73" s="53" t="str">
        <f>IFERROR(__xludf.DUMMYFUNCTION("(T73-(IFERROR(MIN(FILTER({L73, O73, R73}, ISNUMBER({L73, O73, R73}), {L73, O73, R73} &gt; 0)), """")))/T73"),"#DIV/0!")</f>
        <v>#DIV/0!</v>
      </c>
    </row>
    <row r="74" ht="22.5" customHeight="1">
      <c r="A74" s="34"/>
      <c r="B74" s="34"/>
      <c r="C74" s="37"/>
      <c r="D74" s="38"/>
      <c r="E74" s="76"/>
      <c r="F74" s="40"/>
      <c r="G74" s="34"/>
      <c r="H74" s="38"/>
      <c r="I74" s="34"/>
      <c r="J74" s="41" t="s">
        <v>261</v>
      </c>
      <c r="K74" s="41" t="s">
        <v>261</v>
      </c>
      <c r="L74" s="41"/>
      <c r="M74" s="42"/>
      <c r="N74" s="42"/>
      <c r="O74" s="60"/>
      <c r="P74" s="41"/>
      <c r="Q74" s="39"/>
      <c r="R74" s="41"/>
      <c r="S74" s="46">
        <v>0.67</v>
      </c>
      <c r="T74" s="50">
        <f>IFERROR(__xludf.DUMMYFUNCTION("((IFERROR(MIN(FILTER({L74, O74, R74}, ISNUMBER({L74, O74, R74}), {L74, O74, R74} &gt; 0)), """"))*S74)+IFERROR(MIN(FILTER({L74, O74, R74}, ISNUMBER({L74, O74, R74}), {L74, O74, R74} &gt; 0)), """")"),0.0)</f>
        <v>0</v>
      </c>
      <c r="U74" s="53" t="str">
        <f>IFERROR(__xludf.DUMMYFUNCTION("(T74-(IFERROR(MIN(FILTER({L74, O74, R74}, ISNUMBER({L74, O74, R74}), {L74, O74, R74} &gt; 0)), """")))/T74"),"#DIV/0!")</f>
        <v>#DIV/0!</v>
      </c>
    </row>
    <row r="75" ht="22.5" customHeight="1">
      <c r="A75" s="34"/>
      <c r="B75" s="34"/>
      <c r="C75" s="37"/>
      <c r="D75" s="38"/>
      <c r="E75" s="76"/>
      <c r="F75" s="40"/>
      <c r="G75" s="34"/>
      <c r="H75" s="38"/>
      <c r="I75" s="34"/>
      <c r="J75" s="41" t="s">
        <v>261</v>
      </c>
      <c r="K75" s="41" t="s">
        <v>261</v>
      </c>
      <c r="L75" s="41"/>
      <c r="M75" s="42"/>
      <c r="N75" s="42"/>
      <c r="O75" s="60"/>
      <c r="P75" s="41"/>
      <c r="Q75" s="39"/>
      <c r="R75" s="41"/>
      <c r="S75" s="46">
        <v>0.67</v>
      </c>
      <c r="T75" s="50">
        <f>IFERROR(__xludf.DUMMYFUNCTION("((IFERROR(MIN(FILTER({L75, O75, R75}, ISNUMBER({L75, O75, R75}), {L75, O75, R75} &gt; 0)), """"))*S75)+IFERROR(MIN(FILTER({L75, O75, R75}, ISNUMBER({L75, O75, R75}), {L75, O75, R75} &gt; 0)), """")"),0.0)</f>
        <v>0</v>
      </c>
      <c r="U75" s="53" t="str">
        <f>IFERROR(__xludf.DUMMYFUNCTION("(T75-(IFERROR(MIN(FILTER({L75, O75, R75}, ISNUMBER({L75, O75, R75}), {L75, O75, R75} &gt; 0)), """")))/T75"),"#DIV/0!")</f>
        <v>#DIV/0!</v>
      </c>
    </row>
    <row r="76" ht="22.5" customHeight="1">
      <c r="A76" s="34"/>
      <c r="B76" s="34"/>
      <c r="C76" s="37"/>
      <c r="D76" s="38"/>
      <c r="E76" s="76"/>
      <c r="F76" s="40"/>
      <c r="G76" s="34"/>
      <c r="H76" s="38"/>
      <c r="I76" s="34"/>
      <c r="J76" s="41" t="s">
        <v>261</v>
      </c>
      <c r="K76" s="41" t="s">
        <v>261</v>
      </c>
      <c r="L76" s="41"/>
      <c r="M76" s="42"/>
      <c r="N76" s="42"/>
      <c r="O76" s="60"/>
      <c r="P76" s="41"/>
      <c r="Q76" s="39"/>
      <c r="R76" s="41"/>
      <c r="S76" s="46">
        <v>0.67</v>
      </c>
      <c r="T76" s="50">
        <f>IFERROR(__xludf.DUMMYFUNCTION("((IFERROR(MIN(FILTER({L76, O76, R76}, ISNUMBER({L76, O76, R76}), {L76, O76, R76} &gt; 0)), """"))*S76)+IFERROR(MIN(FILTER({L76, O76, R76}, ISNUMBER({L76, O76, R76}), {L76, O76, R76} &gt; 0)), """")"),0.0)</f>
        <v>0</v>
      </c>
      <c r="U76" s="53" t="str">
        <f>IFERROR(__xludf.DUMMYFUNCTION("(T76-(IFERROR(MIN(FILTER({L76, O76, R76}, ISNUMBER({L76, O76, R76}), {L76, O76, R76} &gt; 0)), """")))/T76"),"#DIV/0!")</f>
        <v>#DIV/0!</v>
      </c>
    </row>
    <row r="77" ht="22.5" customHeight="1">
      <c r="A77" s="34"/>
      <c r="B77" s="34"/>
      <c r="C77" s="37"/>
      <c r="D77" s="38"/>
      <c r="E77" s="76"/>
      <c r="F77" s="40"/>
      <c r="G77" s="34"/>
      <c r="H77" s="38"/>
      <c r="I77" s="34"/>
      <c r="J77" s="41" t="s">
        <v>261</v>
      </c>
      <c r="K77" s="41" t="s">
        <v>261</v>
      </c>
      <c r="L77" s="41"/>
      <c r="M77" s="42"/>
      <c r="N77" s="42"/>
      <c r="O77" s="60"/>
      <c r="P77" s="41"/>
      <c r="Q77" s="39"/>
      <c r="R77" s="41"/>
      <c r="S77" s="46">
        <v>0.67</v>
      </c>
      <c r="T77" s="50">
        <f>IFERROR(__xludf.DUMMYFUNCTION("((IFERROR(MIN(FILTER({L77, O77, R77}, ISNUMBER({L77, O77, R77}), {L77, O77, R77} &gt; 0)), """"))*S77)+IFERROR(MIN(FILTER({L77, O77, R77}, ISNUMBER({L77, O77, R77}), {L77, O77, R77} &gt; 0)), """")"),0.0)</f>
        <v>0</v>
      </c>
      <c r="U77" s="53" t="str">
        <f>IFERROR(__xludf.DUMMYFUNCTION("(T77-(IFERROR(MIN(FILTER({L77, O77, R77}, ISNUMBER({L77, O77, R77}), {L77, O77, R77} &gt; 0)), """")))/T77"),"#DIV/0!")</f>
        <v>#DIV/0!</v>
      </c>
    </row>
    <row r="78" ht="22.5" customHeight="1">
      <c r="A78" s="34"/>
      <c r="B78" s="34"/>
      <c r="C78" s="37"/>
      <c r="D78" s="38"/>
      <c r="E78" s="76"/>
      <c r="F78" s="40"/>
      <c r="G78" s="34"/>
      <c r="H78" s="38"/>
      <c r="I78" s="34"/>
      <c r="J78" s="41" t="s">
        <v>261</v>
      </c>
      <c r="K78" s="41" t="s">
        <v>261</v>
      </c>
      <c r="L78" s="41"/>
      <c r="M78" s="42"/>
      <c r="N78" s="42"/>
      <c r="O78" s="60"/>
      <c r="P78" s="41"/>
      <c r="Q78" s="39"/>
      <c r="R78" s="41"/>
      <c r="S78" s="46">
        <v>0.67</v>
      </c>
      <c r="T78" s="50">
        <f>IFERROR(__xludf.DUMMYFUNCTION("((IFERROR(MIN(FILTER({L78, O78, R78}, ISNUMBER({L78, O78, R78}), {L78, O78, R78} &gt; 0)), """"))*S78)+IFERROR(MIN(FILTER({L78, O78, R78}, ISNUMBER({L78, O78, R78}), {L78, O78, R78} &gt; 0)), """")"),0.0)</f>
        <v>0</v>
      </c>
      <c r="U78" s="53" t="str">
        <f>IFERROR(__xludf.DUMMYFUNCTION("(T78-(IFERROR(MIN(FILTER({L78, O78, R78}, ISNUMBER({L78, O78, R78}), {L78, O78, R78} &gt; 0)), """")))/T78"),"#DIV/0!")</f>
        <v>#DIV/0!</v>
      </c>
    </row>
    <row r="79" ht="22.5" customHeight="1">
      <c r="A79" s="34"/>
      <c r="B79" s="34"/>
      <c r="C79" s="37"/>
      <c r="D79" s="38"/>
      <c r="E79" s="76"/>
      <c r="F79" s="40"/>
      <c r="G79" s="34"/>
      <c r="H79" s="38"/>
      <c r="I79" s="34"/>
      <c r="J79" s="41" t="s">
        <v>261</v>
      </c>
      <c r="K79" s="41" t="s">
        <v>261</v>
      </c>
      <c r="L79" s="41"/>
      <c r="M79" s="42"/>
      <c r="N79" s="42"/>
      <c r="O79" s="60"/>
      <c r="P79" s="41"/>
      <c r="Q79" s="39"/>
      <c r="R79" s="41"/>
      <c r="S79" s="46">
        <v>0.67</v>
      </c>
      <c r="T79" s="50">
        <f>IFERROR(__xludf.DUMMYFUNCTION("((IFERROR(MIN(FILTER({L79, O79, R79}, ISNUMBER({L79, O79, R79}), {L79, O79, R79} &gt; 0)), """"))*S79)+IFERROR(MIN(FILTER({L79, O79, R79}, ISNUMBER({L79, O79, R79}), {L79, O79, R79} &gt; 0)), """")"),0.0)</f>
        <v>0</v>
      </c>
      <c r="U79" s="53" t="str">
        <f>IFERROR(__xludf.DUMMYFUNCTION("(T79-(IFERROR(MIN(FILTER({L79, O79, R79}, ISNUMBER({L79, O79, R79}), {L79, O79, R79} &gt; 0)), """")))/T79"),"#DIV/0!")</f>
        <v>#DIV/0!</v>
      </c>
    </row>
    <row r="80" ht="22.5" customHeight="1">
      <c r="A80" s="34"/>
      <c r="B80" s="34"/>
      <c r="C80" s="37"/>
      <c r="D80" s="38"/>
      <c r="E80" s="76"/>
      <c r="F80" s="40"/>
      <c r="G80" s="34"/>
      <c r="H80" s="38"/>
      <c r="I80" s="34"/>
      <c r="J80" s="41" t="s">
        <v>261</v>
      </c>
      <c r="K80" s="41" t="s">
        <v>261</v>
      </c>
      <c r="L80" s="41"/>
      <c r="M80" s="42"/>
      <c r="N80" s="42"/>
      <c r="O80" s="60"/>
      <c r="P80" s="41"/>
      <c r="Q80" s="39"/>
      <c r="R80" s="41"/>
      <c r="S80" s="46">
        <v>0.67</v>
      </c>
      <c r="T80" s="50">
        <f>IFERROR(__xludf.DUMMYFUNCTION("((IFERROR(MIN(FILTER({L80, O80, R80}, ISNUMBER({L80, O80, R80}), {L80, O80, R80} &gt; 0)), """"))*S80)+IFERROR(MIN(FILTER({L80, O80, R80}, ISNUMBER({L80, O80, R80}), {L80, O80, R80} &gt; 0)), """")"),0.0)</f>
        <v>0</v>
      </c>
      <c r="U80" s="53" t="str">
        <f>IFERROR(__xludf.DUMMYFUNCTION("(T80-(IFERROR(MIN(FILTER({L80, O80, R80}, ISNUMBER({L80, O80, R80}), {L80, O80, R80} &gt; 0)), """")))/T80"),"#DIV/0!")</f>
        <v>#DIV/0!</v>
      </c>
    </row>
    <row r="81" ht="22.5" customHeight="1">
      <c r="A81" s="34"/>
      <c r="B81" s="34"/>
      <c r="C81" s="37"/>
      <c r="D81" s="38"/>
      <c r="E81" s="76"/>
      <c r="F81" s="40"/>
      <c r="G81" s="34"/>
      <c r="H81" s="38"/>
      <c r="I81" s="34"/>
      <c r="J81" s="41" t="s">
        <v>261</v>
      </c>
      <c r="K81" s="41" t="s">
        <v>261</v>
      </c>
      <c r="L81" s="41"/>
      <c r="M81" s="42"/>
      <c r="N81" s="42"/>
      <c r="O81" s="60"/>
      <c r="P81" s="41"/>
      <c r="Q81" s="39"/>
      <c r="R81" s="41"/>
      <c r="S81" s="46">
        <v>0.67</v>
      </c>
      <c r="T81" s="50">
        <f>IFERROR(__xludf.DUMMYFUNCTION("((IFERROR(MIN(FILTER({L81, O81, R81}, ISNUMBER({L81, O81, R81}), {L81, O81, R81} &gt; 0)), """"))*S81)+IFERROR(MIN(FILTER({L81, O81, R81}, ISNUMBER({L81, O81, R81}), {L81, O81, R81} &gt; 0)), """")"),0.0)</f>
        <v>0</v>
      </c>
      <c r="U81" s="53" t="str">
        <f>IFERROR(__xludf.DUMMYFUNCTION("(T81-(IFERROR(MIN(FILTER({L81, O81, R81}, ISNUMBER({L81, O81, R81}), {L81, O81, R81} &gt; 0)), """")))/T81"),"#DIV/0!")</f>
        <v>#DIV/0!</v>
      </c>
    </row>
    <row r="82" ht="22.5" customHeight="1">
      <c r="A82" s="34"/>
      <c r="B82" s="34"/>
      <c r="C82" s="37"/>
      <c r="D82" s="38"/>
      <c r="E82" s="76"/>
      <c r="F82" s="40"/>
      <c r="G82" s="34"/>
      <c r="H82" s="38"/>
      <c r="I82" s="34"/>
      <c r="J82" s="41" t="s">
        <v>261</v>
      </c>
      <c r="K82" s="41" t="s">
        <v>261</v>
      </c>
      <c r="L82" s="41"/>
      <c r="M82" s="42"/>
      <c r="N82" s="42"/>
      <c r="O82" s="42"/>
      <c r="P82" s="41"/>
      <c r="Q82" s="39"/>
      <c r="R82" s="41"/>
      <c r="S82" s="46">
        <v>0.67</v>
      </c>
      <c r="T82" s="50">
        <f>IFERROR(__xludf.DUMMYFUNCTION("((IFERROR(MIN(FILTER({L82, O82, R82}, ISNUMBER({L82, O82, R82}), {L82, O82, R82} &gt; 0)), """"))*S82)+IFERROR(MIN(FILTER({L82, O82, R82}, ISNUMBER({L82, O82, R82}), {L82, O82, R82} &gt; 0)), """")"),0.0)</f>
        <v>0</v>
      </c>
      <c r="U82" s="53" t="str">
        <f>IFERROR(__xludf.DUMMYFUNCTION("(T82-(IFERROR(MIN(FILTER({L82, O82, R82}, ISNUMBER({L82, O82, R82}), {L82, O82, R82} &gt; 0)), """")))/T82"),"#DIV/0!")</f>
        <v>#DIV/0!</v>
      </c>
    </row>
    <row r="83" ht="22.5" customHeight="1">
      <c r="A83" s="34"/>
      <c r="B83" s="34"/>
      <c r="C83" s="37"/>
      <c r="D83" s="38"/>
      <c r="E83" s="103"/>
      <c r="F83" s="49"/>
      <c r="G83" s="37"/>
      <c r="H83" s="38"/>
      <c r="I83" s="34"/>
      <c r="J83" s="41" t="s">
        <v>261</v>
      </c>
      <c r="K83" s="41" t="s">
        <v>261</v>
      </c>
      <c r="L83" s="41"/>
      <c r="M83" s="42"/>
      <c r="N83" s="42"/>
      <c r="O83" s="42"/>
      <c r="P83" s="41"/>
      <c r="Q83" s="39"/>
      <c r="R83" s="41"/>
      <c r="S83" s="46">
        <v>0.67</v>
      </c>
      <c r="T83" s="50">
        <f>IFERROR(__xludf.DUMMYFUNCTION("((IFERROR(MIN(FILTER({L83, O83, R83}, ISNUMBER({L83, O83, R83}), {L83, O83, R83} &gt; 0)), """"))*S83)+IFERROR(MIN(FILTER({L83, O83, R83}, ISNUMBER({L83, O83, R83}), {L83, O83, R83} &gt; 0)), """")"),0.0)</f>
        <v>0</v>
      </c>
      <c r="U83" s="53" t="str">
        <f>IFERROR(__xludf.DUMMYFUNCTION("(T83-(IFERROR(MIN(FILTER({L83, O83, R83}, ISNUMBER({L83, O83, R83}), {L83, O83, R83} &gt; 0)), """")))/T83"),"#DIV/0!")</f>
        <v>#DIV/0!</v>
      </c>
    </row>
    <row r="84" ht="22.5" customHeight="1">
      <c r="A84" s="34"/>
      <c r="B84" s="34"/>
      <c r="C84" s="37"/>
      <c r="D84" s="38"/>
      <c r="E84" s="103"/>
      <c r="F84" s="49"/>
      <c r="G84" s="37"/>
      <c r="H84" s="38"/>
      <c r="I84" s="34"/>
      <c r="J84" s="41" t="s">
        <v>261</v>
      </c>
      <c r="K84" s="41" t="s">
        <v>261</v>
      </c>
      <c r="L84" s="41"/>
      <c r="M84" s="42"/>
      <c r="N84" s="42"/>
      <c r="O84" s="42"/>
      <c r="P84" s="41"/>
      <c r="Q84" s="39"/>
      <c r="R84" s="41"/>
      <c r="S84" s="46">
        <v>0.67</v>
      </c>
      <c r="T84" s="50">
        <f>IFERROR(__xludf.DUMMYFUNCTION("((IFERROR(MIN(FILTER({L84, O84, R84}, ISNUMBER({L84, O84, R84}), {L84, O84, R84} &gt; 0)), """"))*S84)+IFERROR(MIN(FILTER({L84, O84, R84}, ISNUMBER({L84, O84, R84}), {L84, O84, R84} &gt; 0)), """")"),0.0)</f>
        <v>0</v>
      </c>
      <c r="U84" s="53" t="str">
        <f>IFERROR(__xludf.DUMMYFUNCTION("(T84-(IFERROR(MIN(FILTER({L84, O84, R84}, ISNUMBER({L84, O84, R84}), {L84, O84, R84} &gt; 0)), """")))/T84"),"#DIV/0!")</f>
        <v>#DIV/0!</v>
      </c>
    </row>
    <row r="85" ht="22.5" customHeight="1">
      <c r="A85" s="34"/>
      <c r="B85" s="34"/>
      <c r="C85" s="37"/>
      <c r="D85" s="38"/>
      <c r="E85" s="103"/>
      <c r="F85" s="49"/>
      <c r="G85" s="37"/>
      <c r="H85" s="38"/>
      <c r="I85" s="34"/>
      <c r="J85" s="41" t="s">
        <v>261</v>
      </c>
      <c r="K85" s="41" t="s">
        <v>261</v>
      </c>
      <c r="L85" s="41"/>
      <c r="M85" s="42"/>
      <c r="N85" s="42"/>
      <c r="O85" s="42"/>
      <c r="P85" s="41"/>
      <c r="Q85" s="39"/>
      <c r="R85" s="39"/>
      <c r="S85" s="46">
        <v>0.67</v>
      </c>
      <c r="T85" s="50">
        <f>IFERROR(__xludf.DUMMYFUNCTION("((IFERROR(MIN(FILTER({L85, O85, R85}, ISNUMBER({L85, O85, R85}), {L85, O85, R85} &gt; 0)), """"))*S85)+IFERROR(MIN(FILTER({L85, O85, R85}, ISNUMBER({L85, O85, R85}), {L85, O85, R85} &gt; 0)), """")"),0.0)</f>
        <v>0</v>
      </c>
      <c r="U85" s="53" t="str">
        <f>IFERROR(__xludf.DUMMYFUNCTION("(T85-(IFERROR(MIN(FILTER({L85, O85, R85}, ISNUMBER({L85, O85, R85}), {L85, O85, R85} &gt; 0)), """")))/T85"),"#DIV/0!")</f>
        <v>#DIV/0!</v>
      </c>
    </row>
    <row r="86" ht="22.5" customHeight="1">
      <c r="A86" s="34"/>
      <c r="B86" s="34"/>
      <c r="C86" s="37"/>
      <c r="D86" s="38"/>
      <c r="E86" s="103"/>
      <c r="F86" s="49"/>
      <c r="G86" s="97"/>
      <c r="H86" s="38"/>
      <c r="I86" s="34"/>
      <c r="J86" s="41" t="s">
        <v>261</v>
      </c>
      <c r="K86" s="41" t="s">
        <v>261</v>
      </c>
      <c r="L86" s="41"/>
      <c r="M86" s="42"/>
      <c r="N86" s="42"/>
      <c r="O86" s="42"/>
      <c r="P86" s="41"/>
      <c r="Q86" s="39"/>
      <c r="R86" s="41"/>
      <c r="S86" s="46">
        <v>0.67</v>
      </c>
      <c r="T86" s="50">
        <f>IFERROR(__xludf.DUMMYFUNCTION("((IFERROR(MIN(FILTER({L86, O86, R86}, ISNUMBER({L86, O86, R86}), {L86, O86, R86} &gt; 0)), """"))*S86)+IFERROR(MIN(FILTER({L86, O86, R86}, ISNUMBER({L86, O86, R86}), {L86, O86, R86} &gt; 0)), """")"),0.0)</f>
        <v>0</v>
      </c>
      <c r="U86" s="53" t="str">
        <f>IFERROR(__xludf.DUMMYFUNCTION("(T86-(IFERROR(MIN(FILTER({L86, O86, R86}, ISNUMBER({L86, O86, R86}), {L86, O86, R86} &gt; 0)), """")))/T86"),"#DIV/0!")</f>
        <v>#DIV/0!</v>
      </c>
    </row>
    <row r="87" ht="22.5" customHeight="1">
      <c r="A87" s="34"/>
      <c r="B87" s="34"/>
      <c r="C87" s="37"/>
      <c r="D87" s="38"/>
      <c r="E87" s="103"/>
      <c r="F87" s="49"/>
      <c r="G87" s="37"/>
      <c r="H87" s="38"/>
      <c r="I87" s="34"/>
      <c r="J87" s="41" t="s">
        <v>261</v>
      </c>
      <c r="K87" s="41" t="s">
        <v>261</v>
      </c>
      <c r="L87" s="41"/>
      <c r="M87" s="42"/>
      <c r="N87" s="42"/>
      <c r="O87" s="42"/>
      <c r="P87" s="41"/>
      <c r="Q87" s="39"/>
      <c r="R87" s="41"/>
      <c r="S87" s="46">
        <v>0.67</v>
      </c>
      <c r="T87" s="50">
        <f>IFERROR(__xludf.DUMMYFUNCTION("((IFERROR(MIN(FILTER({L87, O87, R87}, ISNUMBER({L87, O87, R87}), {L87, O87, R87} &gt; 0)), """"))*S87)+IFERROR(MIN(FILTER({L87, O87, R87}, ISNUMBER({L87, O87, R87}), {L87, O87, R87} &gt; 0)), """")"),0.0)</f>
        <v>0</v>
      </c>
      <c r="U87" s="53" t="str">
        <f>IFERROR(__xludf.DUMMYFUNCTION("(T87-(IFERROR(MIN(FILTER({L87, O87, R87}, ISNUMBER({L87, O87, R87}), {L87, O87, R87} &gt; 0)), """")))/T87"),"#DIV/0!")</f>
        <v>#DIV/0!</v>
      </c>
    </row>
    <row r="88" ht="22.5" customHeight="1">
      <c r="A88" s="34"/>
      <c r="B88" s="34"/>
      <c r="C88" s="37"/>
      <c r="D88" s="38"/>
      <c r="E88" s="103"/>
      <c r="F88" s="49"/>
      <c r="G88" s="37"/>
      <c r="H88" s="38"/>
      <c r="I88" s="34"/>
      <c r="J88" s="41" t="s">
        <v>261</v>
      </c>
      <c r="K88" s="41" t="s">
        <v>261</v>
      </c>
      <c r="L88" s="41"/>
      <c r="M88" s="42"/>
      <c r="N88" s="42"/>
      <c r="O88" s="42"/>
      <c r="P88" s="41"/>
      <c r="Q88" s="39"/>
      <c r="R88" s="41"/>
      <c r="S88" s="46">
        <v>0.67</v>
      </c>
      <c r="T88" s="50">
        <f>IFERROR(__xludf.DUMMYFUNCTION("((IFERROR(MIN(FILTER({L88, O88, R88}, ISNUMBER({L88, O88, R88}), {L88, O88, R88} &gt; 0)), """"))*S88)+IFERROR(MIN(FILTER({L88, O88, R88}, ISNUMBER({L88, O88, R88}), {L88, O88, R88} &gt; 0)), """")"),0.0)</f>
        <v>0</v>
      </c>
      <c r="U88" s="53" t="str">
        <f>IFERROR(__xludf.DUMMYFUNCTION("(T88-(IFERROR(MIN(FILTER({L88, O88, R88}, ISNUMBER({L88, O88, R88}), {L88, O88, R88} &gt; 0)), """")))/T88"),"#DIV/0!")</f>
        <v>#DIV/0!</v>
      </c>
    </row>
    <row r="89" ht="22.5" customHeight="1">
      <c r="A89" s="34"/>
      <c r="B89" s="34"/>
      <c r="C89" s="37"/>
      <c r="D89" s="38"/>
      <c r="E89" s="103"/>
      <c r="F89" s="49"/>
      <c r="G89" s="37"/>
      <c r="H89" s="38"/>
      <c r="I89" s="34"/>
      <c r="J89" s="41" t="s">
        <v>261</v>
      </c>
      <c r="K89" s="41" t="s">
        <v>261</v>
      </c>
      <c r="L89" s="41"/>
      <c r="M89" s="42"/>
      <c r="N89" s="42"/>
      <c r="O89" s="42"/>
      <c r="P89" s="41"/>
      <c r="Q89" s="39"/>
      <c r="R89" s="41"/>
      <c r="S89" s="46">
        <v>0.67</v>
      </c>
      <c r="T89" s="50">
        <f>IFERROR(__xludf.DUMMYFUNCTION("((IFERROR(MIN(FILTER({L89, O89, R89}, ISNUMBER({L89, O89, R89}), {L89, O89, R89} &gt; 0)), """"))*S89)+IFERROR(MIN(FILTER({L89, O89, R89}, ISNUMBER({L89, O89, R89}), {L89, O89, R89} &gt; 0)), """")"),0.0)</f>
        <v>0</v>
      </c>
      <c r="U89" s="53" t="str">
        <f>IFERROR(__xludf.DUMMYFUNCTION("(T89-(IFERROR(MIN(FILTER({L89, O89, R89}, ISNUMBER({L89, O89, R89}), {L89, O89, R89} &gt; 0)), """")))/T89"),"#DIV/0!")</f>
        <v>#DIV/0!</v>
      </c>
    </row>
    <row r="90" ht="22.5" customHeight="1">
      <c r="A90" s="34"/>
      <c r="B90" s="34"/>
      <c r="C90" s="37"/>
      <c r="D90" s="38"/>
      <c r="E90" s="103"/>
      <c r="F90" s="49"/>
      <c r="G90" s="37"/>
      <c r="H90" s="38"/>
      <c r="I90" s="34"/>
      <c r="J90" s="41" t="s">
        <v>261</v>
      </c>
      <c r="K90" s="41" t="s">
        <v>261</v>
      </c>
      <c r="L90" s="41"/>
      <c r="M90" s="42"/>
      <c r="N90" s="42"/>
      <c r="O90" s="42"/>
      <c r="P90" s="41"/>
      <c r="Q90" s="39"/>
      <c r="R90" s="41"/>
      <c r="S90" s="46">
        <v>0.67</v>
      </c>
      <c r="T90" s="50">
        <f>IFERROR(__xludf.DUMMYFUNCTION("((IFERROR(MIN(FILTER({L90, O90, R90}, ISNUMBER({L90, O90, R90}), {L90, O90, R90} &gt; 0)), """"))*S90)+IFERROR(MIN(FILTER({L90, O90, R90}, ISNUMBER({L90, O90, R90}), {L90, O90, R90} &gt; 0)), """")"),0.0)</f>
        <v>0</v>
      </c>
      <c r="U90" s="53" t="str">
        <f>IFERROR(__xludf.DUMMYFUNCTION("(T90-(IFERROR(MIN(FILTER({L90, O90, R90}, ISNUMBER({L90, O90, R90}), {L90, O90, R90} &gt; 0)), """")))/T90"),"#DIV/0!")</f>
        <v>#DIV/0!</v>
      </c>
    </row>
    <row r="91" ht="22.5" customHeight="1">
      <c r="A91" s="34"/>
      <c r="B91" s="34"/>
      <c r="C91" s="37"/>
      <c r="D91" s="38"/>
      <c r="E91" s="103"/>
      <c r="F91" s="49"/>
      <c r="G91" s="37"/>
      <c r="H91" s="38"/>
      <c r="I91" s="34"/>
      <c r="J91" s="41" t="s">
        <v>261</v>
      </c>
      <c r="K91" s="41" t="s">
        <v>261</v>
      </c>
      <c r="L91" s="41"/>
      <c r="M91" s="42"/>
      <c r="N91" s="42"/>
      <c r="O91" s="42"/>
      <c r="P91" s="41"/>
      <c r="Q91" s="39"/>
      <c r="R91" s="41"/>
      <c r="S91" s="46">
        <v>0.67</v>
      </c>
      <c r="T91" s="50">
        <f>IFERROR(__xludf.DUMMYFUNCTION("((IFERROR(MIN(FILTER({L91, O91, R91}, ISNUMBER({L91, O91, R91}), {L91, O91, R91} &gt; 0)), """"))*S91)+IFERROR(MIN(FILTER({L91, O91, R91}, ISNUMBER({L91, O91, R91}), {L91, O91, R91} &gt; 0)), """")"),0.0)</f>
        <v>0</v>
      </c>
      <c r="U91" s="53" t="str">
        <f>IFERROR(__xludf.DUMMYFUNCTION("(T91-(IFERROR(MIN(FILTER({L91, O91, R91}, ISNUMBER({L91, O91, R91}), {L91, O91, R91} &gt; 0)), """")))/T91"),"#DIV/0!")</f>
        <v>#DIV/0!</v>
      </c>
    </row>
    <row r="92" ht="22.5" customHeight="1">
      <c r="A92" s="34"/>
      <c r="B92" s="34"/>
      <c r="C92" s="37"/>
      <c r="D92" s="38"/>
      <c r="E92" s="103"/>
      <c r="F92" s="49"/>
      <c r="G92" s="37"/>
      <c r="H92" s="38"/>
      <c r="I92" s="34"/>
      <c r="J92" s="41" t="s">
        <v>261</v>
      </c>
      <c r="K92" s="41" t="s">
        <v>261</v>
      </c>
      <c r="L92" s="41"/>
      <c r="M92" s="42"/>
      <c r="N92" s="42"/>
      <c r="O92" s="42"/>
      <c r="P92" s="41"/>
      <c r="Q92" s="39"/>
      <c r="R92" s="41"/>
      <c r="S92" s="46">
        <v>0.67</v>
      </c>
      <c r="T92" s="50">
        <f>IFERROR(__xludf.DUMMYFUNCTION("((IFERROR(MIN(FILTER({L92, O92, R92}, ISNUMBER({L92, O92, R92}), {L92, O92, R92} &gt; 0)), """"))*S92)+IFERROR(MIN(FILTER({L92, O92, R92}, ISNUMBER({L92, O92, R92}), {L92, O92, R92} &gt; 0)), """")"),0.0)</f>
        <v>0</v>
      </c>
      <c r="U92" s="53" t="str">
        <f>IFERROR(__xludf.DUMMYFUNCTION("(T92-(IFERROR(MIN(FILTER({L92, O92, R92}, ISNUMBER({L92, O92, R92}), {L92, O92, R92} &gt; 0)), """")))/T92"),"#DIV/0!")</f>
        <v>#DIV/0!</v>
      </c>
    </row>
    <row r="93" ht="22.5" customHeight="1">
      <c r="A93" s="34"/>
      <c r="B93" s="34"/>
      <c r="C93" s="37"/>
      <c r="D93" s="38"/>
      <c r="E93" s="103"/>
      <c r="F93" s="49"/>
      <c r="G93" s="37"/>
      <c r="H93" s="38"/>
      <c r="I93" s="34"/>
      <c r="J93" s="41" t="s">
        <v>261</v>
      </c>
      <c r="K93" s="41" t="s">
        <v>261</v>
      </c>
      <c r="L93" s="41"/>
      <c r="M93" s="42"/>
      <c r="N93" s="42"/>
      <c r="O93" s="42"/>
      <c r="P93" s="41"/>
      <c r="Q93" s="39"/>
      <c r="R93" s="41"/>
      <c r="S93" s="46">
        <v>0.67</v>
      </c>
      <c r="T93" s="50">
        <f>IFERROR(__xludf.DUMMYFUNCTION("((IFERROR(MIN(FILTER({L93, O93, R93}, ISNUMBER({L93, O93, R93}), {L93, O93, R93} &gt; 0)), """"))*S93)+IFERROR(MIN(FILTER({L93, O93, R93}, ISNUMBER({L93, O93, R93}), {L93, O93, R93} &gt; 0)), """")"),0.0)</f>
        <v>0</v>
      </c>
      <c r="U93" s="53" t="str">
        <f>IFERROR(__xludf.DUMMYFUNCTION("(T93-(IFERROR(MIN(FILTER({L93, O93, R93}, ISNUMBER({L93, O93, R93}), {L93, O93, R93} &gt; 0)), """")))/T93"),"#DIV/0!")</f>
        <v>#DIV/0!</v>
      </c>
    </row>
    <row r="94" ht="22.5" customHeight="1">
      <c r="A94" s="34"/>
      <c r="B94" s="34"/>
      <c r="C94" s="37"/>
      <c r="D94" s="38"/>
      <c r="E94" s="103"/>
      <c r="F94" s="49"/>
      <c r="G94" s="37"/>
      <c r="H94" s="38"/>
      <c r="I94" s="34"/>
      <c r="J94" s="41" t="s">
        <v>261</v>
      </c>
      <c r="K94" s="41" t="s">
        <v>261</v>
      </c>
      <c r="L94" s="41"/>
      <c r="M94" s="42"/>
      <c r="N94" s="42"/>
      <c r="O94" s="42"/>
      <c r="P94" s="41"/>
      <c r="Q94" s="39"/>
      <c r="R94" s="41"/>
      <c r="S94" s="46">
        <v>0.67</v>
      </c>
      <c r="T94" s="50">
        <f>IFERROR(__xludf.DUMMYFUNCTION("((IFERROR(MIN(FILTER({L94, O94, R94}, ISNUMBER({L94, O94, R94}), {L94, O94, R94} &gt; 0)), """"))*S94)+IFERROR(MIN(FILTER({L94, O94, R94}, ISNUMBER({L94, O94, R94}), {L94, O94, R94} &gt; 0)), """")"),0.0)</f>
        <v>0</v>
      </c>
      <c r="U94" s="53" t="str">
        <f>IFERROR(__xludf.DUMMYFUNCTION("(T94-(IFERROR(MIN(FILTER({L94, O94, R94}, ISNUMBER({L94, O94, R94}), {L94, O94, R94} &gt; 0)), """")))/T94"),"#DIV/0!")</f>
        <v>#DIV/0!</v>
      </c>
    </row>
    <row r="95" ht="22.5" customHeight="1">
      <c r="A95" s="34"/>
      <c r="B95" s="34"/>
      <c r="C95" s="37"/>
      <c r="D95" s="38"/>
      <c r="E95" s="103"/>
      <c r="F95" s="49"/>
      <c r="G95" s="37"/>
      <c r="H95" s="38"/>
      <c r="I95" s="34"/>
      <c r="J95" s="41" t="s">
        <v>261</v>
      </c>
      <c r="K95" s="41" t="s">
        <v>261</v>
      </c>
      <c r="L95" s="41"/>
      <c r="M95" s="42"/>
      <c r="N95" s="42"/>
      <c r="O95" s="42"/>
      <c r="P95" s="41"/>
      <c r="Q95" s="39"/>
      <c r="R95" s="39"/>
      <c r="S95" s="46">
        <v>0.67</v>
      </c>
      <c r="T95" s="50">
        <f>IFERROR(__xludf.DUMMYFUNCTION("((IFERROR(MIN(FILTER({L95, O95, R95}, ISNUMBER({L95, O95, R95}), {L95, O95, R95} &gt; 0)), """"))*S95)+IFERROR(MIN(FILTER({L95, O95, R95}, ISNUMBER({L95, O95, R95}), {L95, O95, R95} &gt; 0)), """")"),0.0)</f>
        <v>0</v>
      </c>
      <c r="U95" s="53" t="str">
        <f>IFERROR(__xludf.DUMMYFUNCTION("(T95-(IFERROR(MIN(FILTER({L95, O95, R95}, ISNUMBER({L95, O95, R95}), {L95, O95, R95} &gt; 0)), """")))/T95"),"#DIV/0!")</f>
        <v>#DIV/0!</v>
      </c>
    </row>
    <row r="96" ht="22.5" customHeight="1">
      <c r="A96" s="34"/>
      <c r="B96" s="34"/>
      <c r="C96" s="37"/>
      <c r="D96" s="38"/>
      <c r="E96" s="103"/>
      <c r="F96" s="49"/>
      <c r="G96" s="37"/>
      <c r="H96" s="38"/>
      <c r="I96" s="34"/>
      <c r="J96" s="41" t="s">
        <v>261</v>
      </c>
      <c r="K96" s="41" t="s">
        <v>261</v>
      </c>
      <c r="L96" s="41"/>
      <c r="M96" s="42"/>
      <c r="N96" s="42"/>
      <c r="O96" s="42"/>
      <c r="P96" s="41"/>
      <c r="Q96" s="39"/>
      <c r="R96" s="41"/>
      <c r="S96" s="46">
        <v>0.67</v>
      </c>
      <c r="T96" s="50">
        <f>IFERROR(__xludf.DUMMYFUNCTION("((IFERROR(MIN(FILTER({L96, O96, R96}, ISNUMBER({L96, O96, R96}), {L96, O96, R96} &gt; 0)), """"))*S96)+IFERROR(MIN(FILTER({L96, O96, R96}, ISNUMBER({L96, O96, R96}), {L96, O96, R96} &gt; 0)), """")"),0.0)</f>
        <v>0</v>
      </c>
      <c r="U96" s="53" t="str">
        <f>IFERROR(__xludf.DUMMYFUNCTION("(T96-(IFERROR(MIN(FILTER({L96, O96, R96}, ISNUMBER({L96, O96, R96}), {L96, O96, R96} &gt; 0)), """")))/T96"),"#DIV/0!")</f>
        <v>#DIV/0!</v>
      </c>
    </row>
    <row r="97" ht="22.5" customHeight="1">
      <c r="A97" s="34"/>
      <c r="B97" s="34"/>
      <c r="C97" s="37"/>
      <c r="D97" s="38"/>
      <c r="E97" s="103"/>
      <c r="F97" s="49"/>
      <c r="G97" s="37"/>
      <c r="H97" s="38"/>
      <c r="I97" s="34"/>
      <c r="J97" s="41" t="s">
        <v>261</v>
      </c>
      <c r="K97" s="41" t="s">
        <v>261</v>
      </c>
      <c r="L97" s="41"/>
      <c r="M97" s="42"/>
      <c r="N97" s="42"/>
      <c r="O97" s="42"/>
      <c r="P97" s="41"/>
      <c r="Q97" s="39"/>
      <c r="R97" s="39"/>
      <c r="S97" s="46">
        <v>0.67</v>
      </c>
      <c r="T97" s="50">
        <f>IFERROR(__xludf.DUMMYFUNCTION("((IFERROR(MIN(FILTER({L97, O97, R97}, ISNUMBER({L97, O97, R97}), {L97, O97, R97} &gt; 0)), """"))*S97)+IFERROR(MIN(FILTER({L97, O97, R97}, ISNUMBER({L97, O97, R97}), {L97, O97, R97} &gt; 0)), """")"),0.0)</f>
        <v>0</v>
      </c>
      <c r="U97" s="53" t="str">
        <f>IFERROR(__xludf.DUMMYFUNCTION("(T97-(IFERROR(MIN(FILTER({L97, O97, R97}, ISNUMBER({L97, O97, R97}), {L97, O97, R97} &gt; 0)), """")))/T97"),"#DIV/0!")</f>
        <v>#DIV/0!</v>
      </c>
    </row>
    <row r="98" ht="22.5" customHeight="1">
      <c r="A98" s="34"/>
      <c r="B98" s="34"/>
      <c r="C98" s="37"/>
      <c r="D98" s="38"/>
      <c r="E98" s="103"/>
      <c r="F98" s="49"/>
      <c r="G98" s="37"/>
      <c r="H98" s="38"/>
      <c r="I98" s="34"/>
      <c r="J98" s="41" t="s">
        <v>261</v>
      </c>
      <c r="K98" s="41" t="s">
        <v>261</v>
      </c>
      <c r="L98" s="41"/>
      <c r="M98" s="42"/>
      <c r="N98" s="42"/>
      <c r="O98" s="42"/>
      <c r="P98" s="41"/>
      <c r="Q98" s="39"/>
      <c r="R98" s="41"/>
      <c r="S98" s="46">
        <v>0.67</v>
      </c>
      <c r="T98" s="50">
        <f>IFERROR(__xludf.DUMMYFUNCTION("((IFERROR(MIN(FILTER({L98, O98, R98}, ISNUMBER({L98, O98, R98}), {L98, O98, R98} &gt; 0)), """"))*S98)+IFERROR(MIN(FILTER({L98, O98, R98}, ISNUMBER({L98, O98, R98}), {L98, O98, R98} &gt; 0)), """")"),0.0)</f>
        <v>0</v>
      </c>
      <c r="U98" s="53" t="str">
        <f>IFERROR(__xludf.DUMMYFUNCTION("(T98-(IFERROR(MIN(FILTER({L98, O98, R98}, ISNUMBER({L98, O98, R98}), {L98, O98, R98} &gt; 0)), """")))/T98"),"#DIV/0!")</f>
        <v>#DIV/0!</v>
      </c>
    </row>
    <row r="99" ht="22.5" customHeight="1">
      <c r="A99" s="34"/>
      <c r="B99" s="34"/>
      <c r="C99" s="37"/>
      <c r="D99" s="38"/>
      <c r="E99" s="103"/>
      <c r="F99" s="49"/>
      <c r="G99" s="37"/>
      <c r="H99" s="38"/>
      <c r="I99" s="34"/>
      <c r="J99" s="41" t="s">
        <v>261</v>
      </c>
      <c r="K99" s="41" t="s">
        <v>261</v>
      </c>
      <c r="L99" s="41"/>
      <c r="M99" s="42"/>
      <c r="N99" s="42"/>
      <c r="O99" s="42"/>
      <c r="P99" s="41"/>
      <c r="Q99" s="39"/>
      <c r="R99" s="41"/>
      <c r="S99" s="46">
        <v>0.67</v>
      </c>
      <c r="T99" s="50">
        <f>IFERROR(__xludf.DUMMYFUNCTION("((IFERROR(MIN(FILTER({L99, O99, R99}, ISNUMBER({L99, O99, R99}), {L99, O99, R99} &gt; 0)), """"))*S99)+IFERROR(MIN(FILTER({L99, O99, R99}, ISNUMBER({L99, O99, R99}), {L99, O99, R99} &gt; 0)), """")"),0.0)</f>
        <v>0</v>
      </c>
      <c r="U99" s="53" t="str">
        <f>IFERROR(__xludf.DUMMYFUNCTION("(T99-(IFERROR(MIN(FILTER({L99, O99, R99}, ISNUMBER({L99, O99, R99}), {L99, O99, R99} &gt; 0)), """")))/T99"),"#DIV/0!")</f>
        <v>#DIV/0!</v>
      </c>
    </row>
    <row r="100" ht="22.5" customHeight="1">
      <c r="A100" s="34"/>
      <c r="B100" s="34"/>
      <c r="C100" s="37"/>
      <c r="D100" s="38"/>
      <c r="E100" s="103"/>
      <c r="F100" s="49"/>
      <c r="G100" s="37"/>
      <c r="H100" s="38"/>
      <c r="I100" s="34"/>
      <c r="J100" s="41" t="s">
        <v>261</v>
      </c>
      <c r="K100" s="41" t="s">
        <v>261</v>
      </c>
      <c r="L100" s="41"/>
      <c r="M100" s="42"/>
      <c r="N100" s="42"/>
      <c r="O100" s="42"/>
      <c r="P100" s="41"/>
      <c r="Q100" s="39"/>
      <c r="R100" s="41"/>
      <c r="S100" s="46">
        <v>0.67</v>
      </c>
      <c r="T100" s="50">
        <f>IFERROR(__xludf.DUMMYFUNCTION("((IFERROR(MIN(FILTER({L100, O100, R100}, ISNUMBER({L100, O100, R100}), {L100, O100, R100} &gt; 0)), """"))*S100)+IFERROR(MIN(FILTER({L100, O100, R100}, ISNUMBER({L100, O100, R100}), {L100, O100, R100} &gt; 0)), """")"),0.0)</f>
        <v>0</v>
      </c>
      <c r="U100" s="53" t="str">
        <f>IFERROR(__xludf.DUMMYFUNCTION("(T100-(IFERROR(MIN(FILTER({L100, O100, R100}, ISNUMBER({L100, O100, R100}), {L100, O100, R100} &gt; 0)), """")))/T100"),"#DIV/0!")</f>
        <v>#DIV/0!</v>
      </c>
    </row>
    <row r="101" ht="22.5" customHeight="1">
      <c r="A101" s="34"/>
      <c r="B101" s="34"/>
      <c r="C101" s="37"/>
      <c r="D101" s="38"/>
      <c r="E101" s="103"/>
      <c r="F101" s="49"/>
      <c r="G101" s="37"/>
      <c r="H101" s="38"/>
      <c r="I101" s="34"/>
      <c r="J101" s="41" t="s">
        <v>261</v>
      </c>
      <c r="K101" s="41" t="s">
        <v>261</v>
      </c>
      <c r="L101" s="41"/>
      <c r="M101" s="42"/>
      <c r="N101" s="42"/>
      <c r="O101" s="42"/>
      <c r="P101" s="41"/>
      <c r="Q101" s="39"/>
      <c r="R101" s="41"/>
      <c r="S101" s="46">
        <v>0.67</v>
      </c>
      <c r="T101" s="50">
        <f>IFERROR(__xludf.DUMMYFUNCTION("((IFERROR(MIN(FILTER({L101, O101, R101}, ISNUMBER({L101, O101, R101}), {L101, O101, R101} &gt; 0)), """"))*S101)+IFERROR(MIN(FILTER({L101, O101, R101}, ISNUMBER({L101, O101, R101}), {L101, O101, R101} &gt; 0)), """")"),0.0)</f>
        <v>0</v>
      </c>
      <c r="U101" s="53" t="str">
        <f>IFERROR(__xludf.DUMMYFUNCTION("(T101-(IFERROR(MIN(FILTER({L101, O101, R101}, ISNUMBER({L101, O101, R101}), {L101, O101, R101} &gt; 0)), """")))/T101"),"#DIV/0!")</f>
        <v>#DIV/0!</v>
      </c>
    </row>
    <row r="102" ht="22.5" customHeight="1">
      <c r="A102" s="34"/>
      <c r="B102" s="34"/>
      <c r="C102" s="37"/>
      <c r="D102" s="38"/>
      <c r="E102" s="103"/>
      <c r="F102" s="49"/>
      <c r="G102" s="37"/>
      <c r="H102" s="38"/>
      <c r="I102" s="34"/>
      <c r="J102" s="41" t="s">
        <v>261</v>
      </c>
      <c r="K102" s="41" t="s">
        <v>261</v>
      </c>
      <c r="L102" s="41"/>
      <c r="M102" s="42"/>
      <c r="N102" s="42"/>
      <c r="O102" s="42"/>
      <c r="P102" s="41"/>
      <c r="Q102" s="39"/>
      <c r="R102" s="41"/>
      <c r="S102" s="46">
        <v>0.67</v>
      </c>
      <c r="T102" s="50">
        <f>IFERROR(__xludf.DUMMYFUNCTION("((IFERROR(MIN(FILTER({L102, O102, R102}, ISNUMBER({L102, O102, R102}), {L102, O102, R102} &gt; 0)), """"))*S102)+IFERROR(MIN(FILTER({L102, O102, R102}, ISNUMBER({L102, O102, R102}), {L102, O102, R102} &gt; 0)), """")"),0.0)</f>
        <v>0</v>
      </c>
      <c r="U102" s="53" t="str">
        <f>IFERROR(__xludf.DUMMYFUNCTION("(T102-(IFERROR(MIN(FILTER({L102, O102, R102}, ISNUMBER({L102, O102, R102}), {L102, O102, R102} &gt; 0)), """")))/T102"),"#DIV/0!")</f>
        <v>#DIV/0!</v>
      </c>
    </row>
    <row r="103" ht="22.5" customHeight="1">
      <c r="A103" s="34"/>
      <c r="B103" s="34"/>
      <c r="C103" s="37"/>
      <c r="D103" s="38"/>
      <c r="E103" s="103"/>
      <c r="F103" s="49"/>
      <c r="G103" s="37"/>
      <c r="H103" s="38"/>
      <c r="I103" s="34"/>
      <c r="J103" s="41" t="s">
        <v>261</v>
      </c>
      <c r="K103" s="41" t="s">
        <v>261</v>
      </c>
      <c r="L103" s="41"/>
      <c r="M103" s="42"/>
      <c r="N103" s="42"/>
      <c r="O103" s="42"/>
      <c r="P103" s="41"/>
      <c r="Q103" s="39"/>
      <c r="R103" s="41"/>
      <c r="S103" s="46">
        <v>0.67</v>
      </c>
      <c r="T103" s="50">
        <f>IFERROR(__xludf.DUMMYFUNCTION("((IFERROR(MIN(FILTER({L103, O103, R103}, ISNUMBER({L103, O103, R103}), {L103, O103, R103} &gt; 0)), """"))*S103)+IFERROR(MIN(FILTER({L103, O103, R103}, ISNUMBER({L103, O103, R103}), {L103, O103, R103} &gt; 0)), """")"),0.0)</f>
        <v>0</v>
      </c>
      <c r="U103" s="53" t="str">
        <f>IFERROR(__xludf.DUMMYFUNCTION("(T103-(IFERROR(MIN(FILTER({L103, O103, R103}, ISNUMBER({L103, O103, R103}), {L103, O103, R103} &gt; 0)), """")))/T103"),"#DIV/0!")</f>
        <v>#DIV/0!</v>
      </c>
    </row>
    <row r="104" ht="22.5" customHeight="1">
      <c r="A104" s="34"/>
      <c r="B104" s="34"/>
      <c r="C104" s="37"/>
      <c r="D104" s="38"/>
      <c r="E104" s="103"/>
      <c r="F104" s="49"/>
      <c r="G104" s="37"/>
      <c r="H104" s="38"/>
      <c r="I104" s="34"/>
      <c r="J104" s="41" t="s">
        <v>261</v>
      </c>
      <c r="K104" s="41" t="s">
        <v>261</v>
      </c>
      <c r="L104" s="41"/>
      <c r="M104" s="42"/>
      <c r="N104" s="42"/>
      <c r="O104" s="42"/>
      <c r="P104" s="41"/>
      <c r="Q104" s="39"/>
      <c r="R104" s="41"/>
      <c r="S104" s="46">
        <v>0.67</v>
      </c>
      <c r="T104" s="50">
        <f>IFERROR(__xludf.DUMMYFUNCTION("((IFERROR(MIN(FILTER({L104, O104, R104}, ISNUMBER({L104, O104, R104}), {L104, O104, R104} &gt; 0)), """"))*S104)+IFERROR(MIN(FILTER({L104, O104, R104}, ISNUMBER({L104, O104, R104}), {L104, O104, R104} &gt; 0)), """")"),0.0)</f>
        <v>0</v>
      </c>
      <c r="U104" s="53" t="str">
        <f>IFERROR(__xludf.DUMMYFUNCTION("(T104-(IFERROR(MIN(FILTER({L104, O104, R104}, ISNUMBER({L104, O104, R104}), {L104, O104, R104} &gt; 0)), """")))/T104"),"#DIV/0!")</f>
        <v>#DIV/0!</v>
      </c>
    </row>
    <row r="105" ht="22.5" customHeight="1">
      <c r="A105" s="34"/>
      <c r="B105" s="34"/>
      <c r="C105" s="37"/>
      <c r="D105" s="38"/>
      <c r="E105" s="103"/>
      <c r="F105" s="49"/>
      <c r="G105" s="37"/>
      <c r="H105" s="38"/>
      <c r="I105" s="34"/>
      <c r="J105" s="41" t="s">
        <v>261</v>
      </c>
      <c r="K105" s="41" t="s">
        <v>261</v>
      </c>
      <c r="L105" s="41"/>
      <c r="M105" s="42"/>
      <c r="N105" s="42"/>
      <c r="O105" s="42"/>
      <c r="P105" s="41"/>
      <c r="Q105" s="39"/>
      <c r="R105" s="41"/>
      <c r="S105" s="46">
        <v>0.67</v>
      </c>
      <c r="T105" s="50">
        <f>IFERROR(__xludf.DUMMYFUNCTION("((IFERROR(MIN(FILTER({L105, O105, R105}, ISNUMBER({L105, O105, R105}), {L105, O105, R105} &gt; 0)), """"))*S105)+IFERROR(MIN(FILTER({L105, O105, R105}, ISNUMBER({L105, O105, R105}), {L105, O105, R105} &gt; 0)), """")"),0.0)</f>
        <v>0</v>
      </c>
      <c r="U105" s="53" t="str">
        <f>IFERROR(__xludf.DUMMYFUNCTION("(T105-(IFERROR(MIN(FILTER({L105, O105, R105}, ISNUMBER({L105, O105, R105}), {L105, O105, R105} &gt; 0)), """")))/T105"),"#DIV/0!")</f>
        <v>#DIV/0!</v>
      </c>
    </row>
    <row r="106" ht="22.5" customHeight="1">
      <c r="A106" s="34"/>
      <c r="B106" s="34"/>
      <c r="C106" s="37"/>
      <c r="D106" s="38"/>
      <c r="E106" s="103"/>
      <c r="F106" s="49"/>
      <c r="G106" s="37"/>
      <c r="H106" s="38"/>
      <c r="I106" s="34"/>
      <c r="J106" s="41" t="s">
        <v>261</v>
      </c>
      <c r="K106" s="41" t="s">
        <v>261</v>
      </c>
      <c r="L106" s="41"/>
      <c r="M106" s="42"/>
      <c r="N106" s="42"/>
      <c r="O106" s="42"/>
      <c r="P106" s="41"/>
      <c r="Q106" s="39"/>
      <c r="R106" s="41"/>
      <c r="S106" s="46">
        <v>0.67</v>
      </c>
      <c r="T106" s="50">
        <f>IFERROR(__xludf.DUMMYFUNCTION("((IFERROR(MIN(FILTER({L106, O106, R106}, ISNUMBER({L106, O106, R106}), {L106, O106, R106} &gt; 0)), """"))*S106)+IFERROR(MIN(FILTER({L106, O106, R106}, ISNUMBER({L106, O106, R106}), {L106, O106, R106} &gt; 0)), """")"),0.0)</f>
        <v>0</v>
      </c>
      <c r="U106" s="53" t="str">
        <f>IFERROR(__xludf.DUMMYFUNCTION("(T106-(IFERROR(MIN(FILTER({L106, O106, R106}, ISNUMBER({L106, O106, R106}), {L106, O106, R106} &gt; 0)), """")))/T106"),"#DIV/0!")</f>
        <v>#DIV/0!</v>
      </c>
    </row>
    <row r="107" ht="22.5" customHeight="1">
      <c r="A107" s="34"/>
      <c r="B107" s="34"/>
      <c r="C107" s="37"/>
      <c r="D107" s="38"/>
      <c r="E107" s="103"/>
      <c r="F107" s="49"/>
      <c r="G107" s="37"/>
      <c r="H107" s="38"/>
      <c r="I107" s="34"/>
      <c r="J107" s="41" t="s">
        <v>261</v>
      </c>
      <c r="K107" s="41" t="s">
        <v>261</v>
      </c>
      <c r="L107" s="41"/>
      <c r="M107" s="42"/>
      <c r="N107" s="42"/>
      <c r="O107" s="42"/>
      <c r="P107" s="41"/>
      <c r="Q107" s="39"/>
      <c r="R107" s="41"/>
      <c r="S107" s="46">
        <v>0.67</v>
      </c>
      <c r="T107" s="50">
        <f>IFERROR(__xludf.DUMMYFUNCTION("((IFERROR(MIN(FILTER({L107, O107, R107}, ISNUMBER({L107, O107, R107}), {L107, O107, R107} &gt; 0)), """"))*S107)+IFERROR(MIN(FILTER({L107, O107, R107}, ISNUMBER({L107, O107, R107}), {L107, O107, R107} &gt; 0)), """")"),0.0)</f>
        <v>0</v>
      </c>
      <c r="U107" s="53" t="str">
        <f>IFERROR(__xludf.DUMMYFUNCTION("(T107-(IFERROR(MIN(FILTER({L107, O107, R107}, ISNUMBER({L107, O107, R107}), {L107, O107, R107} &gt; 0)), """")))/T107"),"#DIV/0!")</f>
        <v>#DIV/0!</v>
      </c>
    </row>
    <row r="108" ht="22.5" customHeight="1">
      <c r="A108" s="34"/>
      <c r="B108" s="34"/>
      <c r="C108" s="37"/>
      <c r="D108" s="38"/>
      <c r="E108" s="103"/>
      <c r="F108" s="49"/>
      <c r="G108" s="37"/>
      <c r="H108" s="38"/>
      <c r="I108" s="34"/>
      <c r="J108" s="41" t="s">
        <v>261</v>
      </c>
      <c r="K108" s="41" t="s">
        <v>261</v>
      </c>
      <c r="L108" s="41"/>
      <c r="M108" s="42"/>
      <c r="N108" s="42"/>
      <c r="O108" s="42"/>
      <c r="P108" s="41"/>
      <c r="Q108" s="39"/>
      <c r="R108" s="41"/>
      <c r="S108" s="46">
        <v>0.67</v>
      </c>
      <c r="T108" s="50">
        <f>IFERROR(__xludf.DUMMYFUNCTION("((IFERROR(MIN(FILTER({L108, O108, R108}, ISNUMBER({L108, O108, R108}), {L108, O108, R108} &gt; 0)), """"))*S108)+IFERROR(MIN(FILTER({L108, O108, R108}, ISNUMBER({L108, O108, R108}), {L108, O108, R108} &gt; 0)), """")"),0.0)</f>
        <v>0</v>
      </c>
      <c r="U108" s="53" t="str">
        <f>IFERROR(__xludf.DUMMYFUNCTION("(T108-(IFERROR(MIN(FILTER({L108, O108, R108}, ISNUMBER({L108, O108, R108}), {L108, O108, R108} &gt; 0)), """")))/T108"),"#DIV/0!")</f>
        <v>#DIV/0!</v>
      </c>
    </row>
    <row r="109" ht="22.5" customHeight="1">
      <c r="A109" s="34"/>
      <c r="B109" s="34"/>
      <c r="C109" s="37"/>
      <c r="D109" s="38"/>
      <c r="E109" s="103"/>
      <c r="F109" s="49"/>
      <c r="G109" s="37"/>
      <c r="H109" s="38"/>
      <c r="I109" s="34"/>
      <c r="J109" s="41" t="s">
        <v>261</v>
      </c>
      <c r="K109" s="41" t="s">
        <v>261</v>
      </c>
      <c r="L109" s="41"/>
      <c r="M109" s="42"/>
      <c r="N109" s="42"/>
      <c r="O109" s="42"/>
      <c r="P109" s="41"/>
      <c r="Q109" s="39"/>
      <c r="R109" s="41"/>
      <c r="S109" s="46">
        <v>0.67</v>
      </c>
      <c r="T109" s="50">
        <f>IFERROR(__xludf.DUMMYFUNCTION("((IFERROR(MIN(FILTER({L109, O109, R109}, ISNUMBER({L109, O109, R109}), {L109, O109, R109} &gt; 0)), """"))*S109)+IFERROR(MIN(FILTER({L109, O109, R109}, ISNUMBER({L109, O109, R109}), {L109, O109, R109} &gt; 0)), """")"),0.0)</f>
        <v>0</v>
      </c>
      <c r="U109" s="53" t="str">
        <f>IFERROR(__xludf.DUMMYFUNCTION("(T109-(IFERROR(MIN(FILTER({L109, O109, R109}, ISNUMBER({L109, O109, R109}), {L109, O109, R109} &gt; 0)), """")))/T109"),"#DIV/0!")</f>
        <v>#DIV/0!</v>
      </c>
    </row>
    <row r="110" ht="22.5" customHeight="1">
      <c r="A110" s="34"/>
      <c r="B110" s="34"/>
      <c r="C110" s="37"/>
      <c r="D110" s="38"/>
      <c r="E110" s="103"/>
      <c r="F110" s="49"/>
      <c r="G110" s="37"/>
      <c r="H110" s="38"/>
      <c r="I110" s="34"/>
      <c r="J110" s="41" t="s">
        <v>261</v>
      </c>
      <c r="K110" s="41" t="s">
        <v>261</v>
      </c>
      <c r="L110" s="41"/>
      <c r="M110" s="42"/>
      <c r="N110" s="42"/>
      <c r="O110" s="42"/>
      <c r="P110" s="41"/>
      <c r="Q110" s="39"/>
      <c r="R110" s="41"/>
      <c r="S110" s="46">
        <v>0.67</v>
      </c>
      <c r="T110" s="50">
        <f>IFERROR(__xludf.DUMMYFUNCTION("((IFERROR(MIN(FILTER({L110, O110, R110}, ISNUMBER({L110, O110, R110}), {L110, O110, R110} &gt; 0)), """"))*S110)+IFERROR(MIN(FILTER({L110, O110, R110}, ISNUMBER({L110, O110, R110}), {L110, O110, R110} &gt; 0)), """")"),0.0)</f>
        <v>0</v>
      </c>
      <c r="U110" s="53" t="str">
        <f>IFERROR(__xludf.DUMMYFUNCTION("(T110-(IFERROR(MIN(FILTER({L110, O110, R110}, ISNUMBER({L110, O110, R110}), {L110, O110, R110} &gt; 0)), """")))/T110"),"#DIV/0!")</f>
        <v>#DIV/0!</v>
      </c>
    </row>
    <row r="111" ht="22.5" customHeight="1">
      <c r="A111" s="34"/>
      <c r="B111" s="34"/>
      <c r="C111" s="37"/>
      <c r="D111" s="38"/>
      <c r="E111" s="103"/>
      <c r="F111" s="49"/>
      <c r="G111" s="37"/>
      <c r="H111" s="38"/>
      <c r="I111" s="34"/>
      <c r="J111" s="41" t="s">
        <v>261</v>
      </c>
      <c r="K111" s="41" t="s">
        <v>261</v>
      </c>
      <c r="L111" s="41"/>
      <c r="M111" s="42"/>
      <c r="N111" s="42"/>
      <c r="O111" s="42"/>
      <c r="P111" s="41"/>
      <c r="Q111" s="39"/>
      <c r="R111" s="41"/>
      <c r="S111" s="46">
        <v>0.67</v>
      </c>
      <c r="T111" s="50">
        <f>IFERROR(__xludf.DUMMYFUNCTION("((IFERROR(MIN(FILTER({L111, O111, R111}, ISNUMBER({L111, O111, R111}), {L111, O111, R111} &gt; 0)), """"))*S111)+IFERROR(MIN(FILTER({L111, O111, R111}, ISNUMBER({L111, O111, R111}), {L111, O111, R111} &gt; 0)), """")"),0.0)</f>
        <v>0</v>
      </c>
      <c r="U111" s="53" t="str">
        <f>IFERROR(__xludf.DUMMYFUNCTION("(T111-(IFERROR(MIN(FILTER({L111, O111, R111}, ISNUMBER({L111, O111, R111}), {L111, O111, R111} &gt; 0)), """")))/T111"),"#DIV/0!")</f>
        <v>#DIV/0!</v>
      </c>
    </row>
    <row r="112" ht="22.5" customHeight="1">
      <c r="A112" s="34"/>
      <c r="B112" s="34"/>
      <c r="C112" s="37"/>
      <c r="D112" s="38"/>
      <c r="E112" s="103"/>
      <c r="F112" s="49"/>
      <c r="G112" s="37"/>
      <c r="H112" s="38"/>
      <c r="I112" s="34"/>
      <c r="J112" s="41" t="s">
        <v>261</v>
      </c>
      <c r="K112" s="41" t="s">
        <v>261</v>
      </c>
      <c r="L112" s="41"/>
      <c r="M112" s="42"/>
      <c r="N112" s="42"/>
      <c r="O112" s="42"/>
      <c r="P112" s="41"/>
      <c r="Q112" s="39"/>
      <c r="R112" s="41"/>
      <c r="S112" s="46">
        <v>0.67</v>
      </c>
      <c r="T112" s="50">
        <f>IFERROR(__xludf.DUMMYFUNCTION("((IFERROR(MIN(FILTER({L112, O112, R112}, ISNUMBER({L112, O112, R112}), {L112, O112, R112} &gt; 0)), """"))*S112)+IFERROR(MIN(FILTER({L112, O112, R112}, ISNUMBER({L112, O112, R112}), {L112, O112, R112} &gt; 0)), """")"),0.0)</f>
        <v>0</v>
      </c>
      <c r="U112" s="53" t="str">
        <f>IFERROR(__xludf.DUMMYFUNCTION("(T112-(IFERROR(MIN(FILTER({L112, O112, R112}, ISNUMBER({L112, O112, R112}), {L112, O112, R112} &gt; 0)), """")))/T112"),"#DIV/0!")</f>
        <v>#DIV/0!</v>
      </c>
    </row>
    <row r="113" ht="22.5" customHeight="1">
      <c r="A113" s="34"/>
      <c r="B113" s="34"/>
      <c r="C113" s="37"/>
      <c r="D113" s="38"/>
      <c r="E113" s="103"/>
      <c r="F113" s="49"/>
      <c r="G113" s="37"/>
      <c r="H113" s="38"/>
      <c r="I113" s="34"/>
      <c r="J113" s="41" t="s">
        <v>261</v>
      </c>
      <c r="K113" s="41" t="s">
        <v>261</v>
      </c>
      <c r="L113" s="41"/>
      <c r="M113" s="42"/>
      <c r="N113" s="42"/>
      <c r="O113" s="42"/>
      <c r="P113" s="41"/>
      <c r="Q113" s="39"/>
      <c r="R113" s="41"/>
      <c r="S113" s="46">
        <v>0.67</v>
      </c>
      <c r="T113" s="50">
        <f>IFERROR(__xludf.DUMMYFUNCTION("((IFERROR(MIN(FILTER({L113, O113, R113}, ISNUMBER({L113, O113, R113}), {L113, O113, R113} &gt; 0)), """"))*S113)+IFERROR(MIN(FILTER({L113, O113, R113}, ISNUMBER({L113, O113, R113}), {L113, O113, R113} &gt; 0)), """")"),0.0)</f>
        <v>0</v>
      </c>
      <c r="U113" s="53" t="str">
        <f>IFERROR(__xludf.DUMMYFUNCTION("(T113-(IFERROR(MIN(FILTER({L113, O113, R113}, ISNUMBER({L113, O113, R113}), {L113, O113, R113} &gt; 0)), """")))/T113"),"#DIV/0!")</f>
        <v>#DIV/0!</v>
      </c>
    </row>
    <row r="114" ht="22.5" customHeight="1">
      <c r="A114" s="34"/>
      <c r="B114" s="34"/>
      <c r="C114" s="37"/>
      <c r="D114" s="38"/>
      <c r="E114" s="103"/>
      <c r="F114" s="49"/>
      <c r="G114" s="37"/>
      <c r="H114" s="38"/>
      <c r="I114" s="34"/>
      <c r="J114" s="41" t="s">
        <v>261</v>
      </c>
      <c r="K114" s="41" t="s">
        <v>261</v>
      </c>
      <c r="L114" s="41"/>
      <c r="M114" s="42"/>
      <c r="N114" s="42"/>
      <c r="O114" s="42"/>
      <c r="P114" s="41"/>
      <c r="Q114" s="39"/>
      <c r="R114" s="41"/>
      <c r="S114" s="46">
        <v>0.67</v>
      </c>
      <c r="T114" s="50">
        <f>IFERROR(__xludf.DUMMYFUNCTION("((IFERROR(MIN(FILTER({L114, O114, R114}, ISNUMBER({L114, O114, R114}), {L114, O114, R114} &gt; 0)), """"))*S114)+IFERROR(MIN(FILTER({L114, O114, R114}, ISNUMBER({L114, O114, R114}), {L114, O114, R114} &gt; 0)), """")"),0.0)</f>
        <v>0</v>
      </c>
      <c r="U114" s="53" t="str">
        <f>IFERROR(__xludf.DUMMYFUNCTION("(T114-(IFERROR(MIN(FILTER({L114, O114, R114}, ISNUMBER({L114, O114, R114}), {L114, O114, R114} &gt; 0)), """")))/T114"),"#DIV/0!")</f>
        <v>#DIV/0!</v>
      </c>
    </row>
    <row r="115" ht="22.5" customHeight="1">
      <c r="A115" s="34"/>
      <c r="B115" s="34"/>
      <c r="C115" s="37"/>
      <c r="D115" s="38"/>
      <c r="E115" s="103"/>
      <c r="F115" s="49"/>
      <c r="G115" s="37"/>
      <c r="H115" s="38"/>
      <c r="I115" s="34"/>
      <c r="J115" s="41" t="s">
        <v>261</v>
      </c>
      <c r="K115" s="41" t="s">
        <v>261</v>
      </c>
      <c r="L115" s="41"/>
      <c r="M115" s="42"/>
      <c r="N115" s="42"/>
      <c r="O115" s="42"/>
      <c r="P115" s="41"/>
      <c r="Q115" s="39"/>
      <c r="R115" s="41"/>
      <c r="S115" s="46">
        <v>0.67</v>
      </c>
      <c r="T115" s="50">
        <f>IFERROR(__xludf.DUMMYFUNCTION("((IFERROR(MIN(FILTER({L115, O115, R115}, ISNUMBER({L115, O115, R115}), {L115, O115, R115} &gt; 0)), """"))*S115)+IFERROR(MIN(FILTER({L115, O115, R115}, ISNUMBER({L115, O115, R115}), {L115, O115, R115} &gt; 0)), """")"),0.0)</f>
        <v>0</v>
      </c>
      <c r="U115" s="53" t="str">
        <f>IFERROR(__xludf.DUMMYFUNCTION("(T115-(IFERROR(MIN(FILTER({L115, O115, R115}, ISNUMBER({L115, O115, R115}), {L115, O115, R115} &gt; 0)), """")))/T115"),"#DIV/0!")</f>
        <v>#DIV/0!</v>
      </c>
    </row>
    <row r="116" ht="22.5" customHeight="1">
      <c r="A116" s="34"/>
      <c r="B116" s="34"/>
      <c r="C116" s="37"/>
      <c r="D116" s="38"/>
      <c r="E116" s="103"/>
      <c r="F116" s="49"/>
      <c r="G116" s="37"/>
      <c r="H116" s="38"/>
      <c r="I116" s="34"/>
      <c r="J116" s="41" t="s">
        <v>261</v>
      </c>
      <c r="K116" s="41" t="s">
        <v>261</v>
      </c>
      <c r="L116" s="41"/>
      <c r="M116" s="42"/>
      <c r="N116" s="42"/>
      <c r="O116" s="42"/>
      <c r="P116" s="41"/>
      <c r="Q116" s="39"/>
      <c r="R116" s="41"/>
      <c r="S116" s="46">
        <v>0.67</v>
      </c>
      <c r="T116" s="50">
        <f>IFERROR(__xludf.DUMMYFUNCTION("((IFERROR(MIN(FILTER({L116, O116, R116}, ISNUMBER({L116, O116, R116}), {L116, O116, R116} &gt; 0)), """"))*S116)+IFERROR(MIN(FILTER({L116, O116, R116}, ISNUMBER({L116, O116, R116}), {L116, O116, R116} &gt; 0)), """")"),0.0)</f>
        <v>0</v>
      </c>
      <c r="U116" s="53" t="str">
        <f>IFERROR(__xludf.DUMMYFUNCTION("(T116-(IFERROR(MIN(FILTER({L116, O116, R116}, ISNUMBER({L116, O116, R116}), {L116, O116, R116} &gt; 0)), """")))/T116"),"#DIV/0!")</f>
        <v>#DIV/0!</v>
      </c>
    </row>
    <row r="117" ht="22.5" customHeight="1">
      <c r="A117" s="34"/>
      <c r="B117" s="34"/>
      <c r="C117" s="37"/>
      <c r="D117" s="38"/>
      <c r="E117" s="103"/>
      <c r="F117" s="49"/>
      <c r="G117" s="37"/>
      <c r="H117" s="112"/>
      <c r="I117" s="34"/>
      <c r="J117" s="41" t="s">
        <v>261</v>
      </c>
      <c r="K117" s="41" t="s">
        <v>261</v>
      </c>
      <c r="L117" s="41"/>
      <c r="M117" s="108"/>
      <c r="N117" s="108"/>
      <c r="O117" s="108"/>
      <c r="P117" s="41"/>
      <c r="Q117" s="39"/>
      <c r="R117" s="41"/>
      <c r="S117" s="46">
        <v>0.67</v>
      </c>
      <c r="T117" s="109">
        <f>IFERROR(__xludf.DUMMYFUNCTION("((IFERROR(MIN(FILTER({L117, O117, R117}, ISNUMBER({L117, O117, R117}), {L117, O117, R117} &gt; 0)), """"))*S117)+IFERROR(MIN(FILTER({L117, O117, R117}, ISNUMBER({L117, O117, R117}), {L117, O117, R117} &gt; 0)), """")"),0.0)</f>
        <v>0</v>
      </c>
      <c r="U117" s="53" t="str">
        <f>IFERROR(__xludf.DUMMYFUNCTION("(T117-(IFERROR(MIN(FILTER({L117, O117, R117}, ISNUMBER({L117, O117, R117}), {L117, O117, R117} &gt; 0)), """")))/T117"),"#DIV/0!")</f>
        <v>#DIV/0!</v>
      </c>
    </row>
    <row r="118" ht="22.5" customHeight="1">
      <c r="A118" s="34"/>
      <c r="B118" s="34"/>
      <c r="C118" s="37"/>
      <c r="D118" s="38"/>
      <c r="E118" s="103"/>
      <c r="F118" s="49"/>
      <c r="G118" s="37"/>
      <c r="H118" s="112"/>
      <c r="I118" s="34"/>
      <c r="J118" s="41" t="s">
        <v>261</v>
      </c>
      <c r="K118" s="41" t="s">
        <v>261</v>
      </c>
      <c r="L118" s="41"/>
      <c r="M118" s="108"/>
      <c r="N118" s="108"/>
      <c r="O118" s="108"/>
      <c r="P118" s="41"/>
      <c r="Q118" s="39"/>
      <c r="R118" s="41"/>
      <c r="S118" s="46">
        <v>0.67</v>
      </c>
      <c r="T118" s="109">
        <f>IFERROR(__xludf.DUMMYFUNCTION("((IFERROR(MIN(FILTER({L118, O118, R118}, ISNUMBER({L118, O118, R118}), {L118, O118, R118} &gt; 0)), """"))*S118)+IFERROR(MIN(FILTER({L118, O118, R118}, ISNUMBER({L118, O118, R118}), {L118, O118, R118} &gt; 0)), """")"),0.0)</f>
        <v>0</v>
      </c>
      <c r="U118" s="53" t="str">
        <f>IFERROR(__xludf.DUMMYFUNCTION("(T118-(IFERROR(MIN(FILTER({L118, O118, R118}, ISNUMBER({L118, O118, R118}), {L118, O118, R118} &gt; 0)), """")))/T118"),"#DIV/0!")</f>
        <v>#DIV/0!</v>
      </c>
    </row>
    <row r="119" ht="22.5" customHeight="1">
      <c r="A119" s="34"/>
      <c r="B119" s="34"/>
      <c r="C119" s="37"/>
      <c r="D119" s="38"/>
      <c r="E119" s="103"/>
      <c r="F119" s="49"/>
      <c r="G119" s="37"/>
      <c r="H119" s="112"/>
      <c r="I119" s="34"/>
      <c r="J119" s="41" t="s">
        <v>261</v>
      </c>
      <c r="K119" s="41" t="s">
        <v>261</v>
      </c>
      <c r="L119" s="41"/>
      <c r="M119" s="108"/>
      <c r="N119" s="108"/>
      <c r="O119" s="108"/>
      <c r="P119" s="41"/>
      <c r="Q119" s="39"/>
      <c r="R119" s="41"/>
      <c r="S119" s="46">
        <v>0.67</v>
      </c>
      <c r="T119" s="109">
        <f>IFERROR(__xludf.DUMMYFUNCTION("((IFERROR(MIN(FILTER({L119, O119, R119}, ISNUMBER({L119, O119, R119}), {L119, O119, R119} &gt; 0)), """"))*S119)+IFERROR(MIN(FILTER({L119, O119, R119}, ISNUMBER({L119, O119, R119}), {L119, O119, R119} &gt; 0)), """")"),0.0)</f>
        <v>0</v>
      </c>
      <c r="U119" s="53" t="str">
        <f>IFERROR(__xludf.DUMMYFUNCTION("(T119-(IFERROR(MIN(FILTER({L119, O119, R119}, ISNUMBER({L119, O119, R119}), {L119, O119, R119} &gt; 0)), """")))/T119"),"#DIV/0!")</f>
        <v>#DIV/0!</v>
      </c>
    </row>
    <row r="120" ht="22.5" customHeight="1">
      <c r="A120" s="34"/>
      <c r="B120" s="34"/>
      <c r="C120" s="37"/>
      <c r="D120" s="38"/>
      <c r="E120" s="103"/>
      <c r="F120" s="49"/>
      <c r="G120" s="37"/>
      <c r="H120" s="112"/>
      <c r="I120" s="34"/>
      <c r="J120" s="41" t="s">
        <v>261</v>
      </c>
      <c r="K120" s="41" t="s">
        <v>261</v>
      </c>
      <c r="L120" s="41"/>
      <c r="M120" s="108"/>
      <c r="N120" s="108"/>
      <c r="O120" s="108"/>
      <c r="P120" s="41"/>
      <c r="Q120" s="39"/>
      <c r="R120" s="41"/>
      <c r="S120" s="46">
        <v>0.67</v>
      </c>
      <c r="T120" s="109">
        <f>IFERROR(__xludf.DUMMYFUNCTION("((IFERROR(MIN(FILTER({L120, O120, R120}, ISNUMBER({L120, O120, R120}), {L120, O120, R120} &gt; 0)), """"))*S120)+IFERROR(MIN(FILTER({L120, O120, R120}, ISNUMBER({L120, O120, R120}), {L120, O120, R120} &gt; 0)), """")"),0.0)</f>
        <v>0</v>
      </c>
      <c r="U120" s="53" t="str">
        <f>IFERROR(__xludf.DUMMYFUNCTION("(T120-(IFERROR(MIN(FILTER({L120, O120, R120}, ISNUMBER({L120, O120, R120}), {L120, O120, R120} &gt; 0)), """")))/T120"),"#DIV/0!")</f>
        <v>#DIV/0!</v>
      </c>
    </row>
    <row r="121" ht="22.5" customHeight="1">
      <c r="A121" s="34"/>
      <c r="B121" s="34"/>
      <c r="C121" s="37"/>
      <c r="D121" s="38"/>
      <c r="E121" s="103"/>
      <c r="F121" s="49"/>
      <c r="G121" s="37"/>
      <c r="H121" s="112"/>
      <c r="I121" s="34"/>
      <c r="J121" s="41" t="s">
        <v>261</v>
      </c>
      <c r="K121" s="41" t="s">
        <v>261</v>
      </c>
      <c r="L121" s="41"/>
      <c r="M121" s="108"/>
      <c r="N121" s="108"/>
      <c r="O121" s="108"/>
      <c r="P121" s="41"/>
      <c r="Q121" s="39"/>
      <c r="R121" s="41"/>
      <c r="S121" s="46">
        <v>0.67</v>
      </c>
      <c r="T121" s="109">
        <f>IFERROR(__xludf.DUMMYFUNCTION("((IFERROR(MIN(FILTER({L121, O121, R121}, ISNUMBER({L121, O121, R121}), {L121, O121, R121} &gt; 0)), """"))*S121)+IFERROR(MIN(FILTER({L121, O121, R121}, ISNUMBER({L121, O121, R121}), {L121, O121, R121} &gt; 0)), """")"),0.0)</f>
        <v>0</v>
      </c>
      <c r="U121" s="53" t="str">
        <f>IFERROR(__xludf.DUMMYFUNCTION("(T121-(IFERROR(MIN(FILTER({L121, O121, R121}, ISNUMBER({L121, O121, R121}), {L121, O121, R121} &gt; 0)), """")))/T121"),"#DIV/0!")</f>
        <v>#DIV/0!</v>
      </c>
    </row>
    <row r="122" ht="22.5" customHeight="1">
      <c r="A122" s="34"/>
      <c r="B122" s="34"/>
      <c r="C122" s="37"/>
      <c r="D122" s="38"/>
      <c r="E122" s="103"/>
      <c r="F122" s="49"/>
      <c r="G122" s="37"/>
      <c r="H122" s="112"/>
      <c r="I122" s="34"/>
      <c r="J122" s="41" t="s">
        <v>261</v>
      </c>
      <c r="K122" s="41" t="s">
        <v>261</v>
      </c>
      <c r="L122" s="41"/>
      <c r="M122" s="108"/>
      <c r="N122" s="108"/>
      <c r="O122" s="108"/>
      <c r="P122" s="41"/>
      <c r="Q122" s="39"/>
      <c r="R122" s="41"/>
      <c r="S122" s="46">
        <v>0.67</v>
      </c>
      <c r="T122" s="109">
        <f>IFERROR(__xludf.DUMMYFUNCTION("((IFERROR(MIN(FILTER({L122, O122, R122}, ISNUMBER({L122, O122, R122}), {L122, O122, R122} &gt; 0)), """"))*S122)+IFERROR(MIN(FILTER({L122, O122, R122}, ISNUMBER({L122, O122, R122}), {L122, O122, R122} &gt; 0)), """")"),0.0)</f>
        <v>0</v>
      </c>
      <c r="U122" s="53" t="str">
        <f>IFERROR(__xludf.DUMMYFUNCTION("(T122-(IFERROR(MIN(FILTER({L122, O122, R122}, ISNUMBER({L122, O122, R122}), {L122, O122, R122} &gt; 0)), """")))/T122"),"#DIV/0!")</f>
        <v>#DIV/0!</v>
      </c>
    </row>
    <row r="123" ht="22.5" customHeight="1">
      <c r="A123" s="34"/>
      <c r="B123" s="34"/>
      <c r="C123" s="37"/>
      <c r="D123" s="38"/>
      <c r="E123" s="103"/>
      <c r="F123" s="49"/>
      <c r="G123" s="37"/>
      <c r="H123" s="112"/>
      <c r="I123" s="34"/>
      <c r="J123" s="41" t="s">
        <v>261</v>
      </c>
      <c r="K123" s="41" t="s">
        <v>261</v>
      </c>
      <c r="L123" s="41"/>
      <c r="M123" s="108"/>
      <c r="N123" s="108"/>
      <c r="O123" s="108"/>
      <c r="P123" s="41"/>
      <c r="Q123" s="39"/>
      <c r="R123" s="41"/>
      <c r="S123" s="46">
        <v>0.67</v>
      </c>
      <c r="T123" s="109">
        <f>IFERROR(__xludf.DUMMYFUNCTION("((IFERROR(MIN(FILTER({L123, O123, R123}, ISNUMBER({L123, O123, R123}), {L123, O123, R123} &gt; 0)), """"))*S123)+IFERROR(MIN(FILTER({L123, O123, R123}, ISNUMBER({L123, O123, R123}), {L123, O123, R123} &gt; 0)), """")"),0.0)</f>
        <v>0</v>
      </c>
      <c r="U123" s="53" t="str">
        <f>IFERROR(__xludf.DUMMYFUNCTION("(T123-(IFERROR(MIN(FILTER({L123, O123, R123}, ISNUMBER({L123, O123, R123}), {L123, O123, R123} &gt; 0)), """")))/T123"),"#DIV/0!")</f>
        <v>#DIV/0!</v>
      </c>
    </row>
    <row r="124" ht="22.5" customHeight="1">
      <c r="A124" s="34"/>
      <c r="B124" s="34"/>
      <c r="C124" s="37"/>
      <c r="D124" s="38"/>
      <c r="E124" s="103"/>
      <c r="F124" s="49"/>
      <c r="G124" s="37"/>
      <c r="H124" s="112"/>
      <c r="I124" s="34"/>
      <c r="J124" s="41" t="s">
        <v>261</v>
      </c>
      <c r="K124" s="41" t="s">
        <v>261</v>
      </c>
      <c r="L124" s="41"/>
      <c r="M124" s="108"/>
      <c r="N124" s="108"/>
      <c r="O124" s="108"/>
      <c r="P124" s="41"/>
      <c r="Q124" s="39"/>
      <c r="R124" s="41"/>
      <c r="S124" s="46">
        <v>0.67</v>
      </c>
      <c r="T124" s="109">
        <f>IFERROR(__xludf.DUMMYFUNCTION("((IFERROR(MIN(FILTER({L124, O124, R124}, ISNUMBER({L124, O124, R124}), {L124, O124, R124} &gt; 0)), """"))*S124)+IFERROR(MIN(FILTER({L124, O124, R124}, ISNUMBER({L124, O124, R124}), {L124, O124, R124} &gt; 0)), """")"),0.0)</f>
        <v>0</v>
      </c>
      <c r="U124" s="53" t="str">
        <f>IFERROR(__xludf.DUMMYFUNCTION("(T124-(IFERROR(MIN(FILTER({L124, O124, R124}, ISNUMBER({L124, O124, R124}), {L124, O124, R124} &gt; 0)), """")))/T124"),"#DIV/0!")</f>
        <v>#DIV/0!</v>
      </c>
    </row>
    <row r="125" ht="22.5" customHeight="1">
      <c r="A125" s="34"/>
      <c r="B125" s="34"/>
      <c r="C125" s="37"/>
      <c r="D125" s="38"/>
      <c r="E125" s="103"/>
      <c r="F125" s="49"/>
      <c r="G125" s="37"/>
      <c r="H125" s="112"/>
      <c r="I125" s="34"/>
      <c r="J125" s="41" t="s">
        <v>261</v>
      </c>
      <c r="K125" s="41" t="s">
        <v>261</v>
      </c>
      <c r="L125" s="41"/>
      <c r="M125" s="108"/>
      <c r="N125" s="108"/>
      <c r="O125" s="108"/>
      <c r="P125" s="41"/>
      <c r="Q125" s="39"/>
      <c r="R125" s="41"/>
      <c r="S125" s="46">
        <v>0.67</v>
      </c>
      <c r="T125" s="109">
        <f>IFERROR(__xludf.DUMMYFUNCTION("((IFERROR(MIN(FILTER({L125, O125, R125}, ISNUMBER({L125, O125, R125}), {L125, O125, R125} &gt; 0)), """"))*S125)+IFERROR(MIN(FILTER({L125, O125, R125}, ISNUMBER({L125, O125, R125}), {L125, O125, R125} &gt; 0)), """")"),0.0)</f>
        <v>0</v>
      </c>
      <c r="U125" s="53" t="str">
        <f>IFERROR(__xludf.DUMMYFUNCTION("(T125-(IFERROR(MIN(FILTER({L125, O125, R125}, ISNUMBER({L125, O125, R125}), {L125, O125, R125} &gt; 0)), """")))/T125"),"#DIV/0!")</f>
        <v>#DIV/0!</v>
      </c>
    </row>
    <row r="126" ht="22.5" customHeight="1">
      <c r="A126" s="34"/>
      <c r="B126" s="34"/>
      <c r="C126" s="37"/>
      <c r="D126" s="38"/>
      <c r="E126" s="103"/>
      <c r="F126" s="49"/>
      <c r="G126" s="37"/>
      <c r="H126" s="112"/>
      <c r="I126" s="34"/>
      <c r="J126" s="41" t="s">
        <v>261</v>
      </c>
      <c r="K126" s="41" t="s">
        <v>261</v>
      </c>
      <c r="L126" s="41"/>
      <c r="M126" s="108"/>
      <c r="N126" s="108"/>
      <c r="O126" s="110"/>
      <c r="P126" s="41"/>
      <c r="Q126" s="39"/>
      <c r="R126" s="39"/>
      <c r="S126" s="46">
        <v>0.67</v>
      </c>
      <c r="T126" s="109">
        <f>IFERROR(__xludf.DUMMYFUNCTION("((IFERROR(MIN(FILTER({L126, O126, R126}, ISNUMBER({L126, O126, R126}), {L126, O126, R126} &gt; 0)), """"))*S126)+IFERROR(MIN(FILTER({L126, O126, R126}, ISNUMBER({L126, O126, R126}), {L126, O126, R126} &gt; 0)), """")"),0.0)</f>
        <v>0</v>
      </c>
      <c r="U126" s="53" t="str">
        <f>IFERROR(__xludf.DUMMYFUNCTION("(T126-(IFERROR(MIN(FILTER({L126, O126, R126}, ISNUMBER({L126, O126, R126}), {L126, O126, R126} &gt; 0)), """")))/T126"),"#DIV/0!")</f>
        <v>#DIV/0!</v>
      </c>
    </row>
    <row r="127" ht="22.5" customHeight="1">
      <c r="A127" s="34"/>
      <c r="B127" s="34"/>
      <c r="C127" s="37"/>
      <c r="D127" s="38"/>
      <c r="E127" s="103"/>
      <c r="F127" s="49"/>
      <c r="G127" s="37"/>
      <c r="H127" s="112"/>
      <c r="I127" s="34"/>
      <c r="J127" s="41" t="s">
        <v>261</v>
      </c>
      <c r="K127" s="41" t="s">
        <v>261</v>
      </c>
      <c r="L127" s="41"/>
      <c r="M127" s="108"/>
      <c r="N127" s="108"/>
      <c r="O127" s="110"/>
      <c r="P127" s="41"/>
      <c r="Q127" s="39"/>
      <c r="R127" s="39"/>
      <c r="S127" s="46">
        <v>0.67</v>
      </c>
      <c r="T127" s="109">
        <f>IFERROR(__xludf.DUMMYFUNCTION("((IFERROR(MIN(FILTER({L127, O127, R127}, ISNUMBER({L127, O127, R127}), {L127, O127, R127} &gt; 0)), """"))*S127)+IFERROR(MIN(FILTER({L127, O127, R127}, ISNUMBER({L127, O127, R127}), {L127, O127, R127} &gt; 0)), """")"),0.0)</f>
        <v>0</v>
      </c>
      <c r="U127" s="53" t="str">
        <f>IFERROR(__xludf.DUMMYFUNCTION("(T127-(IFERROR(MIN(FILTER({L127, O127, R127}, ISNUMBER({L127, O127, R127}), {L127, O127, R127} &gt; 0)), """")))/T127"),"#DIV/0!")</f>
        <v>#DIV/0!</v>
      </c>
    </row>
    <row r="128" ht="22.5" customHeight="1">
      <c r="A128" s="34"/>
      <c r="B128" s="34"/>
      <c r="C128" s="37"/>
      <c r="D128" s="38"/>
      <c r="E128" s="103"/>
      <c r="F128" s="49"/>
      <c r="G128" s="37"/>
      <c r="H128" s="112"/>
      <c r="I128" s="34"/>
      <c r="J128" s="41" t="s">
        <v>261</v>
      </c>
      <c r="K128" s="41" t="s">
        <v>261</v>
      </c>
      <c r="L128" s="41"/>
      <c r="M128" s="108"/>
      <c r="N128" s="108"/>
      <c r="O128" s="110"/>
      <c r="P128" s="41"/>
      <c r="Q128" s="39"/>
      <c r="R128" s="39"/>
      <c r="S128" s="46">
        <v>0.67</v>
      </c>
      <c r="T128" s="109">
        <f>IFERROR(__xludf.DUMMYFUNCTION("((IFERROR(MIN(FILTER({L128, O128, R128}, ISNUMBER({L128, O128, R128}), {L128, O128, R128} &gt; 0)), """"))*S128)+IFERROR(MIN(FILTER({L128, O128, R128}, ISNUMBER({L128, O128, R128}), {L128, O128, R128} &gt; 0)), """")"),0.0)</f>
        <v>0</v>
      </c>
      <c r="U128" s="53" t="str">
        <f>IFERROR(__xludf.DUMMYFUNCTION("(T128-(IFERROR(MIN(FILTER({L128, O128, R128}, ISNUMBER({L128, O128, R128}), {L128, O128, R128} &gt; 0)), """")))/T128"),"#DIV/0!")</f>
        <v>#DIV/0!</v>
      </c>
    </row>
    <row r="129" ht="22.5" customHeight="1">
      <c r="A129" s="34"/>
      <c r="B129" s="34"/>
      <c r="C129" s="37"/>
      <c r="D129" s="38"/>
      <c r="E129" s="103"/>
      <c r="F129" s="49"/>
      <c r="G129" s="37"/>
      <c r="H129" s="112"/>
      <c r="I129" s="34"/>
      <c r="J129" s="41" t="s">
        <v>261</v>
      </c>
      <c r="K129" s="41" t="s">
        <v>261</v>
      </c>
      <c r="L129" s="41"/>
      <c r="M129" s="108"/>
      <c r="N129" s="108"/>
      <c r="O129" s="110"/>
      <c r="P129" s="41"/>
      <c r="Q129" s="39"/>
      <c r="R129" s="39"/>
      <c r="S129" s="46">
        <v>0.67</v>
      </c>
      <c r="T129" s="109">
        <f>IFERROR(__xludf.DUMMYFUNCTION("((IFERROR(MIN(FILTER({L129, O129, R129}, ISNUMBER({L129, O129, R129}), {L129, O129, R129} &gt; 0)), """"))*S129)+IFERROR(MIN(FILTER({L129, O129, R129}, ISNUMBER({L129, O129, R129}), {L129, O129, R129} &gt; 0)), """")"),0.0)</f>
        <v>0</v>
      </c>
      <c r="U129" s="53" t="str">
        <f>IFERROR(__xludf.DUMMYFUNCTION("(T129-(IFERROR(MIN(FILTER({L129, O129, R129}, ISNUMBER({L129, O129, R129}), {L129, O129, R129} &gt; 0)), """")))/T129"),"#DIV/0!")</f>
        <v>#DIV/0!</v>
      </c>
    </row>
    <row r="130" ht="22.5" customHeight="1">
      <c r="A130" s="34"/>
      <c r="B130" s="34"/>
      <c r="C130" s="37"/>
      <c r="D130" s="38"/>
      <c r="E130" s="103"/>
      <c r="F130" s="49"/>
      <c r="G130" s="37"/>
      <c r="H130" s="112"/>
      <c r="I130" s="34"/>
      <c r="J130" s="41" t="s">
        <v>261</v>
      </c>
      <c r="K130" s="41" t="s">
        <v>261</v>
      </c>
      <c r="L130" s="41"/>
      <c r="M130" s="108"/>
      <c r="N130" s="108"/>
      <c r="O130" s="110"/>
      <c r="P130" s="41"/>
      <c r="Q130" s="39"/>
      <c r="R130" s="39"/>
      <c r="S130" s="46">
        <v>0.67</v>
      </c>
      <c r="T130" s="109">
        <f>IFERROR(__xludf.DUMMYFUNCTION("((IFERROR(MIN(FILTER({L130, O130, R130}, ISNUMBER({L130, O130, R130}), {L130, O130, R130} &gt; 0)), """"))*S130)+IFERROR(MIN(FILTER({L130, O130, R130}, ISNUMBER({L130, O130, R130}), {L130, O130, R130} &gt; 0)), """")"),0.0)</f>
        <v>0</v>
      </c>
      <c r="U130" s="53" t="str">
        <f>IFERROR(__xludf.DUMMYFUNCTION("(T130-(IFERROR(MIN(FILTER({L130, O130, R130}, ISNUMBER({L130, O130, R130}), {L130, O130, R130} &gt; 0)), """")))/T130"),"#DIV/0!")</f>
        <v>#DIV/0!</v>
      </c>
    </row>
    <row r="131" ht="22.5" customHeight="1">
      <c r="A131" s="34"/>
      <c r="B131" s="34"/>
      <c r="C131" s="37"/>
      <c r="D131" s="38"/>
      <c r="E131" s="103"/>
      <c r="F131" s="49"/>
      <c r="G131" s="37"/>
      <c r="H131" s="112"/>
      <c r="I131" s="34"/>
      <c r="J131" s="41" t="s">
        <v>261</v>
      </c>
      <c r="K131" s="41" t="s">
        <v>261</v>
      </c>
      <c r="L131" s="41"/>
      <c r="M131" s="108"/>
      <c r="N131" s="108"/>
      <c r="O131" s="108"/>
      <c r="P131" s="41"/>
      <c r="Q131" s="39"/>
      <c r="R131" s="41"/>
      <c r="S131" s="46">
        <v>0.67</v>
      </c>
      <c r="T131" s="109">
        <f>IFERROR(__xludf.DUMMYFUNCTION("((IFERROR(MIN(FILTER({L131, O131, R131}, ISNUMBER({L131, O131, R131}), {L131, O131, R131} &gt; 0)), """"))*S131)+IFERROR(MIN(FILTER({L131, O131, R131}, ISNUMBER({L131, O131, R131}), {L131, O131, R131} &gt; 0)), """")"),0.0)</f>
        <v>0</v>
      </c>
      <c r="U131" s="53" t="str">
        <f>IFERROR(__xludf.DUMMYFUNCTION("(T131-(IFERROR(MIN(FILTER({L131, O131, R131}, ISNUMBER({L131, O131, R131}), {L131, O131, R131} &gt; 0)), """")))/T131"),"#DIV/0!")</f>
        <v>#DIV/0!</v>
      </c>
    </row>
    <row r="132" ht="22.5" customHeight="1">
      <c r="A132" s="34"/>
      <c r="B132" s="34"/>
      <c r="C132" s="37"/>
      <c r="D132" s="38"/>
      <c r="E132" s="103"/>
      <c r="F132" s="49"/>
      <c r="G132" s="37"/>
      <c r="H132" s="112"/>
      <c r="I132" s="34"/>
      <c r="J132" s="41" t="s">
        <v>261</v>
      </c>
      <c r="K132" s="41" t="s">
        <v>261</v>
      </c>
      <c r="L132" s="41"/>
      <c r="M132" s="108"/>
      <c r="N132" s="108"/>
      <c r="O132" s="108"/>
      <c r="P132" s="41"/>
      <c r="Q132" s="39"/>
      <c r="R132" s="41"/>
      <c r="S132" s="46">
        <v>0.67</v>
      </c>
      <c r="T132" s="109">
        <f>IFERROR(__xludf.DUMMYFUNCTION("((IFERROR(MIN(FILTER({L132, O132, R132}, ISNUMBER({L132, O132, R132}), {L132, O132, R132} &gt; 0)), """"))*S132)+IFERROR(MIN(FILTER({L132, O132, R132}, ISNUMBER({L132, O132, R132}), {L132, O132, R132} &gt; 0)), """")"),0.0)</f>
        <v>0</v>
      </c>
      <c r="U132" s="53" t="str">
        <f>IFERROR(__xludf.DUMMYFUNCTION("(T132-(IFERROR(MIN(FILTER({L132, O132, R132}, ISNUMBER({L132, O132, R132}), {L132, O132, R132} &gt; 0)), """")))/T132"),"#DIV/0!")</f>
        <v>#DIV/0!</v>
      </c>
    </row>
    <row r="133" ht="22.5" customHeight="1">
      <c r="A133" s="34"/>
      <c r="B133" s="34"/>
      <c r="C133" s="37"/>
      <c r="D133" s="38"/>
      <c r="E133" s="103"/>
      <c r="F133" s="49"/>
      <c r="G133" s="37"/>
      <c r="H133" s="112"/>
      <c r="I133" s="34"/>
      <c r="J133" s="41" t="s">
        <v>261</v>
      </c>
      <c r="K133" s="41" t="s">
        <v>261</v>
      </c>
      <c r="L133" s="41"/>
      <c r="M133" s="108"/>
      <c r="N133" s="108"/>
      <c r="O133" s="110"/>
      <c r="P133" s="41"/>
      <c r="Q133" s="39"/>
      <c r="R133" s="39"/>
      <c r="S133" s="46">
        <v>0.67</v>
      </c>
      <c r="T133" s="109">
        <f>IFERROR(__xludf.DUMMYFUNCTION("((IFERROR(MIN(FILTER({L133, O133, R133}, ISNUMBER({L133, O133, R133}), {L133, O133, R133} &gt; 0)), """"))*S133)+IFERROR(MIN(FILTER({L133, O133, R133}, ISNUMBER({L133, O133, R133}), {L133, O133, R133} &gt; 0)), """")"),0.0)</f>
        <v>0</v>
      </c>
      <c r="U133" s="53" t="str">
        <f>IFERROR(__xludf.DUMMYFUNCTION("(T133-(IFERROR(MIN(FILTER({L133, O133, R133}, ISNUMBER({L133, O133, R133}), {L133, O133, R133} &gt; 0)), """")))/T133"),"#DIV/0!")</f>
        <v>#DIV/0!</v>
      </c>
    </row>
    <row r="134" ht="22.5" customHeight="1">
      <c r="A134" s="34"/>
      <c r="B134" s="34"/>
      <c r="C134" s="37"/>
      <c r="D134" s="38"/>
      <c r="E134" s="103"/>
      <c r="F134" s="49"/>
      <c r="G134" s="37"/>
      <c r="H134" s="112"/>
      <c r="I134" s="34"/>
      <c r="J134" s="41" t="s">
        <v>261</v>
      </c>
      <c r="K134" s="41" t="s">
        <v>261</v>
      </c>
      <c r="L134" s="41"/>
      <c r="M134" s="108"/>
      <c r="N134" s="108"/>
      <c r="O134" s="110"/>
      <c r="P134" s="41"/>
      <c r="Q134" s="39"/>
      <c r="R134" s="39"/>
      <c r="S134" s="46">
        <v>0.67</v>
      </c>
      <c r="T134" s="109">
        <f>IFERROR(__xludf.DUMMYFUNCTION("((IFERROR(MIN(FILTER({L134, O134, R134}, ISNUMBER({L134, O134, R134}), {L134, O134, R134} &gt; 0)), """"))*S134)+IFERROR(MIN(FILTER({L134, O134, R134}, ISNUMBER({L134, O134, R134}), {L134, O134, R134} &gt; 0)), """")"),0.0)</f>
        <v>0</v>
      </c>
      <c r="U134" s="53" t="str">
        <f>IFERROR(__xludf.DUMMYFUNCTION("(T134-(IFERROR(MIN(FILTER({L134, O134, R134}, ISNUMBER({L134, O134, R134}), {L134, O134, R134} &gt; 0)), """")))/T134"),"#DIV/0!")</f>
        <v>#DIV/0!</v>
      </c>
    </row>
    <row r="135" ht="22.5" customHeight="1">
      <c r="A135" s="34"/>
      <c r="B135" s="34"/>
      <c r="C135" s="37"/>
      <c r="D135" s="38"/>
      <c r="E135" s="103"/>
      <c r="F135" s="49"/>
      <c r="G135" s="37"/>
      <c r="H135" s="112"/>
      <c r="I135" s="34"/>
      <c r="J135" s="41" t="s">
        <v>261</v>
      </c>
      <c r="K135" s="41" t="s">
        <v>261</v>
      </c>
      <c r="L135" s="41"/>
      <c r="M135" s="108"/>
      <c r="N135" s="108"/>
      <c r="O135" s="110"/>
      <c r="P135" s="41"/>
      <c r="Q135" s="39"/>
      <c r="R135" s="39"/>
      <c r="S135" s="46">
        <v>0.67</v>
      </c>
      <c r="T135" s="109">
        <f>IFERROR(__xludf.DUMMYFUNCTION("((IFERROR(MIN(FILTER({L135, O135, R135}, ISNUMBER({L135, O135, R135}), {L135, O135, R135} &gt; 0)), """"))*S135)+IFERROR(MIN(FILTER({L135, O135, R135}, ISNUMBER({L135, O135, R135}), {L135, O135, R135} &gt; 0)), """")"),0.0)</f>
        <v>0</v>
      </c>
      <c r="U135" s="53" t="str">
        <f>IFERROR(__xludf.DUMMYFUNCTION("(T135-(IFERROR(MIN(FILTER({L135, O135, R135}, ISNUMBER({L135, O135, R135}), {L135, O135, R135} &gt; 0)), """")))/T135"),"#DIV/0!")</f>
        <v>#DIV/0!</v>
      </c>
    </row>
    <row r="136" ht="22.5" customHeight="1">
      <c r="A136" s="34"/>
      <c r="B136" s="34"/>
      <c r="C136" s="37"/>
      <c r="D136" s="38"/>
      <c r="E136" s="103"/>
      <c r="F136" s="49"/>
      <c r="G136" s="37"/>
      <c r="H136" s="112"/>
      <c r="I136" s="34"/>
      <c r="J136" s="41" t="s">
        <v>261</v>
      </c>
      <c r="K136" s="41" t="s">
        <v>261</v>
      </c>
      <c r="L136" s="41"/>
      <c r="M136" s="108"/>
      <c r="N136" s="108"/>
      <c r="O136" s="110"/>
      <c r="P136" s="41"/>
      <c r="Q136" s="39"/>
      <c r="R136" s="39"/>
      <c r="S136" s="46">
        <v>0.67</v>
      </c>
      <c r="T136" s="109">
        <f>IFERROR(__xludf.DUMMYFUNCTION("((IFERROR(MIN(FILTER({L136, O136, R136}, ISNUMBER({L136, O136, R136}), {L136, O136, R136} &gt; 0)), """"))*S136)+IFERROR(MIN(FILTER({L136, O136, R136}, ISNUMBER({L136, O136, R136}), {L136, O136, R136} &gt; 0)), """")"),0.0)</f>
        <v>0</v>
      </c>
      <c r="U136" s="53" t="str">
        <f>IFERROR(__xludf.DUMMYFUNCTION("(T136-(IFERROR(MIN(FILTER({L136, O136, R136}, ISNUMBER({L136, O136, R136}), {L136, O136, R136} &gt; 0)), """")))/T136"),"#DIV/0!")</f>
        <v>#DIV/0!</v>
      </c>
    </row>
    <row r="137" ht="22.5" customHeight="1">
      <c r="A137" s="34"/>
      <c r="B137" s="34"/>
      <c r="C137" s="37"/>
      <c r="D137" s="38"/>
      <c r="E137" s="103"/>
      <c r="F137" s="49"/>
      <c r="G137" s="37"/>
      <c r="H137" s="112"/>
      <c r="I137" s="34"/>
      <c r="J137" s="41" t="s">
        <v>261</v>
      </c>
      <c r="K137" s="41" t="s">
        <v>261</v>
      </c>
      <c r="L137" s="41"/>
      <c r="M137" s="108"/>
      <c r="N137" s="108"/>
      <c r="O137" s="108"/>
      <c r="P137" s="41"/>
      <c r="Q137" s="39"/>
      <c r="R137" s="39"/>
      <c r="S137" s="46">
        <v>0.67</v>
      </c>
      <c r="T137" s="109">
        <f>IFERROR(__xludf.DUMMYFUNCTION("((IFERROR(MIN(FILTER({L137, O137, R137}, ISNUMBER({L137, O137, R137}), {L137, O137, R137} &gt; 0)), """"))*S137)+IFERROR(MIN(FILTER({L137, O137, R137}, ISNUMBER({L137, O137, R137}), {L137, O137, R137} &gt; 0)), """")"),0.0)</f>
        <v>0</v>
      </c>
      <c r="U137" s="53" t="str">
        <f>IFERROR(__xludf.DUMMYFUNCTION("(T137-(IFERROR(MIN(FILTER({L137, O137, R137}, ISNUMBER({L137, O137, R137}), {L137, O137, R137} &gt; 0)), """")))/T137"),"#DIV/0!")</f>
        <v>#DIV/0!</v>
      </c>
    </row>
    <row r="138" ht="22.5" customHeight="1">
      <c r="A138" s="34"/>
      <c r="B138" s="34"/>
      <c r="C138" s="37"/>
      <c r="D138" s="38"/>
      <c r="E138" s="103"/>
      <c r="F138" s="49"/>
      <c r="G138" s="37"/>
      <c r="H138" s="112"/>
      <c r="I138" s="34"/>
      <c r="J138" s="41" t="s">
        <v>261</v>
      </c>
      <c r="K138" s="41" t="s">
        <v>261</v>
      </c>
      <c r="L138" s="41"/>
      <c r="M138" s="108"/>
      <c r="N138" s="108"/>
      <c r="O138" s="110"/>
      <c r="P138" s="41"/>
      <c r="Q138" s="39"/>
      <c r="R138" s="39"/>
      <c r="S138" s="46">
        <v>0.67</v>
      </c>
      <c r="T138" s="109">
        <f>IFERROR(__xludf.DUMMYFUNCTION("((IFERROR(MIN(FILTER({L138, O138, R138}, ISNUMBER({L138, O138, R138}), {L138, O138, R138} &gt; 0)), """"))*S138)+IFERROR(MIN(FILTER({L138, O138, R138}, ISNUMBER({L138, O138, R138}), {L138, O138, R138} &gt; 0)), """")"),0.0)</f>
        <v>0</v>
      </c>
      <c r="U138" s="53" t="str">
        <f>IFERROR(__xludf.DUMMYFUNCTION("(T138-(IFERROR(MIN(FILTER({L138, O138, R138}, ISNUMBER({L138, O138, R138}), {L138, O138, R138} &gt; 0)), """")))/T138"),"#DIV/0!")</f>
        <v>#DIV/0!</v>
      </c>
    </row>
    <row r="139" ht="22.5" customHeight="1">
      <c r="A139" s="34"/>
      <c r="B139" s="34"/>
      <c r="C139" s="37"/>
      <c r="D139" s="38"/>
      <c r="E139" s="103"/>
      <c r="F139" s="49"/>
      <c r="G139" s="37"/>
      <c r="H139" s="112"/>
      <c r="I139" s="34"/>
      <c r="J139" s="41" t="s">
        <v>261</v>
      </c>
      <c r="K139" s="41" t="s">
        <v>261</v>
      </c>
      <c r="L139" s="41"/>
      <c r="M139" s="108"/>
      <c r="N139" s="108"/>
      <c r="O139" s="108"/>
      <c r="P139" s="41"/>
      <c r="Q139" s="39"/>
      <c r="R139" s="41"/>
      <c r="S139" s="46">
        <v>0.67</v>
      </c>
      <c r="T139" s="109">
        <f>IFERROR(__xludf.DUMMYFUNCTION("((IFERROR(MIN(FILTER({L139, O139, R139}, ISNUMBER({L139, O139, R139}), {L139, O139, R139} &gt; 0)), """"))*S139)+IFERROR(MIN(FILTER({L139, O139, R139}, ISNUMBER({L139, O139, R139}), {L139, O139, R139} &gt; 0)), """")"),0.0)</f>
        <v>0</v>
      </c>
      <c r="U139" s="53" t="str">
        <f>IFERROR(__xludf.DUMMYFUNCTION("(T139-(IFERROR(MIN(FILTER({L139, O139, R139}, ISNUMBER({L139, O139, R139}), {L139, O139, R139} &gt; 0)), """")))/T139"),"#DIV/0!")</f>
        <v>#DIV/0!</v>
      </c>
    </row>
    <row r="140" ht="22.5" customHeight="1">
      <c r="A140" s="34"/>
      <c r="B140" s="34"/>
      <c r="C140" s="37"/>
      <c r="D140" s="38"/>
      <c r="E140" s="103"/>
      <c r="F140" s="49"/>
      <c r="G140" s="37"/>
      <c r="H140" s="112"/>
      <c r="I140" s="34"/>
      <c r="J140" s="41" t="s">
        <v>261</v>
      </c>
      <c r="K140" s="41" t="s">
        <v>261</v>
      </c>
      <c r="L140" s="41"/>
      <c r="M140" s="108"/>
      <c r="N140" s="108"/>
      <c r="O140" s="108"/>
      <c r="P140" s="41"/>
      <c r="Q140" s="39"/>
      <c r="R140" s="41"/>
      <c r="S140" s="46">
        <v>0.67</v>
      </c>
      <c r="T140" s="109">
        <f>IFERROR(__xludf.DUMMYFUNCTION("((IFERROR(MIN(FILTER({L140, O140, R140}, ISNUMBER({L140, O140, R140}), {L140, O140, R140} &gt; 0)), """"))*S140)+IFERROR(MIN(FILTER({L140, O140, R140}, ISNUMBER({L140, O140, R140}), {L140, O140, R140} &gt; 0)), """")"),0.0)</f>
        <v>0</v>
      </c>
      <c r="U140" s="53" t="str">
        <f>IFERROR(__xludf.DUMMYFUNCTION("(T140-(IFERROR(MIN(FILTER({L140, O140, R140}, ISNUMBER({L140, O140, R140}), {L140, O140, R140} &gt; 0)), """")))/T140"),"#DIV/0!")</f>
        <v>#DIV/0!</v>
      </c>
    </row>
    <row r="141" ht="22.5" customHeight="1">
      <c r="A141" s="34"/>
      <c r="B141" s="34"/>
      <c r="C141" s="37"/>
      <c r="D141" s="38"/>
      <c r="E141" s="103"/>
      <c r="F141" s="49"/>
      <c r="G141" s="37"/>
      <c r="H141" s="112"/>
      <c r="I141" s="34"/>
      <c r="J141" s="41" t="s">
        <v>261</v>
      </c>
      <c r="K141" s="41" t="s">
        <v>261</v>
      </c>
      <c r="L141" s="41"/>
      <c r="M141" s="108"/>
      <c r="N141" s="108"/>
      <c r="O141" s="108"/>
      <c r="P141" s="41"/>
      <c r="Q141" s="39"/>
      <c r="R141" s="41"/>
      <c r="S141" s="46">
        <v>0.67</v>
      </c>
      <c r="T141" s="109">
        <f>IFERROR(__xludf.DUMMYFUNCTION("((IFERROR(MIN(FILTER({L141, O141, R141}, ISNUMBER({L141, O141, R141}), {L141, O141, R141} &gt; 0)), """"))*S141)+IFERROR(MIN(FILTER({L141, O141, R141}, ISNUMBER({L141, O141, R141}), {L141, O141, R141} &gt; 0)), """")"),0.0)</f>
        <v>0</v>
      </c>
      <c r="U141" s="53" t="str">
        <f>IFERROR(__xludf.DUMMYFUNCTION("(T141-(IFERROR(MIN(FILTER({L141, O141, R141}, ISNUMBER({L141, O141, R141}), {L141, O141, R141} &gt; 0)), """")))/T141"),"#DIV/0!")</f>
        <v>#DIV/0!</v>
      </c>
    </row>
    <row r="142" ht="22.5" customHeight="1">
      <c r="A142" s="34"/>
      <c r="B142" s="34"/>
      <c r="C142" s="37"/>
      <c r="D142" s="38"/>
      <c r="E142" s="103"/>
      <c r="F142" s="49"/>
      <c r="G142" s="37"/>
      <c r="H142" s="112"/>
      <c r="I142" s="34"/>
      <c r="J142" s="41" t="s">
        <v>261</v>
      </c>
      <c r="K142" s="41" t="s">
        <v>261</v>
      </c>
      <c r="L142" s="41"/>
      <c r="M142" s="108"/>
      <c r="N142" s="108"/>
      <c r="O142" s="108"/>
      <c r="P142" s="41"/>
      <c r="Q142" s="39"/>
      <c r="R142" s="39"/>
      <c r="S142" s="46">
        <v>0.67</v>
      </c>
      <c r="T142" s="109">
        <f>IFERROR(__xludf.DUMMYFUNCTION("((IFERROR(MIN(FILTER({L142, O142, R142}, ISNUMBER({L142, O142, R142}), {L142, O142, R142} &gt; 0)), """"))*S142)+IFERROR(MIN(FILTER({L142, O142, R142}, ISNUMBER({L142, O142, R142}), {L142, O142, R142} &gt; 0)), """")"),0.0)</f>
        <v>0</v>
      </c>
      <c r="U142" s="53" t="str">
        <f>IFERROR(__xludf.DUMMYFUNCTION("(T142-(IFERROR(MIN(FILTER({L142, O142, R142}, ISNUMBER({L142, O142, R142}), {L142, O142, R142} &gt; 0)), """")))/T142"),"#DIV/0!")</f>
        <v>#DIV/0!</v>
      </c>
    </row>
    <row r="143" ht="22.5" customHeight="1">
      <c r="A143" s="34"/>
      <c r="B143" s="34"/>
      <c r="C143" s="37"/>
      <c r="D143" s="38"/>
      <c r="E143" s="103"/>
      <c r="F143" s="49"/>
      <c r="G143" s="37"/>
      <c r="H143" s="112"/>
      <c r="I143" s="34"/>
      <c r="J143" s="41" t="s">
        <v>261</v>
      </c>
      <c r="K143" s="41" t="s">
        <v>261</v>
      </c>
      <c r="L143" s="41"/>
      <c r="M143" s="108"/>
      <c r="N143" s="108"/>
      <c r="O143" s="110"/>
      <c r="P143" s="41"/>
      <c r="Q143" s="39"/>
      <c r="R143" s="39"/>
      <c r="S143" s="46">
        <v>0.67</v>
      </c>
      <c r="T143" s="109">
        <f>IFERROR(__xludf.DUMMYFUNCTION("((IFERROR(MIN(FILTER({L143, O143, R143}, ISNUMBER({L143, O143, R143}), {L143, O143, R143} &gt; 0)), """"))*S143)+IFERROR(MIN(FILTER({L143, O143, R143}, ISNUMBER({L143, O143, R143}), {L143, O143, R143} &gt; 0)), """")"),0.0)</f>
        <v>0</v>
      </c>
      <c r="U143" s="53" t="str">
        <f>IFERROR(__xludf.DUMMYFUNCTION("(T143-(IFERROR(MIN(FILTER({L143, O143, R143}, ISNUMBER({L143, O143, R143}), {L143, O143, R143} &gt; 0)), """")))/T143"),"#DIV/0!")</f>
        <v>#DIV/0!</v>
      </c>
    </row>
    <row r="144" ht="22.5" customHeight="1">
      <c r="A144" s="34"/>
      <c r="B144" s="34"/>
      <c r="C144" s="37"/>
      <c r="D144" s="38"/>
      <c r="E144" s="103"/>
      <c r="F144" s="49"/>
      <c r="G144" s="37"/>
      <c r="H144" s="112"/>
      <c r="I144" s="34"/>
      <c r="J144" s="41" t="s">
        <v>261</v>
      </c>
      <c r="K144" s="41" t="s">
        <v>261</v>
      </c>
      <c r="L144" s="41"/>
      <c r="M144" s="108"/>
      <c r="N144" s="108"/>
      <c r="O144" s="110"/>
      <c r="P144" s="41"/>
      <c r="Q144" s="39"/>
      <c r="R144" s="39"/>
      <c r="S144" s="46">
        <v>0.67</v>
      </c>
      <c r="T144" s="109">
        <f>IFERROR(__xludf.DUMMYFUNCTION("((IFERROR(MIN(FILTER({L144, O144, R144}, ISNUMBER({L144, O144, R144}), {L144, O144, R144} &gt; 0)), """"))*S144)+IFERROR(MIN(FILTER({L144, O144, R144}, ISNUMBER({L144, O144, R144}), {L144, O144, R144} &gt; 0)), """")"),0.0)</f>
        <v>0</v>
      </c>
      <c r="U144" s="53" t="str">
        <f>IFERROR(__xludf.DUMMYFUNCTION("(T144-(IFERROR(MIN(FILTER({L144, O144, R144}, ISNUMBER({L144, O144, R144}), {L144, O144, R144} &gt; 0)), """")))/T144"),"#DIV/0!")</f>
        <v>#DIV/0!</v>
      </c>
    </row>
    <row r="145" ht="22.5" customHeight="1">
      <c r="A145" s="34"/>
      <c r="B145" s="34"/>
      <c r="C145" s="37"/>
      <c r="D145" s="38"/>
      <c r="E145" s="103"/>
      <c r="F145" s="49"/>
      <c r="G145" s="37"/>
      <c r="H145" s="112"/>
      <c r="I145" s="34"/>
      <c r="J145" s="41" t="s">
        <v>261</v>
      </c>
      <c r="K145" s="41" t="s">
        <v>261</v>
      </c>
      <c r="L145" s="41"/>
      <c r="M145" s="108"/>
      <c r="N145" s="108"/>
      <c r="O145" s="110"/>
      <c r="P145" s="41"/>
      <c r="Q145" s="39"/>
      <c r="R145" s="39"/>
      <c r="S145" s="46">
        <v>0.67</v>
      </c>
      <c r="T145" s="109">
        <f>IFERROR(__xludf.DUMMYFUNCTION("((IFERROR(MIN(FILTER({L145, O145, R145}, ISNUMBER({L145, O145, R145}), {L145, O145, R145} &gt; 0)), """"))*S145)+IFERROR(MIN(FILTER({L145, O145, R145}, ISNUMBER({L145, O145, R145}), {L145, O145, R145} &gt; 0)), """")"),0.0)</f>
        <v>0</v>
      </c>
      <c r="U145" s="53" t="str">
        <f>IFERROR(__xludf.DUMMYFUNCTION("(T145-(IFERROR(MIN(FILTER({L145, O145, R145}, ISNUMBER({L145, O145, R145}), {L145, O145, R145} &gt; 0)), """")))/T145"),"#DIV/0!")</f>
        <v>#DIV/0!</v>
      </c>
    </row>
    <row r="146" ht="22.5" customHeight="1">
      <c r="A146" s="34"/>
      <c r="B146" s="34"/>
      <c r="C146" s="37"/>
      <c r="D146" s="38"/>
      <c r="E146" s="103"/>
      <c r="F146" s="49"/>
      <c r="G146" s="37"/>
      <c r="H146" s="112"/>
      <c r="I146" s="34"/>
      <c r="J146" s="41" t="s">
        <v>261</v>
      </c>
      <c r="K146" s="41" t="s">
        <v>261</v>
      </c>
      <c r="L146" s="41"/>
      <c r="M146" s="108"/>
      <c r="N146" s="108"/>
      <c r="O146" s="110"/>
      <c r="P146" s="41"/>
      <c r="Q146" s="39"/>
      <c r="R146" s="39"/>
      <c r="S146" s="46">
        <v>0.67</v>
      </c>
      <c r="T146" s="109">
        <f>IFERROR(__xludf.DUMMYFUNCTION("((IFERROR(MIN(FILTER({L146, O146, R146}, ISNUMBER({L146, O146, R146}), {L146, O146, R146} &gt; 0)), """"))*S146)+IFERROR(MIN(FILTER({L146, O146, R146}, ISNUMBER({L146, O146, R146}), {L146, O146, R146} &gt; 0)), """")"),0.0)</f>
        <v>0</v>
      </c>
      <c r="U146" s="53" t="str">
        <f>IFERROR(__xludf.DUMMYFUNCTION("(T146-(IFERROR(MIN(FILTER({L146, O146, R146}, ISNUMBER({L146, O146, R146}), {L146, O146, R146} &gt; 0)), """")))/T146"),"#DIV/0!")</f>
        <v>#DIV/0!</v>
      </c>
    </row>
    <row r="147" ht="22.5" customHeight="1">
      <c r="A147" s="34"/>
      <c r="B147" s="34"/>
      <c r="C147" s="37"/>
      <c r="D147" s="38"/>
      <c r="E147" s="103"/>
      <c r="F147" s="49"/>
      <c r="G147" s="37"/>
      <c r="H147" s="112"/>
      <c r="I147" s="34"/>
      <c r="J147" s="41" t="s">
        <v>261</v>
      </c>
      <c r="K147" s="41" t="s">
        <v>261</v>
      </c>
      <c r="L147" s="41"/>
      <c r="M147" s="108"/>
      <c r="N147" s="108"/>
      <c r="O147" s="110"/>
      <c r="P147" s="41"/>
      <c r="Q147" s="39"/>
      <c r="R147" s="39"/>
      <c r="S147" s="46">
        <v>0.67</v>
      </c>
      <c r="T147" s="109">
        <f>IFERROR(__xludf.DUMMYFUNCTION("((IFERROR(MIN(FILTER({L147, O147, R147}, ISNUMBER({L147, O147, R147}), {L147, O147, R147} &gt; 0)), """"))*S147)+IFERROR(MIN(FILTER({L147, O147, R147}, ISNUMBER({L147, O147, R147}), {L147, O147, R147} &gt; 0)), """")"),0.0)</f>
        <v>0</v>
      </c>
      <c r="U147" s="53" t="str">
        <f>IFERROR(__xludf.DUMMYFUNCTION("(T147-(IFERROR(MIN(FILTER({L147, O147, R147}, ISNUMBER({L147, O147, R147}), {L147, O147, R147} &gt; 0)), """")))/T147"),"#DIV/0!")</f>
        <v>#DIV/0!</v>
      </c>
    </row>
    <row r="148" ht="22.5" customHeight="1">
      <c r="A148" s="34"/>
      <c r="B148" s="34"/>
      <c r="C148" s="37"/>
      <c r="D148" s="38"/>
      <c r="E148" s="103"/>
      <c r="F148" s="49"/>
      <c r="G148" s="37"/>
      <c r="H148" s="112"/>
      <c r="I148" s="34"/>
      <c r="J148" s="41" t="s">
        <v>261</v>
      </c>
      <c r="K148" s="41" t="s">
        <v>261</v>
      </c>
      <c r="L148" s="41"/>
      <c r="M148" s="108"/>
      <c r="N148" s="108"/>
      <c r="O148" s="110"/>
      <c r="P148" s="41"/>
      <c r="Q148" s="39"/>
      <c r="R148" s="39"/>
      <c r="S148" s="46">
        <v>0.67</v>
      </c>
      <c r="T148" s="109">
        <f>IFERROR(__xludf.DUMMYFUNCTION("((IFERROR(MIN(FILTER({L148, O148, R148}, ISNUMBER({L148, O148, R148}), {L148, O148, R148} &gt; 0)), """"))*S148)+IFERROR(MIN(FILTER({L148, O148, R148}, ISNUMBER({L148, O148, R148}), {L148, O148, R148} &gt; 0)), """")"),0.0)</f>
        <v>0</v>
      </c>
      <c r="U148" s="53" t="str">
        <f>IFERROR(__xludf.DUMMYFUNCTION("(T148-(IFERROR(MIN(FILTER({L148, O148, R148}, ISNUMBER({L148, O148, R148}), {L148, O148, R148} &gt; 0)), """")))/T148"),"#DIV/0!")</f>
        <v>#DIV/0!</v>
      </c>
    </row>
    <row r="149" ht="22.5" customHeight="1">
      <c r="A149" s="34"/>
      <c r="B149" s="34"/>
      <c r="C149" s="37"/>
      <c r="D149" s="38"/>
      <c r="E149" s="103"/>
      <c r="F149" s="49"/>
      <c r="G149" s="37"/>
      <c r="H149" s="112"/>
      <c r="I149" s="34"/>
      <c r="J149" s="41" t="s">
        <v>261</v>
      </c>
      <c r="K149" s="41" t="s">
        <v>261</v>
      </c>
      <c r="L149" s="41"/>
      <c r="M149" s="108"/>
      <c r="N149" s="108"/>
      <c r="O149" s="110"/>
      <c r="P149" s="41"/>
      <c r="Q149" s="39"/>
      <c r="R149" s="39"/>
      <c r="S149" s="46">
        <v>0.67</v>
      </c>
      <c r="T149" s="109">
        <f>IFERROR(__xludf.DUMMYFUNCTION("((IFERROR(MIN(FILTER({L149, O149, R149}, ISNUMBER({L149, O149, R149}), {L149, O149, R149} &gt; 0)), """"))*S149)+IFERROR(MIN(FILTER({L149, O149, R149}, ISNUMBER({L149, O149, R149}), {L149, O149, R149} &gt; 0)), """")"),0.0)</f>
        <v>0</v>
      </c>
      <c r="U149" s="53" t="str">
        <f>IFERROR(__xludf.DUMMYFUNCTION("(T149-(IFERROR(MIN(FILTER({L149, O149, R149}, ISNUMBER({L149, O149, R149}), {L149, O149, R149} &gt; 0)), """")))/T149"),"#DIV/0!")</f>
        <v>#DIV/0!</v>
      </c>
    </row>
    <row r="150" ht="22.5" customHeight="1">
      <c r="A150" s="34"/>
      <c r="B150" s="34"/>
      <c r="C150" s="37"/>
      <c r="D150" s="38"/>
      <c r="E150" s="103"/>
      <c r="F150" s="49"/>
      <c r="G150" s="37"/>
      <c r="H150" s="112"/>
      <c r="I150" s="34"/>
      <c r="J150" s="41" t="s">
        <v>261</v>
      </c>
      <c r="K150" s="41" t="s">
        <v>261</v>
      </c>
      <c r="L150" s="41"/>
      <c r="M150" s="108"/>
      <c r="N150" s="108"/>
      <c r="O150" s="110"/>
      <c r="P150" s="41"/>
      <c r="Q150" s="39"/>
      <c r="R150" s="39"/>
      <c r="S150" s="46">
        <v>0.67</v>
      </c>
      <c r="T150" s="109">
        <f>IFERROR(__xludf.DUMMYFUNCTION("((IFERROR(MIN(FILTER({L150, O150, R150}, ISNUMBER({L150, O150, R150}), {L150, O150, R150} &gt; 0)), """"))*S150)+IFERROR(MIN(FILTER({L150, O150, R150}, ISNUMBER({L150, O150, R150}), {L150, O150, R150} &gt; 0)), """")"),0.0)</f>
        <v>0</v>
      </c>
      <c r="U150" s="53" t="str">
        <f>IFERROR(__xludf.DUMMYFUNCTION("(T150-(IFERROR(MIN(FILTER({L150, O150, R150}, ISNUMBER({L150, O150, R150}), {L150, O150, R150} &gt; 0)), """")))/T150"),"#DIV/0!")</f>
        <v>#DIV/0!</v>
      </c>
    </row>
    <row r="151" ht="22.5" customHeight="1">
      <c r="A151" s="34"/>
      <c r="B151" s="34"/>
      <c r="C151" s="37"/>
      <c r="D151" s="38"/>
      <c r="E151" s="103"/>
      <c r="F151" s="49"/>
      <c r="G151" s="37"/>
      <c r="H151" s="112"/>
      <c r="I151" s="34"/>
      <c r="J151" s="41" t="s">
        <v>261</v>
      </c>
      <c r="K151" s="41" t="s">
        <v>261</v>
      </c>
      <c r="L151" s="41"/>
      <c r="M151" s="108"/>
      <c r="N151" s="108"/>
      <c r="O151" s="110"/>
      <c r="P151" s="41"/>
      <c r="Q151" s="39"/>
      <c r="R151" s="39"/>
      <c r="S151" s="46">
        <v>0.67</v>
      </c>
      <c r="T151" s="109">
        <f>IFERROR(__xludf.DUMMYFUNCTION("((IFERROR(MIN(FILTER({L151, O151, R151}, ISNUMBER({L151, O151, R151}), {L151, O151, R151} &gt; 0)), """"))*S151)+IFERROR(MIN(FILTER({L151, O151, R151}, ISNUMBER({L151, O151, R151}), {L151, O151, R151} &gt; 0)), """")"),0.0)</f>
        <v>0</v>
      </c>
      <c r="U151" s="53" t="str">
        <f>IFERROR(__xludf.DUMMYFUNCTION("(T151-(IFERROR(MIN(FILTER({L151, O151, R151}, ISNUMBER({L151, O151, R151}), {L151, O151, R151} &gt; 0)), """")))/T151"),"#DIV/0!")</f>
        <v>#DIV/0!</v>
      </c>
    </row>
    <row r="152" ht="22.5" customHeight="1">
      <c r="A152" s="34"/>
      <c r="B152" s="34"/>
      <c r="C152" s="37"/>
      <c r="D152" s="38"/>
      <c r="E152" s="103"/>
      <c r="F152" s="49"/>
      <c r="G152" s="37"/>
      <c r="H152" s="112"/>
      <c r="I152" s="34"/>
      <c r="J152" s="41" t="s">
        <v>261</v>
      </c>
      <c r="K152" s="41" t="s">
        <v>261</v>
      </c>
      <c r="L152" s="41"/>
      <c r="M152" s="108"/>
      <c r="N152" s="108"/>
      <c r="O152" s="110"/>
      <c r="P152" s="41"/>
      <c r="Q152" s="39"/>
      <c r="R152" s="39"/>
      <c r="S152" s="46">
        <v>0.67</v>
      </c>
      <c r="T152" s="109">
        <f>IFERROR(__xludf.DUMMYFUNCTION("((IFERROR(MIN(FILTER({L152, O152, R152}, ISNUMBER({L152, O152, R152}), {L152, O152, R152} &gt; 0)), """"))*S152)+IFERROR(MIN(FILTER({L152, O152, R152}, ISNUMBER({L152, O152, R152}), {L152, O152, R152} &gt; 0)), """")"),0.0)</f>
        <v>0</v>
      </c>
      <c r="U152" s="53" t="str">
        <f>IFERROR(__xludf.DUMMYFUNCTION("(T152-(IFERROR(MIN(FILTER({L152, O152, R152}, ISNUMBER({L152, O152, R152}), {L152, O152, R152} &gt; 0)), """")))/T152"),"#DIV/0!")</f>
        <v>#DIV/0!</v>
      </c>
    </row>
    <row r="153" ht="22.5" customHeight="1">
      <c r="A153" s="34"/>
      <c r="B153" s="34"/>
      <c r="C153" s="37"/>
      <c r="D153" s="38"/>
      <c r="E153" s="103"/>
      <c r="F153" s="49"/>
      <c r="G153" s="37"/>
      <c r="H153" s="112"/>
      <c r="I153" s="34"/>
      <c r="J153" s="41" t="s">
        <v>261</v>
      </c>
      <c r="K153" s="41" t="s">
        <v>261</v>
      </c>
      <c r="L153" s="41"/>
      <c r="M153" s="108"/>
      <c r="N153" s="108"/>
      <c r="O153" s="110"/>
      <c r="P153" s="41"/>
      <c r="Q153" s="39"/>
      <c r="R153" s="39"/>
      <c r="S153" s="46">
        <v>0.67</v>
      </c>
      <c r="T153" s="109">
        <f>IFERROR(__xludf.DUMMYFUNCTION("((IFERROR(MIN(FILTER({L153, O153, R153}, ISNUMBER({L153, O153, R153}), {L153, O153, R153} &gt; 0)), """"))*S153)+IFERROR(MIN(FILTER({L153, O153, R153}, ISNUMBER({L153, O153, R153}), {L153, O153, R153} &gt; 0)), """")"),0.0)</f>
        <v>0</v>
      </c>
      <c r="U153" s="53" t="str">
        <f>IFERROR(__xludf.DUMMYFUNCTION("(T153-(IFERROR(MIN(FILTER({L153, O153, R153}, ISNUMBER({L153, O153, R153}), {L153, O153, R153} &gt; 0)), """")))/T153"),"#DIV/0!")</f>
        <v>#DIV/0!</v>
      </c>
    </row>
    <row r="154" ht="22.5" customHeight="1">
      <c r="A154" s="34"/>
      <c r="B154" s="34"/>
      <c r="C154" s="37"/>
      <c r="D154" s="38"/>
      <c r="E154" s="103"/>
      <c r="F154" s="49"/>
      <c r="G154" s="37"/>
      <c r="H154" s="112"/>
      <c r="I154" s="34"/>
      <c r="J154" s="41" t="s">
        <v>261</v>
      </c>
      <c r="K154" s="41" t="s">
        <v>261</v>
      </c>
      <c r="L154" s="41"/>
      <c r="M154" s="108"/>
      <c r="N154" s="108"/>
      <c r="O154" s="110"/>
      <c r="P154" s="41"/>
      <c r="Q154" s="39"/>
      <c r="R154" s="39"/>
      <c r="S154" s="46">
        <v>0.67</v>
      </c>
      <c r="T154" s="109">
        <f>IFERROR(__xludf.DUMMYFUNCTION("((IFERROR(MIN(FILTER({L154, O154, R154}, ISNUMBER({L154, O154, R154}), {L154, O154, R154} &gt; 0)), """"))*S154)+IFERROR(MIN(FILTER({L154, O154, R154}, ISNUMBER({L154, O154, R154}), {L154, O154, R154} &gt; 0)), """")"),0.0)</f>
        <v>0</v>
      </c>
      <c r="U154" s="53" t="str">
        <f>IFERROR(__xludf.DUMMYFUNCTION("(T154-(IFERROR(MIN(FILTER({L154, O154, R154}, ISNUMBER({L154, O154, R154}), {L154, O154, R154} &gt; 0)), """")))/T154"),"#DIV/0!")</f>
        <v>#DIV/0!</v>
      </c>
    </row>
    <row r="155" ht="22.5" customHeight="1">
      <c r="A155" s="34"/>
      <c r="B155" s="34"/>
      <c r="C155" s="37"/>
      <c r="D155" s="38"/>
      <c r="E155" s="103"/>
      <c r="F155" s="49"/>
      <c r="G155" s="37"/>
      <c r="H155" s="112"/>
      <c r="I155" s="34"/>
      <c r="J155" s="41" t="s">
        <v>261</v>
      </c>
      <c r="K155" s="41" t="s">
        <v>261</v>
      </c>
      <c r="L155" s="41"/>
      <c r="M155" s="108"/>
      <c r="N155" s="108"/>
      <c r="O155" s="108"/>
      <c r="P155" s="41"/>
      <c r="Q155" s="39"/>
      <c r="R155" s="39"/>
      <c r="S155" s="46">
        <v>0.67</v>
      </c>
      <c r="T155" s="109">
        <f>IFERROR(__xludf.DUMMYFUNCTION("((IFERROR(MIN(FILTER({L155, O155, R155}, ISNUMBER({L155, O155, R155}), {L155, O155, R155} &gt; 0)), """"))*S155)+IFERROR(MIN(FILTER({L155, O155, R155}, ISNUMBER({L155, O155, R155}), {L155, O155, R155} &gt; 0)), """")"),0.0)</f>
        <v>0</v>
      </c>
      <c r="U155" s="53" t="str">
        <f>IFERROR(__xludf.DUMMYFUNCTION("(T155-(IFERROR(MIN(FILTER({L155, O155, R155}, ISNUMBER({L155, O155, R155}), {L155, O155, R155} &gt; 0)), """")))/T155"),"#DIV/0!")</f>
        <v>#DIV/0!</v>
      </c>
    </row>
    <row r="156" ht="22.5" customHeight="1">
      <c r="A156" s="34"/>
      <c r="B156" s="34"/>
      <c r="C156" s="37"/>
      <c r="D156" s="38"/>
      <c r="E156" s="103"/>
      <c r="F156" s="49"/>
      <c r="G156" s="37"/>
      <c r="H156" s="112"/>
      <c r="I156" s="34"/>
      <c r="J156" s="41" t="s">
        <v>261</v>
      </c>
      <c r="K156" s="41" t="s">
        <v>261</v>
      </c>
      <c r="L156" s="41"/>
      <c r="M156" s="108"/>
      <c r="N156" s="108"/>
      <c r="O156" s="108"/>
      <c r="P156" s="41"/>
      <c r="Q156" s="39"/>
      <c r="R156" s="41"/>
      <c r="S156" s="46">
        <v>0.67</v>
      </c>
      <c r="T156" s="109">
        <f>IFERROR(__xludf.DUMMYFUNCTION("((IFERROR(MIN(FILTER({L156, O156, R156}, ISNUMBER({L156, O156, R156}), {L156, O156, R156} &gt; 0)), """"))*S156)+IFERROR(MIN(FILTER({L156, O156, R156}, ISNUMBER({L156, O156, R156}), {L156, O156, R156} &gt; 0)), """")"),0.0)</f>
        <v>0</v>
      </c>
      <c r="U156" s="53" t="str">
        <f>IFERROR(__xludf.DUMMYFUNCTION("(T156-(IFERROR(MIN(FILTER({L156, O156, R156}, ISNUMBER({L156, O156, R156}), {L156, O156, R156} &gt; 0)), """")))/T156"),"#DIV/0!")</f>
        <v>#DIV/0!</v>
      </c>
    </row>
    <row r="157" ht="22.5" customHeight="1">
      <c r="A157" s="34"/>
      <c r="B157" s="34"/>
      <c r="C157" s="37"/>
      <c r="D157" s="38"/>
      <c r="E157" s="103"/>
      <c r="F157" s="49"/>
      <c r="G157" s="37"/>
      <c r="H157" s="112"/>
      <c r="I157" s="34"/>
      <c r="J157" s="39" t="s">
        <v>261</v>
      </c>
      <c r="K157" s="41" t="s">
        <v>261</v>
      </c>
      <c r="L157" s="39"/>
      <c r="M157" s="108"/>
      <c r="N157" s="108"/>
      <c r="O157" s="108"/>
      <c r="P157" s="39"/>
      <c r="Q157" s="39"/>
      <c r="R157" s="39"/>
      <c r="S157" s="46">
        <v>0.67</v>
      </c>
      <c r="T157" s="109">
        <f>IFERROR(__xludf.DUMMYFUNCTION("((IFERROR(MIN(FILTER({L157, O157, R157}, ISNUMBER({L157, O157, R157}), {L157, O157, R157} &gt; 0)), """"))*S157)+IFERROR(MIN(FILTER({L157, O157, R157}, ISNUMBER({L157, O157, R157}), {L157, O157, R157} &gt; 0)), """")"),0.0)</f>
        <v>0</v>
      </c>
      <c r="U157" s="53" t="str">
        <f>IFERROR(__xludf.DUMMYFUNCTION("(T157-(IFERROR(MIN(FILTER({L157, O157, R157}, ISNUMBER({L157, O157, R157}), {L157, O157, R157} &gt; 0)), """")))/T157"),"#DIV/0!")</f>
        <v>#DIV/0!</v>
      </c>
    </row>
    <row r="158" ht="22.5" customHeight="1">
      <c r="A158" s="34"/>
      <c r="B158" s="34"/>
      <c r="C158" s="37"/>
      <c r="D158" s="38"/>
      <c r="E158" s="103"/>
      <c r="F158" s="49"/>
      <c r="G158" s="37"/>
      <c r="H158" s="112"/>
      <c r="I158" s="34"/>
      <c r="J158" s="39" t="s">
        <v>261</v>
      </c>
      <c r="K158" s="41" t="s">
        <v>261</v>
      </c>
      <c r="L158" s="39"/>
      <c r="M158" s="108"/>
      <c r="N158" s="108"/>
      <c r="O158" s="108"/>
      <c r="P158" s="39"/>
      <c r="Q158" s="39"/>
      <c r="R158" s="39"/>
      <c r="S158" s="46">
        <v>0.67</v>
      </c>
      <c r="T158" s="109">
        <f>IFERROR(__xludf.DUMMYFUNCTION("((IFERROR(MIN(FILTER({L158, O158, R158}, ISNUMBER({L158, O158, R158}), {L158, O158, R158} &gt; 0)), """"))*S158)+IFERROR(MIN(FILTER({L158, O158, R158}, ISNUMBER({L158, O158, R158}), {L158, O158, R158} &gt; 0)), """")"),0.0)</f>
        <v>0</v>
      </c>
      <c r="U158" s="53" t="str">
        <f>IFERROR(__xludf.DUMMYFUNCTION("(T158-(IFERROR(MIN(FILTER({L158, O158, R158}, ISNUMBER({L158, O158, R158}), {L158, O158, R158} &gt; 0)), """")))/T158"),"#DIV/0!")</f>
        <v>#DIV/0!</v>
      </c>
    </row>
    <row r="159" ht="22.5" customHeight="1">
      <c r="A159" s="34"/>
      <c r="B159" s="34"/>
      <c r="C159" s="37"/>
      <c r="D159" s="38"/>
      <c r="E159" s="103"/>
      <c r="F159" s="49"/>
      <c r="G159" s="37"/>
      <c r="H159" s="112"/>
      <c r="I159" s="34"/>
      <c r="J159" s="39" t="s">
        <v>261</v>
      </c>
      <c r="K159" s="41" t="s">
        <v>261</v>
      </c>
      <c r="L159" s="39"/>
      <c r="M159" s="108"/>
      <c r="N159" s="108"/>
      <c r="O159" s="108"/>
      <c r="P159" s="39"/>
      <c r="Q159" s="39"/>
      <c r="R159" s="39"/>
      <c r="S159" s="46">
        <v>0.67</v>
      </c>
      <c r="T159" s="109">
        <f>IFERROR(__xludf.DUMMYFUNCTION("((IFERROR(MIN(FILTER({L159, O159, R159}, ISNUMBER({L159, O159, R159}), {L159, O159, R159} &gt; 0)), """"))*S159)+IFERROR(MIN(FILTER({L159, O159, R159}, ISNUMBER({L159, O159, R159}), {L159, O159, R159} &gt; 0)), """")"),0.0)</f>
        <v>0</v>
      </c>
      <c r="U159" s="53" t="str">
        <f>IFERROR(__xludf.DUMMYFUNCTION("(T159-(IFERROR(MIN(FILTER({L159, O159, R159}, ISNUMBER({L159, O159, R159}), {L159, O159, R159} &gt; 0)), """")))/T159"),"#DIV/0!")</f>
        <v>#DIV/0!</v>
      </c>
    </row>
    <row r="160" ht="22.5" customHeight="1">
      <c r="A160" s="34"/>
      <c r="B160" s="34"/>
      <c r="C160" s="37"/>
      <c r="D160" s="38"/>
      <c r="E160" s="103"/>
      <c r="F160" s="49"/>
      <c r="G160" s="37"/>
      <c r="H160" s="112"/>
      <c r="I160" s="34"/>
      <c r="J160" s="39" t="s">
        <v>261</v>
      </c>
      <c r="K160" s="41" t="s">
        <v>261</v>
      </c>
      <c r="L160" s="39"/>
      <c r="M160" s="108"/>
      <c r="N160" s="108"/>
      <c r="O160" s="108"/>
      <c r="P160" s="39"/>
      <c r="Q160" s="39"/>
      <c r="R160" s="39"/>
      <c r="S160" s="46">
        <v>0.67</v>
      </c>
      <c r="T160" s="109">
        <f>IFERROR(__xludf.DUMMYFUNCTION("((IFERROR(MIN(FILTER({L160, O160, R160}, ISNUMBER({L160, O160, R160}), {L160, O160, R160} &gt; 0)), """"))*S160)+IFERROR(MIN(FILTER({L160, O160, R160}, ISNUMBER({L160, O160, R160}), {L160, O160, R160} &gt; 0)), """")"),0.0)</f>
        <v>0</v>
      </c>
      <c r="U160" s="53" t="str">
        <f>IFERROR(__xludf.DUMMYFUNCTION("(T160-(IFERROR(MIN(FILTER({L160, O160, R160}, ISNUMBER({L160, O160, R160}), {L160, O160, R160} &gt; 0)), """")))/T160"),"#DIV/0!")</f>
        <v>#DIV/0!</v>
      </c>
    </row>
    <row r="161" ht="22.5" customHeight="1">
      <c r="A161" s="34"/>
      <c r="B161" s="34"/>
      <c r="C161" s="37"/>
      <c r="D161" s="38"/>
      <c r="E161" s="103"/>
      <c r="F161" s="49"/>
      <c r="G161" s="37"/>
      <c r="H161" s="112"/>
      <c r="I161" s="34"/>
      <c r="J161" s="39" t="s">
        <v>261</v>
      </c>
      <c r="K161" s="41" t="s">
        <v>261</v>
      </c>
      <c r="L161" s="39"/>
      <c r="M161" s="108"/>
      <c r="N161" s="108"/>
      <c r="O161" s="108"/>
      <c r="P161" s="39"/>
      <c r="Q161" s="39"/>
      <c r="R161" s="39"/>
      <c r="S161" s="46">
        <v>0.67</v>
      </c>
      <c r="T161" s="109">
        <f>IFERROR(__xludf.DUMMYFUNCTION("((IFERROR(MIN(FILTER({L161, O161, R161}, ISNUMBER({L161, O161, R161}), {L161, O161, R161} &gt; 0)), """"))*S161)+IFERROR(MIN(FILTER({L161, O161, R161}, ISNUMBER({L161, O161, R161}), {L161, O161, R161} &gt; 0)), """")"),0.0)</f>
        <v>0</v>
      </c>
      <c r="U161" s="53" t="str">
        <f>IFERROR(__xludf.DUMMYFUNCTION("(T161-(IFERROR(MIN(FILTER({L161, O161, R161}, ISNUMBER({L161, O161, R161}), {L161, O161, R161} &gt; 0)), """")))/T161"),"#DIV/0!")</f>
        <v>#DIV/0!</v>
      </c>
    </row>
    <row r="162" ht="22.5" customHeight="1">
      <c r="A162" s="34"/>
      <c r="B162" s="34"/>
      <c r="C162" s="37"/>
      <c r="D162" s="38"/>
      <c r="E162" s="103"/>
      <c r="F162" s="49"/>
      <c r="G162" s="37"/>
      <c r="H162" s="112"/>
      <c r="I162" s="34"/>
      <c r="J162" s="39" t="s">
        <v>261</v>
      </c>
      <c r="K162" s="41" t="s">
        <v>261</v>
      </c>
      <c r="L162" s="39"/>
      <c r="M162" s="108"/>
      <c r="N162" s="108"/>
      <c r="O162" s="108"/>
      <c r="P162" s="39"/>
      <c r="Q162" s="39"/>
      <c r="R162" s="39"/>
      <c r="S162" s="46">
        <v>0.67</v>
      </c>
      <c r="T162" s="109">
        <f>IFERROR(__xludf.DUMMYFUNCTION("((IFERROR(MIN(FILTER({L162, O162, R162}, ISNUMBER({L162, O162, R162}), {L162, O162, R162} &gt; 0)), """"))*S162)+IFERROR(MIN(FILTER({L162, O162, R162}, ISNUMBER({L162, O162, R162}), {L162, O162, R162} &gt; 0)), """")"),0.0)</f>
        <v>0</v>
      </c>
      <c r="U162" s="53" t="str">
        <f>IFERROR(__xludf.DUMMYFUNCTION("(T162-(IFERROR(MIN(FILTER({L162, O162, R162}, ISNUMBER({L162, O162, R162}), {L162, O162, R162} &gt; 0)), """")))/T162"),"#DIV/0!")</f>
        <v>#DIV/0!</v>
      </c>
    </row>
    <row r="163" ht="22.5" customHeight="1">
      <c r="A163" s="34"/>
      <c r="B163" s="34"/>
      <c r="C163" s="37"/>
      <c r="D163" s="38"/>
      <c r="E163" s="103"/>
      <c r="F163" s="49"/>
      <c r="G163" s="37"/>
      <c r="H163" s="112"/>
      <c r="I163" s="34"/>
      <c r="J163" s="39" t="s">
        <v>261</v>
      </c>
      <c r="K163" s="41" t="s">
        <v>261</v>
      </c>
      <c r="L163" s="39"/>
      <c r="M163" s="108"/>
      <c r="N163" s="108"/>
      <c r="O163" s="108"/>
      <c r="P163" s="39"/>
      <c r="Q163" s="39"/>
      <c r="R163" s="39"/>
      <c r="S163" s="46">
        <v>0.67</v>
      </c>
      <c r="T163" s="109">
        <f>IFERROR(__xludf.DUMMYFUNCTION("((IFERROR(MIN(FILTER({L163, O163, R163}, ISNUMBER({L163, O163, R163}), {L163, O163, R163} &gt; 0)), """"))*S163)+IFERROR(MIN(FILTER({L163, O163, R163}, ISNUMBER({L163, O163, R163}), {L163, O163, R163} &gt; 0)), """")"),0.0)</f>
        <v>0</v>
      </c>
      <c r="U163" s="53" t="str">
        <f>IFERROR(__xludf.DUMMYFUNCTION("(T163-(IFERROR(MIN(FILTER({L163, O163, R163}, ISNUMBER({L163, O163, R163}), {L163, O163, R163} &gt; 0)), """")))/T163"),"#DIV/0!")</f>
        <v>#DIV/0!</v>
      </c>
    </row>
    <row r="164" ht="22.5" customHeight="1">
      <c r="A164" s="34"/>
      <c r="B164" s="34"/>
      <c r="C164" s="37"/>
      <c r="D164" s="38"/>
      <c r="E164" s="103"/>
      <c r="F164" s="49"/>
      <c r="G164" s="97"/>
      <c r="H164" s="112"/>
      <c r="I164" s="34"/>
      <c r="J164" s="39" t="s">
        <v>261</v>
      </c>
      <c r="K164" s="41" t="s">
        <v>261</v>
      </c>
      <c r="L164" s="39"/>
      <c r="M164" s="108"/>
      <c r="N164" s="108"/>
      <c r="O164" s="108"/>
      <c r="P164" s="39"/>
      <c r="Q164" s="39"/>
      <c r="R164" s="39"/>
      <c r="S164" s="46">
        <v>0.67</v>
      </c>
      <c r="T164" s="109">
        <f>IFERROR(__xludf.DUMMYFUNCTION("((IFERROR(MIN(FILTER({L164, O164, R164}, ISNUMBER({L164, O164, R164}), {L164, O164, R164} &gt; 0)), """"))*S164)+IFERROR(MIN(FILTER({L164, O164, R164}, ISNUMBER({L164, O164, R164}), {L164, O164, R164} &gt; 0)), """")"),0.0)</f>
        <v>0</v>
      </c>
      <c r="U164" s="53" t="str">
        <f>IFERROR(__xludf.DUMMYFUNCTION("(T164-(IFERROR(MIN(FILTER({L164, O164, R164}, ISNUMBER({L164, O164, R164}), {L164, O164, R164} &gt; 0)), """")))/T164"),"#DIV/0!")</f>
        <v>#DIV/0!</v>
      </c>
    </row>
    <row r="165" ht="22.5" customHeight="1">
      <c r="A165" s="34"/>
      <c r="B165" s="34"/>
      <c r="C165" s="37"/>
      <c r="D165" s="38"/>
      <c r="E165" s="103"/>
      <c r="F165" s="49"/>
      <c r="G165" s="97"/>
      <c r="H165" s="112"/>
      <c r="I165" s="34"/>
      <c r="J165" s="39" t="s">
        <v>261</v>
      </c>
      <c r="K165" s="41" t="s">
        <v>261</v>
      </c>
      <c r="L165" s="39"/>
      <c r="M165" s="108"/>
      <c r="N165" s="108"/>
      <c r="O165" s="108"/>
      <c r="P165" s="39"/>
      <c r="Q165" s="39"/>
      <c r="R165" s="39"/>
      <c r="S165" s="46">
        <v>0.67</v>
      </c>
      <c r="T165" s="109">
        <f>IFERROR(__xludf.DUMMYFUNCTION("((IFERROR(MIN(FILTER({L165, O165, R165}, ISNUMBER({L165, O165, R165}), {L165, O165, R165} &gt; 0)), """"))*S165)+IFERROR(MIN(FILTER({L165, O165, R165}, ISNUMBER({L165, O165, R165}), {L165, O165, R165} &gt; 0)), """")"),0.0)</f>
        <v>0</v>
      </c>
      <c r="U165" s="53" t="str">
        <f>IFERROR(__xludf.DUMMYFUNCTION("(T165-(IFERROR(MIN(FILTER({L165, O165, R165}, ISNUMBER({L165, O165, R165}), {L165, O165, R165} &gt; 0)), """")))/T165"),"#DIV/0!")</f>
        <v>#DIV/0!</v>
      </c>
    </row>
    <row r="166" ht="22.5" customHeight="1">
      <c r="A166" s="34"/>
      <c r="B166" s="34"/>
      <c r="C166" s="37"/>
      <c r="D166" s="38"/>
      <c r="E166" s="103"/>
      <c r="F166" s="49"/>
      <c r="G166" s="37"/>
      <c r="H166" s="112"/>
      <c r="I166" s="34"/>
      <c r="J166" s="39" t="s">
        <v>261</v>
      </c>
      <c r="K166" s="41" t="s">
        <v>261</v>
      </c>
      <c r="L166" s="39"/>
      <c r="M166" s="108"/>
      <c r="N166" s="108"/>
      <c r="O166" s="108"/>
      <c r="P166" s="39"/>
      <c r="Q166" s="39"/>
      <c r="R166" s="39"/>
      <c r="S166" s="46">
        <v>0.67</v>
      </c>
      <c r="T166" s="109">
        <f>IFERROR(__xludf.DUMMYFUNCTION("((IFERROR(MIN(FILTER({L166, O166, R166}, ISNUMBER({L166, O166, R166}), {L166, O166, R166} &gt; 0)), """"))*S166)+IFERROR(MIN(FILTER({L166, O166, R166}, ISNUMBER({L166, O166, R166}), {L166, O166, R166} &gt; 0)), """")"),0.0)</f>
        <v>0</v>
      </c>
      <c r="U166" s="53" t="str">
        <f>IFERROR(__xludf.DUMMYFUNCTION("(T166-(IFERROR(MIN(FILTER({L166, O166, R166}, ISNUMBER({L166, O166, R166}), {L166, O166, R166} &gt; 0)), """")))/T166"),"#DIV/0!")</f>
        <v>#DIV/0!</v>
      </c>
    </row>
    <row r="167" ht="22.5" customHeight="1">
      <c r="A167" s="34"/>
      <c r="B167" s="34"/>
      <c r="C167" s="37"/>
      <c r="D167" s="38"/>
      <c r="E167" s="103"/>
      <c r="F167" s="49"/>
      <c r="G167" s="37"/>
      <c r="H167" s="112"/>
      <c r="I167" s="34"/>
      <c r="J167" s="39" t="s">
        <v>261</v>
      </c>
      <c r="K167" s="41" t="s">
        <v>261</v>
      </c>
      <c r="L167" s="39"/>
      <c r="M167" s="108"/>
      <c r="N167" s="108"/>
      <c r="O167" s="108"/>
      <c r="P167" s="39"/>
      <c r="Q167" s="39"/>
      <c r="R167" s="39"/>
      <c r="S167" s="46">
        <v>0.67</v>
      </c>
      <c r="T167" s="109">
        <f>IFERROR(__xludf.DUMMYFUNCTION("((IFERROR(MIN(FILTER({L167, O167, R167}, ISNUMBER({L167, O167, R167}), {L167, O167, R167} &gt; 0)), """"))*S167)+IFERROR(MIN(FILTER({L167, O167, R167}, ISNUMBER({L167, O167, R167}), {L167, O167, R167} &gt; 0)), """")"),0.0)</f>
        <v>0</v>
      </c>
      <c r="U167" s="53" t="str">
        <f>IFERROR(__xludf.DUMMYFUNCTION("(T167-(IFERROR(MIN(FILTER({L167, O167, R167}, ISNUMBER({L167, O167, R167}), {L167, O167, R167} &gt; 0)), """")))/T167"),"#DIV/0!")</f>
        <v>#DIV/0!</v>
      </c>
    </row>
    <row r="168" ht="22.5" customHeight="1">
      <c r="A168" s="34"/>
      <c r="B168" s="34"/>
      <c r="C168" s="37"/>
      <c r="D168" s="38"/>
      <c r="E168" s="103"/>
      <c r="F168" s="49"/>
      <c r="G168" s="37"/>
      <c r="H168" s="112"/>
      <c r="I168" s="34"/>
      <c r="J168" s="39" t="s">
        <v>261</v>
      </c>
      <c r="K168" s="41" t="s">
        <v>261</v>
      </c>
      <c r="L168" s="39"/>
      <c r="M168" s="108"/>
      <c r="N168" s="108"/>
      <c r="O168" s="108"/>
      <c r="P168" s="39"/>
      <c r="Q168" s="39"/>
      <c r="R168" s="39"/>
      <c r="S168" s="46">
        <v>0.67</v>
      </c>
      <c r="T168" s="109">
        <f>IFERROR(__xludf.DUMMYFUNCTION("((IFERROR(MIN(FILTER({L168, O168, R168}, ISNUMBER({L168, O168, R168}), {L168, O168, R168} &gt; 0)), """"))*S168)+IFERROR(MIN(FILTER({L168, O168, R168}, ISNUMBER({L168, O168, R168}), {L168, O168, R168} &gt; 0)), """")"),0.0)</f>
        <v>0</v>
      </c>
      <c r="U168" s="53" t="str">
        <f>IFERROR(__xludf.DUMMYFUNCTION("(T168-(IFERROR(MIN(FILTER({L168, O168, R168}, ISNUMBER({L168, O168, R168}), {L168, O168, R168} &gt; 0)), """")))/T168"),"#DIV/0!")</f>
        <v>#DIV/0!</v>
      </c>
    </row>
    <row r="169" ht="22.5" customHeight="1">
      <c r="A169" s="34"/>
      <c r="B169" s="34"/>
      <c r="C169" s="37"/>
      <c r="D169" s="38"/>
      <c r="E169" s="103"/>
      <c r="F169" s="49"/>
      <c r="G169" s="37"/>
      <c r="H169" s="112"/>
      <c r="I169" s="34"/>
      <c r="J169" s="39" t="s">
        <v>261</v>
      </c>
      <c r="K169" s="41" t="s">
        <v>261</v>
      </c>
      <c r="L169" s="39"/>
      <c r="M169" s="108"/>
      <c r="N169" s="108"/>
      <c r="O169" s="108"/>
      <c r="P169" s="39"/>
      <c r="Q169" s="39"/>
      <c r="R169" s="39"/>
      <c r="S169" s="46">
        <v>0.67</v>
      </c>
      <c r="T169" s="109">
        <f>IFERROR(__xludf.DUMMYFUNCTION("((IFERROR(MIN(FILTER({L169, O169, R169}, ISNUMBER({L169, O169, R169}), {L169, O169, R169} &gt; 0)), """"))*S169)+IFERROR(MIN(FILTER({L169, O169, R169}, ISNUMBER({L169, O169, R169}), {L169, O169, R169} &gt; 0)), """")"),0.0)</f>
        <v>0</v>
      </c>
      <c r="U169" s="53" t="str">
        <f>IFERROR(__xludf.DUMMYFUNCTION("(T169-(IFERROR(MIN(FILTER({L169, O169, R169}, ISNUMBER({L169, O169, R169}), {L169, O169, R169} &gt; 0)), """")))/T169"),"#DIV/0!")</f>
        <v>#DIV/0!</v>
      </c>
    </row>
    <row r="170" ht="22.5" customHeight="1">
      <c r="A170" s="34"/>
      <c r="B170" s="34"/>
      <c r="C170" s="37"/>
      <c r="D170" s="38"/>
      <c r="E170" s="103"/>
      <c r="F170" s="49"/>
      <c r="G170" s="37"/>
      <c r="H170" s="112"/>
      <c r="I170" s="34"/>
      <c r="J170" s="39" t="s">
        <v>261</v>
      </c>
      <c r="K170" s="41" t="s">
        <v>261</v>
      </c>
      <c r="L170" s="39"/>
      <c r="M170" s="108"/>
      <c r="N170" s="108"/>
      <c r="O170" s="108"/>
      <c r="P170" s="39"/>
      <c r="Q170" s="39"/>
      <c r="R170" s="39"/>
      <c r="S170" s="46">
        <v>0.67</v>
      </c>
      <c r="T170" s="109">
        <f>IFERROR(__xludf.DUMMYFUNCTION("((IFERROR(MIN(FILTER({L170, O170, R170}, ISNUMBER({L170, O170, R170}), {L170, O170, R170} &gt; 0)), """"))*S170)+IFERROR(MIN(FILTER({L170, O170, R170}, ISNUMBER({L170, O170, R170}), {L170, O170, R170} &gt; 0)), """")"),0.0)</f>
        <v>0</v>
      </c>
      <c r="U170" s="53" t="str">
        <f>IFERROR(__xludf.DUMMYFUNCTION("(T170-(IFERROR(MIN(FILTER({L170, O170, R170}, ISNUMBER({L170, O170, R170}), {L170, O170, R170} &gt; 0)), """")))/T170"),"#DIV/0!")</f>
        <v>#DIV/0!</v>
      </c>
    </row>
    <row r="171" ht="22.5" customHeight="1">
      <c r="A171" s="34"/>
      <c r="B171" s="34"/>
      <c r="C171" s="37"/>
      <c r="D171" s="38"/>
      <c r="E171" s="103"/>
      <c r="F171" s="49"/>
      <c r="G171" s="37"/>
      <c r="H171" s="112"/>
      <c r="I171" s="34"/>
      <c r="J171" s="39" t="s">
        <v>261</v>
      </c>
      <c r="K171" s="41" t="s">
        <v>261</v>
      </c>
      <c r="L171" s="39"/>
      <c r="M171" s="108"/>
      <c r="N171" s="108"/>
      <c r="O171" s="108"/>
      <c r="P171" s="39"/>
      <c r="Q171" s="39"/>
      <c r="R171" s="39"/>
      <c r="S171" s="46">
        <v>0.67</v>
      </c>
      <c r="T171" s="109">
        <f>IFERROR(__xludf.DUMMYFUNCTION("((IFERROR(MIN(FILTER({L171, O171, R171}, ISNUMBER({L171, O171, R171}), {L171, O171, R171} &gt; 0)), """"))*S171)+IFERROR(MIN(FILTER({L171, O171, R171}, ISNUMBER({L171, O171, R171}), {L171, O171, R171} &gt; 0)), """")"),0.0)</f>
        <v>0</v>
      </c>
      <c r="U171" s="53" t="str">
        <f>IFERROR(__xludf.DUMMYFUNCTION("(T171-(IFERROR(MIN(FILTER({L171, O171, R171}, ISNUMBER({L171, O171, R171}), {L171, O171, R171} &gt; 0)), """")))/T171"),"#DIV/0!")</f>
        <v>#DIV/0!</v>
      </c>
    </row>
    <row r="172" ht="22.5" customHeight="1">
      <c r="A172" s="34"/>
      <c r="B172" s="34"/>
      <c r="C172" s="37"/>
      <c r="D172" s="38"/>
      <c r="E172" s="103"/>
      <c r="F172" s="49"/>
      <c r="G172" s="37"/>
      <c r="H172" s="112"/>
      <c r="I172" s="34"/>
      <c r="J172" s="39" t="s">
        <v>261</v>
      </c>
      <c r="K172" s="41" t="s">
        <v>261</v>
      </c>
      <c r="L172" s="39"/>
      <c r="M172" s="108"/>
      <c r="N172" s="108"/>
      <c r="O172" s="108"/>
      <c r="P172" s="39"/>
      <c r="Q172" s="39"/>
      <c r="R172" s="39"/>
      <c r="S172" s="46">
        <v>0.67</v>
      </c>
      <c r="T172" s="109">
        <f>IFERROR(__xludf.DUMMYFUNCTION("((IFERROR(MIN(FILTER({L172, O172, R172}, ISNUMBER({L172, O172, R172}), {L172, O172, R172} &gt; 0)), """"))*S172)+IFERROR(MIN(FILTER({L172, O172, R172}, ISNUMBER({L172, O172, R172}), {L172, O172, R172} &gt; 0)), """")"),0.0)</f>
        <v>0</v>
      </c>
      <c r="U172" s="53" t="str">
        <f>IFERROR(__xludf.DUMMYFUNCTION("(T172-(IFERROR(MIN(FILTER({L172, O172, R172}, ISNUMBER({L172, O172, R172}), {L172, O172, R172} &gt; 0)), """")))/T172"),"#DIV/0!")</f>
        <v>#DIV/0!</v>
      </c>
    </row>
    <row r="173" ht="22.5" customHeight="1">
      <c r="A173" s="34"/>
      <c r="B173" s="34"/>
      <c r="C173" s="37"/>
      <c r="D173" s="38"/>
      <c r="E173" s="103"/>
      <c r="F173" s="49"/>
      <c r="G173" s="37"/>
      <c r="H173" s="112"/>
      <c r="I173" s="34"/>
      <c r="J173" s="39" t="s">
        <v>261</v>
      </c>
      <c r="K173" s="41" t="s">
        <v>261</v>
      </c>
      <c r="L173" s="39"/>
      <c r="M173" s="108"/>
      <c r="N173" s="108"/>
      <c r="O173" s="108"/>
      <c r="P173" s="39"/>
      <c r="Q173" s="39"/>
      <c r="R173" s="39"/>
      <c r="S173" s="46">
        <v>0.67</v>
      </c>
      <c r="T173" s="109">
        <f>IFERROR(__xludf.DUMMYFUNCTION("((IFERROR(MIN(FILTER({L173, O173, R173}, ISNUMBER({L173, O173, R173}), {L173, O173, R173} &gt; 0)), """"))*S173)+IFERROR(MIN(FILTER({L173, O173, R173}, ISNUMBER({L173, O173, R173}), {L173, O173, R173} &gt; 0)), """")"),0.0)</f>
        <v>0</v>
      </c>
      <c r="U173" s="53" t="str">
        <f>IFERROR(__xludf.DUMMYFUNCTION("(T173-(IFERROR(MIN(FILTER({L173, O173, R173}, ISNUMBER({L173, O173, R173}), {L173, O173, R173} &gt; 0)), """")))/T173"),"#DIV/0!")</f>
        <v>#DIV/0!</v>
      </c>
    </row>
    <row r="174" ht="22.5" customHeight="1">
      <c r="A174" s="34"/>
      <c r="B174" s="34"/>
      <c r="C174" s="37"/>
      <c r="D174" s="38"/>
      <c r="E174" s="103"/>
      <c r="F174" s="49"/>
      <c r="G174" s="37"/>
      <c r="H174" s="112"/>
      <c r="I174" s="34"/>
      <c r="J174" s="39" t="s">
        <v>261</v>
      </c>
      <c r="K174" s="41" t="s">
        <v>261</v>
      </c>
      <c r="L174" s="39"/>
      <c r="M174" s="108"/>
      <c r="N174" s="108"/>
      <c r="O174" s="108"/>
      <c r="P174" s="39"/>
      <c r="Q174" s="39"/>
      <c r="R174" s="39"/>
      <c r="S174" s="46">
        <v>0.67</v>
      </c>
      <c r="T174" s="109">
        <f>IFERROR(__xludf.DUMMYFUNCTION("((IFERROR(MIN(FILTER({L174, O174, R174}, ISNUMBER({L174, O174, R174}), {L174, O174, R174} &gt; 0)), """"))*S174)+IFERROR(MIN(FILTER({L174, O174, R174}, ISNUMBER({L174, O174, R174}), {L174, O174, R174} &gt; 0)), """")"),0.0)</f>
        <v>0</v>
      </c>
      <c r="U174" s="53" t="str">
        <f>IFERROR(__xludf.DUMMYFUNCTION("(T174-(IFERROR(MIN(FILTER({L174, O174, R174}, ISNUMBER({L174, O174, R174}), {L174, O174, R174} &gt; 0)), """")))/T174"),"#DIV/0!")</f>
        <v>#DIV/0!</v>
      </c>
    </row>
    <row r="175" ht="22.5" customHeight="1">
      <c r="A175" s="34"/>
      <c r="B175" s="34"/>
      <c r="C175" s="37"/>
      <c r="D175" s="38"/>
      <c r="E175" s="103"/>
      <c r="F175" s="49"/>
      <c r="G175" s="37"/>
      <c r="H175" s="112"/>
      <c r="I175" s="34"/>
      <c r="J175" s="39" t="s">
        <v>261</v>
      </c>
      <c r="K175" s="41" t="s">
        <v>261</v>
      </c>
      <c r="L175" s="39"/>
      <c r="M175" s="108"/>
      <c r="N175" s="108"/>
      <c r="O175" s="108"/>
      <c r="P175" s="39"/>
      <c r="Q175" s="39"/>
      <c r="R175" s="39"/>
      <c r="S175" s="46">
        <v>0.67</v>
      </c>
      <c r="T175" s="109">
        <f>IFERROR(__xludf.DUMMYFUNCTION("((IFERROR(MIN(FILTER({L175, O175, R175}, ISNUMBER({L175, O175, R175}), {L175, O175, R175} &gt; 0)), """"))*S175)+IFERROR(MIN(FILTER({L175, O175, R175}, ISNUMBER({L175, O175, R175}), {L175, O175, R175} &gt; 0)), """")"),0.0)</f>
        <v>0</v>
      </c>
      <c r="U175" s="53" t="str">
        <f>IFERROR(__xludf.DUMMYFUNCTION("(T175-(IFERROR(MIN(FILTER({L175, O175, R175}, ISNUMBER({L175, O175, R175}), {L175, O175, R175} &gt; 0)), """")))/T175"),"#DIV/0!")</f>
        <v>#DIV/0!</v>
      </c>
    </row>
    <row r="176" ht="22.5" customHeight="1">
      <c r="A176" s="34"/>
      <c r="B176" s="34"/>
      <c r="C176" s="37"/>
      <c r="D176" s="38"/>
      <c r="E176" s="103"/>
      <c r="F176" s="49"/>
      <c r="G176" s="37"/>
      <c r="H176" s="112"/>
      <c r="I176" s="34"/>
      <c r="J176" s="39" t="s">
        <v>261</v>
      </c>
      <c r="K176" s="41" t="s">
        <v>261</v>
      </c>
      <c r="L176" s="39"/>
      <c r="M176" s="108"/>
      <c r="N176" s="108"/>
      <c r="O176" s="108"/>
      <c r="P176" s="39"/>
      <c r="Q176" s="39"/>
      <c r="R176" s="39"/>
      <c r="S176" s="46">
        <v>0.67</v>
      </c>
      <c r="T176" s="109">
        <f>IFERROR(__xludf.DUMMYFUNCTION("((IFERROR(MIN(FILTER({L176, O176, R176}, ISNUMBER({L176, O176, R176}), {L176, O176, R176} &gt; 0)), """"))*S176)+IFERROR(MIN(FILTER({L176, O176, R176}, ISNUMBER({L176, O176, R176}), {L176, O176, R176} &gt; 0)), """")"),0.0)</f>
        <v>0</v>
      </c>
      <c r="U176" s="53" t="str">
        <f>IFERROR(__xludf.DUMMYFUNCTION("(T176-(IFERROR(MIN(FILTER({L176, O176, R176}, ISNUMBER({L176, O176, R176}), {L176, O176, R176} &gt; 0)), """")))/T176"),"#DIV/0!")</f>
        <v>#DIV/0!</v>
      </c>
    </row>
    <row r="177" ht="22.5" customHeight="1">
      <c r="A177" s="34"/>
      <c r="B177" s="34"/>
      <c r="C177" s="37"/>
      <c r="D177" s="38"/>
      <c r="E177" s="103"/>
      <c r="F177" s="49"/>
      <c r="G177" s="37"/>
      <c r="H177" s="112"/>
      <c r="I177" s="34"/>
      <c r="J177" s="39" t="s">
        <v>261</v>
      </c>
      <c r="K177" s="41" t="s">
        <v>261</v>
      </c>
      <c r="L177" s="39"/>
      <c r="M177" s="108"/>
      <c r="N177" s="108"/>
      <c r="O177" s="108"/>
      <c r="P177" s="39"/>
      <c r="Q177" s="39"/>
      <c r="R177" s="39"/>
      <c r="S177" s="46">
        <v>0.67</v>
      </c>
      <c r="T177" s="109">
        <f>IFERROR(__xludf.DUMMYFUNCTION("((IFERROR(MIN(FILTER({L177, O177, R177}, ISNUMBER({L177, O177, R177}), {L177, O177, R177} &gt; 0)), """"))*S177)+IFERROR(MIN(FILTER({L177, O177, R177}, ISNUMBER({L177, O177, R177}), {L177, O177, R177} &gt; 0)), """")"),0.0)</f>
        <v>0</v>
      </c>
      <c r="U177" s="53" t="str">
        <f>IFERROR(__xludf.DUMMYFUNCTION("(T177-(IFERROR(MIN(FILTER({L177, O177, R177}, ISNUMBER({L177, O177, R177}), {L177, O177, R177} &gt; 0)), """")))/T177"),"#DIV/0!")</f>
        <v>#DIV/0!</v>
      </c>
    </row>
    <row r="178" ht="22.5" customHeight="1">
      <c r="A178" s="34"/>
      <c r="B178" s="34"/>
      <c r="C178" s="37"/>
      <c r="D178" s="38"/>
      <c r="E178" s="103"/>
      <c r="F178" s="49"/>
      <c r="G178" s="37"/>
      <c r="H178" s="112"/>
      <c r="I178" s="34"/>
      <c r="J178" s="39" t="s">
        <v>261</v>
      </c>
      <c r="K178" s="41" t="s">
        <v>261</v>
      </c>
      <c r="L178" s="39"/>
      <c r="M178" s="108"/>
      <c r="N178" s="108"/>
      <c r="O178" s="108"/>
      <c r="P178" s="39"/>
      <c r="Q178" s="39"/>
      <c r="R178" s="39"/>
      <c r="S178" s="46">
        <v>0.67</v>
      </c>
      <c r="T178" s="109">
        <f>IFERROR(__xludf.DUMMYFUNCTION("((IFERROR(MIN(FILTER({L178, O178, R178}, ISNUMBER({L178, O178, R178}), {L178, O178, R178} &gt; 0)), """"))*S178)+IFERROR(MIN(FILTER({L178, O178, R178}, ISNUMBER({L178, O178, R178}), {L178, O178, R178} &gt; 0)), """")"),0.0)</f>
        <v>0</v>
      </c>
      <c r="U178" s="53" t="str">
        <f>IFERROR(__xludf.DUMMYFUNCTION("(T178-(IFERROR(MIN(FILTER({L178, O178, R178}, ISNUMBER({L178, O178, R178}), {L178, O178, R178} &gt; 0)), """")))/T178"),"#DIV/0!")</f>
        <v>#DIV/0!</v>
      </c>
    </row>
    <row r="179" ht="22.5" customHeight="1">
      <c r="A179" s="34"/>
      <c r="B179" s="34"/>
      <c r="C179" s="37"/>
      <c r="D179" s="38"/>
      <c r="E179" s="103"/>
      <c r="F179" s="49"/>
      <c r="G179" s="37"/>
      <c r="H179" s="112"/>
      <c r="I179" s="34"/>
      <c r="J179" s="41" t="s">
        <v>261</v>
      </c>
      <c r="K179" s="41" t="s">
        <v>261</v>
      </c>
      <c r="L179" s="41"/>
      <c r="M179" s="108"/>
      <c r="N179" s="108"/>
      <c r="O179" s="110"/>
      <c r="P179" s="41"/>
      <c r="Q179" s="39"/>
      <c r="R179" s="39"/>
      <c r="S179" s="46">
        <v>0.67</v>
      </c>
      <c r="T179" s="109">
        <f>IFERROR(__xludf.DUMMYFUNCTION("((IFERROR(MIN(FILTER({L179, O179, R179}, ISNUMBER({L179, O179, R179}), {L179, O179, R179} &gt; 0)), """"))*S179)+IFERROR(MIN(FILTER({L179, O179, R179}, ISNUMBER({L179, O179, R179}), {L179, O179, R179} &gt; 0)), """")"),0.0)</f>
        <v>0</v>
      </c>
      <c r="U179" s="53" t="str">
        <f>IFERROR(__xludf.DUMMYFUNCTION("(T179-(IFERROR(MIN(FILTER({L179, O179, R179}, ISNUMBER({L179, O179, R179}), {L179, O179, R179} &gt; 0)), """")))/T179"),"#DIV/0!")</f>
        <v>#DIV/0!</v>
      </c>
    </row>
    <row r="180" ht="22.5" customHeight="1">
      <c r="A180" s="34"/>
      <c r="B180" s="34"/>
      <c r="C180" s="37"/>
      <c r="D180" s="38"/>
      <c r="E180" s="103"/>
      <c r="F180" s="49"/>
      <c r="G180" s="37"/>
      <c r="H180" s="112"/>
      <c r="I180" s="34"/>
      <c r="J180" s="39" t="s">
        <v>261</v>
      </c>
      <c r="K180" s="41" t="s">
        <v>261</v>
      </c>
      <c r="L180" s="39"/>
      <c r="M180" s="108"/>
      <c r="N180" s="108"/>
      <c r="O180" s="108"/>
      <c r="P180" s="39"/>
      <c r="Q180" s="39"/>
      <c r="R180" s="39"/>
      <c r="S180" s="46">
        <v>0.67</v>
      </c>
      <c r="T180" s="109">
        <f>IFERROR(__xludf.DUMMYFUNCTION("((IFERROR(MIN(FILTER({L180, O180, R180}, ISNUMBER({L180, O180, R180}), {L180, O180, R180} &gt; 0)), """"))*S180)+IFERROR(MIN(FILTER({L180, O180, R180}, ISNUMBER({L180, O180, R180}), {L180, O180, R180} &gt; 0)), """")"),0.0)</f>
        <v>0</v>
      </c>
      <c r="U180" s="53" t="str">
        <f>IFERROR(__xludf.DUMMYFUNCTION("(T180-(IFERROR(MIN(FILTER({L180, O180, R180}, ISNUMBER({L180, O180, R180}), {L180, O180, R180} &gt; 0)), """")))/T180"),"#DIV/0!")</f>
        <v>#DIV/0!</v>
      </c>
    </row>
    <row r="181" ht="22.5" customHeight="1">
      <c r="A181" s="34"/>
      <c r="B181" s="34"/>
      <c r="C181" s="37"/>
      <c r="D181" s="38"/>
      <c r="E181" s="103"/>
      <c r="F181" s="49"/>
      <c r="G181" s="37"/>
      <c r="H181" s="112"/>
      <c r="I181" s="34"/>
      <c r="J181" s="39" t="s">
        <v>261</v>
      </c>
      <c r="K181" s="41" t="s">
        <v>261</v>
      </c>
      <c r="L181" s="39"/>
      <c r="M181" s="108"/>
      <c r="N181" s="108"/>
      <c r="O181" s="108"/>
      <c r="P181" s="39"/>
      <c r="Q181" s="39"/>
      <c r="R181" s="39"/>
      <c r="S181" s="46">
        <v>0.67</v>
      </c>
      <c r="T181" s="109">
        <f>IFERROR(__xludf.DUMMYFUNCTION("((IFERROR(MIN(FILTER({L181, O181, R181}, ISNUMBER({L181, O181, R181}), {L181, O181, R181} &gt; 0)), """"))*S181)+IFERROR(MIN(FILTER({L181, O181, R181}, ISNUMBER({L181, O181, R181}), {L181, O181, R181} &gt; 0)), """")"),0.0)</f>
        <v>0</v>
      </c>
      <c r="U181" s="53" t="str">
        <f>IFERROR(__xludf.DUMMYFUNCTION("(T181-(IFERROR(MIN(FILTER({L181, O181, R181}, ISNUMBER({L181, O181, R181}), {L181, O181, R181} &gt; 0)), """")))/T181"),"#DIV/0!")</f>
        <v>#DIV/0!</v>
      </c>
    </row>
    <row r="182" ht="22.5" customHeight="1">
      <c r="A182" s="34"/>
      <c r="B182" s="34"/>
      <c r="C182" s="37"/>
      <c r="D182" s="38"/>
      <c r="E182" s="103"/>
      <c r="F182" s="49"/>
      <c r="G182" s="37"/>
      <c r="H182" s="112"/>
      <c r="I182" s="34"/>
      <c r="J182" s="39" t="s">
        <v>261</v>
      </c>
      <c r="K182" s="41" t="s">
        <v>261</v>
      </c>
      <c r="L182" s="39"/>
      <c r="M182" s="108"/>
      <c r="N182" s="108"/>
      <c r="O182" s="108"/>
      <c r="P182" s="39"/>
      <c r="Q182" s="39"/>
      <c r="R182" s="39"/>
      <c r="S182" s="46">
        <v>0.67</v>
      </c>
      <c r="T182" s="109">
        <f>IFERROR(__xludf.DUMMYFUNCTION("((IFERROR(MIN(FILTER({L182, O182, R182}, ISNUMBER({L182, O182, R182}), {L182, O182, R182} &gt; 0)), """"))*S182)+IFERROR(MIN(FILTER({L182, O182, R182}, ISNUMBER({L182, O182, R182}), {L182, O182, R182} &gt; 0)), """")"),0.0)</f>
        <v>0</v>
      </c>
      <c r="U182" s="53" t="str">
        <f>IFERROR(__xludf.DUMMYFUNCTION("(T182-(IFERROR(MIN(FILTER({L182, O182, R182}, ISNUMBER({L182, O182, R182}), {L182, O182, R182} &gt; 0)), """")))/T182"),"#DIV/0!")</f>
        <v>#DIV/0!</v>
      </c>
    </row>
    <row r="183" ht="22.5" customHeight="1">
      <c r="A183" s="34"/>
      <c r="B183" s="34"/>
      <c r="C183" s="37"/>
      <c r="D183" s="38"/>
      <c r="E183" s="103"/>
      <c r="F183" s="49"/>
      <c r="G183" s="37"/>
      <c r="H183" s="112"/>
      <c r="I183" s="34"/>
      <c r="J183" s="41" t="s">
        <v>261</v>
      </c>
      <c r="K183" s="41" t="s">
        <v>261</v>
      </c>
      <c r="L183" s="41"/>
      <c r="M183" s="108"/>
      <c r="N183" s="108"/>
      <c r="O183" s="110"/>
      <c r="P183" s="41"/>
      <c r="Q183" s="39"/>
      <c r="R183" s="39"/>
      <c r="S183" s="46">
        <v>0.67</v>
      </c>
      <c r="T183" s="109">
        <f>IFERROR(__xludf.DUMMYFUNCTION("((IFERROR(MIN(FILTER({L183, O183, R183}, ISNUMBER({L183, O183, R183}), {L183, O183, R183} &gt; 0)), """"))*S183)+IFERROR(MIN(FILTER({L183, O183, R183}, ISNUMBER({L183, O183, R183}), {L183, O183, R183} &gt; 0)), """")"),0.0)</f>
        <v>0</v>
      </c>
      <c r="U183" s="53" t="str">
        <f>IFERROR(__xludf.DUMMYFUNCTION("(T183-(IFERROR(MIN(FILTER({L183, O183, R183}, ISNUMBER({L183, O183, R183}), {L183, O183, R183} &gt; 0)), """")))/T183"),"#DIV/0!")</f>
        <v>#DIV/0!</v>
      </c>
    </row>
    <row r="184" ht="22.5" customHeight="1">
      <c r="A184" s="34"/>
      <c r="B184" s="34"/>
      <c r="C184" s="37"/>
      <c r="D184" s="38"/>
      <c r="E184" s="103"/>
      <c r="F184" s="49"/>
      <c r="G184" s="37"/>
      <c r="H184" s="112"/>
      <c r="I184" s="34"/>
      <c r="J184" s="41" t="s">
        <v>261</v>
      </c>
      <c r="K184" s="41" t="s">
        <v>261</v>
      </c>
      <c r="L184" s="41"/>
      <c r="M184" s="108"/>
      <c r="N184" s="108"/>
      <c r="O184" s="110"/>
      <c r="P184" s="41"/>
      <c r="Q184" s="39"/>
      <c r="R184" s="39"/>
      <c r="S184" s="46">
        <v>0.67</v>
      </c>
      <c r="T184" s="109">
        <f>IFERROR(__xludf.DUMMYFUNCTION("((IFERROR(MIN(FILTER({L184, O184, R184}, ISNUMBER({L184, O184, R184}), {L184, O184, R184} &gt; 0)), """"))*S184)+IFERROR(MIN(FILTER({L184, O184, R184}, ISNUMBER({L184, O184, R184}), {L184, O184, R184} &gt; 0)), """")"),0.0)</f>
        <v>0</v>
      </c>
      <c r="U184" s="53" t="str">
        <f>IFERROR(__xludf.DUMMYFUNCTION("(T184-(IFERROR(MIN(FILTER({L184, O184, R184}, ISNUMBER({L184, O184, R184}), {L184, O184, R184} &gt; 0)), """")))/T184"),"#DIV/0!")</f>
        <v>#DIV/0!</v>
      </c>
    </row>
    <row r="185" ht="22.5" customHeight="1">
      <c r="A185" s="34"/>
      <c r="B185" s="34"/>
      <c r="C185" s="37"/>
      <c r="D185" s="38"/>
      <c r="E185" s="103"/>
      <c r="F185" s="49"/>
      <c r="G185" s="37"/>
      <c r="H185" s="112"/>
      <c r="I185" s="34"/>
      <c r="J185" s="41" t="s">
        <v>261</v>
      </c>
      <c r="K185" s="41" t="s">
        <v>261</v>
      </c>
      <c r="L185" s="41"/>
      <c r="M185" s="108"/>
      <c r="N185" s="108"/>
      <c r="O185" s="110"/>
      <c r="P185" s="41"/>
      <c r="Q185" s="39"/>
      <c r="R185" s="39"/>
      <c r="S185" s="46">
        <v>0.67</v>
      </c>
      <c r="T185" s="109">
        <f>IFERROR(__xludf.DUMMYFUNCTION("((IFERROR(MIN(FILTER({L185, O185, R185}, ISNUMBER({L185, O185, R185}), {L185, O185, R185} &gt; 0)), """"))*S185)+IFERROR(MIN(FILTER({L185, O185, R185}, ISNUMBER({L185, O185, R185}), {L185, O185, R185} &gt; 0)), """")"),0.0)</f>
        <v>0</v>
      </c>
      <c r="U185" s="53" t="str">
        <f>IFERROR(__xludf.DUMMYFUNCTION("(T185-(IFERROR(MIN(FILTER({L185, O185, R185}, ISNUMBER({L185, O185, R185}), {L185, O185, R185} &gt; 0)), """")))/T185"),"#DIV/0!")</f>
        <v>#DIV/0!</v>
      </c>
    </row>
    <row r="186" ht="22.5" customHeight="1">
      <c r="A186" s="34"/>
      <c r="B186" s="34"/>
      <c r="C186" s="37"/>
      <c r="D186" s="38"/>
      <c r="E186" s="103"/>
      <c r="F186" s="49"/>
      <c r="G186" s="37"/>
      <c r="H186" s="112"/>
      <c r="I186" s="34"/>
      <c r="J186" s="41" t="s">
        <v>261</v>
      </c>
      <c r="K186" s="41" t="s">
        <v>261</v>
      </c>
      <c r="L186" s="41"/>
      <c r="M186" s="108"/>
      <c r="N186" s="108"/>
      <c r="O186" s="110"/>
      <c r="P186" s="41"/>
      <c r="Q186" s="39"/>
      <c r="R186" s="39"/>
      <c r="S186" s="46">
        <v>0.67</v>
      </c>
      <c r="T186" s="109">
        <f>IFERROR(__xludf.DUMMYFUNCTION("((IFERROR(MIN(FILTER({L186, O186, R186}, ISNUMBER({L186, O186, R186}), {L186, O186, R186} &gt; 0)), """"))*S186)+IFERROR(MIN(FILTER({L186, O186, R186}, ISNUMBER({L186, O186, R186}), {L186, O186, R186} &gt; 0)), """")"),0.0)</f>
        <v>0</v>
      </c>
      <c r="U186" s="53" t="str">
        <f>IFERROR(__xludf.DUMMYFUNCTION("(T186-(IFERROR(MIN(FILTER({L186, O186, R186}, ISNUMBER({L186, O186, R186}), {L186, O186, R186} &gt; 0)), """")))/T186"),"#DIV/0!")</f>
        <v>#DIV/0!</v>
      </c>
    </row>
    <row r="187" ht="22.5" customHeight="1">
      <c r="A187" s="34"/>
      <c r="B187" s="34"/>
      <c r="C187" s="37"/>
      <c r="D187" s="38"/>
      <c r="E187" s="103"/>
      <c r="F187" s="49"/>
      <c r="G187" s="37"/>
      <c r="H187" s="112"/>
      <c r="I187" s="34"/>
      <c r="J187" s="39" t="s">
        <v>261</v>
      </c>
      <c r="K187" s="41" t="s">
        <v>261</v>
      </c>
      <c r="L187" s="39"/>
      <c r="M187" s="108"/>
      <c r="N187" s="108"/>
      <c r="O187" s="108"/>
      <c r="P187" s="39"/>
      <c r="Q187" s="39"/>
      <c r="R187" s="39"/>
      <c r="S187" s="46">
        <v>0.67</v>
      </c>
      <c r="T187" s="109">
        <f>IFERROR(__xludf.DUMMYFUNCTION("((IFERROR(MIN(FILTER({L187, O187, R187}, ISNUMBER({L187, O187, R187}), {L187, O187, R187} &gt; 0)), """"))*S187)+IFERROR(MIN(FILTER({L187, O187, R187}, ISNUMBER({L187, O187, R187}), {L187, O187, R187} &gt; 0)), """")"),0.0)</f>
        <v>0</v>
      </c>
      <c r="U187" s="53" t="str">
        <f>IFERROR(__xludf.DUMMYFUNCTION("(T187-(IFERROR(MIN(FILTER({L187, O187, R187}, ISNUMBER({L187, O187, R187}), {L187, O187, R187} &gt; 0)), """")))/T187"),"#DIV/0!")</f>
        <v>#DIV/0!</v>
      </c>
    </row>
    <row r="188" ht="22.5" customHeight="1">
      <c r="A188" s="34"/>
      <c r="B188" s="34"/>
      <c r="C188" s="37"/>
      <c r="D188" s="38"/>
      <c r="E188" s="103"/>
      <c r="F188" s="49"/>
      <c r="G188" s="37"/>
      <c r="H188" s="112"/>
      <c r="I188" s="34"/>
      <c r="J188" s="39" t="s">
        <v>261</v>
      </c>
      <c r="K188" s="41" t="s">
        <v>261</v>
      </c>
      <c r="L188" s="39"/>
      <c r="M188" s="108"/>
      <c r="N188" s="108"/>
      <c r="O188" s="108"/>
      <c r="P188" s="39"/>
      <c r="Q188" s="39"/>
      <c r="R188" s="39"/>
      <c r="S188" s="46">
        <v>0.67</v>
      </c>
      <c r="T188" s="109">
        <f>IFERROR(__xludf.DUMMYFUNCTION("((IFERROR(MIN(FILTER({L188, O188, R188}, ISNUMBER({L188, O188, R188}), {L188, O188, R188} &gt; 0)), """"))*S188)+IFERROR(MIN(FILTER({L188, O188, R188}, ISNUMBER({L188, O188, R188}), {L188, O188, R188} &gt; 0)), """")"),0.0)</f>
        <v>0</v>
      </c>
      <c r="U188" s="53" t="str">
        <f>IFERROR(__xludf.DUMMYFUNCTION("(T188-(IFERROR(MIN(FILTER({L188, O188, R188}, ISNUMBER({L188, O188, R188}), {L188, O188, R188} &gt; 0)), """")))/T188"),"#DIV/0!")</f>
        <v>#DIV/0!</v>
      </c>
    </row>
    <row r="189" ht="22.5" customHeight="1">
      <c r="A189" s="34"/>
      <c r="B189" s="34"/>
      <c r="C189" s="37"/>
      <c r="D189" s="38"/>
      <c r="E189" s="103"/>
      <c r="F189" s="49"/>
      <c r="G189" s="37"/>
      <c r="H189" s="112"/>
      <c r="I189" s="34"/>
      <c r="J189" s="41" t="s">
        <v>261</v>
      </c>
      <c r="K189" s="41" t="s">
        <v>261</v>
      </c>
      <c r="L189" s="41"/>
      <c r="M189" s="108"/>
      <c r="N189" s="108"/>
      <c r="O189" s="110"/>
      <c r="P189" s="41"/>
      <c r="Q189" s="39"/>
      <c r="R189" s="39"/>
      <c r="S189" s="46">
        <v>0.67</v>
      </c>
      <c r="T189" s="109">
        <f>IFERROR(__xludf.DUMMYFUNCTION("((IFERROR(MIN(FILTER({L189, O189, R189}, ISNUMBER({L189, O189, R189}), {L189, O189, R189} &gt; 0)), """"))*S189)+IFERROR(MIN(FILTER({L189, O189, R189}, ISNUMBER({L189, O189, R189}), {L189, O189, R189} &gt; 0)), """")"),0.0)</f>
        <v>0</v>
      </c>
      <c r="U189" s="53" t="str">
        <f>IFERROR(__xludf.DUMMYFUNCTION("(T189-(IFERROR(MIN(FILTER({L189, O189, R189}, ISNUMBER({L189, O189, R189}), {L189, O189, R189} &gt; 0)), """")))/T189"),"#DIV/0!")</f>
        <v>#DIV/0!</v>
      </c>
    </row>
    <row r="190" ht="22.5" customHeight="1">
      <c r="A190" s="34"/>
      <c r="B190" s="34"/>
      <c r="C190" s="37"/>
      <c r="D190" s="38"/>
      <c r="E190" s="103"/>
      <c r="F190" s="49"/>
      <c r="G190" s="37"/>
      <c r="H190" s="112"/>
      <c r="I190" s="34"/>
      <c r="J190" s="41" t="s">
        <v>261</v>
      </c>
      <c r="K190" s="41" t="s">
        <v>261</v>
      </c>
      <c r="L190" s="41"/>
      <c r="M190" s="108"/>
      <c r="N190" s="108"/>
      <c r="O190" s="110"/>
      <c r="P190" s="41"/>
      <c r="Q190" s="39"/>
      <c r="R190" s="39"/>
      <c r="S190" s="46">
        <v>0.67</v>
      </c>
      <c r="T190" s="109">
        <f>IFERROR(__xludf.DUMMYFUNCTION("((IFERROR(MIN(FILTER({L190, O190, R190}, ISNUMBER({L190, O190, R190}), {L190, O190, R190} &gt; 0)), """"))*S190)+IFERROR(MIN(FILTER({L190, O190, R190}, ISNUMBER({L190, O190, R190}), {L190, O190, R190} &gt; 0)), """")"),0.0)</f>
        <v>0</v>
      </c>
      <c r="U190" s="53" t="str">
        <f>IFERROR(__xludf.DUMMYFUNCTION("(T190-(IFERROR(MIN(FILTER({L190, O190, R190}, ISNUMBER({L190, O190, R190}), {L190, O190, R190} &gt; 0)), """")))/T190"),"#DIV/0!")</f>
        <v>#DIV/0!</v>
      </c>
    </row>
    <row r="191" ht="22.5" customHeight="1">
      <c r="A191" s="34"/>
      <c r="B191" s="34"/>
      <c r="C191" s="37"/>
      <c r="D191" s="38"/>
      <c r="E191" s="103"/>
      <c r="F191" s="49"/>
      <c r="G191" s="37"/>
      <c r="H191" s="112"/>
      <c r="I191" s="34"/>
      <c r="J191" s="41" t="s">
        <v>261</v>
      </c>
      <c r="K191" s="41" t="s">
        <v>261</v>
      </c>
      <c r="L191" s="41"/>
      <c r="M191" s="108"/>
      <c r="N191" s="108"/>
      <c r="O191" s="110"/>
      <c r="P191" s="41"/>
      <c r="Q191" s="39"/>
      <c r="R191" s="39"/>
      <c r="S191" s="46">
        <v>0.67</v>
      </c>
      <c r="T191" s="109">
        <f>IFERROR(__xludf.DUMMYFUNCTION("((IFERROR(MIN(FILTER({L191, O191, R191}, ISNUMBER({L191, O191, R191}), {L191, O191, R191} &gt; 0)), """"))*S191)+IFERROR(MIN(FILTER({L191, O191, R191}, ISNUMBER({L191, O191, R191}), {L191, O191, R191} &gt; 0)), """")"),0.0)</f>
        <v>0</v>
      </c>
      <c r="U191" s="53" t="str">
        <f>IFERROR(__xludf.DUMMYFUNCTION("(T191-(IFERROR(MIN(FILTER({L191, O191, R191}, ISNUMBER({L191, O191, R191}), {L191, O191, R191} &gt; 0)), """")))/T191"),"#DIV/0!")</f>
        <v>#DIV/0!</v>
      </c>
    </row>
    <row r="192" ht="22.5" customHeight="1">
      <c r="A192" s="34"/>
      <c r="B192" s="34"/>
      <c r="C192" s="37"/>
      <c r="D192" s="38"/>
      <c r="E192" s="103"/>
      <c r="F192" s="49"/>
      <c r="G192" s="37"/>
      <c r="H192" s="112"/>
      <c r="I192" s="34"/>
      <c r="J192" s="41" t="s">
        <v>261</v>
      </c>
      <c r="K192" s="41" t="s">
        <v>261</v>
      </c>
      <c r="L192" s="41"/>
      <c r="M192" s="108"/>
      <c r="N192" s="108"/>
      <c r="O192" s="110"/>
      <c r="P192" s="41"/>
      <c r="Q192" s="39"/>
      <c r="R192" s="39"/>
      <c r="S192" s="46">
        <v>0.67</v>
      </c>
      <c r="T192" s="109">
        <f>IFERROR(__xludf.DUMMYFUNCTION("((IFERROR(MIN(FILTER({L192, O192, R192}, ISNUMBER({L192, O192, R192}), {L192, O192, R192} &gt; 0)), """"))*S192)+IFERROR(MIN(FILTER({L192, O192, R192}, ISNUMBER({L192, O192, R192}), {L192, O192, R192} &gt; 0)), """")"),0.0)</f>
        <v>0</v>
      </c>
      <c r="U192" s="53" t="str">
        <f>IFERROR(__xludf.DUMMYFUNCTION("(T192-(IFERROR(MIN(FILTER({L192, O192, R192}, ISNUMBER({L192, O192, R192}), {L192, O192, R192} &gt; 0)), """")))/T192"),"#DIV/0!")</f>
        <v>#DIV/0!</v>
      </c>
    </row>
    <row r="193" ht="22.5" customHeight="1">
      <c r="A193" s="34"/>
      <c r="B193" s="34"/>
      <c r="C193" s="37"/>
      <c r="D193" s="38"/>
      <c r="E193" s="103"/>
      <c r="F193" s="49"/>
      <c r="G193" s="37"/>
      <c r="H193" s="112"/>
      <c r="I193" s="34"/>
      <c r="J193" s="41" t="s">
        <v>261</v>
      </c>
      <c r="K193" s="41" t="s">
        <v>261</v>
      </c>
      <c r="L193" s="41"/>
      <c r="M193" s="108"/>
      <c r="N193" s="108"/>
      <c r="O193" s="110"/>
      <c r="P193" s="41"/>
      <c r="Q193" s="39"/>
      <c r="R193" s="39"/>
      <c r="S193" s="46">
        <v>0.67</v>
      </c>
      <c r="T193" s="109">
        <f>IFERROR(__xludf.DUMMYFUNCTION("((IFERROR(MIN(FILTER({L193, O193, R193}, ISNUMBER({L193, O193, R193}), {L193, O193, R193} &gt; 0)), """"))*S193)+IFERROR(MIN(FILTER({L193, O193, R193}, ISNUMBER({L193, O193, R193}), {L193, O193, R193} &gt; 0)), """")"),0.0)</f>
        <v>0</v>
      </c>
      <c r="U193" s="53" t="str">
        <f>IFERROR(__xludf.DUMMYFUNCTION("(T193-(IFERROR(MIN(FILTER({L193, O193, R193}, ISNUMBER({L193, O193, R193}), {L193, O193, R193} &gt; 0)), """")))/T193"),"#DIV/0!")</f>
        <v>#DIV/0!</v>
      </c>
    </row>
    <row r="194" ht="22.5" customHeight="1">
      <c r="A194" s="34"/>
      <c r="B194" s="34"/>
      <c r="C194" s="37"/>
      <c r="D194" s="38"/>
      <c r="E194" s="103"/>
      <c r="F194" s="49"/>
      <c r="G194" s="37"/>
      <c r="H194" s="112"/>
      <c r="I194" s="34"/>
      <c r="J194" s="41" t="s">
        <v>261</v>
      </c>
      <c r="K194" s="41" t="s">
        <v>261</v>
      </c>
      <c r="L194" s="41"/>
      <c r="M194" s="108"/>
      <c r="N194" s="108"/>
      <c r="O194" s="110"/>
      <c r="P194" s="41"/>
      <c r="Q194" s="39"/>
      <c r="R194" s="39"/>
      <c r="S194" s="46">
        <v>0.67</v>
      </c>
      <c r="T194" s="109">
        <f>IFERROR(__xludf.DUMMYFUNCTION("((IFERROR(MIN(FILTER({L194, O194, R194}, ISNUMBER({L194, O194, R194}), {L194, O194, R194} &gt; 0)), """"))*S194)+IFERROR(MIN(FILTER({L194, O194, R194}, ISNUMBER({L194, O194, R194}), {L194, O194, R194} &gt; 0)), """")"),0.0)</f>
        <v>0</v>
      </c>
      <c r="U194" s="53" t="str">
        <f>IFERROR(__xludf.DUMMYFUNCTION("(T194-(IFERROR(MIN(FILTER({L194, O194, R194}, ISNUMBER({L194, O194, R194}), {L194, O194, R194} &gt; 0)), """")))/T194"),"#DIV/0!")</f>
        <v>#DIV/0!</v>
      </c>
    </row>
    <row r="195" ht="22.5" customHeight="1">
      <c r="A195" s="34"/>
      <c r="B195" s="34"/>
      <c r="C195" s="37"/>
      <c r="D195" s="38"/>
      <c r="E195" s="103"/>
      <c r="F195" s="49"/>
      <c r="G195" s="37"/>
      <c r="H195" s="112"/>
      <c r="I195" s="34"/>
      <c r="J195" s="41" t="s">
        <v>261</v>
      </c>
      <c r="K195" s="41" t="s">
        <v>261</v>
      </c>
      <c r="L195" s="41"/>
      <c r="M195" s="108"/>
      <c r="N195" s="108"/>
      <c r="O195" s="110"/>
      <c r="P195" s="41"/>
      <c r="Q195" s="39"/>
      <c r="R195" s="39"/>
      <c r="S195" s="46">
        <v>0.67</v>
      </c>
      <c r="T195" s="109">
        <f>IFERROR(__xludf.DUMMYFUNCTION("((IFERROR(MIN(FILTER({L195, O195, R195}, ISNUMBER({L195, O195, R195}), {L195, O195, R195} &gt; 0)), """"))*S195)+IFERROR(MIN(FILTER({L195, O195, R195}, ISNUMBER({L195, O195, R195}), {L195, O195, R195} &gt; 0)), """")"),0.0)</f>
        <v>0</v>
      </c>
      <c r="U195" s="53" t="str">
        <f>IFERROR(__xludf.DUMMYFUNCTION("(T195-(IFERROR(MIN(FILTER({L195, O195, R195}, ISNUMBER({L195, O195, R195}), {L195, O195, R195} &gt; 0)), """")))/T195"),"#DIV/0!")</f>
        <v>#DIV/0!</v>
      </c>
    </row>
    <row r="196" ht="22.5" customHeight="1">
      <c r="A196" s="34"/>
      <c r="B196" s="34"/>
      <c r="C196" s="37"/>
      <c r="D196" s="38"/>
      <c r="E196" s="103"/>
      <c r="F196" s="49"/>
      <c r="G196" s="37"/>
      <c r="H196" s="112"/>
      <c r="I196" s="34"/>
      <c r="J196" s="41" t="s">
        <v>261</v>
      </c>
      <c r="K196" s="41" t="s">
        <v>261</v>
      </c>
      <c r="L196" s="41"/>
      <c r="M196" s="108"/>
      <c r="N196" s="108"/>
      <c r="O196" s="110"/>
      <c r="P196" s="41"/>
      <c r="Q196" s="39"/>
      <c r="R196" s="39"/>
      <c r="S196" s="46">
        <v>0.67</v>
      </c>
      <c r="T196" s="109">
        <f>IFERROR(__xludf.DUMMYFUNCTION("((IFERROR(MIN(FILTER({L196, O196, R196}, ISNUMBER({L196, O196, R196}), {L196, O196, R196} &gt; 0)), """"))*S196)+IFERROR(MIN(FILTER({L196, O196, R196}, ISNUMBER({L196, O196, R196}), {L196, O196, R196} &gt; 0)), """")"),0.0)</f>
        <v>0</v>
      </c>
      <c r="U196" s="53" t="str">
        <f>IFERROR(__xludf.DUMMYFUNCTION("(T196-(IFERROR(MIN(FILTER({L196, O196, R196}, ISNUMBER({L196, O196, R196}), {L196, O196, R196} &gt; 0)), """")))/T196"),"#DIV/0!")</f>
        <v>#DIV/0!</v>
      </c>
    </row>
    <row r="197" ht="22.5" customHeight="1">
      <c r="A197" s="34"/>
      <c r="B197" s="34"/>
      <c r="C197" s="37"/>
      <c r="D197" s="38"/>
      <c r="E197" s="103"/>
      <c r="F197" s="49"/>
      <c r="G197" s="37"/>
      <c r="H197" s="112"/>
      <c r="I197" s="34"/>
      <c r="J197" s="41" t="s">
        <v>261</v>
      </c>
      <c r="K197" s="41" t="s">
        <v>261</v>
      </c>
      <c r="L197" s="41"/>
      <c r="M197" s="108"/>
      <c r="N197" s="108"/>
      <c r="O197" s="110"/>
      <c r="P197" s="41"/>
      <c r="Q197" s="39"/>
      <c r="R197" s="39"/>
      <c r="S197" s="46">
        <v>0.67</v>
      </c>
      <c r="T197" s="109">
        <f>IFERROR(__xludf.DUMMYFUNCTION("((IFERROR(MIN(FILTER({L197, O197, R197}, ISNUMBER({L197, O197, R197}), {L197, O197, R197} &gt; 0)), """"))*S197)+IFERROR(MIN(FILTER({L197, O197, R197}, ISNUMBER({L197, O197, R197}), {L197, O197, R197} &gt; 0)), """")"),0.0)</f>
        <v>0</v>
      </c>
      <c r="U197" s="53" t="str">
        <f>IFERROR(__xludf.DUMMYFUNCTION("(T197-(IFERROR(MIN(FILTER({L197, O197, R197}, ISNUMBER({L197, O197, R197}), {L197, O197, R197} &gt; 0)), """")))/T197"),"#DIV/0!")</f>
        <v>#DIV/0!</v>
      </c>
    </row>
    <row r="198" ht="22.5" customHeight="1">
      <c r="A198" s="34"/>
      <c r="B198" s="34"/>
      <c r="C198" s="37"/>
      <c r="D198" s="38"/>
      <c r="E198" s="103"/>
      <c r="F198" s="49"/>
      <c r="G198" s="37"/>
      <c r="H198" s="112"/>
      <c r="I198" s="34"/>
      <c r="J198" s="41" t="s">
        <v>261</v>
      </c>
      <c r="K198" s="41" t="s">
        <v>261</v>
      </c>
      <c r="L198" s="41"/>
      <c r="M198" s="108"/>
      <c r="N198" s="108"/>
      <c r="O198" s="110"/>
      <c r="P198" s="41"/>
      <c r="Q198" s="39"/>
      <c r="R198" s="39"/>
      <c r="S198" s="46">
        <v>0.67</v>
      </c>
      <c r="T198" s="109">
        <f>IFERROR(__xludf.DUMMYFUNCTION("((IFERROR(MIN(FILTER({L198, O198, R198}, ISNUMBER({L198, O198, R198}), {L198, O198, R198} &gt; 0)), """"))*S198)+IFERROR(MIN(FILTER({L198, O198, R198}, ISNUMBER({L198, O198, R198}), {L198, O198, R198} &gt; 0)), """")"),0.0)</f>
        <v>0</v>
      </c>
      <c r="U198" s="53" t="str">
        <f>IFERROR(__xludf.DUMMYFUNCTION("(T198-(IFERROR(MIN(FILTER({L198, O198, R198}, ISNUMBER({L198, O198, R198}), {L198, O198, R198} &gt; 0)), """")))/T198"),"#DIV/0!")</f>
        <v>#DIV/0!</v>
      </c>
    </row>
    <row r="199" ht="22.5" customHeight="1">
      <c r="A199" s="34"/>
      <c r="B199" s="34"/>
      <c r="C199" s="37"/>
      <c r="D199" s="38"/>
      <c r="E199" s="103"/>
      <c r="F199" s="49"/>
      <c r="G199" s="37"/>
      <c r="H199" s="112"/>
      <c r="I199" s="34"/>
      <c r="J199" s="39" t="s">
        <v>261</v>
      </c>
      <c r="K199" s="41" t="s">
        <v>261</v>
      </c>
      <c r="L199" s="39"/>
      <c r="M199" s="108"/>
      <c r="N199" s="108"/>
      <c r="O199" s="108"/>
      <c r="P199" s="39"/>
      <c r="Q199" s="39"/>
      <c r="R199" s="39"/>
      <c r="S199" s="46">
        <v>0.67</v>
      </c>
      <c r="T199" s="109">
        <f>IFERROR(__xludf.DUMMYFUNCTION("((IFERROR(MIN(FILTER({L199, O199, R199}, ISNUMBER({L199, O199, R199}), {L199, O199, R199} &gt; 0)), """"))*S199)+IFERROR(MIN(FILTER({L199, O199, R199}, ISNUMBER({L199, O199, R199}), {L199, O199, R199} &gt; 0)), """")"),0.0)</f>
        <v>0</v>
      </c>
      <c r="U199" s="53" t="str">
        <f>IFERROR(__xludf.DUMMYFUNCTION("(T199-(IFERROR(MIN(FILTER({L199, O199, R199}, ISNUMBER({L199, O199, R199}), {L199, O199, R199} &gt; 0)), """")))/T199"),"#DIV/0!")</f>
        <v>#DIV/0!</v>
      </c>
    </row>
    <row r="200" ht="22.5" customHeight="1">
      <c r="A200" s="34"/>
      <c r="B200" s="34"/>
      <c r="C200" s="37"/>
      <c r="D200" s="38"/>
      <c r="E200" s="103"/>
      <c r="F200" s="49"/>
      <c r="G200" s="37"/>
      <c r="H200" s="112"/>
      <c r="I200" s="34"/>
      <c r="J200" s="39" t="s">
        <v>261</v>
      </c>
      <c r="K200" s="41" t="s">
        <v>261</v>
      </c>
      <c r="L200" s="39"/>
      <c r="M200" s="108"/>
      <c r="N200" s="108"/>
      <c r="O200" s="108"/>
      <c r="P200" s="39"/>
      <c r="Q200" s="39"/>
      <c r="R200" s="39"/>
      <c r="S200" s="46">
        <v>0.67</v>
      </c>
      <c r="T200" s="109">
        <f>IFERROR(__xludf.DUMMYFUNCTION("((IFERROR(MIN(FILTER({L200, O200, R200}, ISNUMBER({L200, O200, R200}), {L200, O200, R200} &gt; 0)), """"))*S200)+IFERROR(MIN(FILTER({L200, O200, R200}, ISNUMBER({L200, O200, R200}), {L200, O200, R200} &gt; 0)), """")"),0.0)</f>
        <v>0</v>
      </c>
      <c r="U200" s="53" t="str">
        <f>IFERROR(__xludf.DUMMYFUNCTION("(T200-(IFERROR(MIN(FILTER({L200, O200, R200}, ISNUMBER({L200, O200, R200}), {L200, O200, R200} &gt; 0)), """")))/T200"),"#DIV/0!")</f>
        <v>#DIV/0!</v>
      </c>
    </row>
    <row r="201" ht="22.5" customHeight="1">
      <c r="A201" s="34"/>
      <c r="B201" s="34"/>
      <c r="C201" s="37"/>
      <c r="D201" s="38"/>
      <c r="E201" s="103"/>
      <c r="F201" s="49"/>
      <c r="G201" s="37"/>
      <c r="H201" s="112"/>
      <c r="I201" s="34"/>
      <c r="J201" s="41" t="s">
        <v>261</v>
      </c>
      <c r="K201" s="41" t="s">
        <v>261</v>
      </c>
      <c r="L201" s="41"/>
      <c r="M201" s="108"/>
      <c r="N201" s="108"/>
      <c r="O201" s="110"/>
      <c r="P201" s="41"/>
      <c r="Q201" s="39"/>
      <c r="R201" s="39"/>
      <c r="S201" s="46">
        <v>0.67</v>
      </c>
      <c r="T201" s="109">
        <f>IFERROR(__xludf.DUMMYFUNCTION("((IFERROR(MIN(FILTER({L201, O201, R201}, ISNUMBER({L201, O201, R201}), {L201, O201, R201} &gt; 0)), """"))*S201)+IFERROR(MIN(FILTER({L201, O201, R201}, ISNUMBER({L201, O201, R201}), {L201, O201, R201} &gt; 0)), """")"),0.0)</f>
        <v>0</v>
      </c>
      <c r="U201" s="53" t="str">
        <f>IFERROR(__xludf.DUMMYFUNCTION("(T201-(IFERROR(MIN(FILTER({L201, O201, R201}, ISNUMBER({L201, O201, R201}), {L201, O201, R201} &gt; 0)), """")))/T201"),"#DIV/0!")</f>
        <v>#DIV/0!</v>
      </c>
    </row>
    <row r="202" ht="22.5" customHeight="1">
      <c r="A202" s="34"/>
      <c r="B202" s="34"/>
      <c r="C202" s="37"/>
      <c r="D202" s="38"/>
      <c r="E202" s="103"/>
      <c r="F202" s="49"/>
      <c r="G202" s="37"/>
      <c r="H202" s="112"/>
      <c r="I202" s="34"/>
      <c r="J202" s="41" t="s">
        <v>261</v>
      </c>
      <c r="K202" s="41" t="s">
        <v>261</v>
      </c>
      <c r="L202" s="41"/>
      <c r="M202" s="108"/>
      <c r="N202" s="108"/>
      <c r="O202" s="110"/>
      <c r="P202" s="41"/>
      <c r="Q202" s="39"/>
      <c r="R202" s="39"/>
      <c r="S202" s="46">
        <v>0.67</v>
      </c>
      <c r="T202" s="109">
        <f>IFERROR(__xludf.DUMMYFUNCTION("((IFERROR(MIN(FILTER({L202, O202, R202}, ISNUMBER({L202, O202, R202}), {L202, O202, R202} &gt; 0)), """"))*S202)+IFERROR(MIN(FILTER({L202, O202, R202}, ISNUMBER({L202, O202, R202}), {L202, O202, R202} &gt; 0)), """")"),0.0)</f>
        <v>0</v>
      </c>
      <c r="U202" s="53" t="str">
        <f>IFERROR(__xludf.DUMMYFUNCTION("(T202-(IFERROR(MIN(FILTER({L202, O202, R202}, ISNUMBER({L202, O202, R202}), {L202, O202, R202} &gt; 0)), """")))/T202"),"#DIV/0!")</f>
        <v>#DIV/0!</v>
      </c>
    </row>
    <row r="203" ht="22.5" customHeight="1">
      <c r="A203" s="34"/>
      <c r="B203" s="34"/>
      <c r="C203" s="37"/>
      <c r="D203" s="38"/>
      <c r="E203" s="103"/>
      <c r="F203" s="49"/>
      <c r="G203" s="37"/>
      <c r="H203" s="112"/>
      <c r="I203" s="34"/>
      <c r="J203" s="41" t="s">
        <v>261</v>
      </c>
      <c r="K203" s="41" t="s">
        <v>261</v>
      </c>
      <c r="L203" s="41"/>
      <c r="M203" s="108"/>
      <c r="N203" s="108"/>
      <c r="O203" s="110"/>
      <c r="P203" s="41"/>
      <c r="Q203" s="39"/>
      <c r="R203" s="39"/>
      <c r="S203" s="46">
        <v>0.67</v>
      </c>
      <c r="T203" s="109">
        <f>IFERROR(__xludf.DUMMYFUNCTION("((IFERROR(MIN(FILTER({L203, O203, R203}, ISNUMBER({L203, O203, R203}), {L203, O203, R203} &gt; 0)), """"))*S203)+IFERROR(MIN(FILTER({L203, O203, R203}, ISNUMBER({L203, O203, R203}), {L203, O203, R203} &gt; 0)), """")"),0.0)</f>
        <v>0</v>
      </c>
      <c r="U203" s="53" t="str">
        <f>IFERROR(__xludf.DUMMYFUNCTION("(T203-(IFERROR(MIN(FILTER({L203, O203, R203}, ISNUMBER({L203, O203, R203}), {L203, O203, R203} &gt; 0)), """")))/T203"),"#DIV/0!")</f>
        <v>#DIV/0!</v>
      </c>
    </row>
    <row r="204" ht="22.5" customHeight="1">
      <c r="A204" s="34"/>
      <c r="B204" s="34"/>
      <c r="C204" s="37"/>
      <c r="D204" s="38"/>
      <c r="E204" s="103"/>
      <c r="F204" s="49"/>
      <c r="G204" s="37"/>
      <c r="H204" s="112"/>
      <c r="I204" s="34"/>
      <c r="J204" s="41" t="s">
        <v>261</v>
      </c>
      <c r="K204" s="41" t="s">
        <v>261</v>
      </c>
      <c r="L204" s="41"/>
      <c r="M204" s="108"/>
      <c r="N204" s="108"/>
      <c r="O204" s="110"/>
      <c r="P204" s="41"/>
      <c r="Q204" s="39"/>
      <c r="R204" s="39"/>
      <c r="S204" s="46">
        <v>0.67</v>
      </c>
      <c r="T204" s="109">
        <f>IFERROR(__xludf.DUMMYFUNCTION("((IFERROR(MIN(FILTER({L204, O204, R204}, ISNUMBER({L204, O204, R204}), {L204, O204, R204} &gt; 0)), """"))*S204)+IFERROR(MIN(FILTER({L204, O204, R204}, ISNUMBER({L204, O204, R204}), {L204, O204, R204} &gt; 0)), """")"),0.0)</f>
        <v>0</v>
      </c>
      <c r="U204" s="53" t="str">
        <f>IFERROR(__xludf.DUMMYFUNCTION("(T204-(IFERROR(MIN(FILTER({L204, O204, R204}, ISNUMBER({L204, O204, R204}), {L204, O204, R204} &gt; 0)), """")))/T204"),"#DIV/0!")</f>
        <v>#DIV/0!</v>
      </c>
    </row>
    <row r="205" ht="22.5" customHeight="1">
      <c r="A205" s="34"/>
      <c r="B205" s="34"/>
      <c r="C205" s="37"/>
      <c r="D205" s="38"/>
      <c r="E205" s="103"/>
      <c r="F205" s="49"/>
      <c r="G205" s="37"/>
      <c r="H205" s="112"/>
      <c r="I205" s="34"/>
      <c r="J205" s="41" t="s">
        <v>261</v>
      </c>
      <c r="K205" s="41" t="s">
        <v>261</v>
      </c>
      <c r="L205" s="41"/>
      <c r="M205" s="108"/>
      <c r="N205" s="108"/>
      <c r="O205" s="110"/>
      <c r="P205" s="41"/>
      <c r="Q205" s="39"/>
      <c r="R205" s="39"/>
      <c r="S205" s="46">
        <v>0.67</v>
      </c>
      <c r="T205" s="109">
        <f>IFERROR(__xludf.DUMMYFUNCTION("((IFERROR(MIN(FILTER({L205, O205, R205}, ISNUMBER({L205, O205, R205}), {L205, O205, R205} &gt; 0)), """"))*S205)+IFERROR(MIN(FILTER({L205, O205, R205}, ISNUMBER({L205, O205, R205}), {L205, O205, R205} &gt; 0)), """")"),0.0)</f>
        <v>0</v>
      </c>
      <c r="U205" s="53" t="str">
        <f>IFERROR(__xludf.DUMMYFUNCTION("(T205-(IFERROR(MIN(FILTER({L205, O205, R205}, ISNUMBER({L205, O205, R205}), {L205, O205, R205} &gt; 0)), """")))/T205"),"#DIV/0!")</f>
        <v>#DIV/0!</v>
      </c>
    </row>
    <row r="206" ht="22.5" customHeight="1">
      <c r="A206" s="34"/>
      <c r="B206" s="34"/>
      <c r="C206" s="37"/>
      <c r="D206" s="38"/>
      <c r="E206" s="103"/>
      <c r="F206" s="49"/>
      <c r="G206" s="37"/>
      <c r="H206" s="112"/>
      <c r="I206" s="34"/>
      <c r="J206" s="41" t="s">
        <v>261</v>
      </c>
      <c r="K206" s="41" t="s">
        <v>261</v>
      </c>
      <c r="L206" s="41"/>
      <c r="M206" s="108"/>
      <c r="N206" s="108"/>
      <c r="O206" s="110"/>
      <c r="P206" s="41"/>
      <c r="Q206" s="39"/>
      <c r="R206" s="39"/>
      <c r="S206" s="46">
        <v>0.67</v>
      </c>
      <c r="T206" s="109">
        <f>IFERROR(__xludf.DUMMYFUNCTION("((IFERROR(MIN(FILTER({L206, O206, R206}, ISNUMBER({L206, O206, R206}), {L206, O206, R206} &gt; 0)), """"))*S206)+IFERROR(MIN(FILTER({L206, O206, R206}, ISNUMBER({L206, O206, R206}), {L206, O206, R206} &gt; 0)), """")"),0.0)</f>
        <v>0</v>
      </c>
      <c r="U206" s="53" t="str">
        <f>IFERROR(__xludf.DUMMYFUNCTION("(T206-(IFERROR(MIN(FILTER({L206, O206, R206}, ISNUMBER({L206, O206, R206}), {L206, O206, R206} &gt; 0)), """")))/T206"),"#DIV/0!")</f>
        <v>#DIV/0!</v>
      </c>
    </row>
    <row r="207" ht="22.5" customHeight="1">
      <c r="A207" s="34"/>
      <c r="B207" s="34"/>
      <c r="C207" s="37"/>
      <c r="D207" s="38"/>
      <c r="E207" s="103"/>
      <c r="F207" s="49"/>
      <c r="G207" s="37"/>
      <c r="H207" s="112"/>
      <c r="I207" s="34"/>
      <c r="J207" s="41" t="s">
        <v>261</v>
      </c>
      <c r="K207" s="41" t="s">
        <v>261</v>
      </c>
      <c r="L207" s="41"/>
      <c r="M207" s="108"/>
      <c r="N207" s="108"/>
      <c r="O207" s="110"/>
      <c r="P207" s="41"/>
      <c r="Q207" s="39"/>
      <c r="R207" s="39"/>
      <c r="S207" s="46">
        <v>0.67</v>
      </c>
      <c r="T207" s="109">
        <f>IFERROR(__xludf.DUMMYFUNCTION("((IFERROR(MIN(FILTER({L207, O207, R207}, ISNUMBER({L207, O207, R207}), {L207, O207, R207} &gt; 0)), """"))*S207)+IFERROR(MIN(FILTER({L207, O207, R207}, ISNUMBER({L207, O207, R207}), {L207, O207, R207} &gt; 0)), """")"),0.0)</f>
        <v>0</v>
      </c>
      <c r="U207" s="53" t="str">
        <f>IFERROR(__xludf.DUMMYFUNCTION("(T207-(IFERROR(MIN(FILTER({L207, O207, R207}, ISNUMBER({L207, O207, R207}), {L207, O207, R207} &gt; 0)), """")))/T207"),"#DIV/0!")</f>
        <v>#DIV/0!</v>
      </c>
    </row>
    <row r="208" ht="22.5" customHeight="1">
      <c r="A208" s="34"/>
      <c r="B208" s="34"/>
      <c r="C208" s="37"/>
      <c r="D208" s="38"/>
      <c r="E208" s="103"/>
      <c r="F208" s="49"/>
      <c r="G208" s="37"/>
      <c r="H208" s="112"/>
      <c r="I208" s="34"/>
      <c r="J208" s="41" t="s">
        <v>261</v>
      </c>
      <c r="K208" s="41" t="s">
        <v>261</v>
      </c>
      <c r="L208" s="41"/>
      <c r="M208" s="108"/>
      <c r="N208" s="108"/>
      <c r="O208" s="110"/>
      <c r="P208" s="41"/>
      <c r="Q208" s="39"/>
      <c r="R208" s="39"/>
      <c r="S208" s="46">
        <v>0.67</v>
      </c>
      <c r="T208" s="109">
        <f>IFERROR(__xludf.DUMMYFUNCTION("((IFERROR(MIN(FILTER({L208, O208, R208}, ISNUMBER({L208, O208, R208}), {L208, O208, R208} &gt; 0)), """"))*S208)+IFERROR(MIN(FILTER({L208, O208, R208}, ISNUMBER({L208, O208, R208}), {L208, O208, R208} &gt; 0)), """")"),0.0)</f>
        <v>0</v>
      </c>
      <c r="U208" s="53" t="str">
        <f>IFERROR(__xludf.DUMMYFUNCTION("(T208-(IFERROR(MIN(FILTER({L208, O208, R208}, ISNUMBER({L208, O208, R208}), {L208, O208, R208} &gt; 0)), """")))/T208"),"#DIV/0!")</f>
        <v>#DIV/0!</v>
      </c>
    </row>
    <row r="209" ht="22.5" customHeight="1">
      <c r="A209" s="34"/>
      <c r="B209" s="34"/>
      <c r="C209" s="37"/>
      <c r="D209" s="38"/>
      <c r="E209" s="103"/>
      <c r="F209" s="49"/>
      <c r="G209" s="97"/>
      <c r="H209" s="112"/>
      <c r="I209" s="34"/>
      <c r="J209" s="41" t="s">
        <v>261</v>
      </c>
      <c r="K209" s="41" t="s">
        <v>261</v>
      </c>
      <c r="L209" s="41"/>
      <c r="M209" s="108"/>
      <c r="N209" s="108"/>
      <c r="O209" s="110"/>
      <c r="P209" s="41"/>
      <c r="Q209" s="39"/>
      <c r="R209" s="39"/>
      <c r="S209" s="46">
        <v>0.67</v>
      </c>
      <c r="T209" s="109">
        <f>IFERROR(__xludf.DUMMYFUNCTION("((IFERROR(MIN(FILTER({L209, O209, R209}, ISNUMBER({L209, O209, R209}), {L209, O209, R209} &gt; 0)), """"))*S209)+IFERROR(MIN(FILTER({L209, O209, R209}, ISNUMBER({L209, O209, R209}), {L209, O209, R209} &gt; 0)), """")"),0.0)</f>
        <v>0</v>
      </c>
      <c r="U209" s="53" t="str">
        <f>IFERROR(__xludf.DUMMYFUNCTION("(T209-(IFERROR(MIN(FILTER({L209, O209, R209}, ISNUMBER({L209, O209, R209}), {L209, O209, R209} &gt; 0)), """")))/T209"),"#DIV/0!")</f>
        <v>#DIV/0!</v>
      </c>
    </row>
    <row r="210" ht="22.5" customHeight="1">
      <c r="A210" s="34"/>
      <c r="B210" s="34"/>
      <c r="C210" s="37"/>
      <c r="D210" s="38"/>
      <c r="E210" s="103"/>
      <c r="F210" s="49"/>
      <c r="G210" s="97"/>
      <c r="H210" s="112"/>
      <c r="I210" s="34"/>
      <c r="J210" s="41" t="s">
        <v>261</v>
      </c>
      <c r="K210" s="41" t="s">
        <v>261</v>
      </c>
      <c r="L210" s="41"/>
      <c r="M210" s="108"/>
      <c r="N210" s="108"/>
      <c r="O210" s="110"/>
      <c r="P210" s="41"/>
      <c r="Q210" s="39"/>
      <c r="R210" s="39"/>
      <c r="S210" s="46">
        <v>0.67</v>
      </c>
      <c r="T210" s="109">
        <f>IFERROR(__xludf.DUMMYFUNCTION("((IFERROR(MIN(FILTER({L210, O210, R210}, ISNUMBER({L210, O210, R210}), {L210, O210, R210} &gt; 0)), """"))*S210)+IFERROR(MIN(FILTER({L210, O210, R210}, ISNUMBER({L210, O210, R210}), {L210, O210, R210} &gt; 0)), """")"),0.0)</f>
        <v>0</v>
      </c>
      <c r="U210" s="53" t="str">
        <f>IFERROR(__xludf.DUMMYFUNCTION("(T210-(IFERROR(MIN(FILTER({L210, O210, R210}, ISNUMBER({L210, O210, R210}), {L210, O210, R210} &gt; 0)), """")))/T210"),"#DIV/0!")</f>
        <v>#DIV/0!</v>
      </c>
    </row>
    <row r="211" ht="22.5" customHeight="1">
      <c r="A211" s="34"/>
      <c r="B211" s="34"/>
      <c r="C211" s="37"/>
      <c r="D211" s="38"/>
      <c r="E211" s="103"/>
      <c r="F211" s="49"/>
      <c r="G211" s="37"/>
      <c r="H211" s="112"/>
      <c r="I211" s="34"/>
      <c r="J211" s="41" t="s">
        <v>261</v>
      </c>
      <c r="K211" s="41" t="s">
        <v>261</v>
      </c>
      <c r="L211" s="41"/>
      <c r="M211" s="108"/>
      <c r="N211" s="108"/>
      <c r="O211" s="110"/>
      <c r="P211" s="41"/>
      <c r="Q211" s="39"/>
      <c r="R211" s="39"/>
      <c r="S211" s="46">
        <v>0.67</v>
      </c>
      <c r="T211" s="109">
        <f>IFERROR(__xludf.DUMMYFUNCTION("((IFERROR(MIN(FILTER({L211, O211, R211}, ISNUMBER({L211, O211, R211}), {L211, O211, R211} &gt; 0)), """"))*S211)+IFERROR(MIN(FILTER({L211, O211, R211}, ISNUMBER({L211, O211, R211}), {L211, O211, R211} &gt; 0)), """")"),0.0)</f>
        <v>0</v>
      </c>
      <c r="U211" s="53" t="str">
        <f>IFERROR(__xludf.DUMMYFUNCTION("(T211-(IFERROR(MIN(FILTER({L211, O211, R211}, ISNUMBER({L211, O211, R211}), {L211, O211, R211} &gt; 0)), """")))/T211"),"#DIV/0!")</f>
        <v>#DIV/0!</v>
      </c>
    </row>
    <row r="212" ht="22.5" customHeight="1">
      <c r="A212" s="34"/>
      <c r="B212" s="34"/>
      <c r="C212" s="37"/>
      <c r="D212" s="38"/>
      <c r="E212" s="103"/>
      <c r="F212" s="49"/>
      <c r="G212" s="37"/>
      <c r="H212" s="112"/>
      <c r="I212" s="34"/>
      <c r="J212" s="41" t="s">
        <v>261</v>
      </c>
      <c r="K212" s="41" t="s">
        <v>261</v>
      </c>
      <c r="L212" s="41"/>
      <c r="M212" s="108"/>
      <c r="N212" s="108"/>
      <c r="O212" s="110"/>
      <c r="P212" s="41"/>
      <c r="Q212" s="39"/>
      <c r="R212" s="39"/>
      <c r="S212" s="46">
        <v>0.67</v>
      </c>
      <c r="T212" s="109">
        <f>IFERROR(__xludf.DUMMYFUNCTION("((IFERROR(MIN(FILTER({L212, O212, R212}, ISNUMBER({L212, O212, R212}), {L212, O212, R212} &gt; 0)), """"))*S212)+IFERROR(MIN(FILTER({L212, O212, R212}, ISNUMBER({L212, O212, R212}), {L212, O212, R212} &gt; 0)), """")"),0.0)</f>
        <v>0</v>
      </c>
      <c r="U212" s="53" t="str">
        <f>IFERROR(__xludf.DUMMYFUNCTION("(T212-(IFERROR(MIN(FILTER({L212, O212, R212}, ISNUMBER({L212, O212, R212}), {L212, O212, R212} &gt; 0)), """")))/T212"),"#DIV/0!")</f>
        <v>#DIV/0!</v>
      </c>
    </row>
    <row r="213" ht="22.5" customHeight="1">
      <c r="A213" s="34"/>
      <c r="B213" s="34"/>
      <c r="C213" s="37"/>
      <c r="D213" s="38"/>
      <c r="E213" s="103"/>
      <c r="F213" s="49"/>
      <c r="G213" s="37"/>
      <c r="H213" s="112"/>
      <c r="I213" s="34"/>
      <c r="J213" s="41" t="s">
        <v>261</v>
      </c>
      <c r="K213" s="41" t="s">
        <v>261</v>
      </c>
      <c r="L213" s="41"/>
      <c r="M213" s="108"/>
      <c r="N213" s="108"/>
      <c r="O213" s="110"/>
      <c r="P213" s="41"/>
      <c r="Q213" s="39"/>
      <c r="R213" s="39"/>
      <c r="S213" s="46">
        <v>0.67</v>
      </c>
      <c r="T213" s="109">
        <f>IFERROR(__xludf.DUMMYFUNCTION("((IFERROR(MIN(FILTER({L213, O213, R213}, ISNUMBER({L213, O213, R213}), {L213, O213, R213} &gt; 0)), """"))*S213)+IFERROR(MIN(FILTER({L213, O213, R213}, ISNUMBER({L213, O213, R213}), {L213, O213, R213} &gt; 0)), """")"),0.0)</f>
        <v>0</v>
      </c>
      <c r="U213" s="53" t="str">
        <f>IFERROR(__xludf.DUMMYFUNCTION("(T213-(IFERROR(MIN(FILTER({L213, O213, R213}, ISNUMBER({L213, O213, R213}), {L213, O213, R213} &gt; 0)), """")))/T213"),"#DIV/0!")</f>
        <v>#DIV/0!</v>
      </c>
    </row>
    <row r="214" ht="22.5" customHeight="1">
      <c r="A214" s="34"/>
      <c r="B214" s="34"/>
      <c r="C214" s="37"/>
      <c r="D214" s="38"/>
      <c r="E214" s="103"/>
      <c r="F214" s="49"/>
      <c r="G214" s="37"/>
      <c r="H214" s="112"/>
      <c r="I214" s="34"/>
      <c r="J214" s="41" t="s">
        <v>261</v>
      </c>
      <c r="K214" s="41" t="s">
        <v>261</v>
      </c>
      <c r="L214" s="41"/>
      <c r="M214" s="108"/>
      <c r="N214" s="108"/>
      <c r="O214" s="110"/>
      <c r="P214" s="41"/>
      <c r="Q214" s="39"/>
      <c r="R214" s="39"/>
      <c r="S214" s="46">
        <v>0.67</v>
      </c>
      <c r="T214" s="109">
        <f>IFERROR(__xludf.DUMMYFUNCTION("((IFERROR(MIN(FILTER({L214, O214, R214}, ISNUMBER({L214, O214, R214}), {L214, O214, R214} &gt; 0)), """"))*S214)+IFERROR(MIN(FILTER({L214, O214, R214}, ISNUMBER({L214, O214, R214}), {L214, O214, R214} &gt; 0)), """")"),0.0)</f>
        <v>0</v>
      </c>
      <c r="U214" s="53" t="str">
        <f>IFERROR(__xludf.DUMMYFUNCTION("(T214-(IFERROR(MIN(FILTER({L214, O214, R214}, ISNUMBER({L214, O214, R214}), {L214, O214, R214} &gt; 0)), """")))/T214"),"#DIV/0!")</f>
        <v>#DIV/0!</v>
      </c>
    </row>
    <row r="215" ht="22.5" customHeight="1">
      <c r="A215" s="34"/>
      <c r="B215" s="34"/>
      <c r="C215" s="37"/>
      <c r="D215" s="38"/>
      <c r="E215" s="103"/>
      <c r="F215" s="49"/>
      <c r="G215" s="37"/>
      <c r="H215" s="112"/>
      <c r="I215" s="34"/>
      <c r="J215" s="41" t="s">
        <v>261</v>
      </c>
      <c r="K215" s="41" t="s">
        <v>261</v>
      </c>
      <c r="L215" s="41"/>
      <c r="M215" s="108"/>
      <c r="N215" s="108"/>
      <c r="O215" s="110"/>
      <c r="P215" s="41"/>
      <c r="Q215" s="39"/>
      <c r="R215" s="39"/>
      <c r="S215" s="46">
        <v>0.67</v>
      </c>
      <c r="T215" s="109">
        <f>IFERROR(__xludf.DUMMYFUNCTION("((IFERROR(MIN(FILTER({L215, O215, R215}, ISNUMBER({L215, O215, R215}), {L215, O215, R215} &gt; 0)), """"))*S215)+IFERROR(MIN(FILTER({L215, O215, R215}, ISNUMBER({L215, O215, R215}), {L215, O215, R215} &gt; 0)), """")"),0.0)</f>
        <v>0</v>
      </c>
      <c r="U215" s="53" t="str">
        <f>IFERROR(__xludf.DUMMYFUNCTION("(T215-(IFERROR(MIN(FILTER({L215, O215, R215}, ISNUMBER({L215, O215, R215}), {L215, O215, R215} &gt; 0)), """")))/T215"),"#DIV/0!")</f>
        <v>#DIV/0!</v>
      </c>
    </row>
    <row r="216" ht="22.5" customHeight="1">
      <c r="A216" s="34"/>
      <c r="B216" s="34"/>
      <c r="C216" s="37"/>
      <c r="D216" s="38"/>
      <c r="E216" s="103"/>
      <c r="F216" s="49"/>
      <c r="G216" s="37"/>
      <c r="H216" s="112"/>
      <c r="I216" s="34"/>
      <c r="J216" s="41" t="s">
        <v>261</v>
      </c>
      <c r="K216" s="41" t="s">
        <v>261</v>
      </c>
      <c r="L216" s="41"/>
      <c r="M216" s="108"/>
      <c r="N216" s="108"/>
      <c r="O216" s="110"/>
      <c r="P216" s="41"/>
      <c r="Q216" s="39"/>
      <c r="R216" s="39"/>
      <c r="S216" s="46">
        <v>0.67</v>
      </c>
      <c r="T216" s="109">
        <f>IFERROR(__xludf.DUMMYFUNCTION("((IFERROR(MIN(FILTER({L216, O216, R216}, ISNUMBER({L216, O216, R216}), {L216, O216, R216} &gt; 0)), """"))*S216)+IFERROR(MIN(FILTER({L216, O216, R216}, ISNUMBER({L216, O216, R216}), {L216, O216, R216} &gt; 0)), """")"),0.0)</f>
        <v>0</v>
      </c>
      <c r="U216" s="53" t="str">
        <f>IFERROR(__xludf.DUMMYFUNCTION("(T216-(IFERROR(MIN(FILTER({L216, O216, R216}, ISNUMBER({L216, O216, R216}), {L216, O216, R216} &gt; 0)), """")))/T216"),"#DIV/0!")</f>
        <v>#DIV/0!</v>
      </c>
    </row>
    <row r="217" ht="22.5" customHeight="1">
      <c r="A217" s="34"/>
      <c r="B217" s="34"/>
      <c r="C217" s="37"/>
      <c r="D217" s="38"/>
      <c r="E217" s="103"/>
      <c r="F217" s="49"/>
      <c r="G217" s="37"/>
      <c r="H217" s="112"/>
      <c r="I217" s="34"/>
      <c r="J217" s="41" t="s">
        <v>261</v>
      </c>
      <c r="K217" s="41" t="s">
        <v>261</v>
      </c>
      <c r="L217" s="41"/>
      <c r="M217" s="108"/>
      <c r="N217" s="108"/>
      <c r="O217" s="110"/>
      <c r="P217" s="41"/>
      <c r="Q217" s="39"/>
      <c r="R217" s="39"/>
      <c r="S217" s="46">
        <v>0.67</v>
      </c>
      <c r="T217" s="109">
        <f>IFERROR(__xludf.DUMMYFUNCTION("((IFERROR(MIN(FILTER({L217, O217, R217}, ISNUMBER({L217, O217, R217}), {L217, O217, R217} &gt; 0)), """"))*S217)+IFERROR(MIN(FILTER({L217, O217, R217}, ISNUMBER({L217, O217, R217}), {L217, O217, R217} &gt; 0)), """")"),0.0)</f>
        <v>0</v>
      </c>
      <c r="U217" s="53" t="str">
        <f>IFERROR(__xludf.DUMMYFUNCTION("(T217-(IFERROR(MIN(FILTER({L217, O217, R217}, ISNUMBER({L217, O217, R217}), {L217, O217, R217} &gt; 0)), """")))/T217"),"#DIV/0!")</f>
        <v>#DIV/0!</v>
      </c>
    </row>
    <row r="218" ht="22.5" customHeight="1">
      <c r="A218" s="34"/>
      <c r="B218" s="34"/>
      <c r="C218" s="37"/>
      <c r="D218" s="38"/>
      <c r="E218" s="103"/>
      <c r="F218" s="49"/>
      <c r="G218" s="37"/>
      <c r="H218" s="112"/>
      <c r="I218" s="34"/>
      <c r="J218" s="41" t="s">
        <v>261</v>
      </c>
      <c r="K218" s="41" t="s">
        <v>261</v>
      </c>
      <c r="L218" s="41"/>
      <c r="M218" s="108"/>
      <c r="N218" s="108"/>
      <c r="O218" s="110"/>
      <c r="P218" s="41"/>
      <c r="Q218" s="39"/>
      <c r="R218" s="39"/>
      <c r="S218" s="46">
        <v>0.67</v>
      </c>
      <c r="T218" s="109">
        <f>IFERROR(__xludf.DUMMYFUNCTION("((IFERROR(MIN(FILTER({L218, O218, R218}, ISNUMBER({L218, O218, R218}), {L218, O218, R218} &gt; 0)), """"))*S218)+IFERROR(MIN(FILTER({L218, O218, R218}, ISNUMBER({L218, O218, R218}), {L218, O218, R218} &gt; 0)), """")"),0.0)</f>
        <v>0</v>
      </c>
      <c r="U218" s="53" t="str">
        <f>IFERROR(__xludf.DUMMYFUNCTION("(T218-(IFERROR(MIN(FILTER({L218, O218, R218}, ISNUMBER({L218, O218, R218}), {L218, O218, R218} &gt; 0)), """")))/T218"),"#DIV/0!")</f>
        <v>#DIV/0!</v>
      </c>
    </row>
    <row r="219" ht="22.5" customHeight="1">
      <c r="A219" s="34"/>
      <c r="B219" s="34"/>
      <c r="C219" s="37"/>
      <c r="D219" s="38"/>
      <c r="E219" s="103"/>
      <c r="F219" s="49"/>
      <c r="G219" s="37"/>
      <c r="H219" s="112"/>
      <c r="I219" s="34"/>
      <c r="J219" s="41" t="s">
        <v>261</v>
      </c>
      <c r="K219" s="41" t="s">
        <v>261</v>
      </c>
      <c r="L219" s="41"/>
      <c r="M219" s="108"/>
      <c r="N219" s="108"/>
      <c r="O219" s="110"/>
      <c r="P219" s="41"/>
      <c r="Q219" s="39"/>
      <c r="R219" s="39"/>
      <c r="S219" s="46">
        <v>0.67</v>
      </c>
      <c r="T219" s="109">
        <f>IFERROR(__xludf.DUMMYFUNCTION("((IFERROR(MIN(FILTER({L219, O219, R219}, ISNUMBER({L219, O219, R219}), {L219, O219, R219} &gt; 0)), """"))*S219)+IFERROR(MIN(FILTER({L219, O219, R219}, ISNUMBER({L219, O219, R219}), {L219, O219, R219} &gt; 0)), """")"),0.0)</f>
        <v>0</v>
      </c>
      <c r="U219" s="53" t="str">
        <f>IFERROR(__xludf.DUMMYFUNCTION("(T219-(IFERROR(MIN(FILTER({L219, O219, R219}, ISNUMBER({L219, O219, R219}), {L219, O219, R219} &gt; 0)), """")))/T219"),"#DIV/0!")</f>
        <v>#DIV/0!</v>
      </c>
    </row>
    <row r="220" ht="22.5" customHeight="1">
      <c r="A220" s="34"/>
      <c r="B220" s="34"/>
      <c r="C220" s="37"/>
      <c r="D220" s="38"/>
      <c r="E220" s="103"/>
      <c r="F220" s="49"/>
      <c r="G220" s="37"/>
      <c r="H220" s="112"/>
      <c r="I220" s="34"/>
      <c r="J220" s="41" t="s">
        <v>261</v>
      </c>
      <c r="K220" s="41" t="s">
        <v>261</v>
      </c>
      <c r="L220" s="41"/>
      <c r="M220" s="108"/>
      <c r="N220" s="108"/>
      <c r="O220" s="110"/>
      <c r="P220" s="41"/>
      <c r="Q220" s="39"/>
      <c r="R220" s="39"/>
      <c r="S220" s="46">
        <v>0.67</v>
      </c>
      <c r="T220" s="109">
        <f>IFERROR(__xludf.DUMMYFUNCTION("((IFERROR(MIN(FILTER({L220, O220, R220}, ISNUMBER({L220, O220, R220}), {L220, O220, R220} &gt; 0)), """"))*S220)+IFERROR(MIN(FILTER({L220, O220, R220}, ISNUMBER({L220, O220, R220}), {L220, O220, R220} &gt; 0)), """")"),0.0)</f>
        <v>0</v>
      </c>
      <c r="U220" s="53" t="str">
        <f>IFERROR(__xludf.DUMMYFUNCTION("(T220-(IFERROR(MIN(FILTER({L220, O220, R220}, ISNUMBER({L220, O220, R220}), {L220, O220, R220} &gt; 0)), """")))/T220"),"#DIV/0!")</f>
        <v>#DIV/0!</v>
      </c>
    </row>
    <row r="221" ht="22.5" customHeight="1">
      <c r="A221" s="34"/>
      <c r="B221" s="34"/>
      <c r="C221" s="37"/>
      <c r="D221" s="38"/>
      <c r="E221" s="103"/>
      <c r="F221" s="49"/>
      <c r="G221" s="37"/>
      <c r="H221" s="112"/>
      <c r="I221" s="34"/>
      <c r="J221" s="41" t="s">
        <v>261</v>
      </c>
      <c r="K221" s="41" t="s">
        <v>261</v>
      </c>
      <c r="L221" s="41"/>
      <c r="M221" s="108"/>
      <c r="N221" s="108"/>
      <c r="O221" s="110"/>
      <c r="P221" s="41"/>
      <c r="Q221" s="39"/>
      <c r="R221" s="39"/>
      <c r="S221" s="46">
        <v>0.67</v>
      </c>
      <c r="T221" s="109">
        <f>IFERROR(__xludf.DUMMYFUNCTION("((IFERROR(MIN(FILTER({L221, O221, R221}, ISNUMBER({L221, O221, R221}), {L221, O221, R221} &gt; 0)), """"))*S221)+IFERROR(MIN(FILTER({L221, O221, R221}, ISNUMBER({L221, O221, R221}), {L221, O221, R221} &gt; 0)), """")"),0.0)</f>
        <v>0</v>
      </c>
      <c r="U221" s="53" t="str">
        <f>IFERROR(__xludf.DUMMYFUNCTION("(T221-(IFERROR(MIN(FILTER({L221, O221, R221}, ISNUMBER({L221, O221, R221}), {L221, O221, R221} &gt; 0)), """")))/T221"),"#DIV/0!")</f>
        <v>#DIV/0!</v>
      </c>
    </row>
    <row r="222" ht="22.5" customHeight="1">
      <c r="A222" s="34"/>
      <c r="B222" s="34"/>
      <c r="C222" s="37"/>
      <c r="D222" s="38"/>
      <c r="E222" s="103"/>
      <c r="F222" s="49"/>
      <c r="G222" s="37"/>
      <c r="H222" s="112"/>
      <c r="I222" s="34"/>
      <c r="J222" s="41" t="s">
        <v>261</v>
      </c>
      <c r="K222" s="41" t="s">
        <v>261</v>
      </c>
      <c r="L222" s="41"/>
      <c r="M222" s="108"/>
      <c r="N222" s="108"/>
      <c r="O222" s="110"/>
      <c r="P222" s="41"/>
      <c r="Q222" s="39"/>
      <c r="R222" s="39"/>
      <c r="S222" s="46">
        <v>0.67</v>
      </c>
      <c r="T222" s="109">
        <f>IFERROR(__xludf.DUMMYFUNCTION("((IFERROR(MIN(FILTER({L222, O222, R222}, ISNUMBER({L222, O222, R222}), {L222, O222, R222} &gt; 0)), """"))*S222)+IFERROR(MIN(FILTER({L222, O222, R222}, ISNUMBER({L222, O222, R222}), {L222, O222, R222} &gt; 0)), """")"),0.0)</f>
        <v>0</v>
      </c>
      <c r="U222" s="53" t="str">
        <f>IFERROR(__xludf.DUMMYFUNCTION("(T222-(IFERROR(MIN(FILTER({L222, O222, R222}, ISNUMBER({L222, O222, R222}), {L222, O222, R222} &gt; 0)), """")))/T222"),"#DIV/0!")</f>
        <v>#DIV/0!</v>
      </c>
    </row>
    <row r="223" ht="22.5" customHeight="1">
      <c r="A223" s="34"/>
      <c r="B223" s="34"/>
      <c r="C223" s="37"/>
      <c r="D223" s="38"/>
      <c r="E223" s="103"/>
      <c r="F223" s="49"/>
      <c r="G223" s="37"/>
      <c r="H223" s="112"/>
      <c r="I223" s="34"/>
      <c r="J223" s="41" t="s">
        <v>261</v>
      </c>
      <c r="K223" s="41" t="s">
        <v>261</v>
      </c>
      <c r="L223" s="41"/>
      <c r="M223" s="108"/>
      <c r="N223" s="108"/>
      <c r="O223" s="110"/>
      <c r="P223" s="41"/>
      <c r="Q223" s="39"/>
      <c r="R223" s="39"/>
      <c r="S223" s="46">
        <v>0.67</v>
      </c>
      <c r="T223" s="109">
        <f>IFERROR(__xludf.DUMMYFUNCTION("((IFERROR(MIN(FILTER({L223, O223, R223}, ISNUMBER({L223, O223, R223}), {L223, O223, R223} &gt; 0)), """"))*S223)+IFERROR(MIN(FILTER({L223, O223, R223}, ISNUMBER({L223, O223, R223}), {L223, O223, R223} &gt; 0)), """")"),0.0)</f>
        <v>0</v>
      </c>
      <c r="U223" s="53" t="str">
        <f>IFERROR(__xludf.DUMMYFUNCTION("(T223-(IFERROR(MIN(FILTER({L223, O223, R223}, ISNUMBER({L223, O223, R223}), {L223, O223, R223} &gt; 0)), """")))/T223"),"#DIV/0!")</f>
        <v>#DIV/0!</v>
      </c>
    </row>
    <row r="224" ht="22.5" customHeight="1">
      <c r="A224" s="34"/>
      <c r="B224" s="34"/>
      <c r="C224" s="37"/>
      <c r="D224" s="38"/>
      <c r="E224" s="103"/>
      <c r="F224" s="49"/>
      <c r="G224" s="37"/>
      <c r="H224" s="112"/>
      <c r="I224" s="34"/>
      <c r="J224" s="41" t="s">
        <v>261</v>
      </c>
      <c r="K224" s="41" t="s">
        <v>261</v>
      </c>
      <c r="L224" s="41"/>
      <c r="M224" s="108"/>
      <c r="N224" s="108"/>
      <c r="O224" s="110"/>
      <c r="P224" s="41"/>
      <c r="Q224" s="39"/>
      <c r="R224" s="39"/>
      <c r="S224" s="46">
        <v>0.67</v>
      </c>
      <c r="T224" s="109">
        <f>IFERROR(__xludf.DUMMYFUNCTION("((IFERROR(MIN(FILTER({L224, O224, R224}, ISNUMBER({L224, O224, R224}), {L224, O224, R224} &gt; 0)), """"))*S224)+IFERROR(MIN(FILTER({L224, O224, R224}, ISNUMBER({L224, O224, R224}), {L224, O224, R224} &gt; 0)), """")"),0.0)</f>
        <v>0</v>
      </c>
      <c r="U224" s="53" t="str">
        <f>IFERROR(__xludf.DUMMYFUNCTION("(T224-(IFERROR(MIN(FILTER({L224, O224, R224}, ISNUMBER({L224, O224, R224}), {L224, O224, R224} &gt; 0)), """")))/T224"),"#DIV/0!")</f>
        <v>#DIV/0!</v>
      </c>
    </row>
    <row r="225" ht="22.5" customHeight="1">
      <c r="A225" s="34"/>
      <c r="B225" s="34"/>
      <c r="C225" s="37"/>
      <c r="D225" s="38"/>
      <c r="E225" s="103"/>
      <c r="F225" s="49"/>
      <c r="G225" s="37"/>
      <c r="H225" s="112"/>
      <c r="I225" s="34"/>
      <c r="J225" s="41" t="s">
        <v>261</v>
      </c>
      <c r="K225" s="41" t="s">
        <v>261</v>
      </c>
      <c r="L225" s="41"/>
      <c r="M225" s="108"/>
      <c r="N225" s="108"/>
      <c r="O225" s="110"/>
      <c r="P225" s="41"/>
      <c r="Q225" s="39"/>
      <c r="R225" s="39"/>
      <c r="S225" s="46">
        <v>0.67</v>
      </c>
      <c r="T225" s="109">
        <f>IFERROR(__xludf.DUMMYFUNCTION("((IFERROR(MIN(FILTER({L225, O225, R225}, ISNUMBER({L225, O225, R225}), {L225, O225, R225} &gt; 0)), """"))*S225)+IFERROR(MIN(FILTER({L225, O225, R225}, ISNUMBER({L225, O225, R225}), {L225, O225, R225} &gt; 0)), """")"),0.0)</f>
        <v>0</v>
      </c>
      <c r="U225" s="53" t="str">
        <f>IFERROR(__xludf.DUMMYFUNCTION("(T225-(IFERROR(MIN(FILTER({L225, O225, R225}, ISNUMBER({L225, O225, R225}), {L225, O225, R225} &gt; 0)), """")))/T225"),"#DIV/0!")</f>
        <v>#DIV/0!</v>
      </c>
    </row>
    <row r="226" ht="22.5" customHeight="1">
      <c r="A226" s="34"/>
      <c r="B226" s="34"/>
      <c r="C226" s="37"/>
      <c r="D226" s="38"/>
      <c r="E226" s="103"/>
      <c r="F226" s="49"/>
      <c r="G226" s="37"/>
      <c r="H226" s="112"/>
      <c r="I226" s="34"/>
      <c r="J226" s="41" t="s">
        <v>261</v>
      </c>
      <c r="K226" s="41" t="s">
        <v>261</v>
      </c>
      <c r="L226" s="41"/>
      <c r="M226" s="108"/>
      <c r="N226" s="108"/>
      <c r="O226" s="110"/>
      <c r="P226" s="41"/>
      <c r="Q226" s="39"/>
      <c r="R226" s="39"/>
      <c r="S226" s="46">
        <v>0.67</v>
      </c>
      <c r="T226" s="109">
        <f>IFERROR(__xludf.DUMMYFUNCTION("((IFERROR(MIN(FILTER({L226, O226, R226}, ISNUMBER({L226, O226, R226}), {L226, O226, R226} &gt; 0)), """"))*S226)+IFERROR(MIN(FILTER({L226, O226, R226}, ISNUMBER({L226, O226, R226}), {L226, O226, R226} &gt; 0)), """")"),0.0)</f>
        <v>0</v>
      </c>
      <c r="U226" s="53" t="str">
        <f>IFERROR(__xludf.DUMMYFUNCTION("(T226-(IFERROR(MIN(FILTER({L226, O226, R226}, ISNUMBER({L226, O226, R226}), {L226, O226, R226} &gt; 0)), """")))/T226"),"#DIV/0!")</f>
        <v>#DIV/0!</v>
      </c>
    </row>
    <row r="227" ht="22.5" customHeight="1">
      <c r="A227" s="34"/>
      <c r="B227" s="34"/>
      <c r="C227" s="37"/>
      <c r="D227" s="38"/>
      <c r="E227" s="103"/>
      <c r="F227" s="49"/>
      <c r="G227" s="37"/>
      <c r="H227" s="112"/>
      <c r="I227" s="34"/>
      <c r="J227" s="39" t="s">
        <v>261</v>
      </c>
      <c r="K227" s="41" t="s">
        <v>261</v>
      </c>
      <c r="L227" s="39"/>
      <c r="M227" s="108"/>
      <c r="N227" s="108"/>
      <c r="O227" s="108"/>
      <c r="P227" s="39"/>
      <c r="Q227" s="39"/>
      <c r="R227" s="39"/>
      <c r="S227" s="46">
        <v>0.67</v>
      </c>
      <c r="T227" s="109">
        <f>IFERROR(__xludf.DUMMYFUNCTION("((IFERROR(MIN(FILTER({L227, O227, R227}, ISNUMBER({L227, O227, R227}), {L227, O227, R227} &gt; 0)), """"))*S227)+IFERROR(MIN(FILTER({L227, O227, R227}, ISNUMBER({L227, O227, R227}), {L227, O227, R227} &gt; 0)), """")"),0.0)</f>
        <v>0</v>
      </c>
      <c r="U227" s="53" t="str">
        <f>IFERROR(__xludf.DUMMYFUNCTION("(T227-(IFERROR(MIN(FILTER({L227, O227, R227}, ISNUMBER({L227, O227, R227}), {L227, O227, R227} &gt; 0)), """")))/T227"),"#DIV/0!")</f>
        <v>#DIV/0!</v>
      </c>
    </row>
    <row r="228" ht="22.5" customHeight="1">
      <c r="A228" s="34"/>
      <c r="B228" s="34"/>
      <c r="C228" s="37"/>
      <c r="D228" s="38"/>
      <c r="E228" s="103"/>
      <c r="F228" s="49"/>
      <c r="G228" s="37"/>
      <c r="H228" s="112"/>
      <c r="I228" s="34"/>
      <c r="J228" s="41" t="s">
        <v>261</v>
      </c>
      <c r="K228" s="41" t="s">
        <v>261</v>
      </c>
      <c r="L228" s="41"/>
      <c r="M228" s="108"/>
      <c r="N228" s="108"/>
      <c r="O228" s="110"/>
      <c r="P228" s="41"/>
      <c r="Q228" s="39"/>
      <c r="R228" s="39"/>
      <c r="S228" s="46">
        <v>0.67</v>
      </c>
      <c r="T228" s="109">
        <f>IFERROR(__xludf.DUMMYFUNCTION("((IFERROR(MIN(FILTER({L228, O228, R228}, ISNUMBER({L228, O228, R228}), {L228, O228, R228} &gt; 0)), """"))*S228)+IFERROR(MIN(FILTER({L228, O228, R228}, ISNUMBER({L228, O228, R228}), {L228, O228, R228} &gt; 0)), """")"),0.0)</f>
        <v>0</v>
      </c>
      <c r="U228" s="53" t="str">
        <f>IFERROR(__xludf.DUMMYFUNCTION("(T228-(IFERROR(MIN(FILTER({L228, O228, R228}, ISNUMBER({L228, O228, R228}), {L228, O228, R228} &gt; 0)), """")))/T228"),"#DIV/0!")</f>
        <v>#DIV/0!</v>
      </c>
    </row>
    <row r="229" ht="22.5" customHeight="1">
      <c r="A229" s="34"/>
      <c r="B229" s="34"/>
      <c r="C229" s="37"/>
      <c r="D229" s="38"/>
      <c r="E229" s="103"/>
      <c r="F229" s="49"/>
      <c r="G229" s="37"/>
      <c r="H229" s="112"/>
      <c r="I229" s="34"/>
      <c r="J229" s="41" t="s">
        <v>261</v>
      </c>
      <c r="K229" s="41" t="s">
        <v>261</v>
      </c>
      <c r="L229" s="41"/>
      <c r="M229" s="108"/>
      <c r="N229" s="108"/>
      <c r="O229" s="110"/>
      <c r="P229" s="41"/>
      <c r="Q229" s="39"/>
      <c r="R229" s="39"/>
      <c r="S229" s="46">
        <v>0.67</v>
      </c>
      <c r="T229" s="109">
        <f>IFERROR(__xludf.DUMMYFUNCTION("((IFERROR(MIN(FILTER({L229, O229, R229}, ISNUMBER({L229, O229, R229}), {L229, O229, R229} &gt; 0)), """"))*S229)+IFERROR(MIN(FILTER({L229, O229, R229}, ISNUMBER({L229, O229, R229}), {L229, O229, R229} &gt; 0)), """")"),0.0)</f>
        <v>0</v>
      </c>
      <c r="U229" s="53" t="str">
        <f>IFERROR(__xludf.DUMMYFUNCTION("(T229-(IFERROR(MIN(FILTER({L229, O229, R229}, ISNUMBER({L229, O229, R229}), {L229, O229, R229} &gt; 0)), """")))/T229"),"#DIV/0!")</f>
        <v>#DIV/0!</v>
      </c>
    </row>
    <row r="230" ht="22.5" customHeight="1">
      <c r="A230" s="34"/>
      <c r="B230" s="34"/>
      <c r="C230" s="37"/>
      <c r="D230" s="38"/>
      <c r="E230" s="103"/>
      <c r="F230" s="49"/>
      <c r="G230" s="37"/>
      <c r="H230" s="112"/>
      <c r="I230" s="34"/>
      <c r="J230" s="41" t="s">
        <v>261</v>
      </c>
      <c r="K230" s="41" t="s">
        <v>261</v>
      </c>
      <c r="L230" s="41"/>
      <c r="M230" s="108"/>
      <c r="N230" s="108"/>
      <c r="O230" s="110"/>
      <c r="P230" s="41"/>
      <c r="Q230" s="39"/>
      <c r="R230" s="39"/>
      <c r="S230" s="46">
        <v>0.67</v>
      </c>
      <c r="T230" s="109">
        <f>IFERROR(__xludf.DUMMYFUNCTION("((IFERROR(MIN(FILTER({L230, O230, R230}, ISNUMBER({L230, O230, R230}), {L230, O230, R230} &gt; 0)), """"))*S230)+IFERROR(MIN(FILTER({L230, O230, R230}, ISNUMBER({L230, O230, R230}), {L230, O230, R230} &gt; 0)), """")"),0.0)</f>
        <v>0</v>
      </c>
      <c r="U230" s="53" t="str">
        <f>IFERROR(__xludf.DUMMYFUNCTION("(T230-(IFERROR(MIN(FILTER({L230, O230, R230}, ISNUMBER({L230, O230, R230}), {L230, O230, R230} &gt; 0)), """")))/T230"),"#DIV/0!")</f>
        <v>#DIV/0!</v>
      </c>
    </row>
    <row r="231" ht="22.5" customHeight="1">
      <c r="A231" s="34"/>
      <c r="B231" s="34"/>
      <c r="C231" s="37"/>
      <c r="D231" s="38"/>
      <c r="E231" s="103"/>
      <c r="F231" s="49"/>
      <c r="G231" s="37"/>
      <c r="H231" s="112"/>
      <c r="I231" s="34"/>
      <c r="J231" s="39" t="s">
        <v>261</v>
      </c>
      <c r="K231" s="41" t="s">
        <v>261</v>
      </c>
      <c r="L231" s="39"/>
      <c r="M231" s="108"/>
      <c r="N231" s="108"/>
      <c r="O231" s="108"/>
      <c r="P231" s="39"/>
      <c r="Q231" s="39"/>
      <c r="R231" s="39"/>
      <c r="S231" s="46">
        <v>0.67</v>
      </c>
      <c r="T231" s="109">
        <f>IFERROR(__xludf.DUMMYFUNCTION("((IFERROR(MIN(FILTER({L231, O231, R231}, ISNUMBER({L231, O231, R231}), {L231, O231, R231} &gt; 0)), """"))*S231)+IFERROR(MIN(FILTER({L231, O231, R231}, ISNUMBER({L231, O231, R231}), {L231, O231, R231} &gt; 0)), """")"),0.0)</f>
        <v>0</v>
      </c>
      <c r="U231" s="53" t="str">
        <f>IFERROR(__xludf.DUMMYFUNCTION("(T231-(IFERROR(MIN(FILTER({L231, O231, R231}, ISNUMBER({L231, O231, R231}), {L231, O231, R231} &gt; 0)), """")))/T231"),"#DIV/0!")</f>
        <v>#DIV/0!</v>
      </c>
    </row>
    <row r="232" ht="22.5" customHeight="1">
      <c r="A232" s="34"/>
      <c r="B232" s="34"/>
      <c r="C232" s="37"/>
      <c r="D232" s="38"/>
      <c r="E232" s="103"/>
      <c r="F232" s="49"/>
      <c r="G232" s="37"/>
      <c r="H232" s="112"/>
      <c r="I232" s="34"/>
      <c r="J232" s="41" t="s">
        <v>261</v>
      </c>
      <c r="K232" s="41" t="s">
        <v>261</v>
      </c>
      <c r="L232" s="41"/>
      <c r="M232" s="108"/>
      <c r="N232" s="108"/>
      <c r="O232" s="110"/>
      <c r="P232" s="41"/>
      <c r="Q232" s="39"/>
      <c r="R232" s="39"/>
      <c r="S232" s="46">
        <v>0.67</v>
      </c>
      <c r="T232" s="109">
        <f>IFERROR(__xludf.DUMMYFUNCTION("((IFERROR(MIN(FILTER({L232, O232, R232}, ISNUMBER({L232, O232, R232}), {L232, O232, R232} &gt; 0)), """"))*S232)+IFERROR(MIN(FILTER({L232, O232, R232}, ISNUMBER({L232, O232, R232}), {L232, O232, R232} &gt; 0)), """")"),0.0)</f>
        <v>0</v>
      </c>
      <c r="U232" s="53" t="str">
        <f>IFERROR(__xludf.DUMMYFUNCTION("(T232-(IFERROR(MIN(FILTER({L232, O232, R232}, ISNUMBER({L232, O232, R232}), {L232, O232, R232} &gt; 0)), """")))/T232"),"#DIV/0!")</f>
        <v>#DIV/0!</v>
      </c>
    </row>
    <row r="233" ht="22.5" customHeight="1">
      <c r="A233" s="34"/>
      <c r="B233" s="34"/>
      <c r="C233" s="37"/>
      <c r="D233" s="38"/>
      <c r="E233" s="103"/>
      <c r="F233" s="49"/>
      <c r="G233" s="37"/>
      <c r="H233" s="112"/>
      <c r="I233" s="34"/>
      <c r="J233" s="41" t="s">
        <v>261</v>
      </c>
      <c r="K233" s="41" t="s">
        <v>261</v>
      </c>
      <c r="L233" s="41"/>
      <c r="M233" s="108"/>
      <c r="N233" s="108"/>
      <c r="O233" s="110"/>
      <c r="P233" s="41"/>
      <c r="Q233" s="39"/>
      <c r="R233" s="39"/>
      <c r="S233" s="46">
        <v>0.67</v>
      </c>
      <c r="T233" s="109">
        <f>IFERROR(__xludf.DUMMYFUNCTION("((IFERROR(MIN(FILTER({L233, O233, R233}, ISNUMBER({L233, O233, R233}), {L233, O233, R233} &gt; 0)), """"))*S233)+IFERROR(MIN(FILTER({L233, O233, R233}, ISNUMBER({L233, O233, R233}), {L233, O233, R233} &gt; 0)), """")"),0.0)</f>
        <v>0</v>
      </c>
      <c r="U233" s="53" t="str">
        <f>IFERROR(__xludf.DUMMYFUNCTION("(T233-(IFERROR(MIN(FILTER({L233, O233, R233}, ISNUMBER({L233, O233, R233}), {L233, O233, R233} &gt; 0)), """")))/T233"),"#DIV/0!")</f>
        <v>#DIV/0!</v>
      </c>
    </row>
    <row r="234" ht="22.5" customHeight="1">
      <c r="A234" s="34"/>
      <c r="B234" s="34"/>
      <c r="C234" s="37"/>
      <c r="D234" s="38"/>
      <c r="E234" s="103"/>
      <c r="F234" s="49"/>
      <c r="G234" s="37"/>
      <c r="H234" s="112"/>
      <c r="I234" s="34"/>
      <c r="J234" s="41" t="s">
        <v>261</v>
      </c>
      <c r="K234" s="41" t="s">
        <v>261</v>
      </c>
      <c r="L234" s="41"/>
      <c r="M234" s="108"/>
      <c r="N234" s="108"/>
      <c r="O234" s="110"/>
      <c r="P234" s="41"/>
      <c r="Q234" s="39"/>
      <c r="R234" s="39"/>
      <c r="S234" s="46">
        <v>0.67</v>
      </c>
      <c r="T234" s="109">
        <f>IFERROR(__xludf.DUMMYFUNCTION("((IFERROR(MIN(FILTER({L234, O234, R234}, ISNUMBER({L234, O234, R234}), {L234, O234, R234} &gt; 0)), """"))*S234)+IFERROR(MIN(FILTER({L234, O234, R234}, ISNUMBER({L234, O234, R234}), {L234, O234, R234} &gt; 0)), """")"),0.0)</f>
        <v>0</v>
      </c>
      <c r="U234" s="53" t="str">
        <f>IFERROR(__xludf.DUMMYFUNCTION("(T234-(IFERROR(MIN(FILTER({L234, O234, R234}, ISNUMBER({L234, O234, R234}), {L234, O234, R234} &gt; 0)), """")))/T234"),"#DIV/0!")</f>
        <v>#DIV/0!</v>
      </c>
    </row>
    <row r="235" ht="22.5" customHeight="1">
      <c r="A235" s="34"/>
      <c r="B235" s="34"/>
      <c r="C235" s="37"/>
      <c r="D235" s="38"/>
      <c r="E235" s="103"/>
      <c r="F235" s="49"/>
      <c r="G235" s="37"/>
      <c r="H235" s="112"/>
      <c r="I235" s="34"/>
      <c r="J235" s="41" t="s">
        <v>261</v>
      </c>
      <c r="K235" s="41" t="s">
        <v>261</v>
      </c>
      <c r="L235" s="41"/>
      <c r="M235" s="108"/>
      <c r="N235" s="108"/>
      <c r="O235" s="110"/>
      <c r="P235" s="41"/>
      <c r="Q235" s="39"/>
      <c r="R235" s="39"/>
      <c r="S235" s="46">
        <v>0.67</v>
      </c>
      <c r="T235" s="109">
        <f>IFERROR(__xludf.DUMMYFUNCTION("((IFERROR(MIN(FILTER({L235, O235, R235}, ISNUMBER({L235, O235, R235}), {L235, O235, R235} &gt; 0)), """"))*S235)+IFERROR(MIN(FILTER({L235, O235, R235}, ISNUMBER({L235, O235, R235}), {L235, O235, R235} &gt; 0)), """")"),0.0)</f>
        <v>0</v>
      </c>
      <c r="U235" s="53" t="str">
        <f>IFERROR(__xludf.DUMMYFUNCTION("(T235-(IFERROR(MIN(FILTER({L235, O235, R235}, ISNUMBER({L235, O235, R235}), {L235, O235, R235} &gt; 0)), """")))/T235"),"#DIV/0!")</f>
        <v>#DIV/0!</v>
      </c>
    </row>
    <row r="236" ht="22.5" customHeight="1">
      <c r="A236" s="34"/>
      <c r="B236" s="34"/>
      <c r="C236" s="37"/>
      <c r="D236" s="38"/>
      <c r="E236" s="103"/>
      <c r="F236" s="49"/>
      <c r="G236" s="37"/>
      <c r="H236" s="112"/>
      <c r="I236" s="34"/>
      <c r="J236" s="41" t="s">
        <v>261</v>
      </c>
      <c r="K236" s="41" t="s">
        <v>261</v>
      </c>
      <c r="L236" s="41"/>
      <c r="M236" s="108"/>
      <c r="N236" s="108"/>
      <c r="O236" s="110"/>
      <c r="P236" s="41"/>
      <c r="Q236" s="39"/>
      <c r="R236" s="39"/>
      <c r="S236" s="46">
        <v>0.67</v>
      </c>
      <c r="T236" s="109">
        <f>IFERROR(__xludf.DUMMYFUNCTION("((IFERROR(MIN(FILTER({L236, O236, R236}, ISNUMBER({L236, O236, R236}), {L236, O236, R236} &gt; 0)), """"))*S236)+IFERROR(MIN(FILTER({L236, O236, R236}, ISNUMBER({L236, O236, R236}), {L236, O236, R236} &gt; 0)), """")"),0.0)</f>
        <v>0</v>
      </c>
      <c r="U236" s="53" t="str">
        <f>IFERROR(__xludf.DUMMYFUNCTION("(T236-(IFERROR(MIN(FILTER({L236, O236, R236}, ISNUMBER({L236, O236, R236}), {L236, O236, R236} &gt; 0)), """")))/T236"),"#DIV/0!")</f>
        <v>#DIV/0!</v>
      </c>
    </row>
    <row r="237" ht="22.5" customHeight="1">
      <c r="A237" s="34"/>
      <c r="B237" s="34"/>
      <c r="C237" s="37"/>
      <c r="D237" s="38"/>
      <c r="E237" s="103"/>
      <c r="F237" s="49"/>
      <c r="G237" s="37"/>
      <c r="H237" s="112"/>
      <c r="I237" s="34"/>
      <c r="J237" s="41" t="s">
        <v>261</v>
      </c>
      <c r="K237" s="41" t="s">
        <v>261</v>
      </c>
      <c r="L237" s="41"/>
      <c r="M237" s="108"/>
      <c r="N237" s="108"/>
      <c r="O237" s="110"/>
      <c r="P237" s="41"/>
      <c r="Q237" s="39"/>
      <c r="R237" s="39"/>
      <c r="S237" s="46">
        <v>0.67</v>
      </c>
      <c r="T237" s="109">
        <f>IFERROR(__xludf.DUMMYFUNCTION("((IFERROR(MIN(FILTER({L237, O237, R237}, ISNUMBER({L237, O237, R237}), {L237, O237, R237} &gt; 0)), """"))*S237)+IFERROR(MIN(FILTER({L237, O237, R237}, ISNUMBER({L237, O237, R237}), {L237, O237, R237} &gt; 0)), """")"),0.0)</f>
        <v>0</v>
      </c>
      <c r="U237" s="53" t="str">
        <f>IFERROR(__xludf.DUMMYFUNCTION("(T237-(IFERROR(MIN(FILTER({L237, O237, R237}, ISNUMBER({L237, O237, R237}), {L237, O237, R237} &gt; 0)), """")))/T237"),"#DIV/0!")</f>
        <v>#DIV/0!</v>
      </c>
    </row>
    <row r="238" ht="22.5" customHeight="1">
      <c r="A238" s="34"/>
      <c r="B238" s="34"/>
      <c r="C238" s="37"/>
      <c r="D238" s="38"/>
      <c r="E238" s="103"/>
      <c r="F238" s="49"/>
      <c r="G238" s="37"/>
      <c r="H238" s="112"/>
      <c r="I238" s="34"/>
      <c r="J238" s="41" t="s">
        <v>261</v>
      </c>
      <c r="K238" s="41" t="s">
        <v>261</v>
      </c>
      <c r="L238" s="41"/>
      <c r="M238" s="108"/>
      <c r="N238" s="108"/>
      <c r="O238" s="110"/>
      <c r="P238" s="41"/>
      <c r="Q238" s="39"/>
      <c r="R238" s="39"/>
      <c r="S238" s="46">
        <v>0.67</v>
      </c>
      <c r="T238" s="109">
        <f>IFERROR(__xludf.DUMMYFUNCTION("((IFERROR(MIN(FILTER({L238, O238, R238}, ISNUMBER({L238, O238, R238}), {L238, O238, R238} &gt; 0)), """"))*S238)+IFERROR(MIN(FILTER({L238, O238, R238}, ISNUMBER({L238, O238, R238}), {L238, O238, R238} &gt; 0)), """")"),0.0)</f>
        <v>0</v>
      </c>
      <c r="U238" s="53" t="str">
        <f>IFERROR(__xludf.DUMMYFUNCTION("(T238-(IFERROR(MIN(FILTER({L238, O238, R238}, ISNUMBER({L238, O238, R238}), {L238, O238, R238} &gt; 0)), """")))/T238"),"#DIV/0!")</f>
        <v>#DIV/0!</v>
      </c>
    </row>
    <row r="239" ht="22.5" customHeight="1">
      <c r="A239" s="34"/>
      <c r="B239" s="34"/>
      <c r="C239" s="37"/>
      <c r="D239" s="38"/>
      <c r="E239" s="103"/>
      <c r="F239" s="49"/>
      <c r="G239" s="37"/>
      <c r="H239" s="112"/>
      <c r="I239" s="34"/>
      <c r="J239" s="41" t="s">
        <v>261</v>
      </c>
      <c r="K239" s="41" t="s">
        <v>261</v>
      </c>
      <c r="L239" s="41"/>
      <c r="M239" s="108"/>
      <c r="N239" s="108"/>
      <c r="O239" s="110"/>
      <c r="P239" s="41"/>
      <c r="Q239" s="39"/>
      <c r="R239" s="39"/>
      <c r="S239" s="46">
        <v>0.67</v>
      </c>
      <c r="T239" s="109">
        <f>IFERROR(__xludf.DUMMYFUNCTION("((IFERROR(MIN(FILTER({L239, O239, R239}, ISNUMBER({L239, O239, R239}), {L239, O239, R239} &gt; 0)), """"))*S239)+IFERROR(MIN(FILTER({L239, O239, R239}, ISNUMBER({L239, O239, R239}), {L239, O239, R239} &gt; 0)), """")"),0.0)</f>
        <v>0</v>
      </c>
      <c r="U239" s="53" t="str">
        <f>IFERROR(__xludf.DUMMYFUNCTION("(T239-(IFERROR(MIN(FILTER({L239, O239, R239}, ISNUMBER({L239, O239, R239}), {L239, O239, R239} &gt; 0)), """")))/T239"),"#DIV/0!")</f>
        <v>#DIV/0!</v>
      </c>
    </row>
    <row r="240" ht="22.5" customHeight="1">
      <c r="A240" s="34"/>
      <c r="B240" s="34"/>
      <c r="C240" s="37"/>
      <c r="D240" s="38"/>
      <c r="E240" s="103"/>
      <c r="F240" s="49"/>
      <c r="G240" s="37"/>
      <c r="H240" s="112"/>
      <c r="I240" s="34"/>
      <c r="J240" s="41" t="s">
        <v>261</v>
      </c>
      <c r="K240" s="41" t="s">
        <v>261</v>
      </c>
      <c r="L240" s="41"/>
      <c r="M240" s="108"/>
      <c r="N240" s="108"/>
      <c r="O240" s="110"/>
      <c r="P240" s="41"/>
      <c r="Q240" s="39"/>
      <c r="R240" s="39"/>
      <c r="S240" s="46">
        <v>0.67</v>
      </c>
      <c r="T240" s="109">
        <f>IFERROR(__xludf.DUMMYFUNCTION("((IFERROR(MIN(FILTER({L240, O240, R240}, ISNUMBER({L240, O240, R240}), {L240, O240, R240} &gt; 0)), """"))*S240)+IFERROR(MIN(FILTER({L240, O240, R240}, ISNUMBER({L240, O240, R240}), {L240, O240, R240} &gt; 0)), """")"),0.0)</f>
        <v>0</v>
      </c>
      <c r="U240" s="53" t="str">
        <f>IFERROR(__xludf.DUMMYFUNCTION("(T240-(IFERROR(MIN(FILTER({L240, O240, R240}, ISNUMBER({L240, O240, R240}), {L240, O240, R240} &gt; 0)), """")))/T240"),"#DIV/0!")</f>
        <v>#DIV/0!</v>
      </c>
    </row>
    <row r="241" ht="22.5" customHeight="1">
      <c r="A241" s="34"/>
      <c r="B241" s="34"/>
      <c r="C241" s="37"/>
      <c r="D241" s="38"/>
      <c r="E241" s="103"/>
      <c r="F241" s="49"/>
      <c r="G241" s="37"/>
      <c r="H241" s="112"/>
      <c r="I241" s="34"/>
      <c r="J241" s="41" t="s">
        <v>261</v>
      </c>
      <c r="K241" s="41" t="s">
        <v>261</v>
      </c>
      <c r="L241" s="41"/>
      <c r="M241" s="108"/>
      <c r="N241" s="108"/>
      <c r="O241" s="110"/>
      <c r="P241" s="41"/>
      <c r="Q241" s="39"/>
      <c r="R241" s="39"/>
      <c r="S241" s="46">
        <v>0.67</v>
      </c>
      <c r="T241" s="109">
        <f>IFERROR(__xludf.DUMMYFUNCTION("((IFERROR(MIN(FILTER({L241, O241, R241}, ISNUMBER({L241, O241, R241}), {L241, O241, R241} &gt; 0)), """"))*S241)+IFERROR(MIN(FILTER({L241, O241, R241}, ISNUMBER({L241, O241, R241}), {L241, O241, R241} &gt; 0)), """")"),0.0)</f>
        <v>0</v>
      </c>
      <c r="U241" s="53" t="str">
        <f>IFERROR(__xludf.DUMMYFUNCTION("(T241-(IFERROR(MIN(FILTER({L241, O241, R241}, ISNUMBER({L241, O241, R241}), {L241, O241, R241} &gt; 0)), """")))/T241"),"#DIV/0!")</f>
        <v>#DIV/0!</v>
      </c>
    </row>
    <row r="242" ht="22.5" customHeight="1">
      <c r="A242" s="34"/>
      <c r="B242" s="34"/>
      <c r="C242" s="37"/>
      <c r="D242" s="38"/>
      <c r="E242" s="103"/>
      <c r="F242" s="49"/>
      <c r="G242" s="37"/>
      <c r="H242" s="112"/>
      <c r="I242" s="34"/>
      <c r="J242" s="41" t="s">
        <v>261</v>
      </c>
      <c r="K242" s="41" t="s">
        <v>261</v>
      </c>
      <c r="L242" s="41"/>
      <c r="M242" s="108"/>
      <c r="N242" s="108"/>
      <c r="O242" s="110"/>
      <c r="P242" s="41"/>
      <c r="Q242" s="39"/>
      <c r="R242" s="39"/>
      <c r="S242" s="46">
        <v>0.67</v>
      </c>
      <c r="T242" s="109">
        <f>IFERROR(__xludf.DUMMYFUNCTION("((IFERROR(MIN(FILTER({L242, O242, R242}, ISNUMBER({L242, O242, R242}), {L242, O242, R242} &gt; 0)), """"))*S242)+IFERROR(MIN(FILTER({L242, O242, R242}, ISNUMBER({L242, O242, R242}), {L242, O242, R242} &gt; 0)), """")"),0.0)</f>
        <v>0</v>
      </c>
      <c r="U242" s="53" t="str">
        <f>IFERROR(__xludf.DUMMYFUNCTION("(T242-(IFERROR(MIN(FILTER({L242, O242, R242}, ISNUMBER({L242, O242, R242}), {L242, O242, R242} &gt; 0)), """")))/T242"),"#DIV/0!")</f>
        <v>#DIV/0!</v>
      </c>
    </row>
    <row r="243" ht="22.5" customHeight="1">
      <c r="A243" s="34"/>
      <c r="B243" s="34"/>
      <c r="C243" s="37"/>
      <c r="D243" s="38"/>
      <c r="E243" s="103"/>
      <c r="F243" s="49"/>
      <c r="G243" s="37"/>
      <c r="H243" s="112"/>
      <c r="I243" s="34"/>
      <c r="J243" s="41" t="s">
        <v>261</v>
      </c>
      <c r="K243" s="41" t="s">
        <v>261</v>
      </c>
      <c r="L243" s="41"/>
      <c r="M243" s="108"/>
      <c r="N243" s="108"/>
      <c r="O243" s="110"/>
      <c r="P243" s="41"/>
      <c r="Q243" s="39"/>
      <c r="R243" s="39"/>
      <c r="S243" s="46">
        <v>0.67</v>
      </c>
      <c r="T243" s="109">
        <f>IFERROR(__xludf.DUMMYFUNCTION("((IFERROR(MIN(FILTER({L243, O243, R243}, ISNUMBER({L243, O243, R243}), {L243, O243, R243} &gt; 0)), """"))*S243)+IFERROR(MIN(FILTER({L243, O243, R243}, ISNUMBER({L243, O243, R243}), {L243, O243, R243} &gt; 0)), """")"),0.0)</f>
        <v>0</v>
      </c>
      <c r="U243" s="53" t="str">
        <f>IFERROR(__xludf.DUMMYFUNCTION("(T243-(IFERROR(MIN(FILTER({L243, O243, R243}, ISNUMBER({L243, O243, R243}), {L243, O243, R243} &gt; 0)), """")))/T243"),"#DIV/0!")</f>
        <v>#DIV/0!</v>
      </c>
    </row>
    <row r="244" ht="22.5" customHeight="1">
      <c r="A244" s="34"/>
      <c r="B244" s="34"/>
      <c r="C244" s="37"/>
      <c r="D244" s="38"/>
      <c r="E244" s="103"/>
      <c r="F244" s="49"/>
      <c r="G244" s="37"/>
      <c r="H244" s="112"/>
      <c r="I244" s="34"/>
      <c r="J244" s="41" t="s">
        <v>261</v>
      </c>
      <c r="K244" s="41" t="s">
        <v>261</v>
      </c>
      <c r="L244" s="41"/>
      <c r="M244" s="108"/>
      <c r="N244" s="108"/>
      <c r="O244" s="110"/>
      <c r="P244" s="41"/>
      <c r="Q244" s="39"/>
      <c r="R244" s="39"/>
      <c r="S244" s="46">
        <v>0.67</v>
      </c>
      <c r="T244" s="109">
        <f>IFERROR(__xludf.DUMMYFUNCTION("((IFERROR(MIN(FILTER({L244, O244, R244}, ISNUMBER({L244, O244, R244}), {L244, O244, R244} &gt; 0)), """"))*S244)+IFERROR(MIN(FILTER({L244, O244, R244}, ISNUMBER({L244, O244, R244}), {L244, O244, R244} &gt; 0)), """")"),0.0)</f>
        <v>0</v>
      </c>
      <c r="U244" s="53" t="str">
        <f>IFERROR(__xludf.DUMMYFUNCTION("(T244-(IFERROR(MIN(FILTER({L244, O244, R244}, ISNUMBER({L244, O244, R244}), {L244, O244, R244} &gt; 0)), """")))/T244"),"#DIV/0!")</f>
        <v>#DIV/0!</v>
      </c>
    </row>
    <row r="245" ht="22.5" customHeight="1">
      <c r="A245" s="34"/>
      <c r="B245" s="34"/>
      <c r="C245" s="37"/>
      <c r="D245" s="38"/>
      <c r="E245" s="103"/>
      <c r="F245" s="49"/>
      <c r="G245" s="37"/>
      <c r="H245" s="112"/>
      <c r="I245" s="34"/>
      <c r="J245" s="41" t="s">
        <v>261</v>
      </c>
      <c r="K245" s="41" t="s">
        <v>261</v>
      </c>
      <c r="L245" s="41"/>
      <c r="M245" s="108"/>
      <c r="N245" s="108"/>
      <c r="O245" s="108"/>
      <c r="P245" s="41"/>
      <c r="Q245" s="39"/>
      <c r="R245" s="41"/>
      <c r="S245" s="46">
        <v>0.67</v>
      </c>
      <c r="T245" s="109">
        <f>IFERROR(__xludf.DUMMYFUNCTION("((IFERROR(MIN(FILTER({L245, O245, R245}, ISNUMBER({L245, O245, R245}), {L245, O245, R245} &gt; 0)), """"))*S245)+IFERROR(MIN(FILTER({L245, O245, R245}, ISNUMBER({L245, O245, R245}), {L245, O245, R245} &gt; 0)), """")"),0.0)</f>
        <v>0</v>
      </c>
      <c r="U245" s="53" t="str">
        <f>IFERROR(__xludf.DUMMYFUNCTION("(T245-(IFERROR(MIN(FILTER({L245, O245, R245}, ISNUMBER({L245, O245, R245}), {L245, O245, R245} &gt; 0)), """")))/T245"),"#DIV/0!")</f>
        <v>#DIV/0!</v>
      </c>
    </row>
    <row r="246" ht="22.5" customHeight="1">
      <c r="A246" s="34"/>
      <c r="B246" s="34"/>
      <c r="C246" s="37"/>
      <c r="D246" s="38"/>
      <c r="E246" s="103"/>
      <c r="F246" s="49"/>
      <c r="G246" s="37"/>
      <c r="H246" s="112"/>
      <c r="I246" s="34"/>
      <c r="J246" s="41" t="s">
        <v>261</v>
      </c>
      <c r="K246" s="41" t="s">
        <v>261</v>
      </c>
      <c r="L246" s="41"/>
      <c r="M246" s="108"/>
      <c r="N246" s="108"/>
      <c r="O246" s="108"/>
      <c r="P246" s="41"/>
      <c r="Q246" s="39"/>
      <c r="R246" s="41"/>
      <c r="S246" s="46">
        <v>0.67</v>
      </c>
      <c r="T246" s="109">
        <f>IFERROR(__xludf.DUMMYFUNCTION("((IFERROR(MIN(FILTER({L246, O246, R246}, ISNUMBER({L246, O246, R246}), {L246, O246, R246} &gt; 0)), """"))*S246)+IFERROR(MIN(FILTER({L246, O246, R246}, ISNUMBER({L246, O246, R246}), {L246, O246, R246} &gt; 0)), """")"),0.0)</f>
        <v>0</v>
      </c>
      <c r="U246" s="53" t="str">
        <f>IFERROR(__xludf.DUMMYFUNCTION("(T246-(IFERROR(MIN(FILTER({L246, O246, R246}, ISNUMBER({L246, O246, R246}), {L246, O246, R246} &gt; 0)), """")))/T246"),"#DIV/0!")</f>
        <v>#DIV/0!</v>
      </c>
    </row>
    <row r="247" ht="22.5" customHeight="1">
      <c r="A247" s="34"/>
      <c r="B247" s="34"/>
      <c r="C247" s="37"/>
      <c r="D247" s="38"/>
      <c r="E247" s="103"/>
      <c r="F247" s="49"/>
      <c r="G247" s="37"/>
      <c r="H247" s="112"/>
      <c r="I247" s="34"/>
      <c r="J247" s="41" t="s">
        <v>261</v>
      </c>
      <c r="K247" s="41" t="s">
        <v>261</v>
      </c>
      <c r="L247" s="41"/>
      <c r="M247" s="108"/>
      <c r="N247" s="108"/>
      <c r="O247" s="108"/>
      <c r="P247" s="41"/>
      <c r="Q247" s="39"/>
      <c r="R247" s="41"/>
      <c r="S247" s="46">
        <v>0.67</v>
      </c>
      <c r="T247" s="109">
        <f>IFERROR(__xludf.DUMMYFUNCTION("((IFERROR(MIN(FILTER({L247, O247, R247}, ISNUMBER({L247, O247, R247}), {L247, O247, R247} &gt; 0)), """"))*S247)+IFERROR(MIN(FILTER({L247, O247, R247}, ISNUMBER({L247, O247, R247}), {L247, O247, R247} &gt; 0)), """")"),0.0)</f>
        <v>0</v>
      </c>
      <c r="U247" s="53" t="str">
        <f>IFERROR(__xludf.DUMMYFUNCTION("(T247-(IFERROR(MIN(FILTER({L247, O247, R247}, ISNUMBER({L247, O247, R247}), {L247, O247, R247} &gt; 0)), """")))/T247"),"#DIV/0!")</f>
        <v>#DIV/0!</v>
      </c>
    </row>
    <row r="248" ht="22.5" customHeight="1">
      <c r="A248" s="34"/>
      <c r="B248" s="34"/>
      <c r="C248" s="37"/>
      <c r="D248" s="38"/>
      <c r="E248" s="103"/>
      <c r="F248" s="49"/>
      <c r="G248" s="37"/>
      <c r="H248" s="112"/>
      <c r="I248" s="34"/>
      <c r="J248" s="41" t="s">
        <v>261</v>
      </c>
      <c r="K248" s="41" t="s">
        <v>261</v>
      </c>
      <c r="L248" s="41"/>
      <c r="M248" s="108"/>
      <c r="N248" s="108"/>
      <c r="O248" s="108"/>
      <c r="P248" s="41"/>
      <c r="Q248" s="39"/>
      <c r="R248" s="41"/>
      <c r="S248" s="46">
        <v>0.67</v>
      </c>
      <c r="T248" s="109">
        <f>IFERROR(__xludf.DUMMYFUNCTION("((IFERROR(MIN(FILTER({L248, O248, R248}, ISNUMBER({L248, O248, R248}), {L248, O248, R248} &gt; 0)), """"))*S248)+IFERROR(MIN(FILTER({L248, O248, R248}, ISNUMBER({L248, O248, R248}), {L248, O248, R248} &gt; 0)), """")"),0.0)</f>
        <v>0</v>
      </c>
      <c r="U248" s="53" t="str">
        <f>IFERROR(__xludf.DUMMYFUNCTION("(T248-(IFERROR(MIN(FILTER({L248, O248, R248}, ISNUMBER({L248, O248, R248}), {L248, O248, R248} &gt; 0)), """")))/T248"),"#DIV/0!")</f>
        <v>#DIV/0!</v>
      </c>
    </row>
    <row r="249" ht="22.5" customHeight="1">
      <c r="A249" s="34"/>
      <c r="B249" s="34"/>
      <c r="C249" s="37"/>
      <c r="D249" s="38"/>
      <c r="E249" s="103"/>
      <c r="F249" s="49"/>
      <c r="G249" s="37"/>
      <c r="H249" s="112"/>
      <c r="I249" s="34"/>
      <c r="J249" s="41" t="s">
        <v>261</v>
      </c>
      <c r="K249" s="41" t="s">
        <v>261</v>
      </c>
      <c r="L249" s="41"/>
      <c r="M249" s="108"/>
      <c r="N249" s="108"/>
      <c r="O249" s="110"/>
      <c r="P249" s="41"/>
      <c r="Q249" s="39"/>
      <c r="R249" s="41"/>
      <c r="S249" s="46">
        <v>0.67</v>
      </c>
      <c r="T249" s="109">
        <f>IFERROR(__xludf.DUMMYFUNCTION("((IFERROR(MIN(FILTER({L249, O249, R249}, ISNUMBER({L249, O249, R249}), {L249, O249, R249} &gt; 0)), """"))*S249)+IFERROR(MIN(FILTER({L249, O249, R249}, ISNUMBER({L249, O249, R249}), {L249, O249, R249} &gt; 0)), """")"),0.0)</f>
        <v>0</v>
      </c>
      <c r="U249" s="53" t="str">
        <f>IFERROR(__xludf.DUMMYFUNCTION("(T249-(IFERROR(MIN(FILTER({L249, O249, R249}, ISNUMBER({L249, O249, R249}), {L249, O249, R249} &gt; 0)), """")))/T249"),"#DIV/0!")</f>
        <v>#DIV/0!</v>
      </c>
    </row>
    <row r="250" ht="22.5" customHeight="1">
      <c r="A250" s="34"/>
      <c r="B250" s="34"/>
      <c r="C250" s="37"/>
      <c r="D250" s="38"/>
      <c r="E250" s="103"/>
      <c r="F250" s="49"/>
      <c r="G250" s="37"/>
      <c r="H250" s="112"/>
      <c r="I250" s="34"/>
      <c r="J250" s="41" t="s">
        <v>261</v>
      </c>
      <c r="K250" s="41" t="s">
        <v>261</v>
      </c>
      <c r="L250" s="41"/>
      <c r="M250" s="108"/>
      <c r="N250" s="108"/>
      <c r="O250" s="110"/>
      <c r="P250" s="41"/>
      <c r="Q250" s="39"/>
      <c r="R250" s="41"/>
      <c r="S250" s="46">
        <v>0.67</v>
      </c>
      <c r="T250" s="109">
        <f>IFERROR(__xludf.DUMMYFUNCTION("((IFERROR(MIN(FILTER({L250, O250, R250}, ISNUMBER({L250, O250, R250}), {L250, O250, R250} &gt; 0)), """"))*S250)+IFERROR(MIN(FILTER({L250, O250, R250}, ISNUMBER({L250, O250, R250}), {L250, O250, R250} &gt; 0)), """")"),0.0)</f>
        <v>0</v>
      </c>
      <c r="U250" s="53" t="str">
        <f>IFERROR(__xludf.DUMMYFUNCTION("(T250-(IFERROR(MIN(FILTER({L250, O250, R250}, ISNUMBER({L250, O250, R250}), {L250, O250, R250} &gt; 0)), """")))/T250"),"#DIV/0!")</f>
        <v>#DIV/0!</v>
      </c>
    </row>
    <row r="251" ht="22.5" customHeight="1">
      <c r="A251" s="34"/>
      <c r="B251" s="34"/>
      <c r="C251" s="37"/>
      <c r="D251" s="38"/>
      <c r="E251" s="103"/>
      <c r="F251" s="49"/>
      <c r="G251" s="37"/>
      <c r="H251" s="112"/>
      <c r="I251" s="34"/>
      <c r="J251" s="41" t="s">
        <v>261</v>
      </c>
      <c r="K251" s="41" t="s">
        <v>261</v>
      </c>
      <c r="L251" s="41"/>
      <c r="M251" s="108"/>
      <c r="N251" s="108"/>
      <c r="O251" s="110"/>
      <c r="P251" s="41"/>
      <c r="Q251" s="39"/>
      <c r="R251" s="41"/>
      <c r="S251" s="46">
        <v>0.67</v>
      </c>
      <c r="T251" s="109">
        <f>IFERROR(__xludf.DUMMYFUNCTION("((IFERROR(MIN(FILTER({L251, O251, R251}, ISNUMBER({L251, O251, R251}), {L251, O251, R251} &gt; 0)), """"))*S251)+IFERROR(MIN(FILTER({L251, O251, R251}, ISNUMBER({L251, O251, R251}), {L251, O251, R251} &gt; 0)), """")"),0.0)</f>
        <v>0</v>
      </c>
      <c r="U251" s="53" t="str">
        <f>IFERROR(__xludf.DUMMYFUNCTION("(T251-(IFERROR(MIN(FILTER({L251, O251, R251}, ISNUMBER({L251, O251, R251}), {L251, O251, R251} &gt; 0)), """")))/T251"),"#DIV/0!")</f>
        <v>#DIV/0!</v>
      </c>
    </row>
    <row r="252" ht="22.5" customHeight="1">
      <c r="A252" s="37"/>
      <c r="B252" s="37"/>
      <c r="C252" s="37"/>
      <c r="D252" s="38"/>
      <c r="E252" s="103"/>
      <c r="F252" s="49"/>
      <c r="G252" s="37"/>
      <c r="H252" s="112"/>
      <c r="I252" s="34"/>
      <c r="J252" s="41" t="s">
        <v>261</v>
      </c>
      <c r="K252" s="41" t="s">
        <v>261</v>
      </c>
      <c r="L252" s="41"/>
      <c r="M252" s="108"/>
      <c r="N252" s="108"/>
      <c r="O252" s="108"/>
      <c r="P252" s="41"/>
      <c r="Q252" s="39"/>
      <c r="R252" s="41"/>
      <c r="S252" s="46">
        <v>0.67</v>
      </c>
      <c r="T252" s="109">
        <f>IFERROR(__xludf.DUMMYFUNCTION("((IFERROR(MIN(FILTER({L252, O252, R252}, ISNUMBER({L252, O252, R252}), {L252, O252, R252} &gt; 0)), """"))*S252)+IFERROR(MIN(FILTER({L252, O252, R252}, ISNUMBER({L252, O252, R252}), {L252, O252, R252} &gt; 0)), """")"),0.0)</f>
        <v>0</v>
      </c>
      <c r="U252" s="53" t="str">
        <f>IFERROR(__xludf.DUMMYFUNCTION("(T252-(IFERROR(MIN(FILTER({L252, O252, R252}, ISNUMBER({L252, O252, R252}), {L252, O252, R252} &gt; 0)), """")))/T252"),"#DIV/0!")</f>
        <v>#DIV/0!</v>
      </c>
    </row>
    <row r="253" ht="22.5" customHeight="1">
      <c r="A253" s="37"/>
      <c r="B253" s="37"/>
      <c r="C253" s="37"/>
      <c r="D253" s="38"/>
      <c r="E253" s="103"/>
      <c r="F253" s="49"/>
      <c r="G253" s="37"/>
      <c r="H253" s="112"/>
      <c r="I253" s="34"/>
      <c r="J253" s="41" t="s">
        <v>261</v>
      </c>
      <c r="K253" s="41" t="s">
        <v>261</v>
      </c>
      <c r="L253" s="41"/>
      <c r="M253" s="108"/>
      <c r="N253" s="108"/>
      <c r="O253" s="108"/>
      <c r="P253" s="41"/>
      <c r="Q253" s="39"/>
      <c r="R253" s="41"/>
      <c r="S253" s="46">
        <v>0.67</v>
      </c>
      <c r="T253" s="109">
        <f>IFERROR(__xludf.DUMMYFUNCTION("((IFERROR(MIN(FILTER({L253, O253, R253}, ISNUMBER({L253, O253, R253}), {L253, O253, R253} &gt; 0)), """"))*S253)+IFERROR(MIN(FILTER({L253, O253, R253}, ISNUMBER({L253, O253, R253}), {L253, O253, R253} &gt; 0)), """")"),0.0)</f>
        <v>0</v>
      </c>
      <c r="U253" s="53" t="str">
        <f>IFERROR(__xludf.DUMMYFUNCTION("(T253-(IFERROR(MIN(FILTER({L253, O253, R253}, ISNUMBER({L253, O253, R253}), {L253, O253, R253} &gt; 0)), """")))/T253"),"#DIV/0!")</f>
        <v>#DIV/0!</v>
      </c>
    </row>
    <row r="254" ht="22.5" customHeight="1">
      <c r="A254" s="37"/>
      <c r="B254" s="37"/>
      <c r="C254" s="37"/>
      <c r="D254" s="38"/>
      <c r="E254" s="103"/>
      <c r="F254" s="49"/>
      <c r="G254" s="37"/>
      <c r="H254" s="112"/>
      <c r="I254" s="34"/>
      <c r="J254" s="39" t="s">
        <v>261</v>
      </c>
      <c r="K254" s="41" t="s">
        <v>261</v>
      </c>
      <c r="L254" s="39"/>
      <c r="M254" s="108"/>
      <c r="N254" s="108"/>
      <c r="O254" s="108"/>
      <c r="P254" s="39"/>
      <c r="Q254" s="39"/>
      <c r="R254" s="39"/>
      <c r="S254" s="46">
        <v>0.67</v>
      </c>
      <c r="T254" s="109">
        <f>IFERROR(__xludf.DUMMYFUNCTION("((IFERROR(MIN(FILTER({L254, O254, R254}, ISNUMBER({L254, O254, R254}), {L254, O254, R254} &gt; 0)), """"))*S254)+IFERROR(MIN(FILTER({L254, O254, R254}, ISNUMBER({L254, O254, R254}), {L254, O254, R254} &gt; 0)), """")"),0.0)</f>
        <v>0</v>
      </c>
      <c r="U254" s="53" t="str">
        <f>IFERROR(__xludf.DUMMYFUNCTION("(T254-(IFERROR(MIN(FILTER({L254, O254, R254}, ISNUMBER({L254, O254, R254}), {L254, O254, R254} &gt; 0)), """")))/T254"),"#DIV/0!")</f>
        <v>#DIV/0!</v>
      </c>
    </row>
    <row r="255" ht="22.5" customHeight="1">
      <c r="A255" s="37"/>
      <c r="B255" s="37"/>
      <c r="C255" s="37"/>
      <c r="D255" s="38"/>
      <c r="E255" s="103"/>
      <c r="F255" s="49"/>
      <c r="G255" s="37"/>
      <c r="H255" s="112"/>
      <c r="I255" s="34"/>
      <c r="J255" s="41" t="s">
        <v>261</v>
      </c>
      <c r="K255" s="41" t="s">
        <v>261</v>
      </c>
      <c r="L255" s="41"/>
      <c r="M255" s="108"/>
      <c r="N255" s="108"/>
      <c r="O255" s="110"/>
      <c r="P255" s="41"/>
      <c r="Q255" s="39"/>
      <c r="R255" s="39"/>
      <c r="S255" s="46">
        <v>0.67</v>
      </c>
      <c r="T255" s="109">
        <f>IFERROR(__xludf.DUMMYFUNCTION("((IFERROR(MIN(FILTER({L255, O255, R255}, ISNUMBER({L255, O255, R255}), {L255, O255, R255} &gt; 0)), """"))*S255)+IFERROR(MIN(FILTER({L255, O255, R255}, ISNUMBER({L255, O255, R255}), {L255, O255, R255} &gt; 0)), """")"),0.0)</f>
        <v>0</v>
      </c>
      <c r="U255" s="53" t="str">
        <f>IFERROR(__xludf.DUMMYFUNCTION("(T255-(IFERROR(MIN(FILTER({L255, O255, R255}, ISNUMBER({L255, O255, R255}), {L255, O255, R255} &gt; 0)), """")))/T255"),"#DIV/0!")</f>
        <v>#DIV/0!</v>
      </c>
    </row>
    <row r="256" ht="22.5" customHeight="1">
      <c r="A256" s="37"/>
      <c r="B256" s="37"/>
      <c r="C256" s="37"/>
      <c r="D256" s="38"/>
      <c r="E256" s="103"/>
      <c r="F256" s="49"/>
      <c r="G256" s="37"/>
      <c r="H256" s="112"/>
      <c r="I256" s="34"/>
      <c r="J256" s="41" t="s">
        <v>261</v>
      </c>
      <c r="K256" s="41" t="s">
        <v>261</v>
      </c>
      <c r="L256" s="41"/>
      <c r="M256" s="108"/>
      <c r="N256" s="108"/>
      <c r="O256" s="110"/>
      <c r="P256" s="41"/>
      <c r="Q256" s="39"/>
      <c r="R256" s="39"/>
      <c r="S256" s="46">
        <v>0.67</v>
      </c>
      <c r="T256" s="109">
        <f>IFERROR(__xludf.DUMMYFUNCTION("((IFERROR(MIN(FILTER({L256, O256, R256}, ISNUMBER({L256, O256, R256}), {L256, O256, R256} &gt; 0)), """"))*S256)+IFERROR(MIN(FILTER({L256, O256, R256}, ISNUMBER({L256, O256, R256}), {L256, O256, R256} &gt; 0)), """")"),0.0)</f>
        <v>0</v>
      </c>
      <c r="U256" s="53" t="str">
        <f>IFERROR(__xludf.DUMMYFUNCTION("(T256-(IFERROR(MIN(FILTER({L256, O256, R256}, ISNUMBER({L256, O256, R256}), {L256, O256, R256} &gt; 0)), """")))/T256"),"#DIV/0!")</f>
        <v>#DIV/0!</v>
      </c>
    </row>
    <row r="257" ht="22.5" customHeight="1">
      <c r="A257" s="37"/>
      <c r="B257" s="37"/>
      <c r="C257" s="37"/>
      <c r="D257" s="38"/>
      <c r="E257" s="103"/>
      <c r="F257" s="49"/>
      <c r="G257" s="37"/>
      <c r="H257" s="112"/>
      <c r="I257" s="34"/>
      <c r="J257" s="41" t="s">
        <v>261</v>
      </c>
      <c r="K257" s="41" t="s">
        <v>261</v>
      </c>
      <c r="L257" s="41"/>
      <c r="M257" s="108"/>
      <c r="N257" s="108"/>
      <c r="O257" s="110"/>
      <c r="P257" s="41"/>
      <c r="Q257" s="39"/>
      <c r="R257" s="39"/>
      <c r="S257" s="46">
        <v>0.67</v>
      </c>
      <c r="T257" s="109">
        <f>IFERROR(__xludf.DUMMYFUNCTION("((IFERROR(MIN(FILTER({L257, O257, R257}, ISNUMBER({L257, O257, R257}), {L257, O257, R257} &gt; 0)), """"))*S257)+IFERROR(MIN(FILTER({L257, O257, R257}, ISNUMBER({L257, O257, R257}), {L257, O257, R257} &gt; 0)), """")"),0.0)</f>
        <v>0</v>
      </c>
      <c r="U257" s="53" t="str">
        <f>IFERROR(__xludf.DUMMYFUNCTION("(T257-(IFERROR(MIN(FILTER({L257, O257, R257}, ISNUMBER({L257, O257, R257}), {L257, O257, R257} &gt; 0)), """")))/T257"),"#DIV/0!")</f>
        <v>#DIV/0!</v>
      </c>
    </row>
    <row r="258" ht="22.5" customHeight="1">
      <c r="A258" s="37"/>
      <c r="B258" s="37"/>
      <c r="C258" s="37"/>
      <c r="D258" s="38"/>
      <c r="E258" s="103"/>
      <c r="F258" s="49"/>
      <c r="G258" s="37"/>
      <c r="H258" s="112"/>
      <c r="I258" s="34"/>
      <c r="J258" s="41" t="s">
        <v>261</v>
      </c>
      <c r="K258" s="41" t="s">
        <v>261</v>
      </c>
      <c r="L258" s="41"/>
      <c r="M258" s="108"/>
      <c r="N258" s="108"/>
      <c r="O258" s="110"/>
      <c r="P258" s="41"/>
      <c r="Q258" s="39"/>
      <c r="R258" s="39"/>
      <c r="S258" s="46">
        <v>0.67</v>
      </c>
      <c r="T258" s="109">
        <f>IFERROR(__xludf.DUMMYFUNCTION("((IFERROR(MIN(FILTER({L258, O258, R258}, ISNUMBER({L258, O258, R258}), {L258, O258, R258} &gt; 0)), """"))*S258)+IFERROR(MIN(FILTER({L258, O258, R258}, ISNUMBER({L258, O258, R258}), {L258, O258, R258} &gt; 0)), """")"),0.0)</f>
        <v>0</v>
      </c>
      <c r="U258" s="53" t="str">
        <f>IFERROR(__xludf.DUMMYFUNCTION("(T258-(IFERROR(MIN(FILTER({L258, O258, R258}, ISNUMBER({L258, O258, R258}), {L258, O258, R258} &gt; 0)), """")))/T258"),"#DIV/0!")</f>
        <v>#DIV/0!</v>
      </c>
    </row>
    <row r="259" ht="22.5" customHeight="1">
      <c r="A259" s="37"/>
      <c r="B259" s="37"/>
      <c r="C259" s="37"/>
      <c r="D259" s="38"/>
      <c r="E259" s="103"/>
      <c r="F259" s="49"/>
      <c r="G259" s="37"/>
      <c r="H259" s="112"/>
      <c r="I259" s="34"/>
      <c r="J259" s="41" t="s">
        <v>261</v>
      </c>
      <c r="K259" s="41" t="s">
        <v>261</v>
      </c>
      <c r="L259" s="41"/>
      <c r="M259" s="108"/>
      <c r="N259" s="108"/>
      <c r="O259" s="110"/>
      <c r="P259" s="41"/>
      <c r="Q259" s="39"/>
      <c r="R259" s="39"/>
      <c r="S259" s="46">
        <v>0.67</v>
      </c>
      <c r="T259" s="109">
        <f>IFERROR(__xludf.DUMMYFUNCTION("((IFERROR(MIN(FILTER({L259, O259, R259}, ISNUMBER({L259, O259, R259}), {L259, O259, R259} &gt; 0)), """"))*S259)+IFERROR(MIN(FILTER({L259, O259, R259}, ISNUMBER({L259, O259, R259}), {L259, O259, R259} &gt; 0)), """")"),0.0)</f>
        <v>0</v>
      </c>
      <c r="U259" s="53" t="str">
        <f>IFERROR(__xludf.DUMMYFUNCTION("(T259-(IFERROR(MIN(FILTER({L259, O259, R259}, ISNUMBER({L259, O259, R259}), {L259, O259, R259} &gt; 0)), """")))/T259"),"#DIV/0!")</f>
        <v>#DIV/0!</v>
      </c>
    </row>
    <row r="260" ht="22.5" customHeight="1">
      <c r="A260" s="37"/>
      <c r="B260" s="37"/>
      <c r="C260" s="37"/>
      <c r="D260" s="38"/>
      <c r="E260" s="103"/>
      <c r="F260" s="49"/>
      <c r="G260" s="37"/>
      <c r="H260" s="112"/>
      <c r="I260" s="34"/>
      <c r="J260" s="41" t="s">
        <v>261</v>
      </c>
      <c r="K260" s="41" t="s">
        <v>261</v>
      </c>
      <c r="L260" s="41"/>
      <c r="M260" s="108"/>
      <c r="N260" s="108"/>
      <c r="O260" s="110"/>
      <c r="P260" s="41"/>
      <c r="Q260" s="39"/>
      <c r="R260" s="39"/>
      <c r="S260" s="46">
        <v>0.67</v>
      </c>
      <c r="T260" s="109">
        <f>IFERROR(__xludf.DUMMYFUNCTION("((IFERROR(MIN(FILTER({L260, O260, R260}, ISNUMBER({L260, O260, R260}), {L260, O260, R260} &gt; 0)), """"))*S260)+IFERROR(MIN(FILTER({L260, O260, R260}, ISNUMBER({L260, O260, R260}), {L260, O260, R260} &gt; 0)), """")"),0.0)</f>
        <v>0</v>
      </c>
      <c r="U260" s="53" t="str">
        <f>IFERROR(__xludf.DUMMYFUNCTION("(T260-(IFERROR(MIN(FILTER({L260, O260, R260}, ISNUMBER({L260, O260, R260}), {L260, O260, R260} &gt; 0)), """")))/T260"),"#DIV/0!")</f>
        <v>#DIV/0!</v>
      </c>
    </row>
    <row r="261" ht="22.5" customHeight="1">
      <c r="A261" s="37"/>
      <c r="B261" s="37"/>
      <c r="C261" s="37"/>
      <c r="D261" s="38"/>
      <c r="E261" s="103"/>
      <c r="F261" s="49"/>
      <c r="G261" s="37"/>
      <c r="H261" s="112"/>
      <c r="I261" s="34"/>
      <c r="J261" s="41" t="s">
        <v>261</v>
      </c>
      <c r="K261" s="41" t="s">
        <v>261</v>
      </c>
      <c r="L261" s="41"/>
      <c r="M261" s="108"/>
      <c r="N261" s="108"/>
      <c r="O261" s="110"/>
      <c r="P261" s="41"/>
      <c r="Q261" s="39"/>
      <c r="R261" s="39"/>
      <c r="S261" s="46">
        <v>0.67</v>
      </c>
      <c r="T261" s="109">
        <f>IFERROR(__xludf.DUMMYFUNCTION("((IFERROR(MIN(FILTER({L261, O261, R261}, ISNUMBER({L261, O261, R261}), {L261, O261, R261} &gt; 0)), """"))*S261)+IFERROR(MIN(FILTER({L261, O261, R261}, ISNUMBER({L261, O261, R261}), {L261, O261, R261} &gt; 0)), """")"),0.0)</f>
        <v>0</v>
      </c>
      <c r="U261" s="53" t="str">
        <f>IFERROR(__xludf.DUMMYFUNCTION("(T261-(IFERROR(MIN(FILTER({L261, O261, R261}, ISNUMBER({L261, O261, R261}), {L261, O261, R261} &gt; 0)), """")))/T261"),"#DIV/0!")</f>
        <v>#DIV/0!</v>
      </c>
    </row>
    <row r="262" ht="22.5" customHeight="1">
      <c r="A262" s="37"/>
      <c r="B262" s="37"/>
      <c r="C262" s="37"/>
      <c r="D262" s="38"/>
      <c r="E262" s="103"/>
      <c r="F262" s="49"/>
      <c r="G262" s="37"/>
      <c r="H262" s="112"/>
      <c r="I262" s="34"/>
      <c r="J262" s="41" t="s">
        <v>261</v>
      </c>
      <c r="K262" s="41" t="s">
        <v>261</v>
      </c>
      <c r="L262" s="41"/>
      <c r="M262" s="108"/>
      <c r="N262" s="108"/>
      <c r="O262" s="110"/>
      <c r="P262" s="41"/>
      <c r="Q262" s="39"/>
      <c r="R262" s="39"/>
      <c r="S262" s="46">
        <v>0.67</v>
      </c>
      <c r="T262" s="109">
        <f>IFERROR(__xludf.DUMMYFUNCTION("((IFERROR(MIN(FILTER({L262, O262, R262}, ISNUMBER({L262, O262, R262}), {L262, O262, R262} &gt; 0)), """"))*S262)+IFERROR(MIN(FILTER({L262, O262, R262}, ISNUMBER({L262, O262, R262}), {L262, O262, R262} &gt; 0)), """")"),0.0)</f>
        <v>0</v>
      </c>
      <c r="U262" s="53" t="str">
        <f>IFERROR(__xludf.DUMMYFUNCTION("(T262-(IFERROR(MIN(FILTER({L262, O262, R262}, ISNUMBER({L262, O262, R262}), {L262, O262, R262} &gt; 0)), """")))/T262"),"#DIV/0!")</f>
        <v>#DIV/0!</v>
      </c>
    </row>
    <row r="263" ht="22.5" customHeight="1">
      <c r="A263" s="37"/>
      <c r="B263" s="37"/>
      <c r="C263" s="37"/>
      <c r="D263" s="38"/>
      <c r="E263" s="103"/>
      <c r="F263" s="49"/>
      <c r="G263" s="37"/>
      <c r="H263" s="112"/>
      <c r="I263" s="34"/>
      <c r="J263" s="41" t="s">
        <v>261</v>
      </c>
      <c r="K263" s="41" t="s">
        <v>261</v>
      </c>
      <c r="L263" s="41"/>
      <c r="M263" s="108"/>
      <c r="N263" s="108"/>
      <c r="O263" s="110"/>
      <c r="P263" s="41"/>
      <c r="Q263" s="39"/>
      <c r="R263" s="39"/>
      <c r="S263" s="46">
        <v>0.67</v>
      </c>
      <c r="T263" s="109">
        <f>IFERROR(__xludf.DUMMYFUNCTION("((IFERROR(MIN(FILTER({L263, O263, R263}, ISNUMBER({L263, O263, R263}), {L263, O263, R263} &gt; 0)), """"))*S263)+IFERROR(MIN(FILTER({L263, O263, R263}, ISNUMBER({L263, O263, R263}), {L263, O263, R263} &gt; 0)), """")"),0.0)</f>
        <v>0</v>
      </c>
      <c r="U263" s="53" t="str">
        <f>IFERROR(__xludf.DUMMYFUNCTION("(T263-(IFERROR(MIN(FILTER({L263, O263, R263}, ISNUMBER({L263, O263, R263}), {L263, O263, R263} &gt; 0)), """")))/T263"),"#DIV/0!")</f>
        <v>#DIV/0!</v>
      </c>
    </row>
    <row r="264" ht="22.5" customHeight="1">
      <c r="A264" s="37"/>
      <c r="B264" s="37"/>
      <c r="C264" s="37"/>
      <c r="D264" s="38"/>
      <c r="E264" s="103"/>
      <c r="F264" s="49"/>
      <c r="G264" s="37"/>
      <c r="H264" s="112"/>
      <c r="I264" s="34"/>
      <c r="J264" s="41" t="s">
        <v>261</v>
      </c>
      <c r="K264" s="41" t="s">
        <v>261</v>
      </c>
      <c r="L264" s="41"/>
      <c r="M264" s="108"/>
      <c r="N264" s="108"/>
      <c r="O264" s="110"/>
      <c r="P264" s="41"/>
      <c r="Q264" s="39"/>
      <c r="R264" s="39"/>
      <c r="S264" s="46">
        <v>0.67</v>
      </c>
      <c r="T264" s="109">
        <f>IFERROR(__xludf.DUMMYFUNCTION("((IFERROR(MIN(FILTER({L264, O264, R264}, ISNUMBER({L264, O264, R264}), {L264, O264, R264} &gt; 0)), """"))*S264)+IFERROR(MIN(FILTER({L264, O264, R264}, ISNUMBER({L264, O264, R264}), {L264, O264, R264} &gt; 0)), """")"),0.0)</f>
        <v>0</v>
      </c>
      <c r="U264" s="53" t="str">
        <f>IFERROR(__xludf.DUMMYFUNCTION("(T264-(IFERROR(MIN(FILTER({L264, O264, R264}, ISNUMBER({L264, O264, R264}), {L264, O264, R264} &gt; 0)), """")))/T264"),"#DIV/0!")</f>
        <v>#DIV/0!</v>
      </c>
    </row>
    <row r="265" ht="22.5" customHeight="1">
      <c r="A265" s="37"/>
      <c r="B265" s="37"/>
      <c r="C265" s="37"/>
      <c r="D265" s="38"/>
      <c r="E265" s="103"/>
      <c r="F265" s="49"/>
      <c r="G265" s="37"/>
      <c r="H265" s="112"/>
      <c r="I265" s="34"/>
      <c r="J265" s="41" t="s">
        <v>261</v>
      </c>
      <c r="K265" s="41" t="s">
        <v>261</v>
      </c>
      <c r="L265" s="41"/>
      <c r="M265" s="108"/>
      <c r="N265" s="108"/>
      <c r="O265" s="110"/>
      <c r="P265" s="41"/>
      <c r="Q265" s="39"/>
      <c r="R265" s="39"/>
      <c r="S265" s="46">
        <v>0.67</v>
      </c>
      <c r="T265" s="109">
        <f>IFERROR(__xludf.DUMMYFUNCTION("((IFERROR(MIN(FILTER({L265, O265, R265}, ISNUMBER({L265, O265, R265}), {L265, O265, R265} &gt; 0)), """"))*S265)+IFERROR(MIN(FILTER({L265, O265, R265}, ISNUMBER({L265, O265, R265}), {L265, O265, R265} &gt; 0)), """")"),0.0)</f>
        <v>0</v>
      </c>
      <c r="U265" s="53" t="str">
        <f>IFERROR(__xludf.DUMMYFUNCTION("(T265-(IFERROR(MIN(FILTER({L265, O265, R265}, ISNUMBER({L265, O265, R265}), {L265, O265, R265} &gt; 0)), """")))/T265"),"#DIV/0!")</f>
        <v>#DIV/0!</v>
      </c>
    </row>
    <row r="266" ht="22.5" customHeight="1">
      <c r="A266" s="37"/>
      <c r="B266" s="37"/>
      <c r="C266" s="37"/>
      <c r="D266" s="38"/>
      <c r="E266" s="103"/>
      <c r="F266" s="49"/>
      <c r="G266" s="37"/>
      <c r="H266" s="112"/>
      <c r="I266" s="34"/>
      <c r="J266" s="41" t="s">
        <v>261</v>
      </c>
      <c r="K266" s="41" t="s">
        <v>261</v>
      </c>
      <c r="L266" s="41"/>
      <c r="M266" s="108"/>
      <c r="N266" s="108"/>
      <c r="O266" s="110"/>
      <c r="P266" s="41"/>
      <c r="Q266" s="39"/>
      <c r="R266" s="39"/>
      <c r="S266" s="46">
        <v>0.67</v>
      </c>
      <c r="T266" s="109">
        <f>IFERROR(__xludf.DUMMYFUNCTION("((IFERROR(MIN(FILTER({L266, O266, R266}, ISNUMBER({L266, O266, R266}), {L266, O266, R266} &gt; 0)), """"))*S266)+IFERROR(MIN(FILTER({L266, O266, R266}, ISNUMBER({L266, O266, R266}), {L266, O266, R266} &gt; 0)), """")"),0.0)</f>
        <v>0</v>
      </c>
      <c r="U266" s="53" t="str">
        <f>IFERROR(__xludf.DUMMYFUNCTION("(T266-(IFERROR(MIN(FILTER({L266, O266, R266}, ISNUMBER({L266, O266, R266}), {L266, O266, R266} &gt; 0)), """")))/T266"),"#DIV/0!")</f>
        <v>#DIV/0!</v>
      </c>
    </row>
    <row r="267" ht="22.5" customHeight="1">
      <c r="A267" s="37"/>
      <c r="B267" s="37"/>
      <c r="C267" s="37"/>
      <c r="D267" s="38"/>
      <c r="E267" s="103"/>
      <c r="F267" s="49"/>
      <c r="G267" s="37"/>
      <c r="H267" s="112"/>
      <c r="I267" s="34"/>
      <c r="J267" s="41" t="s">
        <v>261</v>
      </c>
      <c r="K267" s="41" t="s">
        <v>261</v>
      </c>
      <c r="L267" s="41"/>
      <c r="M267" s="108"/>
      <c r="N267" s="108"/>
      <c r="O267" s="110"/>
      <c r="P267" s="41"/>
      <c r="Q267" s="39"/>
      <c r="R267" s="39"/>
      <c r="S267" s="46">
        <v>0.67</v>
      </c>
      <c r="T267" s="109">
        <f>IFERROR(__xludf.DUMMYFUNCTION("((IFERROR(MIN(FILTER({L267, O267, R267}, ISNUMBER({L267, O267, R267}), {L267, O267, R267} &gt; 0)), """"))*S267)+IFERROR(MIN(FILTER({L267, O267, R267}, ISNUMBER({L267, O267, R267}), {L267, O267, R267} &gt; 0)), """")"),0.0)</f>
        <v>0</v>
      </c>
      <c r="U267" s="53" t="str">
        <f>IFERROR(__xludf.DUMMYFUNCTION("(T267-(IFERROR(MIN(FILTER({L267, O267, R267}, ISNUMBER({L267, O267, R267}), {L267, O267, R267} &gt; 0)), """")))/T267"),"#DIV/0!")</f>
        <v>#DIV/0!</v>
      </c>
    </row>
    <row r="268" ht="22.5" customHeight="1">
      <c r="A268" s="37"/>
      <c r="B268" s="37"/>
      <c r="C268" s="37"/>
      <c r="D268" s="38"/>
      <c r="E268" s="103"/>
      <c r="F268" s="49"/>
      <c r="G268" s="37"/>
      <c r="H268" s="112"/>
      <c r="I268" s="34"/>
      <c r="J268" s="41" t="s">
        <v>261</v>
      </c>
      <c r="K268" s="41" t="s">
        <v>261</v>
      </c>
      <c r="L268" s="41"/>
      <c r="M268" s="108"/>
      <c r="N268" s="108"/>
      <c r="O268" s="110"/>
      <c r="P268" s="41"/>
      <c r="Q268" s="39"/>
      <c r="R268" s="39"/>
      <c r="S268" s="46">
        <v>0.67</v>
      </c>
      <c r="T268" s="109">
        <f>IFERROR(__xludf.DUMMYFUNCTION("((IFERROR(MIN(FILTER({L268, O268, R268}, ISNUMBER({L268, O268, R268}), {L268, O268, R268} &gt; 0)), """"))*S268)+IFERROR(MIN(FILTER({L268, O268, R268}, ISNUMBER({L268, O268, R268}), {L268, O268, R268} &gt; 0)), """")"),0.0)</f>
        <v>0</v>
      </c>
      <c r="U268" s="53" t="str">
        <f>IFERROR(__xludf.DUMMYFUNCTION("(T268-(IFERROR(MIN(FILTER({L268, O268, R268}, ISNUMBER({L268, O268, R268}), {L268, O268, R268} &gt; 0)), """")))/T268"),"#DIV/0!")</f>
        <v>#DIV/0!</v>
      </c>
    </row>
    <row r="269" ht="22.5" customHeight="1">
      <c r="A269" s="37"/>
      <c r="B269" s="37"/>
      <c r="C269" s="37"/>
      <c r="D269" s="38"/>
      <c r="E269" s="103"/>
      <c r="F269" s="49"/>
      <c r="G269" s="37"/>
      <c r="H269" s="112"/>
      <c r="I269" s="34"/>
      <c r="J269" s="41" t="s">
        <v>261</v>
      </c>
      <c r="K269" s="41" t="s">
        <v>261</v>
      </c>
      <c r="L269" s="41"/>
      <c r="M269" s="108"/>
      <c r="N269" s="108"/>
      <c r="O269" s="110"/>
      <c r="P269" s="41"/>
      <c r="Q269" s="39"/>
      <c r="R269" s="39"/>
      <c r="S269" s="46">
        <v>0.67</v>
      </c>
      <c r="T269" s="109">
        <f>IFERROR(__xludf.DUMMYFUNCTION("((IFERROR(MIN(FILTER({L269, O269, R269}, ISNUMBER({L269, O269, R269}), {L269, O269, R269} &gt; 0)), """"))*S269)+IFERROR(MIN(FILTER({L269, O269, R269}, ISNUMBER({L269, O269, R269}), {L269, O269, R269} &gt; 0)), """")"),0.0)</f>
        <v>0</v>
      </c>
      <c r="U269" s="53" t="str">
        <f>IFERROR(__xludf.DUMMYFUNCTION("(T269-(IFERROR(MIN(FILTER({L269, O269, R269}, ISNUMBER({L269, O269, R269}), {L269, O269, R269} &gt; 0)), """")))/T269"),"#DIV/0!")</f>
        <v>#DIV/0!</v>
      </c>
    </row>
    <row r="270" ht="22.5" customHeight="1">
      <c r="A270" s="37"/>
      <c r="B270" s="37"/>
      <c r="C270" s="37"/>
      <c r="D270" s="38"/>
      <c r="E270" s="103"/>
      <c r="F270" s="49"/>
      <c r="G270" s="37"/>
      <c r="H270" s="112"/>
      <c r="I270" s="34"/>
      <c r="J270" s="41" t="s">
        <v>261</v>
      </c>
      <c r="K270" s="41" t="s">
        <v>261</v>
      </c>
      <c r="L270" s="41"/>
      <c r="M270" s="108"/>
      <c r="N270" s="108"/>
      <c r="O270" s="110"/>
      <c r="P270" s="41"/>
      <c r="Q270" s="39"/>
      <c r="R270" s="39"/>
      <c r="S270" s="46">
        <v>0.67</v>
      </c>
      <c r="T270" s="109">
        <f>IFERROR(__xludf.DUMMYFUNCTION("((IFERROR(MIN(FILTER({L270, O270, R270}, ISNUMBER({L270, O270, R270}), {L270, O270, R270} &gt; 0)), """"))*S270)+IFERROR(MIN(FILTER({L270, O270, R270}, ISNUMBER({L270, O270, R270}), {L270, O270, R270} &gt; 0)), """")"),0.0)</f>
        <v>0</v>
      </c>
      <c r="U270" s="53" t="str">
        <f>IFERROR(__xludf.DUMMYFUNCTION("(T270-(IFERROR(MIN(FILTER({L270, O270, R270}, ISNUMBER({L270, O270, R270}), {L270, O270, R270} &gt; 0)), """")))/T270"),"#DIV/0!")</f>
        <v>#DIV/0!</v>
      </c>
    </row>
    <row r="271" ht="22.5" customHeight="1">
      <c r="A271" s="37"/>
      <c r="B271" s="37"/>
      <c r="C271" s="37"/>
      <c r="D271" s="38"/>
      <c r="E271" s="103"/>
      <c r="F271" s="49"/>
      <c r="G271" s="37"/>
      <c r="H271" s="112"/>
      <c r="I271" s="34"/>
      <c r="J271" s="41" t="s">
        <v>261</v>
      </c>
      <c r="K271" s="41" t="s">
        <v>261</v>
      </c>
      <c r="L271" s="41"/>
      <c r="M271" s="108"/>
      <c r="N271" s="108"/>
      <c r="O271" s="110"/>
      <c r="P271" s="41"/>
      <c r="Q271" s="39"/>
      <c r="R271" s="39"/>
      <c r="S271" s="46">
        <v>0.67</v>
      </c>
      <c r="T271" s="109">
        <f>IFERROR(__xludf.DUMMYFUNCTION("((IFERROR(MIN(FILTER({L271, O271, R271}, ISNUMBER({L271, O271, R271}), {L271, O271, R271} &gt; 0)), """"))*S271)+IFERROR(MIN(FILTER({L271, O271, R271}, ISNUMBER({L271, O271, R271}), {L271, O271, R271} &gt; 0)), """")"),0.0)</f>
        <v>0</v>
      </c>
      <c r="U271" s="53" t="str">
        <f>IFERROR(__xludf.DUMMYFUNCTION("(T271-(IFERROR(MIN(FILTER({L271, O271, R271}, ISNUMBER({L271, O271, R271}), {L271, O271, R271} &gt; 0)), """")))/T271"),"#DIV/0!")</f>
        <v>#DIV/0!</v>
      </c>
    </row>
    <row r="272" ht="22.5" customHeight="1">
      <c r="A272" s="37"/>
      <c r="B272" s="37"/>
      <c r="C272" s="37"/>
      <c r="D272" s="38"/>
      <c r="E272" s="103"/>
      <c r="F272" s="49"/>
      <c r="G272" s="37"/>
      <c r="H272" s="112"/>
      <c r="I272" s="34"/>
      <c r="J272" s="41" t="s">
        <v>261</v>
      </c>
      <c r="K272" s="41" t="s">
        <v>261</v>
      </c>
      <c r="L272" s="41"/>
      <c r="M272" s="108"/>
      <c r="N272" s="108"/>
      <c r="O272" s="110"/>
      <c r="P272" s="41"/>
      <c r="Q272" s="39"/>
      <c r="R272" s="39"/>
      <c r="S272" s="46">
        <v>0.67</v>
      </c>
      <c r="T272" s="109">
        <f>IFERROR(__xludf.DUMMYFUNCTION("((IFERROR(MIN(FILTER({L272, O272, R272}, ISNUMBER({L272, O272, R272}), {L272, O272, R272} &gt; 0)), """"))*S272)+IFERROR(MIN(FILTER({L272, O272, R272}, ISNUMBER({L272, O272, R272}), {L272, O272, R272} &gt; 0)), """")"),0.0)</f>
        <v>0</v>
      </c>
      <c r="U272" s="53" t="str">
        <f>IFERROR(__xludf.DUMMYFUNCTION("(T272-(IFERROR(MIN(FILTER({L272, O272, R272}, ISNUMBER({L272, O272, R272}), {L272, O272, R272} &gt; 0)), """")))/T272"),"#DIV/0!")</f>
        <v>#DIV/0!</v>
      </c>
    </row>
    <row r="273" ht="22.5" customHeight="1">
      <c r="A273" s="37"/>
      <c r="B273" s="37"/>
      <c r="C273" s="37"/>
      <c r="D273" s="38"/>
      <c r="E273" s="103"/>
      <c r="F273" s="49"/>
      <c r="G273" s="37"/>
      <c r="H273" s="112"/>
      <c r="I273" s="34"/>
      <c r="J273" s="41" t="s">
        <v>261</v>
      </c>
      <c r="K273" s="41" t="s">
        <v>261</v>
      </c>
      <c r="L273" s="41"/>
      <c r="M273" s="108"/>
      <c r="N273" s="108"/>
      <c r="O273" s="110"/>
      <c r="P273" s="41"/>
      <c r="Q273" s="39"/>
      <c r="R273" s="39"/>
      <c r="S273" s="46">
        <v>0.67</v>
      </c>
      <c r="T273" s="109">
        <f>IFERROR(__xludf.DUMMYFUNCTION("((IFERROR(MIN(FILTER({L273, O273, R273}, ISNUMBER({L273, O273, R273}), {L273, O273, R273} &gt; 0)), """"))*S273)+IFERROR(MIN(FILTER({L273, O273, R273}, ISNUMBER({L273, O273, R273}), {L273, O273, R273} &gt; 0)), """")"),0.0)</f>
        <v>0</v>
      </c>
      <c r="U273" s="53" t="str">
        <f>IFERROR(__xludf.DUMMYFUNCTION("(T273-(IFERROR(MIN(FILTER({L273, O273, R273}, ISNUMBER({L273, O273, R273}), {L273, O273, R273} &gt; 0)), """")))/T273"),"#DIV/0!")</f>
        <v>#DIV/0!</v>
      </c>
    </row>
    <row r="274" ht="22.5" customHeight="1">
      <c r="A274" s="37"/>
      <c r="B274" s="37"/>
      <c r="C274" s="37"/>
      <c r="D274" s="38"/>
      <c r="E274" s="103"/>
      <c r="F274" s="49"/>
      <c r="G274" s="37"/>
      <c r="H274" s="112"/>
      <c r="I274" s="34"/>
      <c r="J274" s="41" t="s">
        <v>261</v>
      </c>
      <c r="K274" s="41" t="s">
        <v>261</v>
      </c>
      <c r="L274" s="41"/>
      <c r="M274" s="108"/>
      <c r="N274" s="108"/>
      <c r="O274" s="110"/>
      <c r="P274" s="41"/>
      <c r="Q274" s="39"/>
      <c r="R274" s="39"/>
      <c r="S274" s="46">
        <v>0.67</v>
      </c>
      <c r="T274" s="109">
        <f>IFERROR(__xludf.DUMMYFUNCTION("((IFERROR(MIN(FILTER({L274, O274, R274}, ISNUMBER({L274, O274, R274}), {L274, O274, R274} &gt; 0)), """"))*S274)+IFERROR(MIN(FILTER({L274, O274, R274}, ISNUMBER({L274, O274, R274}), {L274, O274, R274} &gt; 0)), """")"),0.0)</f>
        <v>0</v>
      </c>
      <c r="U274" s="53" t="str">
        <f>IFERROR(__xludf.DUMMYFUNCTION("(T274-(IFERROR(MIN(FILTER({L274, O274, R274}, ISNUMBER({L274, O274, R274}), {L274, O274, R274} &gt; 0)), """")))/T274"),"#DIV/0!")</f>
        <v>#DIV/0!</v>
      </c>
    </row>
    <row r="275" ht="22.5" customHeight="1">
      <c r="A275" s="37"/>
      <c r="B275" s="37"/>
      <c r="C275" s="37"/>
      <c r="D275" s="38"/>
      <c r="E275" s="103"/>
      <c r="F275" s="49"/>
      <c r="G275" s="37"/>
      <c r="H275" s="112"/>
      <c r="I275" s="34"/>
      <c r="J275" s="41" t="s">
        <v>261</v>
      </c>
      <c r="K275" s="41" t="s">
        <v>261</v>
      </c>
      <c r="L275" s="41"/>
      <c r="M275" s="108"/>
      <c r="N275" s="108"/>
      <c r="O275" s="110"/>
      <c r="P275" s="41"/>
      <c r="Q275" s="39"/>
      <c r="R275" s="39"/>
      <c r="S275" s="46">
        <v>0.67</v>
      </c>
      <c r="T275" s="109">
        <f>IFERROR(__xludf.DUMMYFUNCTION("((IFERROR(MIN(FILTER({L275, O275, R275}, ISNUMBER({L275, O275, R275}), {L275, O275, R275} &gt; 0)), """"))*S275)+IFERROR(MIN(FILTER({L275, O275, R275}, ISNUMBER({L275, O275, R275}), {L275, O275, R275} &gt; 0)), """")"),0.0)</f>
        <v>0</v>
      </c>
      <c r="U275" s="53" t="str">
        <f>IFERROR(__xludf.DUMMYFUNCTION("(T275-(IFERROR(MIN(FILTER({L275, O275, R275}, ISNUMBER({L275, O275, R275}), {L275, O275, R275} &gt; 0)), """")))/T275"),"#DIV/0!")</f>
        <v>#DIV/0!</v>
      </c>
    </row>
    <row r="276" ht="22.5" customHeight="1">
      <c r="A276" s="37"/>
      <c r="B276" s="37"/>
      <c r="C276" s="37"/>
      <c r="D276" s="38"/>
      <c r="E276" s="103"/>
      <c r="F276" s="49"/>
      <c r="G276" s="37"/>
      <c r="H276" s="112"/>
      <c r="I276" s="34"/>
      <c r="J276" s="41" t="s">
        <v>261</v>
      </c>
      <c r="K276" s="41" t="s">
        <v>261</v>
      </c>
      <c r="L276" s="41"/>
      <c r="M276" s="108"/>
      <c r="N276" s="108"/>
      <c r="O276" s="110"/>
      <c r="P276" s="41"/>
      <c r="Q276" s="39"/>
      <c r="R276" s="41"/>
      <c r="S276" s="46">
        <v>0.67</v>
      </c>
      <c r="T276" s="109">
        <f>IFERROR(__xludf.DUMMYFUNCTION("((IFERROR(MIN(FILTER({L276, O276, R276}, ISNUMBER({L276, O276, R276}), {L276, O276, R276} &gt; 0)), """"))*S276)+IFERROR(MIN(FILTER({L276, O276, R276}, ISNUMBER({L276, O276, R276}), {L276, O276, R276} &gt; 0)), """")"),0.0)</f>
        <v>0</v>
      </c>
      <c r="U276" s="53" t="str">
        <f>IFERROR(__xludf.DUMMYFUNCTION("(T276-(IFERROR(MIN(FILTER({L276, O276, R276}, ISNUMBER({L276, O276, R276}), {L276, O276, R276} &gt; 0)), """")))/T276"),"#DIV/0!")</f>
        <v>#DIV/0!</v>
      </c>
    </row>
    <row r="277" ht="22.5" customHeight="1">
      <c r="A277" s="37"/>
      <c r="B277" s="37"/>
      <c r="C277" s="37"/>
      <c r="D277" s="38"/>
      <c r="E277" s="103"/>
      <c r="F277" s="49"/>
      <c r="G277" s="37"/>
      <c r="H277" s="112"/>
      <c r="I277" s="34"/>
      <c r="J277" s="41" t="s">
        <v>261</v>
      </c>
      <c r="K277" s="41" t="s">
        <v>261</v>
      </c>
      <c r="L277" s="41"/>
      <c r="M277" s="108"/>
      <c r="N277" s="108"/>
      <c r="O277" s="110"/>
      <c r="P277" s="41"/>
      <c r="Q277" s="39"/>
      <c r="R277" s="41"/>
      <c r="S277" s="46">
        <v>0.67</v>
      </c>
      <c r="T277" s="109">
        <f>IFERROR(__xludf.DUMMYFUNCTION("((IFERROR(MIN(FILTER({L277, O277, R277}, ISNUMBER({L277, O277, R277}), {L277, O277, R277} &gt; 0)), """"))*S277)+IFERROR(MIN(FILTER({L277, O277, R277}, ISNUMBER({L277, O277, R277}), {L277, O277, R277} &gt; 0)), """")"),0.0)</f>
        <v>0</v>
      </c>
      <c r="U277" s="53" t="str">
        <f>IFERROR(__xludf.DUMMYFUNCTION("(T277-(IFERROR(MIN(FILTER({L277, O277, R277}, ISNUMBER({L277, O277, R277}), {L277, O277, R277} &gt; 0)), """")))/T277"),"#DIV/0!")</f>
        <v>#DIV/0!</v>
      </c>
    </row>
    <row r="278" ht="22.5" customHeight="1">
      <c r="A278" s="37"/>
      <c r="B278" s="37"/>
      <c r="C278" s="37"/>
      <c r="D278" s="38"/>
      <c r="E278" s="103"/>
      <c r="F278" s="49"/>
      <c r="G278" s="37"/>
      <c r="H278" s="112"/>
      <c r="I278" s="34"/>
      <c r="J278" s="41" t="s">
        <v>261</v>
      </c>
      <c r="K278" s="41" t="s">
        <v>261</v>
      </c>
      <c r="L278" s="41"/>
      <c r="M278" s="108"/>
      <c r="N278" s="108"/>
      <c r="O278" s="110"/>
      <c r="P278" s="41"/>
      <c r="Q278" s="39"/>
      <c r="R278" s="41"/>
      <c r="S278" s="46">
        <v>0.67</v>
      </c>
      <c r="T278" s="109">
        <f>IFERROR(__xludf.DUMMYFUNCTION("((IFERROR(MIN(FILTER({L278, O278, R278}, ISNUMBER({L278, O278, R278}), {L278, O278, R278} &gt; 0)), """"))*S278)+IFERROR(MIN(FILTER({L278, O278, R278}, ISNUMBER({L278, O278, R278}), {L278, O278, R278} &gt; 0)), """")"),0.0)</f>
        <v>0</v>
      </c>
      <c r="U278" s="53" t="str">
        <f>IFERROR(__xludf.DUMMYFUNCTION("(T278-(IFERROR(MIN(FILTER({L278, O278, R278}, ISNUMBER({L278, O278, R278}), {L278, O278, R278} &gt; 0)), """")))/T278"),"#DIV/0!")</f>
        <v>#DIV/0!</v>
      </c>
    </row>
    <row r="279" ht="22.5" customHeight="1">
      <c r="A279" s="37"/>
      <c r="B279" s="37"/>
      <c r="C279" s="37"/>
      <c r="D279" s="38"/>
      <c r="E279" s="103"/>
      <c r="F279" s="49"/>
      <c r="G279" s="37"/>
      <c r="H279" s="112"/>
      <c r="I279" s="34"/>
      <c r="J279" s="41" t="s">
        <v>261</v>
      </c>
      <c r="K279" s="41" t="s">
        <v>261</v>
      </c>
      <c r="L279" s="41"/>
      <c r="M279" s="108"/>
      <c r="N279" s="108"/>
      <c r="O279" s="110"/>
      <c r="P279" s="41"/>
      <c r="Q279" s="39"/>
      <c r="R279" s="39"/>
      <c r="S279" s="46">
        <v>0.67</v>
      </c>
      <c r="T279" s="109">
        <f>IFERROR(__xludf.DUMMYFUNCTION("((IFERROR(MIN(FILTER({L279, O279, R279}, ISNUMBER({L279, O279, R279}), {L279, O279, R279} &gt; 0)), """"))*S279)+IFERROR(MIN(FILTER({L279, O279, R279}, ISNUMBER({L279, O279, R279}), {L279, O279, R279} &gt; 0)), """")"),0.0)</f>
        <v>0</v>
      </c>
      <c r="U279" s="53" t="str">
        <f>IFERROR(__xludf.DUMMYFUNCTION("(T279-(IFERROR(MIN(FILTER({L279, O279, R279}, ISNUMBER({L279, O279, R279}), {L279, O279, R279} &gt; 0)), """")))/T279"),"#DIV/0!")</f>
        <v>#DIV/0!</v>
      </c>
    </row>
    <row r="280" ht="22.5" customHeight="1">
      <c r="A280" s="37"/>
      <c r="B280" s="37"/>
      <c r="C280" s="37"/>
      <c r="D280" s="38"/>
      <c r="E280" s="103"/>
      <c r="F280" s="49"/>
      <c r="G280" s="37"/>
      <c r="H280" s="112"/>
      <c r="I280" s="34"/>
      <c r="J280" s="41" t="s">
        <v>261</v>
      </c>
      <c r="K280" s="41" t="s">
        <v>261</v>
      </c>
      <c r="L280" s="41"/>
      <c r="M280" s="108"/>
      <c r="N280" s="108"/>
      <c r="O280" s="110"/>
      <c r="P280" s="41"/>
      <c r="Q280" s="39"/>
      <c r="R280" s="39"/>
      <c r="S280" s="46">
        <v>0.67</v>
      </c>
      <c r="T280" s="109">
        <f>IFERROR(__xludf.DUMMYFUNCTION("((IFERROR(MIN(FILTER({L280, O280, R280}, ISNUMBER({L280, O280, R280}), {L280, O280, R280} &gt; 0)), """"))*S280)+IFERROR(MIN(FILTER({L280, O280, R280}, ISNUMBER({L280, O280, R280}), {L280, O280, R280} &gt; 0)), """")"),0.0)</f>
        <v>0</v>
      </c>
      <c r="U280" s="53" t="str">
        <f>IFERROR(__xludf.DUMMYFUNCTION("(T280-(IFERROR(MIN(FILTER({L280, O280, R280}, ISNUMBER({L280, O280, R280}), {L280, O280, R280} &gt; 0)), """")))/T280"),"#DIV/0!")</f>
        <v>#DIV/0!</v>
      </c>
    </row>
    <row r="281" ht="22.5" customHeight="1">
      <c r="A281" s="37"/>
      <c r="B281" s="37"/>
      <c r="C281" s="37"/>
      <c r="D281" s="38"/>
      <c r="E281" s="103"/>
      <c r="F281" s="49"/>
      <c r="G281" s="37"/>
      <c r="H281" s="112"/>
      <c r="I281" s="34"/>
      <c r="J281" s="41" t="s">
        <v>261</v>
      </c>
      <c r="K281" s="41" t="s">
        <v>261</v>
      </c>
      <c r="L281" s="41"/>
      <c r="M281" s="108"/>
      <c r="N281" s="108"/>
      <c r="O281" s="110"/>
      <c r="P281" s="41"/>
      <c r="Q281" s="39"/>
      <c r="R281" s="39"/>
      <c r="S281" s="46">
        <v>0.67</v>
      </c>
      <c r="T281" s="109">
        <f>IFERROR(__xludf.DUMMYFUNCTION("((IFERROR(MIN(FILTER({L281, O281, R281}, ISNUMBER({L281, O281, R281}), {L281, O281, R281} &gt; 0)), """"))*S281)+IFERROR(MIN(FILTER({L281, O281, R281}, ISNUMBER({L281, O281, R281}), {L281, O281, R281} &gt; 0)), """")"),0.0)</f>
        <v>0</v>
      </c>
      <c r="U281" s="53" t="str">
        <f>IFERROR(__xludf.DUMMYFUNCTION("(T281-(IFERROR(MIN(FILTER({L281, O281, R281}, ISNUMBER({L281, O281, R281}), {L281, O281, R281} &gt; 0)), """")))/T281"),"#DIV/0!")</f>
        <v>#DIV/0!</v>
      </c>
    </row>
    <row r="282" ht="22.5" customHeight="1">
      <c r="A282" s="37"/>
      <c r="B282" s="37"/>
      <c r="C282" s="37"/>
      <c r="D282" s="38"/>
      <c r="E282" s="103"/>
      <c r="F282" s="49"/>
      <c r="G282" s="37"/>
      <c r="H282" s="112"/>
      <c r="I282" s="34"/>
      <c r="J282" s="41" t="s">
        <v>261</v>
      </c>
      <c r="K282" s="41" t="s">
        <v>261</v>
      </c>
      <c r="L282" s="41"/>
      <c r="M282" s="108"/>
      <c r="N282" s="108"/>
      <c r="O282" s="110"/>
      <c r="P282" s="41"/>
      <c r="Q282" s="39"/>
      <c r="R282" s="39"/>
      <c r="S282" s="46">
        <v>0.67</v>
      </c>
      <c r="T282" s="109">
        <f>IFERROR(__xludf.DUMMYFUNCTION("((IFERROR(MIN(FILTER({L282, O282, R282}, ISNUMBER({L282, O282, R282}), {L282, O282, R282} &gt; 0)), """"))*S282)+IFERROR(MIN(FILTER({L282, O282, R282}, ISNUMBER({L282, O282, R282}), {L282, O282, R282} &gt; 0)), """")"),0.0)</f>
        <v>0</v>
      </c>
      <c r="U282" s="53" t="str">
        <f>IFERROR(__xludf.DUMMYFUNCTION("(T282-(IFERROR(MIN(FILTER({L282, O282, R282}, ISNUMBER({L282, O282, R282}), {L282, O282, R282} &gt; 0)), """")))/T282"),"#DIV/0!")</f>
        <v>#DIV/0!</v>
      </c>
    </row>
    <row r="283" ht="22.5" customHeight="1">
      <c r="A283" s="37"/>
      <c r="B283" s="37"/>
      <c r="C283" s="37"/>
      <c r="D283" s="38"/>
      <c r="E283" s="103"/>
      <c r="F283" s="49"/>
      <c r="G283" s="37"/>
      <c r="H283" s="112"/>
      <c r="I283" s="34"/>
      <c r="J283" s="41" t="s">
        <v>261</v>
      </c>
      <c r="K283" s="41" t="s">
        <v>261</v>
      </c>
      <c r="L283" s="41"/>
      <c r="M283" s="108"/>
      <c r="N283" s="108"/>
      <c r="O283" s="110"/>
      <c r="P283" s="41"/>
      <c r="Q283" s="39"/>
      <c r="R283" s="41"/>
      <c r="S283" s="46">
        <v>0.67</v>
      </c>
      <c r="T283" s="109">
        <f>IFERROR(__xludf.DUMMYFUNCTION("((IFERROR(MIN(FILTER({L283, O283, R283}, ISNUMBER({L283, O283, R283}), {L283, O283, R283} &gt; 0)), """"))*S283)+IFERROR(MIN(FILTER({L283, O283, R283}, ISNUMBER({L283, O283, R283}), {L283, O283, R283} &gt; 0)), """")"),0.0)</f>
        <v>0</v>
      </c>
      <c r="U283" s="53" t="str">
        <f>IFERROR(__xludf.DUMMYFUNCTION("(T283-(IFERROR(MIN(FILTER({L283, O283, R283}, ISNUMBER({L283, O283, R283}), {L283, O283, R283} &gt; 0)), """")))/T283"),"#DIV/0!")</f>
        <v>#DIV/0!</v>
      </c>
    </row>
    <row r="284" ht="22.5" customHeight="1">
      <c r="A284" s="37"/>
      <c r="B284" s="37"/>
      <c r="C284" s="37"/>
      <c r="D284" s="38"/>
      <c r="E284" s="103"/>
      <c r="F284" s="49"/>
      <c r="G284" s="37"/>
      <c r="H284" s="112"/>
      <c r="I284" s="34"/>
      <c r="J284" s="41" t="s">
        <v>261</v>
      </c>
      <c r="K284" s="41" t="s">
        <v>261</v>
      </c>
      <c r="L284" s="41"/>
      <c r="M284" s="108"/>
      <c r="N284" s="108"/>
      <c r="O284" s="110"/>
      <c r="P284" s="41"/>
      <c r="Q284" s="39"/>
      <c r="R284" s="41"/>
      <c r="S284" s="46">
        <v>0.67</v>
      </c>
      <c r="T284" s="109">
        <f>IFERROR(__xludf.DUMMYFUNCTION("((IFERROR(MIN(FILTER({L284, O284, R284}, ISNUMBER({L284, O284, R284}), {L284, O284, R284} &gt; 0)), """"))*S284)+IFERROR(MIN(FILTER({L284, O284, R284}, ISNUMBER({L284, O284, R284}), {L284, O284, R284} &gt; 0)), """")"),0.0)</f>
        <v>0</v>
      </c>
      <c r="U284" s="53" t="str">
        <f>IFERROR(__xludf.DUMMYFUNCTION("(T284-(IFERROR(MIN(FILTER({L284, O284, R284}, ISNUMBER({L284, O284, R284}), {L284, O284, R284} &gt; 0)), """")))/T284"),"#DIV/0!")</f>
        <v>#DIV/0!</v>
      </c>
    </row>
    <row r="285" ht="22.5" customHeight="1">
      <c r="A285" s="37"/>
      <c r="B285" s="37"/>
      <c r="C285" s="37"/>
      <c r="D285" s="38"/>
      <c r="E285" s="103"/>
      <c r="F285" s="49"/>
      <c r="G285" s="37"/>
      <c r="H285" s="112"/>
      <c r="I285" s="34"/>
      <c r="J285" s="41" t="s">
        <v>261</v>
      </c>
      <c r="K285" s="41" t="s">
        <v>261</v>
      </c>
      <c r="L285" s="41"/>
      <c r="M285" s="108"/>
      <c r="N285" s="108"/>
      <c r="O285" s="110"/>
      <c r="P285" s="41"/>
      <c r="Q285" s="39"/>
      <c r="R285" s="41"/>
      <c r="S285" s="46">
        <v>0.67</v>
      </c>
      <c r="T285" s="109">
        <f>IFERROR(__xludf.DUMMYFUNCTION("((IFERROR(MIN(FILTER({L285, O285, R285}, ISNUMBER({L285, O285, R285}), {L285, O285, R285} &gt; 0)), """"))*S285)+IFERROR(MIN(FILTER({L285, O285, R285}, ISNUMBER({L285, O285, R285}), {L285, O285, R285} &gt; 0)), """")"),0.0)</f>
        <v>0</v>
      </c>
      <c r="U285" s="53" t="str">
        <f>IFERROR(__xludf.DUMMYFUNCTION("(T285-(IFERROR(MIN(FILTER({L285, O285, R285}, ISNUMBER({L285, O285, R285}), {L285, O285, R285} &gt; 0)), """")))/T285"),"#DIV/0!")</f>
        <v>#DIV/0!</v>
      </c>
    </row>
    <row r="286" ht="22.5" customHeight="1">
      <c r="A286" s="37"/>
      <c r="B286" s="37"/>
      <c r="C286" s="37"/>
      <c r="D286" s="38"/>
      <c r="E286" s="103"/>
      <c r="F286" s="49"/>
      <c r="G286" s="37"/>
      <c r="H286" s="112"/>
      <c r="I286" s="34"/>
      <c r="J286" s="41" t="s">
        <v>261</v>
      </c>
      <c r="K286" s="41" t="s">
        <v>261</v>
      </c>
      <c r="L286" s="41"/>
      <c r="M286" s="108"/>
      <c r="N286" s="108"/>
      <c r="O286" s="110"/>
      <c r="P286" s="41"/>
      <c r="Q286" s="39"/>
      <c r="R286" s="41"/>
      <c r="S286" s="46">
        <v>0.67</v>
      </c>
      <c r="T286" s="109">
        <f>IFERROR(__xludf.DUMMYFUNCTION("((IFERROR(MIN(FILTER({L286, O286, R286}, ISNUMBER({L286, O286, R286}), {L286, O286, R286} &gt; 0)), """"))*S286)+IFERROR(MIN(FILTER({L286, O286, R286}, ISNUMBER({L286, O286, R286}), {L286, O286, R286} &gt; 0)), """")"),0.0)</f>
        <v>0</v>
      </c>
      <c r="U286" s="53" t="str">
        <f>IFERROR(__xludf.DUMMYFUNCTION("(T286-(IFERROR(MIN(FILTER({L286, O286, R286}, ISNUMBER({L286, O286, R286}), {L286, O286, R286} &gt; 0)), """")))/T286"),"#DIV/0!")</f>
        <v>#DIV/0!</v>
      </c>
    </row>
    <row r="287" ht="22.5" customHeight="1">
      <c r="A287" s="37"/>
      <c r="B287" s="37"/>
      <c r="C287" s="37"/>
      <c r="D287" s="38"/>
      <c r="E287" s="103"/>
      <c r="F287" s="49"/>
      <c r="G287" s="37"/>
      <c r="H287" s="112"/>
      <c r="I287" s="34"/>
      <c r="J287" s="41" t="s">
        <v>261</v>
      </c>
      <c r="K287" s="41" t="s">
        <v>261</v>
      </c>
      <c r="L287" s="41"/>
      <c r="M287" s="108"/>
      <c r="N287" s="108"/>
      <c r="O287" s="110"/>
      <c r="P287" s="41"/>
      <c r="Q287" s="39"/>
      <c r="R287" s="41"/>
      <c r="S287" s="46">
        <v>0.67</v>
      </c>
      <c r="T287" s="109">
        <f>IFERROR(__xludf.DUMMYFUNCTION("((IFERROR(MIN(FILTER({L287, O287, R287}, ISNUMBER({L287, O287, R287}), {L287, O287, R287} &gt; 0)), """"))*S287)+IFERROR(MIN(FILTER({L287, O287, R287}, ISNUMBER({L287, O287, R287}), {L287, O287, R287} &gt; 0)), """")"),0.0)</f>
        <v>0</v>
      </c>
      <c r="U287" s="53" t="str">
        <f>IFERROR(__xludf.DUMMYFUNCTION("(T287-(IFERROR(MIN(FILTER({L287, O287, R287}, ISNUMBER({L287, O287, R287}), {L287, O287, R287} &gt; 0)), """")))/T287"),"#DIV/0!")</f>
        <v>#DIV/0!</v>
      </c>
    </row>
    <row r="288" ht="22.5" customHeight="1">
      <c r="A288" s="37"/>
      <c r="B288" s="37"/>
      <c r="C288" s="37"/>
      <c r="D288" s="38"/>
      <c r="E288" s="103"/>
      <c r="F288" s="49"/>
      <c r="G288" s="37"/>
      <c r="H288" s="112"/>
      <c r="I288" s="34"/>
      <c r="J288" s="41" t="s">
        <v>261</v>
      </c>
      <c r="K288" s="41" t="s">
        <v>261</v>
      </c>
      <c r="L288" s="41"/>
      <c r="M288" s="108"/>
      <c r="N288" s="108"/>
      <c r="O288" s="108"/>
      <c r="P288" s="41"/>
      <c r="Q288" s="39"/>
      <c r="R288" s="39"/>
      <c r="S288" s="46">
        <v>0.67</v>
      </c>
      <c r="T288" s="109">
        <f>IFERROR(__xludf.DUMMYFUNCTION("((IFERROR(MIN(FILTER({L288, O288, R288}, ISNUMBER({L288, O288, R288}), {L288, O288, R288} &gt; 0)), """"))*S288)+IFERROR(MIN(FILTER({L288, O288, R288}, ISNUMBER({L288, O288, R288}), {L288, O288, R288} &gt; 0)), """")"),0.0)</f>
        <v>0</v>
      </c>
      <c r="U288" s="53" t="str">
        <f>IFERROR(__xludf.DUMMYFUNCTION("(T288-(IFERROR(MIN(FILTER({L288, O288, R288}, ISNUMBER({L288, O288, R288}), {L288, O288, R288} &gt; 0)), """")))/T288"),"#DIV/0!")</f>
        <v>#DIV/0!</v>
      </c>
    </row>
    <row r="289" ht="22.5" customHeight="1">
      <c r="A289" s="37"/>
      <c r="B289" s="37"/>
      <c r="C289" s="37"/>
      <c r="D289" s="38"/>
      <c r="E289" s="103"/>
      <c r="F289" s="49"/>
      <c r="G289" s="37"/>
      <c r="H289" s="112"/>
      <c r="I289" s="34"/>
      <c r="J289" s="41" t="s">
        <v>261</v>
      </c>
      <c r="K289" s="41" t="s">
        <v>261</v>
      </c>
      <c r="L289" s="41"/>
      <c r="M289" s="110"/>
      <c r="N289" s="110"/>
      <c r="O289" s="108"/>
      <c r="P289" s="41"/>
      <c r="Q289" s="39"/>
      <c r="R289" s="39"/>
      <c r="S289" s="46">
        <v>0.67</v>
      </c>
      <c r="T289" s="109">
        <f>IFERROR(__xludf.DUMMYFUNCTION("((IFERROR(MIN(FILTER({L289, O289, R289}, ISNUMBER({L289, O289, R289}), {L289, O289, R289} &gt; 0)), """"))*S289)+IFERROR(MIN(FILTER({L289, O289, R289}, ISNUMBER({L289, O289, R289}), {L289, O289, R289} &gt; 0)), """")"),0.0)</f>
        <v>0</v>
      </c>
      <c r="U289" s="53" t="str">
        <f>IFERROR(__xludf.DUMMYFUNCTION("(T289-(IFERROR(MIN(FILTER({L289, O289, R289}, ISNUMBER({L289, O289, R289}), {L289, O289, R289} &gt; 0)), """")))/T289"),"#DIV/0!")</f>
        <v>#DIV/0!</v>
      </c>
    </row>
    <row r="290" ht="22.5" customHeight="1">
      <c r="A290" s="37"/>
      <c r="B290" s="37"/>
      <c r="C290" s="37"/>
      <c r="D290" s="38"/>
      <c r="E290" s="103"/>
      <c r="F290" s="49"/>
      <c r="G290" s="37"/>
      <c r="H290" s="112"/>
      <c r="I290" s="34"/>
      <c r="J290" s="41" t="s">
        <v>261</v>
      </c>
      <c r="K290" s="41" t="s">
        <v>261</v>
      </c>
      <c r="L290" s="41"/>
      <c r="M290" s="110"/>
      <c r="N290" s="110"/>
      <c r="O290" s="110"/>
      <c r="P290" s="41"/>
      <c r="Q290" s="39"/>
      <c r="R290" s="39"/>
      <c r="S290" s="46">
        <v>0.67</v>
      </c>
      <c r="T290" s="109">
        <f>IFERROR(__xludf.DUMMYFUNCTION("((IFERROR(MIN(FILTER({L290, O290, R290}, ISNUMBER({L290, O290, R290}), {L290, O290, R290} &gt; 0)), """"))*S290)+IFERROR(MIN(FILTER({L290, O290, R290}, ISNUMBER({L290, O290, R290}), {L290, O290, R290} &gt; 0)), """")"),0.0)</f>
        <v>0</v>
      </c>
      <c r="U290" s="53" t="str">
        <f>IFERROR(__xludf.DUMMYFUNCTION("(T290-(IFERROR(MIN(FILTER({L290, O290, R290}, ISNUMBER({L290, O290, R290}), {L290, O290, R290} &gt; 0)), """")))/T290"),"#DIV/0!")</f>
        <v>#DIV/0!</v>
      </c>
    </row>
    <row r="291" ht="22.5" customHeight="1">
      <c r="A291" s="37"/>
      <c r="B291" s="37"/>
      <c r="C291" s="37"/>
      <c r="D291" s="38"/>
      <c r="E291" s="103"/>
      <c r="F291" s="49"/>
      <c r="G291" s="37"/>
      <c r="H291" s="112"/>
      <c r="I291" s="34"/>
      <c r="J291" s="41" t="s">
        <v>261</v>
      </c>
      <c r="K291" s="41" t="s">
        <v>261</v>
      </c>
      <c r="L291" s="41"/>
      <c r="M291" s="110"/>
      <c r="N291" s="110"/>
      <c r="O291" s="110"/>
      <c r="P291" s="41"/>
      <c r="Q291" s="39"/>
      <c r="R291" s="39"/>
      <c r="S291" s="46">
        <v>0.67</v>
      </c>
      <c r="T291" s="109">
        <f>IFERROR(__xludf.DUMMYFUNCTION("((IFERROR(MIN(FILTER({L291, O291, R291}, ISNUMBER({L291, O291, R291}), {L291, O291, R291} &gt; 0)), """"))*S291)+IFERROR(MIN(FILTER({L291, O291, R291}, ISNUMBER({L291, O291, R291}), {L291, O291, R291} &gt; 0)), """")"),0.0)</f>
        <v>0</v>
      </c>
      <c r="U291" s="53" t="str">
        <f>IFERROR(__xludf.DUMMYFUNCTION("(T291-(IFERROR(MIN(FILTER({L291, O291, R291}, ISNUMBER({L291, O291, R291}), {L291, O291, R291} &gt; 0)), """")))/T291"),"#DIV/0!")</f>
        <v>#DIV/0!</v>
      </c>
    </row>
    <row r="292" ht="22.5" customHeight="1">
      <c r="A292" s="37"/>
      <c r="B292" s="37"/>
      <c r="C292" s="37"/>
      <c r="D292" s="38"/>
      <c r="E292" s="103"/>
      <c r="F292" s="49"/>
      <c r="G292" s="37"/>
      <c r="H292" s="112"/>
      <c r="I292" s="34"/>
      <c r="J292" s="41" t="s">
        <v>261</v>
      </c>
      <c r="K292" s="41" t="s">
        <v>261</v>
      </c>
      <c r="L292" s="41"/>
      <c r="M292" s="110"/>
      <c r="N292" s="110"/>
      <c r="O292" s="110"/>
      <c r="P292" s="41"/>
      <c r="Q292" s="39"/>
      <c r="R292" s="39"/>
      <c r="S292" s="46">
        <v>0.67</v>
      </c>
      <c r="T292" s="109">
        <f>IFERROR(__xludf.DUMMYFUNCTION("((IFERROR(MIN(FILTER({L292, O292, R292}, ISNUMBER({L292, O292, R292}), {L292, O292, R292} &gt; 0)), """"))*S292)+IFERROR(MIN(FILTER({L292, O292, R292}, ISNUMBER({L292, O292, R292}), {L292, O292, R292} &gt; 0)), """")"),0.0)</f>
        <v>0</v>
      </c>
      <c r="U292" s="53" t="str">
        <f>IFERROR(__xludf.DUMMYFUNCTION("(T292-(IFERROR(MIN(FILTER({L292, O292, R292}, ISNUMBER({L292, O292, R292}), {L292, O292, R292} &gt; 0)), """")))/T292"),"#DIV/0!")</f>
        <v>#DIV/0!</v>
      </c>
    </row>
    <row r="293" ht="22.5" customHeight="1">
      <c r="A293" s="37"/>
      <c r="B293" s="37"/>
      <c r="C293" s="37"/>
      <c r="D293" s="38"/>
      <c r="E293" s="103"/>
      <c r="F293" s="49"/>
      <c r="G293" s="37"/>
      <c r="H293" s="112"/>
      <c r="I293" s="34"/>
      <c r="J293" s="41" t="s">
        <v>261</v>
      </c>
      <c r="K293" s="41" t="s">
        <v>261</v>
      </c>
      <c r="L293" s="41"/>
      <c r="M293" s="110"/>
      <c r="N293" s="110"/>
      <c r="O293" s="110"/>
      <c r="P293" s="41"/>
      <c r="Q293" s="39"/>
      <c r="R293" s="39"/>
      <c r="S293" s="46">
        <v>0.67</v>
      </c>
      <c r="T293" s="109">
        <f>IFERROR(__xludf.DUMMYFUNCTION("((IFERROR(MIN(FILTER({L293, O293, R293}, ISNUMBER({L293, O293, R293}), {L293, O293, R293} &gt; 0)), """"))*S293)+IFERROR(MIN(FILTER({L293, O293, R293}, ISNUMBER({L293, O293, R293}), {L293, O293, R293} &gt; 0)), """")"),0.0)</f>
        <v>0</v>
      </c>
      <c r="U293" s="53" t="str">
        <f>IFERROR(__xludf.DUMMYFUNCTION("(T293-(IFERROR(MIN(FILTER({L293, O293, R293}, ISNUMBER({L293, O293, R293}), {L293, O293, R293} &gt; 0)), """")))/T293"),"#DIV/0!")</f>
        <v>#DIV/0!</v>
      </c>
    </row>
    <row r="294" ht="22.5" customHeight="1">
      <c r="A294" s="37"/>
      <c r="B294" s="37"/>
      <c r="C294" s="37"/>
      <c r="D294" s="38"/>
      <c r="E294" s="103"/>
      <c r="F294" s="49"/>
      <c r="G294" s="37"/>
      <c r="H294" s="112"/>
      <c r="I294" s="34"/>
      <c r="J294" s="41" t="s">
        <v>261</v>
      </c>
      <c r="K294" s="41" t="s">
        <v>261</v>
      </c>
      <c r="L294" s="41"/>
      <c r="M294" s="110"/>
      <c r="N294" s="110"/>
      <c r="O294" s="110"/>
      <c r="P294" s="41"/>
      <c r="Q294" s="39"/>
      <c r="R294" s="39"/>
      <c r="S294" s="46">
        <v>0.67</v>
      </c>
      <c r="T294" s="109">
        <f>IFERROR(__xludf.DUMMYFUNCTION("((IFERROR(MIN(FILTER({L294, O294, R294}, ISNUMBER({L294, O294, R294}), {L294, O294, R294} &gt; 0)), """"))*S294)+IFERROR(MIN(FILTER({L294, O294, R294}, ISNUMBER({L294, O294, R294}), {L294, O294, R294} &gt; 0)), """")"),0.0)</f>
        <v>0</v>
      </c>
      <c r="U294" s="53" t="str">
        <f>IFERROR(__xludf.DUMMYFUNCTION("(T294-(IFERROR(MIN(FILTER({L294, O294, R294}, ISNUMBER({L294, O294, R294}), {L294, O294, R294} &gt; 0)), """")))/T294"),"#DIV/0!")</f>
        <v>#DIV/0!</v>
      </c>
    </row>
    <row r="295" ht="22.5" customHeight="1">
      <c r="A295" s="37"/>
      <c r="B295" s="37"/>
      <c r="C295" s="37"/>
      <c r="D295" s="38"/>
      <c r="E295" s="103"/>
      <c r="F295" s="49"/>
      <c r="G295" s="37"/>
      <c r="H295" s="112"/>
      <c r="I295" s="34"/>
      <c r="J295" s="41" t="s">
        <v>261</v>
      </c>
      <c r="K295" s="41" t="s">
        <v>261</v>
      </c>
      <c r="L295" s="41"/>
      <c r="M295" s="108"/>
      <c r="N295" s="108"/>
      <c r="O295" s="108"/>
      <c r="P295" s="41"/>
      <c r="Q295" s="39"/>
      <c r="R295" s="39"/>
      <c r="S295" s="46">
        <v>0.67</v>
      </c>
      <c r="T295" s="109">
        <f>IFERROR(__xludf.DUMMYFUNCTION("((IFERROR(MIN(FILTER({L295, O295, R295}, ISNUMBER({L295, O295, R295}), {L295, O295, R295} &gt; 0)), """"))*S295)+IFERROR(MIN(FILTER({L295, O295, R295}, ISNUMBER({L295, O295, R295}), {L295, O295, R295} &gt; 0)), """")"),0.0)</f>
        <v>0</v>
      </c>
      <c r="U295" s="53" t="str">
        <f>IFERROR(__xludf.DUMMYFUNCTION("(T295-(IFERROR(MIN(FILTER({L295, O295, R295}, ISNUMBER({L295, O295, R295}), {L295, O295, R295} &gt; 0)), """")))/T295"),"#DIV/0!")</f>
        <v>#DIV/0!</v>
      </c>
    </row>
    <row r="296" ht="22.5" customHeight="1">
      <c r="A296" s="37"/>
      <c r="B296" s="37"/>
      <c r="C296" s="37"/>
      <c r="D296" s="38"/>
      <c r="E296" s="103"/>
      <c r="F296" s="49"/>
      <c r="G296" s="37"/>
      <c r="H296" s="112"/>
      <c r="I296" s="34"/>
      <c r="J296" s="41" t="s">
        <v>261</v>
      </c>
      <c r="K296" s="41" t="s">
        <v>261</v>
      </c>
      <c r="L296" s="41"/>
      <c r="M296" s="110"/>
      <c r="N296" s="110"/>
      <c r="O296" s="110"/>
      <c r="P296" s="41"/>
      <c r="Q296" s="39"/>
      <c r="R296" s="39"/>
      <c r="S296" s="46">
        <v>0.67</v>
      </c>
      <c r="T296" s="109">
        <f>IFERROR(__xludf.DUMMYFUNCTION("((IFERROR(MIN(FILTER({L296, O296, R296}, ISNUMBER({L296, O296, R296}), {L296, O296, R296} &gt; 0)), """"))*S296)+IFERROR(MIN(FILTER({L296, O296, R296}, ISNUMBER({L296, O296, R296}), {L296, O296, R296} &gt; 0)), """")"),0.0)</f>
        <v>0</v>
      </c>
      <c r="U296" s="53" t="str">
        <f>IFERROR(__xludf.DUMMYFUNCTION("(T296-(IFERROR(MIN(FILTER({L296, O296, R296}, ISNUMBER({L296, O296, R296}), {L296, O296, R296} &gt; 0)), """")))/T296"),"#DIV/0!")</f>
        <v>#DIV/0!</v>
      </c>
    </row>
    <row r="297" ht="22.5" customHeight="1">
      <c r="A297" s="37"/>
      <c r="B297" s="37"/>
      <c r="C297" s="37"/>
      <c r="D297" s="38"/>
      <c r="E297" s="103"/>
      <c r="F297" s="49"/>
      <c r="G297" s="37"/>
      <c r="H297" s="112"/>
      <c r="I297" s="34"/>
      <c r="J297" s="41" t="s">
        <v>261</v>
      </c>
      <c r="K297" s="41" t="s">
        <v>261</v>
      </c>
      <c r="L297" s="41"/>
      <c r="M297" s="110"/>
      <c r="N297" s="110"/>
      <c r="O297" s="110"/>
      <c r="P297" s="41"/>
      <c r="Q297" s="39"/>
      <c r="R297" s="41"/>
      <c r="S297" s="46">
        <v>0.67</v>
      </c>
      <c r="T297" s="109">
        <f>IFERROR(__xludf.DUMMYFUNCTION("((IFERROR(MIN(FILTER({L297, O297, R297}, ISNUMBER({L297, O297, R297}), {L297, O297, R297} &gt; 0)), """"))*S297)+IFERROR(MIN(FILTER({L297, O297, R297}, ISNUMBER({L297, O297, R297}), {L297, O297, R297} &gt; 0)), """")"),0.0)</f>
        <v>0</v>
      </c>
      <c r="U297" s="53" t="str">
        <f>IFERROR(__xludf.DUMMYFUNCTION("(T297-(IFERROR(MIN(FILTER({L297, O297, R297}, ISNUMBER({L297, O297, R297}), {L297, O297, R297} &gt; 0)), """")))/T297"),"#DIV/0!")</f>
        <v>#DIV/0!</v>
      </c>
    </row>
    <row r="298" ht="22.5" customHeight="1">
      <c r="A298" s="37"/>
      <c r="B298" s="37"/>
      <c r="C298" s="37"/>
      <c r="D298" s="38"/>
      <c r="E298" s="103"/>
      <c r="F298" s="49"/>
      <c r="G298" s="37"/>
      <c r="H298" s="112"/>
      <c r="I298" s="34"/>
      <c r="J298" s="41" t="s">
        <v>261</v>
      </c>
      <c r="K298" s="41" t="s">
        <v>261</v>
      </c>
      <c r="L298" s="41"/>
      <c r="M298" s="110"/>
      <c r="N298" s="110"/>
      <c r="O298" s="110"/>
      <c r="P298" s="41"/>
      <c r="Q298" s="39"/>
      <c r="R298" s="41"/>
      <c r="S298" s="46">
        <v>0.67</v>
      </c>
      <c r="T298" s="109">
        <f>IFERROR(__xludf.DUMMYFUNCTION("((IFERROR(MIN(FILTER({L298, O298, R298}, ISNUMBER({L298, O298, R298}), {L298, O298, R298} &gt; 0)), """"))*S298)+IFERROR(MIN(FILTER({L298, O298, R298}, ISNUMBER({L298, O298, R298}), {L298, O298, R298} &gt; 0)), """")"),0.0)</f>
        <v>0</v>
      </c>
      <c r="U298" s="53" t="str">
        <f>IFERROR(__xludf.DUMMYFUNCTION("(T298-(IFERROR(MIN(FILTER({L298, O298, R298}, ISNUMBER({L298, O298, R298}), {L298, O298, R298} &gt; 0)), """")))/T298"),"#DIV/0!")</f>
        <v>#DIV/0!</v>
      </c>
    </row>
    <row r="299" ht="22.5" customHeight="1">
      <c r="A299" s="37"/>
      <c r="B299" s="37"/>
      <c r="C299" s="37"/>
      <c r="D299" s="38"/>
      <c r="E299" s="103"/>
      <c r="F299" s="49"/>
      <c r="G299" s="37"/>
      <c r="H299" s="112"/>
      <c r="I299" s="34"/>
      <c r="J299" s="41" t="s">
        <v>261</v>
      </c>
      <c r="K299" s="41" t="s">
        <v>261</v>
      </c>
      <c r="L299" s="41"/>
      <c r="M299" s="110"/>
      <c r="N299" s="110"/>
      <c r="O299" s="110"/>
      <c r="P299" s="41"/>
      <c r="Q299" s="39"/>
      <c r="R299" s="41"/>
      <c r="S299" s="46">
        <v>0.67</v>
      </c>
      <c r="T299" s="109">
        <f>IFERROR(__xludf.DUMMYFUNCTION("((IFERROR(MIN(FILTER({L299, O299, R299}, ISNUMBER({L299, O299, R299}), {L299, O299, R299} &gt; 0)), """"))*S299)+IFERROR(MIN(FILTER({L299, O299, R299}, ISNUMBER({L299, O299, R299}), {L299, O299, R299} &gt; 0)), """")"),0.0)</f>
        <v>0</v>
      </c>
      <c r="U299" s="53" t="str">
        <f>IFERROR(__xludf.DUMMYFUNCTION("(T299-(IFERROR(MIN(FILTER({L299, O299, R299}, ISNUMBER({L299, O299, R299}), {L299, O299, R299} &gt; 0)), """")))/T299"),"#DIV/0!")</f>
        <v>#DIV/0!</v>
      </c>
    </row>
    <row r="300" ht="22.5" customHeight="1">
      <c r="A300" s="37"/>
      <c r="B300" s="37"/>
      <c r="C300" s="37"/>
      <c r="D300" s="38"/>
      <c r="E300" s="103"/>
      <c r="F300" s="49"/>
      <c r="G300" s="37"/>
      <c r="H300" s="112"/>
      <c r="I300" s="34"/>
      <c r="J300" s="41" t="s">
        <v>261</v>
      </c>
      <c r="K300" s="41" t="s">
        <v>261</v>
      </c>
      <c r="L300" s="41"/>
      <c r="M300" s="110"/>
      <c r="N300" s="110"/>
      <c r="O300" s="110"/>
      <c r="P300" s="41"/>
      <c r="Q300" s="41"/>
      <c r="R300" s="41"/>
      <c r="S300" s="46">
        <v>0.67</v>
      </c>
      <c r="T300" s="109">
        <f>IFERROR(__xludf.DUMMYFUNCTION("((IFERROR(MIN(FILTER({L300, O300, R300}, ISNUMBER({L300, O300, R300}), {L300, O300, R300} &gt; 0)), """"))*S300)+IFERROR(MIN(FILTER({L300, O300, R300}, ISNUMBER({L300, O300, R300}), {L300, O300, R300} &gt; 0)), """")"),0.0)</f>
        <v>0</v>
      </c>
      <c r="U300" s="53" t="str">
        <f>IFERROR(__xludf.DUMMYFUNCTION("(T300-(IFERROR(MIN(FILTER({L300, O300, R300}, ISNUMBER({L300, O300, R300}), {L300, O300, R300} &gt; 0)), """")))/T300"),"#DIV/0!")</f>
        <v>#DIV/0!</v>
      </c>
    </row>
    <row r="301" ht="22.5" customHeight="1">
      <c r="A301" s="37"/>
      <c r="B301" s="37"/>
      <c r="C301" s="37"/>
      <c r="D301" s="38"/>
      <c r="E301" s="103"/>
      <c r="F301" s="49"/>
      <c r="G301" s="37"/>
      <c r="H301" s="112"/>
      <c r="I301" s="34"/>
      <c r="J301" s="41" t="s">
        <v>261</v>
      </c>
      <c r="K301" s="41" t="s">
        <v>261</v>
      </c>
      <c r="L301" s="41"/>
      <c r="M301" s="110"/>
      <c r="N301" s="110"/>
      <c r="O301" s="110"/>
      <c r="P301" s="41"/>
      <c r="Q301" s="41"/>
      <c r="R301" s="41"/>
      <c r="S301" s="46">
        <v>0.67</v>
      </c>
      <c r="T301" s="109">
        <f>IFERROR(__xludf.DUMMYFUNCTION("((IFERROR(MIN(FILTER({L301, O301, R301}, ISNUMBER({L301, O301, R301}), {L301, O301, R301} &gt; 0)), """"))*S301)+IFERROR(MIN(FILTER({L301, O301, R301}, ISNUMBER({L301, O301, R301}), {L301, O301, R301} &gt; 0)), """")"),0.0)</f>
        <v>0</v>
      </c>
      <c r="U301" s="53" t="str">
        <f>IFERROR(__xludf.DUMMYFUNCTION("(T301-(IFERROR(MIN(FILTER({L301, O301, R301}, ISNUMBER({L301, O301, R301}), {L301, O301, R301} &gt; 0)), """")))/T301"),"#DIV/0!")</f>
        <v>#DIV/0!</v>
      </c>
    </row>
    <row r="302" ht="22.5" customHeight="1">
      <c r="A302" s="37"/>
      <c r="B302" s="37"/>
      <c r="C302" s="37"/>
      <c r="D302" s="38"/>
      <c r="E302" s="103"/>
      <c r="F302" s="49"/>
      <c r="G302" s="37"/>
      <c r="H302" s="112"/>
      <c r="I302" s="34"/>
      <c r="J302" s="41" t="s">
        <v>261</v>
      </c>
      <c r="K302" s="41" t="s">
        <v>261</v>
      </c>
      <c r="L302" s="41"/>
      <c r="M302" s="110"/>
      <c r="N302" s="110"/>
      <c r="O302" s="110"/>
      <c r="P302" s="41"/>
      <c r="Q302" s="41"/>
      <c r="R302" s="41"/>
      <c r="S302" s="46">
        <v>0.67</v>
      </c>
      <c r="T302" s="109">
        <f>IFERROR(__xludf.DUMMYFUNCTION("((IFERROR(MIN(FILTER({L302, O302, R302}, ISNUMBER({L302, O302, R302}), {L302, O302, R302} &gt; 0)), """"))*S302)+IFERROR(MIN(FILTER({L302, O302, R302}, ISNUMBER({L302, O302, R302}), {L302, O302, R302} &gt; 0)), """")"),0.0)</f>
        <v>0</v>
      </c>
      <c r="U302" s="53" t="str">
        <f>IFERROR(__xludf.DUMMYFUNCTION("(T302-(IFERROR(MIN(FILTER({L302, O302, R302}, ISNUMBER({L302, O302, R302}), {L302, O302, R302} &gt; 0)), """")))/T302"),"#DIV/0!")</f>
        <v>#DIV/0!</v>
      </c>
    </row>
    <row r="303" ht="22.5" customHeight="1">
      <c r="A303" s="37"/>
      <c r="B303" s="37"/>
      <c r="C303" s="37"/>
      <c r="D303" s="38"/>
      <c r="E303" s="103"/>
      <c r="F303" s="49"/>
      <c r="G303" s="37"/>
      <c r="H303" s="112"/>
      <c r="I303" s="34"/>
      <c r="J303" s="41" t="s">
        <v>261</v>
      </c>
      <c r="K303" s="41" t="s">
        <v>261</v>
      </c>
      <c r="L303" s="41"/>
      <c r="M303" s="110"/>
      <c r="N303" s="110"/>
      <c r="O303" s="110"/>
      <c r="P303" s="41"/>
      <c r="Q303" s="41"/>
      <c r="R303" s="41"/>
      <c r="S303" s="46">
        <v>0.67</v>
      </c>
      <c r="T303" s="109">
        <f>IFERROR(__xludf.DUMMYFUNCTION("((IFERROR(MIN(FILTER({L303, O303, R303}, ISNUMBER({L303, O303, R303}), {L303, O303, R303} &gt; 0)), """"))*S303)+IFERROR(MIN(FILTER({L303, O303, R303}, ISNUMBER({L303, O303, R303}), {L303, O303, R303} &gt; 0)), """")"),0.0)</f>
        <v>0</v>
      </c>
      <c r="U303" s="53" t="str">
        <f>IFERROR(__xludf.DUMMYFUNCTION("(T303-(IFERROR(MIN(FILTER({L303, O303, R303}, ISNUMBER({L303, O303, R303}), {L303, O303, R303} &gt; 0)), """")))/T303"),"#DIV/0!")</f>
        <v>#DIV/0!</v>
      </c>
    </row>
    <row r="304" ht="22.5" customHeight="1">
      <c r="A304" s="37"/>
      <c r="B304" s="37"/>
      <c r="C304" s="37"/>
      <c r="D304" s="38"/>
      <c r="E304" s="103"/>
      <c r="F304" s="49"/>
      <c r="G304" s="37"/>
      <c r="H304" s="112"/>
      <c r="I304" s="34"/>
      <c r="J304" s="41" t="s">
        <v>261</v>
      </c>
      <c r="K304" s="41" t="s">
        <v>261</v>
      </c>
      <c r="L304" s="41"/>
      <c r="M304" s="110"/>
      <c r="N304" s="110"/>
      <c r="O304" s="110"/>
      <c r="P304" s="41"/>
      <c r="Q304" s="41"/>
      <c r="R304" s="41"/>
      <c r="S304" s="46">
        <v>0.67</v>
      </c>
      <c r="T304" s="109">
        <f>IFERROR(__xludf.DUMMYFUNCTION("((IFERROR(MIN(FILTER({L304, O304, R304}, ISNUMBER({L304, O304, R304}), {L304, O304, R304} &gt; 0)), """"))*S304)+IFERROR(MIN(FILTER({L304, O304, R304}, ISNUMBER({L304, O304, R304}), {L304, O304, R304} &gt; 0)), """")"),0.0)</f>
        <v>0</v>
      </c>
      <c r="U304" s="53" t="str">
        <f>IFERROR(__xludf.DUMMYFUNCTION("(T304-(IFERROR(MIN(FILTER({L304, O304, R304}, ISNUMBER({L304, O304, R304}), {L304, O304, R304} &gt; 0)), """")))/T304"),"#DIV/0!")</f>
        <v>#DIV/0!</v>
      </c>
    </row>
    <row r="305" ht="22.5" customHeight="1">
      <c r="A305" s="37"/>
      <c r="B305" s="37"/>
      <c r="C305" s="37"/>
      <c r="D305" s="38"/>
      <c r="E305" s="103"/>
      <c r="F305" s="49"/>
      <c r="G305" s="37"/>
      <c r="H305" s="112"/>
      <c r="I305" s="34"/>
      <c r="J305" s="41" t="s">
        <v>261</v>
      </c>
      <c r="K305" s="41" t="s">
        <v>261</v>
      </c>
      <c r="L305" s="41"/>
      <c r="M305" s="110"/>
      <c r="N305" s="110"/>
      <c r="O305" s="110"/>
      <c r="P305" s="41"/>
      <c r="Q305" s="41"/>
      <c r="R305" s="41"/>
      <c r="S305" s="46">
        <v>0.67</v>
      </c>
      <c r="T305" s="109">
        <f>IFERROR(__xludf.DUMMYFUNCTION("((IFERROR(MIN(FILTER({L305, O305, R305}, ISNUMBER({L305, O305, R305}), {L305, O305, R305} &gt; 0)), """"))*S305)+IFERROR(MIN(FILTER({L305, O305, R305}, ISNUMBER({L305, O305, R305}), {L305, O305, R305} &gt; 0)), """")"),0.0)</f>
        <v>0</v>
      </c>
      <c r="U305" s="53" t="str">
        <f>IFERROR(__xludf.DUMMYFUNCTION("(T305-(IFERROR(MIN(FILTER({L305, O305, R305}, ISNUMBER({L305, O305, R305}), {L305, O305, R305} &gt; 0)), """")))/T305"),"#DIV/0!")</f>
        <v>#DIV/0!</v>
      </c>
    </row>
    <row r="306" ht="22.5" customHeight="1">
      <c r="A306" s="37"/>
      <c r="B306" s="37"/>
      <c r="C306" s="37"/>
      <c r="D306" s="38"/>
      <c r="E306" s="103"/>
      <c r="F306" s="49"/>
      <c r="G306" s="37"/>
      <c r="H306" s="112"/>
      <c r="I306" s="34"/>
      <c r="J306" s="41" t="s">
        <v>261</v>
      </c>
      <c r="K306" s="41" t="s">
        <v>261</v>
      </c>
      <c r="L306" s="41"/>
      <c r="M306" s="110"/>
      <c r="N306" s="110"/>
      <c r="O306" s="110"/>
      <c r="P306" s="41"/>
      <c r="Q306" s="39"/>
      <c r="R306" s="39"/>
      <c r="S306" s="46">
        <v>0.67</v>
      </c>
      <c r="T306" s="109">
        <f>IFERROR(__xludf.DUMMYFUNCTION("((IFERROR(MIN(FILTER({L306, O306, R306}, ISNUMBER({L306, O306, R306}), {L306, O306, R306} &gt; 0)), """"))*S306)+IFERROR(MIN(FILTER({L306, O306, R306}, ISNUMBER({L306, O306, R306}), {L306, O306, R306} &gt; 0)), """")"),0.0)</f>
        <v>0</v>
      </c>
      <c r="U306" s="53" t="str">
        <f>IFERROR(__xludf.DUMMYFUNCTION("(T306-(IFERROR(MIN(FILTER({L306, O306, R306}, ISNUMBER({L306, O306, R306}), {L306, O306, R306} &gt; 0)), """")))/T306"),"#DIV/0!")</f>
        <v>#DIV/0!</v>
      </c>
    </row>
    <row r="307" ht="22.5" customHeight="1">
      <c r="A307" s="37"/>
      <c r="B307" s="37"/>
      <c r="C307" s="37"/>
      <c r="D307" s="38"/>
      <c r="E307" s="103"/>
      <c r="F307" s="49"/>
      <c r="G307" s="37"/>
      <c r="H307" s="112"/>
      <c r="I307" s="34"/>
      <c r="J307" s="41" t="s">
        <v>261</v>
      </c>
      <c r="K307" s="41" t="s">
        <v>261</v>
      </c>
      <c r="L307" s="41"/>
      <c r="M307" s="110"/>
      <c r="N307" s="110"/>
      <c r="O307" s="110"/>
      <c r="P307" s="41"/>
      <c r="Q307" s="39"/>
      <c r="R307" s="39"/>
      <c r="S307" s="46">
        <v>0.67</v>
      </c>
      <c r="T307" s="109">
        <f>IFERROR(__xludf.DUMMYFUNCTION("((IFERROR(MIN(FILTER({L307, O307, R307}, ISNUMBER({L307, O307, R307}), {L307, O307, R307} &gt; 0)), """"))*S307)+IFERROR(MIN(FILTER({L307, O307, R307}, ISNUMBER({L307, O307, R307}), {L307, O307, R307} &gt; 0)), """")"),0.0)</f>
        <v>0</v>
      </c>
      <c r="U307" s="53" t="str">
        <f>IFERROR(__xludf.DUMMYFUNCTION("(T307-(IFERROR(MIN(FILTER({L307, O307, R307}, ISNUMBER({L307, O307, R307}), {L307, O307, R307} &gt; 0)), """")))/T307"),"#DIV/0!")</f>
        <v>#DIV/0!</v>
      </c>
    </row>
    <row r="308" ht="22.5" customHeight="1">
      <c r="A308" s="37"/>
      <c r="B308" s="37"/>
      <c r="C308" s="37"/>
      <c r="D308" s="38"/>
      <c r="E308" s="103"/>
      <c r="F308" s="49"/>
      <c r="G308" s="37"/>
      <c r="H308" s="112"/>
      <c r="I308" s="34"/>
      <c r="J308" s="41" t="s">
        <v>261</v>
      </c>
      <c r="K308" s="41" t="s">
        <v>261</v>
      </c>
      <c r="L308" s="41"/>
      <c r="M308" s="110"/>
      <c r="N308" s="110"/>
      <c r="O308" s="110"/>
      <c r="P308" s="41"/>
      <c r="Q308" s="39"/>
      <c r="R308" s="39"/>
      <c r="S308" s="46">
        <v>0.67</v>
      </c>
      <c r="T308" s="109">
        <f>IFERROR(__xludf.DUMMYFUNCTION("((IFERROR(MIN(FILTER({L308, O308, R308}, ISNUMBER({L308, O308, R308}), {L308, O308, R308} &gt; 0)), """"))*S308)+IFERROR(MIN(FILTER({L308, O308, R308}, ISNUMBER({L308, O308, R308}), {L308, O308, R308} &gt; 0)), """")"),0.0)</f>
        <v>0</v>
      </c>
      <c r="U308" s="53" t="str">
        <f>IFERROR(__xludf.DUMMYFUNCTION("(T308-(IFERROR(MIN(FILTER({L308, O308, R308}, ISNUMBER({L308, O308, R308}), {L308, O308, R308} &gt; 0)), """")))/T308"),"#DIV/0!")</f>
        <v>#DIV/0!</v>
      </c>
    </row>
    <row r="309" ht="22.5" customHeight="1">
      <c r="A309" s="37"/>
      <c r="B309" s="37"/>
      <c r="C309" s="37"/>
      <c r="D309" s="38"/>
      <c r="E309" s="103"/>
      <c r="F309" s="49"/>
      <c r="G309" s="37"/>
      <c r="H309" s="112"/>
      <c r="I309" s="34"/>
      <c r="J309" s="41" t="s">
        <v>261</v>
      </c>
      <c r="K309" s="41" t="s">
        <v>261</v>
      </c>
      <c r="L309" s="41"/>
      <c r="M309" s="110"/>
      <c r="N309" s="110"/>
      <c r="O309" s="110"/>
      <c r="P309" s="41"/>
      <c r="Q309" s="41"/>
      <c r="R309" s="41"/>
      <c r="S309" s="46">
        <v>0.67</v>
      </c>
      <c r="T309" s="109">
        <f>IFERROR(__xludf.DUMMYFUNCTION("((IFERROR(MIN(FILTER({L309, O309, R309}, ISNUMBER({L309, O309, R309}), {L309, O309, R309} &gt; 0)), """"))*S309)+IFERROR(MIN(FILTER({L309, O309, R309}, ISNUMBER({L309, O309, R309}), {L309, O309, R309} &gt; 0)), """")"),0.0)</f>
        <v>0</v>
      </c>
      <c r="U309" s="53" t="str">
        <f>IFERROR(__xludf.DUMMYFUNCTION("(T309-(IFERROR(MIN(FILTER({L309, O309, R309}, ISNUMBER({L309, O309, R309}), {L309, O309, R309} &gt; 0)), """")))/T309"),"#DIV/0!")</f>
        <v>#DIV/0!</v>
      </c>
    </row>
    <row r="310" ht="22.5" customHeight="1">
      <c r="A310" s="37"/>
      <c r="B310" s="37"/>
      <c r="C310" s="37"/>
      <c r="D310" s="38"/>
      <c r="E310" s="103"/>
      <c r="F310" s="49"/>
      <c r="G310" s="37"/>
      <c r="H310" s="112"/>
      <c r="I310" s="34"/>
      <c r="J310" s="41" t="s">
        <v>261</v>
      </c>
      <c r="K310" s="41" t="s">
        <v>261</v>
      </c>
      <c r="L310" s="41"/>
      <c r="M310" s="110"/>
      <c r="N310" s="110"/>
      <c r="O310" s="110"/>
      <c r="P310" s="41"/>
      <c r="Q310" s="41"/>
      <c r="R310" s="41"/>
      <c r="S310" s="46">
        <v>0.67</v>
      </c>
      <c r="T310" s="109">
        <f>IFERROR(__xludf.DUMMYFUNCTION("((IFERROR(MIN(FILTER({L310, O310, R310}, ISNUMBER({L310, O310, R310}), {L310, O310, R310} &gt; 0)), """"))*S310)+IFERROR(MIN(FILTER({L310, O310, R310}, ISNUMBER({L310, O310, R310}), {L310, O310, R310} &gt; 0)), """")"),0.0)</f>
        <v>0</v>
      </c>
      <c r="U310" s="53" t="str">
        <f>IFERROR(__xludf.DUMMYFUNCTION("(T310-(IFERROR(MIN(FILTER({L310, O310, R310}, ISNUMBER({L310, O310, R310}), {L310, O310, R310} &gt; 0)), """")))/T310"),"#DIV/0!")</f>
        <v>#DIV/0!</v>
      </c>
    </row>
    <row r="311" ht="22.5" customHeight="1">
      <c r="A311" s="37"/>
      <c r="B311" s="37"/>
      <c r="C311" s="37"/>
      <c r="D311" s="38"/>
      <c r="E311" s="103"/>
      <c r="F311" s="111"/>
      <c r="G311" s="37"/>
      <c r="H311" s="112"/>
      <c r="I311" s="34"/>
      <c r="J311" s="41" t="s">
        <v>261</v>
      </c>
      <c r="K311" s="41" t="s">
        <v>261</v>
      </c>
      <c r="L311" s="41"/>
      <c r="M311" s="108"/>
      <c r="N311" s="108"/>
      <c r="O311" s="108"/>
      <c r="P311" s="41"/>
      <c r="Q311" s="39"/>
      <c r="R311" s="39"/>
      <c r="S311" s="46">
        <v>0.67</v>
      </c>
      <c r="T311" s="109">
        <f>IFERROR(__xludf.DUMMYFUNCTION("((IFERROR(MIN(FILTER({L311, O311, R311}, ISNUMBER({L311, O311, R311}), {L311, O311, R311} &gt; 0)), """"))*S311)+IFERROR(MIN(FILTER({L311, O311, R311}, ISNUMBER({L311, O311, R311}), {L311, O311, R311} &gt; 0)), """")"),0.0)</f>
        <v>0</v>
      </c>
      <c r="U311" s="53" t="str">
        <f>IFERROR(__xludf.DUMMYFUNCTION("(T311-(IFERROR(MIN(FILTER({L311, O311, R311}, ISNUMBER({L311, O311, R311}), {L311, O311, R311} &gt; 0)), """")))/T311"),"#DIV/0!")</f>
        <v>#DIV/0!</v>
      </c>
    </row>
    <row r="312" ht="22.5" customHeight="1">
      <c r="A312" s="37"/>
      <c r="B312" s="37"/>
      <c r="C312" s="37"/>
      <c r="D312" s="38"/>
      <c r="E312" s="103"/>
      <c r="F312" s="111"/>
      <c r="G312" s="37"/>
      <c r="H312" s="112"/>
      <c r="I312" s="34"/>
      <c r="J312" s="41" t="s">
        <v>261</v>
      </c>
      <c r="K312" s="41" t="s">
        <v>261</v>
      </c>
      <c r="L312" s="41"/>
      <c r="M312" s="108"/>
      <c r="N312" s="108"/>
      <c r="O312" s="108"/>
      <c r="P312" s="41"/>
      <c r="Q312" s="39"/>
      <c r="R312" s="39"/>
      <c r="S312" s="46">
        <v>0.67</v>
      </c>
      <c r="T312" s="109">
        <f>IFERROR(__xludf.DUMMYFUNCTION("((IFERROR(MIN(FILTER({L312, O312, R312}, ISNUMBER({L312, O312, R312}), {L312, O312, R312} &gt; 0)), """"))*S312)+IFERROR(MIN(FILTER({L312, O312, R312}, ISNUMBER({L312, O312, R312}), {L312, O312, R312} &gt; 0)), """")"),0.0)</f>
        <v>0</v>
      </c>
      <c r="U312" s="53" t="str">
        <f>IFERROR(__xludf.DUMMYFUNCTION("(T312-(IFERROR(MIN(FILTER({L312, O312, R312}, ISNUMBER({L312, O312, R312}), {L312, O312, R312} &gt; 0)), """")))/T312"),"#DIV/0!")</f>
        <v>#DIV/0!</v>
      </c>
    </row>
    <row r="313" ht="22.5" customHeight="1">
      <c r="A313" s="37"/>
      <c r="B313" s="37"/>
      <c r="C313" s="37"/>
      <c r="D313" s="38"/>
      <c r="E313" s="103"/>
      <c r="F313" s="111"/>
      <c r="G313" s="37"/>
      <c r="H313" s="112"/>
      <c r="I313" s="34"/>
      <c r="J313" s="41" t="s">
        <v>261</v>
      </c>
      <c r="K313" s="41" t="s">
        <v>261</v>
      </c>
      <c r="L313" s="41"/>
      <c r="M313" s="108"/>
      <c r="N313" s="108"/>
      <c r="O313" s="108"/>
      <c r="P313" s="41"/>
      <c r="Q313" s="39"/>
      <c r="R313" s="39"/>
      <c r="S313" s="46">
        <v>0.67</v>
      </c>
      <c r="T313" s="109">
        <f>IFERROR(__xludf.DUMMYFUNCTION("((IFERROR(MIN(FILTER({L313, O313, R313}, ISNUMBER({L313, O313, R313}), {L313, O313, R313} &gt; 0)), """"))*S313)+IFERROR(MIN(FILTER({L313, O313, R313}, ISNUMBER({L313, O313, R313}), {L313, O313, R313} &gt; 0)), """")"),0.0)</f>
        <v>0</v>
      </c>
      <c r="U313" s="53" t="str">
        <f>IFERROR(__xludf.DUMMYFUNCTION("(T313-(IFERROR(MIN(FILTER({L313, O313, R313}, ISNUMBER({L313, O313, R313}), {L313, O313, R313} &gt; 0)), """")))/T313"),"#DIV/0!")</f>
        <v>#DIV/0!</v>
      </c>
    </row>
    <row r="314" ht="22.5" customHeight="1">
      <c r="A314" s="37"/>
      <c r="B314" s="37"/>
      <c r="C314" s="37"/>
      <c r="D314" s="38"/>
      <c r="E314" s="103"/>
      <c r="F314" s="111"/>
      <c r="G314" s="37"/>
      <c r="H314" s="112"/>
      <c r="I314" s="34"/>
      <c r="J314" s="41" t="s">
        <v>261</v>
      </c>
      <c r="K314" s="41" t="s">
        <v>261</v>
      </c>
      <c r="L314" s="41"/>
      <c r="M314" s="108"/>
      <c r="N314" s="108"/>
      <c r="O314" s="108"/>
      <c r="P314" s="41"/>
      <c r="Q314" s="39"/>
      <c r="R314" s="39"/>
      <c r="S314" s="46">
        <v>0.67</v>
      </c>
      <c r="T314" s="109">
        <f>IFERROR(__xludf.DUMMYFUNCTION("((IFERROR(MIN(FILTER({L314, O314, R314}, ISNUMBER({L314, O314, R314}), {L314, O314, R314} &gt; 0)), """"))*S314)+IFERROR(MIN(FILTER({L314, O314, R314}, ISNUMBER({L314, O314, R314}), {L314, O314, R314} &gt; 0)), """")"),0.0)</f>
        <v>0</v>
      </c>
      <c r="U314" s="53" t="str">
        <f>IFERROR(__xludf.DUMMYFUNCTION("(T314-(IFERROR(MIN(FILTER({L314, O314, R314}, ISNUMBER({L314, O314, R314}), {L314, O314, R314} &gt; 0)), """")))/T314"),"#DIV/0!")</f>
        <v>#DIV/0!</v>
      </c>
    </row>
    <row r="315" ht="22.5" customHeight="1">
      <c r="A315" s="37"/>
      <c r="B315" s="37"/>
      <c r="C315" s="37"/>
      <c r="D315" s="38"/>
      <c r="E315" s="103"/>
      <c r="F315" s="111"/>
      <c r="G315" s="37"/>
      <c r="H315" s="112"/>
      <c r="I315" s="34"/>
      <c r="J315" s="41" t="s">
        <v>261</v>
      </c>
      <c r="K315" s="41" t="s">
        <v>261</v>
      </c>
      <c r="L315" s="41"/>
      <c r="M315" s="108"/>
      <c r="N315" s="108"/>
      <c r="O315" s="108"/>
      <c r="P315" s="41"/>
      <c r="Q315" s="39"/>
      <c r="R315" s="39"/>
      <c r="S315" s="46">
        <v>0.67</v>
      </c>
      <c r="T315" s="109">
        <f>IFERROR(__xludf.DUMMYFUNCTION("((IFERROR(MIN(FILTER({L315, O315, R315}, ISNUMBER({L315, O315, R315}), {L315, O315, R315} &gt; 0)), """"))*S315)+IFERROR(MIN(FILTER({L315, O315, R315}, ISNUMBER({L315, O315, R315}), {L315, O315, R315} &gt; 0)), """")"),0.0)</f>
        <v>0</v>
      </c>
      <c r="U315" s="53" t="str">
        <f>IFERROR(__xludf.DUMMYFUNCTION("(T315-(IFERROR(MIN(FILTER({L315, O315, R315}, ISNUMBER({L315, O315, R315}), {L315, O315, R315} &gt; 0)), """")))/T315"),"#DIV/0!")</f>
        <v>#DIV/0!</v>
      </c>
    </row>
    <row r="316" ht="22.5" customHeight="1">
      <c r="A316" s="37"/>
      <c r="B316" s="37"/>
      <c r="C316" s="37"/>
      <c r="D316" s="38"/>
      <c r="E316" s="103"/>
      <c r="F316" s="111"/>
      <c r="G316" s="37"/>
      <c r="H316" s="112"/>
      <c r="I316" s="34"/>
      <c r="J316" s="41" t="s">
        <v>261</v>
      </c>
      <c r="K316" s="41" t="s">
        <v>261</v>
      </c>
      <c r="L316" s="41"/>
      <c r="M316" s="108"/>
      <c r="N316" s="108"/>
      <c r="O316" s="108"/>
      <c r="P316" s="41"/>
      <c r="Q316" s="39"/>
      <c r="R316" s="39"/>
      <c r="S316" s="46">
        <v>0.67</v>
      </c>
      <c r="T316" s="109">
        <f>IFERROR(__xludf.DUMMYFUNCTION("((IFERROR(MIN(FILTER({L316, O316, R316}, ISNUMBER({L316, O316, R316}), {L316, O316, R316} &gt; 0)), """"))*S316)+IFERROR(MIN(FILTER({L316, O316, R316}, ISNUMBER({L316, O316, R316}), {L316, O316, R316} &gt; 0)), """")"),0.0)</f>
        <v>0</v>
      </c>
      <c r="U316" s="53" t="str">
        <f>IFERROR(__xludf.DUMMYFUNCTION("(T316-(IFERROR(MIN(FILTER({L316, O316, R316}, ISNUMBER({L316, O316, R316}), {L316, O316, R316} &gt; 0)), """")))/T316"),"#DIV/0!")</f>
        <v>#DIV/0!</v>
      </c>
    </row>
    <row r="317" ht="22.5" customHeight="1">
      <c r="A317" s="37"/>
      <c r="B317" s="37"/>
      <c r="C317" s="37"/>
      <c r="D317" s="38"/>
      <c r="E317" s="103"/>
      <c r="F317" s="49"/>
      <c r="G317" s="37"/>
      <c r="H317" s="112"/>
      <c r="I317" s="34"/>
      <c r="J317" s="41" t="s">
        <v>261</v>
      </c>
      <c r="K317" s="41" t="s">
        <v>261</v>
      </c>
      <c r="L317" s="41"/>
      <c r="M317" s="110"/>
      <c r="N317" s="110"/>
      <c r="O317" s="108"/>
      <c r="P317" s="41"/>
      <c r="Q317" s="39"/>
      <c r="R317" s="39"/>
      <c r="S317" s="46">
        <v>0.67</v>
      </c>
      <c r="T317" s="109">
        <f>IFERROR(__xludf.DUMMYFUNCTION("((IFERROR(MIN(FILTER({L317, O317, R317}, ISNUMBER({L317, O317, R317}), {L317, O317, R317} &gt; 0)), """"))*S317)+IFERROR(MIN(FILTER({L317, O317, R317}, ISNUMBER({L317, O317, R317}), {L317, O317, R317} &gt; 0)), """")"),0.0)</f>
        <v>0</v>
      </c>
      <c r="U317" s="53" t="str">
        <f>IFERROR(__xludf.DUMMYFUNCTION("(T317-(IFERROR(MIN(FILTER({L317, O317, R317}, ISNUMBER({L317, O317, R317}), {L317, O317, R317} &gt; 0)), """")))/T317"),"#DIV/0!")</f>
        <v>#DIV/0!</v>
      </c>
    </row>
    <row r="318" ht="22.5" customHeight="1">
      <c r="A318" s="37"/>
      <c r="B318" s="37"/>
      <c r="C318" s="37"/>
      <c r="D318" s="38"/>
      <c r="E318" s="103"/>
      <c r="F318" s="49"/>
      <c r="G318" s="37"/>
      <c r="H318" s="112"/>
      <c r="I318" s="34"/>
      <c r="J318" s="41" t="s">
        <v>261</v>
      </c>
      <c r="K318" s="41" t="s">
        <v>261</v>
      </c>
      <c r="L318" s="41"/>
      <c r="M318" s="110"/>
      <c r="N318" s="110"/>
      <c r="O318" s="108"/>
      <c r="P318" s="41"/>
      <c r="Q318" s="39"/>
      <c r="R318" s="39"/>
      <c r="S318" s="46">
        <v>0.67</v>
      </c>
      <c r="T318" s="109">
        <f>IFERROR(__xludf.DUMMYFUNCTION("((IFERROR(MIN(FILTER({L318, O318, R318}, ISNUMBER({L318, O318, R318}), {L318, O318, R318} &gt; 0)), """"))*S318)+IFERROR(MIN(FILTER({L318, O318, R318}, ISNUMBER({L318, O318, R318}), {L318, O318, R318} &gt; 0)), """")"),0.0)</f>
        <v>0</v>
      </c>
      <c r="U318" s="53" t="str">
        <f>IFERROR(__xludf.DUMMYFUNCTION("(T318-(IFERROR(MIN(FILTER({L318, O318, R318}, ISNUMBER({L318, O318, R318}), {L318, O318, R318} &gt; 0)), """")))/T318"),"#DIV/0!")</f>
        <v>#DIV/0!</v>
      </c>
    </row>
    <row r="319" ht="22.5" customHeight="1">
      <c r="A319" s="37"/>
      <c r="B319" s="37"/>
      <c r="C319" s="37"/>
      <c r="D319" s="38"/>
      <c r="E319" s="103"/>
      <c r="F319" s="49"/>
      <c r="G319" s="37"/>
      <c r="H319" s="112"/>
      <c r="I319" s="34"/>
      <c r="J319" s="41" t="s">
        <v>261</v>
      </c>
      <c r="K319" s="41" t="s">
        <v>261</v>
      </c>
      <c r="L319" s="41"/>
      <c r="M319" s="110"/>
      <c r="N319" s="110"/>
      <c r="O319" s="110"/>
      <c r="P319" s="41"/>
      <c r="Q319" s="39"/>
      <c r="R319" s="39"/>
      <c r="S319" s="46">
        <v>0.67</v>
      </c>
      <c r="T319" s="109">
        <f>IFERROR(__xludf.DUMMYFUNCTION("((IFERROR(MIN(FILTER({L319, O319, R319}, ISNUMBER({L319, O319, R319}), {L319, O319, R319} &gt; 0)), """"))*S319)+IFERROR(MIN(FILTER({L319, O319, R319}, ISNUMBER({L319, O319, R319}), {L319, O319, R319} &gt; 0)), """")"),0.0)</f>
        <v>0</v>
      </c>
      <c r="U319" s="53" t="str">
        <f>IFERROR(__xludf.DUMMYFUNCTION("(T319-(IFERROR(MIN(FILTER({L319, O319, R319}, ISNUMBER({L319, O319, R319}), {L319, O319, R319} &gt; 0)), """")))/T319"),"#DIV/0!")</f>
        <v>#DIV/0!</v>
      </c>
    </row>
    <row r="320" ht="22.5" customHeight="1">
      <c r="A320" s="37"/>
      <c r="B320" s="37"/>
      <c r="C320" s="37"/>
      <c r="D320" s="38"/>
      <c r="E320" s="103"/>
      <c r="F320" s="49"/>
      <c r="G320" s="37"/>
      <c r="H320" s="112"/>
      <c r="I320" s="34"/>
      <c r="J320" s="41" t="s">
        <v>261</v>
      </c>
      <c r="K320" s="41" t="s">
        <v>261</v>
      </c>
      <c r="L320" s="41"/>
      <c r="M320" s="110"/>
      <c r="N320" s="110"/>
      <c r="O320" s="110"/>
      <c r="P320" s="41"/>
      <c r="Q320" s="39"/>
      <c r="R320" s="39"/>
      <c r="S320" s="46">
        <v>0.67</v>
      </c>
      <c r="T320" s="109">
        <f>IFERROR(__xludf.DUMMYFUNCTION("((IFERROR(MIN(FILTER({L320, O320, R320}, ISNUMBER({L320, O320, R320}), {L320, O320, R320} &gt; 0)), """"))*S320)+IFERROR(MIN(FILTER({L320, O320, R320}, ISNUMBER({L320, O320, R320}), {L320, O320, R320} &gt; 0)), """")"),0.0)</f>
        <v>0</v>
      </c>
      <c r="U320" s="53" t="str">
        <f>IFERROR(__xludf.DUMMYFUNCTION("(T320-(IFERROR(MIN(FILTER({L320, O320, R320}, ISNUMBER({L320, O320, R320}), {L320, O320, R320} &gt; 0)), """")))/T320"),"#DIV/0!")</f>
        <v>#DIV/0!</v>
      </c>
    </row>
    <row r="321" ht="22.5" customHeight="1">
      <c r="A321" s="37"/>
      <c r="B321" s="37"/>
      <c r="C321" s="37"/>
      <c r="D321" s="38"/>
      <c r="E321" s="103"/>
      <c r="F321" s="49"/>
      <c r="G321" s="37"/>
      <c r="H321" s="112"/>
      <c r="I321" s="34"/>
      <c r="J321" s="41" t="s">
        <v>261</v>
      </c>
      <c r="K321" s="41" t="s">
        <v>261</v>
      </c>
      <c r="L321" s="41"/>
      <c r="M321" s="108"/>
      <c r="N321" s="108"/>
      <c r="O321" s="108"/>
      <c r="P321" s="41"/>
      <c r="Q321" s="39"/>
      <c r="R321" s="39"/>
      <c r="S321" s="46">
        <v>0.67</v>
      </c>
      <c r="T321" s="109">
        <f>IFERROR(__xludf.DUMMYFUNCTION("((IFERROR(MIN(FILTER({L321, O321, R321}, ISNUMBER({L321, O321, R321}), {L321, O321, R321} &gt; 0)), """"))*S321)+IFERROR(MIN(FILTER({L321, O321, R321}, ISNUMBER({L321, O321, R321}), {L321, O321, R321} &gt; 0)), """")"),0.0)</f>
        <v>0</v>
      </c>
      <c r="U321" s="53" t="str">
        <f>IFERROR(__xludf.DUMMYFUNCTION("(T321-(IFERROR(MIN(FILTER({L321, O321, R321}, ISNUMBER({L321, O321, R321}), {L321, O321, R321} &gt; 0)), """")))/T321"),"#DIV/0!")</f>
        <v>#DIV/0!</v>
      </c>
    </row>
    <row r="322" ht="22.5" customHeight="1">
      <c r="A322" s="37"/>
      <c r="B322" s="37"/>
      <c r="C322" s="37"/>
      <c r="D322" s="38"/>
      <c r="E322" s="103"/>
      <c r="F322" s="49"/>
      <c r="G322" s="37"/>
      <c r="H322" s="112"/>
      <c r="I322" s="34"/>
      <c r="J322" s="41" t="s">
        <v>261</v>
      </c>
      <c r="K322" s="41" t="s">
        <v>261</v>
      </c>
      <c r="L322" s="41"/>
      <c r="M322" s="108"/>
      <c r="N322" s="108"/>
      <c r="O322" s="108"/>
      <c r="P322" s="41"/>
      <c r="Q322" s="39"/>
      <c r="R322" s="39"/>
      <c r="S322" s="46">
        <v>0.67</v>
      </c>
      <c r="T322" s="109">
        <f>IFERROR(__xludf.DUMMYFUNCTION("((IFERROR(MIN(FILTER({L322, O322, R322}, ISNUMBER({L322, O322, R322}), {L322, O322, R322} &gt; 0)), """"))*S322)+IFERROR(MIN(FILTER({L322, O322, R322}, ISNUMBER({L322, O322, R322}), {L322, O322, R322} &gt; 0)), """")"),0.0)</f>
        <v>0</v>
      </c>
      <c r="U322" s="53" t="str">
        <f>IFERROR(__xludf.DUMMYFUNCTION("(T322-(IFERROR(MIN(FILTER({L322, O322, R322}, ISNUMBER({L322, O322, R322}), {L322, O322, R322} &gt; 0)), """")))/T322"),"#DIV/0!")</f>
        <v>#DIV/0!</v>
      </c>
    </row>
    <row r="323" ht="22.5" customHeight="1">
      <c r="A323" s="37"/>
      <c r="B323" s="37"/>
      <c r="C323" s="37"/>
      <c r="D323" s="38"/>
      <c r="E323" s="103"/>
      <c r="F323" s="49"/>
      <c r="G323" s="37"/>
      <c r="H323" s="112"/>
      <c r="I323" s="34"/>
      <c r="J323" s="41" t="s">
        <v>261</v>
      </c>
      <c r="K323" s="41" t="s">
        <v>261</v>
      </c>
      <c r="L323" s="41"/>
      <c r="M323" s="108"/>
      <c r="N323" s="108"/>
      <c r="O323" s="108"/>
      <c r="P323" s="41"/>
      <c r="Q323" s="39"/>
      <c r="R323" s="39"/>
      <c r="S323" s="46">
        <v>0.67</v>
      </c>
      <c r="T323" s="109">
        <f>IFERROR(__xludf.DUMMYFUNCTION("((IFERROR(MIN(FILTER({L323, O323, R323}, ISNUMBER({L323, O323, R323}), {L323, O323, R323} &gt; 0)), """"))*S323)+IFERROR(MIN(FILTER({L323, O323, R323}, ISNUMBER({L323, O323, R323}), {L323, O323, R323} &gt; 0)), """")"),0.0)</f>
        <v>0</v>
      </c>
      <c r="U323" s="53" t="str">
        <f>IFERROR(__xludf.DUMMYFUNCTION("(T323-(IFERROR(MIN(FILTER({L323, O323, R323}, ISNUMBER({L323, O323, R323}), {L323, O323, R323} &gt; 0)), """")))/T323"),"#DIV/0!")</f>
        <v>#DIV/0!</v>
      </c>
    </row>
    <row r="324" ht="22.5" customHeight="1">
      <c r="A324" s="37"/>
      <c r="B324" s="37"/>
      <c r="C324" s="37"/>
      <c r="D324" s="38"/>
      <c r="E324" s="103"/>
      <c r="F324" s="49"/>
      <c r="G324" s="37"/>
      <c r="H324" s="112"/>
      <c r="I324" s="34"/>
      <c r="J324" s="41" t="s">
        <v>261</v>
      </c>
      <c r="K324" s="41" t="s">
        <v>261</v>
      </c>
      <c r="L324" s="41"/>
      <c r="M324" s="108"/>
      <c r="N324" s="108"/>
      <c r="O324" s="108"/>
      <c r="P324" s="41"/>
      <c r="Q324" s="39"/>
      <c r="R324" s="39"/>
      <c r="S324" s="46">
        <v>0.67</v>
      </c>
      <c r="T324" s="109">
        <f>IFERROR(__xludf.DUMMYFUNCTION("((IFERROR(MIN(FILTER({L324, O324, R324}, ISNUMBER({L324, O324, R324}), {L324, O324, R324} &gt; 0)), """"))*S324)+IFERROR(MIN(FILTER({L324, O324, R324}, ISNUMBER({L324, O324, R324}), {L324, O324, R324} &gt; 0)), """")"),0.0)</f>
        <v>0</v>
      </c>
      <c r="U324" s="53" t="str">
        <f>IFERROR(__xludf.DUMMYFUNCTION("(T324-(IFERROR(MIN(FILTER({L324, O324, R324}, ISNUMBER({L324, O324, R324}), {L324, O324, R324} &gt; 0)), """")))/T324"),"#DIV/0!")</f>
        <v>#DIV/0!</v>
      </c>
    </row>
    <row r="325" ht="22.5" customHeight="1">
      <c r="A325" s="37"/>
      <c r="B325" s="37"/>
      <c r="C325" s="37"/>
      <c r="D325" s="38"/>
      <c r="E325" s="103"/>
      <c r="F325" s="49"/>
      <c r="G325" s="37"/>
      <c r="H325" s="112"/>
      <c r="I325" s="34"/>
      <c r="J325" s="41" t="s">
        <v>261</v>
      </c>
      <c r="K325" s="41" t="s">
        <v>261</v>
      </c>
      <c r="L325" s="41"/>
      <c r="M325" s="108"/>
      <c r="N325" s="108"/>
      <c r="O325" s="108"/>
      <c r="P325" s="41"/>
      <c r="Q325" s="39"/>
      <c r="R325" s="39"/>
      <c r="S325" s="46">
        <v>0.67</v>
      </c>
      <c r="T325" s="109">
        <f>IFERROR(__xludf.DUMMYFUNCTION("((IFERROR(MIN(FILTER({L325, O325, R325}, ISNUMBER({L325, O325, R325}), {L325, O325, R325} &gt; 0)), """"))*S325)+IFERROR(MIN(FILTER({L325, O325, R325}, ISNUMBER({L325, O325, R325}), {L325, O325, R325} &gt; 0)), """")"),0.0)</f>
        <v>0</v>
      </c>
      <c r="U325" s="53" t="str">
        <f>IFERROR(__xludf.DUMMYFUNCTION("(T325-(IFERROR(MIN(FILTER({L325, O325, R325}, ISNUMBER({L325, O325, R325}), {L325, O325, R325} &gt; 0)), """")))/T325"),"#DIV/0!")</f>
        <v>#DIV/0!</v>
      </c>
    </row>
    <row r="326" ht="22.5" customHeight="1">
      <c r="A326" s="37"/>
      <c r="B326" s="37"/>
      <c r="C326" s="37"/>
      <c r="D326" s="38"/>
      <c r="E326" s="103"/>
      <c r="F326" s="49"/>
      <c r="G326" s="37"/>
      <c r="H326" s="112"/>
      <c r="I326" s="34"/>
      <c r="J326" s="41" t="s">
        <v>261</v>
      </c>
      <c r="K326" s="41" t="s">
        <v>261</v>
      </c>
      <c r="L326" s="41"/>
      <c r="M326" s="108"/>
      <c r="N326" s="108"/>
      <c r="O326" s="108"/>
      <c r="P326" s="41"/>
      <c r="Q326" s="39"/>
      <c r="R326" s="39"/>
      <c r="S326" s="46">
        <v>0.67</v>
      </c>
      <c r="T326" s="109">
        <f>IFERROR(__xludf.DUMMYFUNCTION("((IFERROR(MIN(FILTER({L326, O326, R326}, ISNUMBER({L326, O326, R326}), {L326, O326, R326} &gt; 0)), """"))*S326)+IFERROR(MIN(FILTER({L326, O326, R326}, ISNUMBER({L326, O326, R326}), {L326, O326, R326} &gt; 0)), """")"),0.0)</f>
        <v>0</v>
      </c>
      <c r="U326" s="53" t="str">
        <f>IFERROR(__xludf.DUMMYFUNCTION("(T326-(IFERROR(MIN(FILTER({L326, O326, R326}, ISNUMBER({L326, O326, R326}), {L326, O326, R326} &gt; 0)), """")))/T326"),"#DIV/0!")</f>
        <v>#DIV/0!</v>
      </c>
    </row>
    <row r="327" ht="22.5" customHeight="1">
      <c r="A327" s="37"/>
      <c r="B327" s="37"/>
      <c r="C327" s="37"/>
      <c r="D327" s="38"/>
      <c r="E327" s="103"/>
      <c r="F327" s="49"/>
      <c r="G327" s="37"/>
      <c r="H327" s="112"/>
      <c r="I327" s="34"/>
      <c r="J327" s="41" t="s">
        <v>261</v>
      </c>
      <c r="K327" s="41" t="s">
        <v>261</v>
      </c>
      <c r="L327" s="41"/>
      <c r="M327" s="108"/>
      <c r="N327" s="108"/>
      <c r="O327" s="108"/>
      <c r="P327" s="41"/>
      <c r="Q327" s="39"/>
      <c r="R327" s="39"/>
      <c r="S327" s="46">
        <v>0.67</v>
      </c>
      <c r="T327" s="109">
        <f>IFERROR(__xludf.DUMMYFUNCTION("((IFERROR(MIN(FILTER({L327, O327, R327}, ISNUMBER({L327, O327, R327}), {L327, O327, R327} &gt; 0)), """"))*S327)+IFERROR(MIN(FILTER({L327, O327, R327}, ISNUMBER({L327, O327, R327}), {L327, O327, R327} &gt; 0)), """")"),0.0)</f>
        <v>0</v>
      </c>
      <c r="U327" s="53" t="str">
        <f>IFERROR(__xludf.DUMMYFUNCTION("(T327-(IFERROR(MIN(FILTER({L327, O327, R327}, ISNUMBER({L327, O327, R327}), {L327, O327, R327} &gt; 0)), """")))/T327"),"#DIV/0!")</f>
        <v>#DIV/0!</v>
      </c>
    </row>
    <row r="328" ht="22.5" customHeight="1">
      <c r="A328" s="37"/>
      <c r="B328" s="37"/>
      <c r="C328" s="37"/>
      <c r="D328" s="38"/>
      <c r="E328" s="103"/>
      <c r="F328" s="49"/>
      <c r="G328" s="37"/>
      <c r="H328" s="112"/>
      <c r="I328" s="34"/>
      <c r="J328" s="41" t="s">
        <v>261</v>
      </c>
      <c r="K328" s="41" t="s">
        <v>261</v>
      </c>
      <c r="L328" s="41"/>
      <c r="M328" s="108"/>
      <c r="N328" s="108"/>
      <c r="O328" s="108"/>
      <c r="P328" s="41"/>
      <c r="Q328" s="39"/>
      <c r="R328" s="39"/>
      <c r="S328" s="46">
        <v>0.67</v>
      </c>
      <c r="T328" s="109">
        <f>IFERROR(__xludf.DUMMYFUNCTION("((IFERROR(MIN(FILTER({L328, O328, R328}, ISNUMBER({L328, O328, R328}), {L328, O328, R328} &gt; 0)), """"))*S328)+IFERROR(MIN(FILTER({L328, O328, R328}, ISNUMBER({L328, O328, R328}), {L328, O328, R328} &gt; 0)), """")"),0.0)</f>
        <v>0</v>
      </c>
      <c r="U328" s="53" t="str">
        <f>IFERROR(__xludf.DUMMYFUNCTION("(T328-(IFERROR(MIN(FILTER({L328, O328, R328}, ISNUMBER({L328, O328, R328}), {L328, O328, R328} &gt; 0)), """")))/T328"),"#DIV/0!")</f>
        <v>#DIV/0!</v>
      </c>
    </row>
    <row r="329" ht="22.5" customHeight="1">
      <c r="A329" s="37"/>
      <c r="B329" s="37"/>
      <c r="C329" s="37"/>
      <c r="D329" s="38"/>
      <c r="E329" s="103"/>
      <c r="F329" s="49"/>
      <c r="G329" s="37"/>
      <c r="H329" s="112"/>
      <c r="I329" s="34"/>
      <c r="J329" s="41" t="s">
        <v>261</v>
      </c>
      <c r="K329" s="41" t="s">
        <v>261</v>
      </c>
      <c r="L329" s="41"/>
      <c r="M329" s="110"/>
      <c r="N329" s="110"/>
      <c r="O329" s="110"/>
      <c r="P329" s="41"/>
      <c r="Q329" s="39"/>
      <c r="R329" s="39"/>
      <c r="S329" s="46">
        <v>0.67</v>
      </c>
      <c r="T329" s="109">
        <f>IFERROR(__xludf.DUMMYFUNCTION("((IFERROR(MIN(FILTER({L329, O329, R329}, ISNUMBER({L329, O329, R329}), {L329, O329, R329} &gt; 0)), """"))*S329)+IFERROR(MIN(FILTER({L329, O329, R329}, ISNUMBER({L329, O329, R329}), {L329, O329, R329} &gt; 0)), """")"),0.0)</f>
        <v>0</v>
      </c>
      <c r="U329" s="53" t="str">
        <f>IFERROR(__xludf.DUMMYFUNCTION("(T329-(IFERROR(MIN(FILTER({L329, O329, R329}, ISNUMBER({L329, O329, R329}), {L329, O329, R329} &gt; 0)), """")))/T329"),"#DIV/0!")</f>
        <v>#DIV/0!</v>
      </c>
    </row>
    <row r="330" ht="22.5" customHeight="1">
      <c r="A330" s="37"/>
      <c r="B330" s="37"/>
      <c r="C330" s="37"/>
      <c r="D330" s="38"/>
      <c r="E330" s="103"/>
      <c r="F330" s="49"/>
      <c r="G330" s="37"/>
      <c r="H330" s="112"/>
      <c r="I330" s="34"/>
      <c r="J330" s="41" t="s">
        <v>261</v>
      </c>
      <c r="K330" s="41" t="s">
        <v>261</v>
      </c>
      <c r="L330" s="41"/>
      <c r="M330" s="110"/>
      <c r="N330" s="110"/>
      <c r="O330" s="110"/>
      <c r="P330" s="41"/>
      <c r="Q330" s="39"/>
      <c r="R330" s="39"/>
      <c r="S330" s="46">
        <v>0.67</v>
      </c>
      <c r="T330" s="109">
        <f>IFERROR(__xludf.DUMMYFUNCTION("((IFERROR(MIN(FILTER({L330, O330, R330}, ISNUMBER({L330, O330, R330}), {L330, O330, R330} &gt; 0)), """"))*S330)+IFERROR(MIN(FILTER({L330, O330, R330}, ISNUMBER({L330, O330, R330}), {L330, O330, R330} &gt; 0)), """")"),0.0)</f>
        <v>0</v>
      </c>
      <c r="U330" s="53" t="str">
        <f>IFERROR(__xludf.DUMMYFUNCTION("(T330-(IFERROR(MIN(FILTER({L330, O330, R330}, ISNUMBER({L330, O330, R330}), {L330, O330, R330} &gt; 0)), """")))/T330"),"#DIV/0!")</f>
        <v>#DIV/0!</v>
      </c>
    </row>
    <row r="331" ht="22.5" customHeight="1">
      <c r="A331" s="37"/>
      <c r="B331" s="37"/>
      <c r="C331" s="37"/>
      <c r="D331" s="38"/>
      <c r="E331" s="103"/>
      <c r="F331" s="49"/>
      <c r="G331" s="37"/>
      <c r="H331" s="112"/>
      <c r="I331" s="34"/>
      <c r="J331" s="41" t="s">
        <v>261</v>
      </c>
      <c r="K331" s="41" t="s">
        <v>261</v>
      </c>
      <c r="L331" s="41"/>
      <c r="M331" s="110"/>
      <c r="N331" s="110"/>
      <c r="O331" s="110"/>
      <c r="P331" s="41"/>
      <c r="Q331" s="39"/>
      <c r="R331" s="39"/>
      <c r="S331" s="46">
        <v>0.67</v>
      </c>
      <c r="T331" s="109">
        <f>IFERROR(__xludf.DUMMYFUNCTION("((IFERROR(MIN(FILTER({L331, O331, R331}, ISNUMBER({L331, O331, R331}), {L331, O331, R331} &gt; 0)), """"))*S331)+IFERROR(MIN(FILTER({L331, O331, R331}, ISNUMBER({L331, O331, R331}), {L331, O331, R331} &gt; 0)), """")"),0.0)</f>
        <v>0</v>
      </c>
      <c r="U331" s="53" t="str">
        <f>IFERROR(__xludf.DUMMYFUNCTION("(T331-(IFERROR(MIN(FILTER({L331, O331, R331}, ISNUMBER({L331, O331, R331}), {L331, O331, R331} &gt; 0)), """")))/T331"),"#DIV/0!")</f>
        <v>#DIV/0!</v>
      </c>
    </row>
    <row r="332" ht="22.5" customHeight="1">
      <c r="A332" s="37"/>
      <c r="B332" s="37"/>
      <c r="C332" s="37"/>
      <c r="D332" s="38"/>
      <c r="E332" s="103"/>
      <c r="F332" s="49"/>
      <c r="G332" s="97"/>
      <c r="H332" s="112"/>
      <c r="I332" s="34"/>
      <c r="J332" s="41" t="s">
        <v>261</v>
      </c>
      <c r="K332" s="41" t="s">
        <v>261</v>
      </c>
      <c r="L332" s="41"/>
      <c r="M332" s="108"/>
      <c r="N332" s="108"/>
      <c r="O332" s="108"/>
      <c r="P332" s="41"/>
      <c r="Q332" s="39"/>
      <c r="R332" s="39"/>
      <c r="S332" s="46">
        <v>0.67</v>
      </c>
      <c r="T332" s="109">
        <f>IFERROR(__xludf.DUMMYFUNCTION("((IFERROR(MIN(FILTER({L332, O332, R332}, ISNUMBER({L332, O332, R332}), {L332, O332, R332} &gt; 0)), """"))*S332)+IFERROR(MIN(FILTER({L332, O332, R332}, ISNUMBER({L332, O332, R332}), {L332, O332, R332} &gt; 0)), """")"),0.0)</f>
        <v>0</v>
      </c>
      <c r="U332" s="53" t="str">
        <f>IFERROR(__xludf.DUMMYFUNCTION("(T332-(IFERROR(MIN(FILTER({L332, O332, R332}, ISNUMBER({L332, O332, R332}), {L332, O332, R332} &gt; 0)), """")))/T332"),"#DIV/0!")</f>
        <v>#DIV/0!</v>
      </c>
    </row>
    <row r="333" ht="22.5" customHeight="1">
      <c r="A333" s="37"/>
      <c r="B333" s="37"/>
      <c r="C333" s="37"/>
      <c r="D333" s="38"/>
      <c r="E333" s="103"/>
      <c r="F333" s="111"/>
      <c r="G333" s="37"/>
      <c r="H333" s="112"/>
      <c r="I333" s="34"/>
      <c r="J333" s="41" t="s">
        <v>261</v>
      </c>
      <c r="K333" s="41" t="s">
        <v>261</v>
      </c>
      <c r="L333" s="41"/>
      <c r="M333" s="110"/>
      <c r="N333" s="110"/>
      <c r="O333" s="110"/>
      <c r="P333" s="41"/>
      <c r="Q333" s="39"/>
      <c r="R333" s="39"/>
      <c r="S333" s="46">
        <v>0.67</v>
      </c>
      <c r="T333" s="109">
        <f>IFERROR(__xludf.DUMMYFUNCTION("((IFERROR(MIN(FILTER({L333, O333, R333}, ISNUMBER({L333, O333, R333}), {L333, O333, R333} &gt; 0)), """"))*S333)+IFERROR(MIN(FILTER({L333, O333, R333}, ISNUMBER({L333, O333, R333}), {L333, O333, R333} &gt; 0)), """")"),0.0)</f>
        <v>0</v>
      </c>
      <c r="U333" s="53" t="str">
        <f>IFERROR(__xludf.DUMMYFUNCTION("(T333-(IFERROR(MIN(FILTER({L333, O333, R333}, ISNUMBER({L333, O333, R333}), {L333, O333, R333} &gt; 0)), """")))/T333"),"#DIV/0!")</f>
        <v>#DIV/0!</v>
      </c>
    </row>
    <row r="334" ht="22.5" customHeight="1">
      <c r="A334" s="37"/>
      <c r="B334" s="37"/>
      <c r="C334" s="37"/>
      <c r="D334" s="38"/>
      <c r="E334" s="103"/>
      <c r="F334" s="111"/>
      <c r="G334" s="37"/>
      <c r="H334" s="112"/>
      <c r="I334" s="34"/>
      <c r="J334" s="41" t="s">
        <v>261</v>
      </c>
      <c r="K334" s="41" t="s">
        <v>261</v>
      </c>
      <c r="L334" s="41"/>
      <c r="M334" s="110"/>
      <c r="N334" s="110"/>
      <c r="O334" s="110"/>
      <c r="P334" s="41"/>
      <c r="Q334" s="39"/>
      <c r="R334" s="39"/>
      <c r="S334" s="46">
        <v>0.67</v>
      </c>
      <c r="T334" s="109">
        <f>IFERROR(__xludf.DUMMYFUNCTION("((IFERROR(MIN(FILTER({L334, O334, R334}, ISNUMBER({L334, O334, R334}), {L334, O334, R334} &gt; 0)), """"))*S334)+IFERROR(MIN(FILTER({L334, O334, R334}, ISNUMBER({L334, O334, R334}), {L334, O334, R334} &gt; 0)), """")"),0.0)</f>
        <v>0</v>
      </c>
      <c r="U334" s="53" t="str">
        <f>IFERROR(__xludf.DUMMYFUNCTION("(T334-(IFERROR(MIN(FILTER({L334, O334, R334}, ISNUMBER({L334, O334, R334}), {L334, O334, R334} &gt; 0)), """")))/T334"),"#DIV/0!")</f>
        <v>#DIV/0!</v>
      </c>
    </row>
    <row r="335" ht="22.5" customHeight="1">
      <c r="A335" s="37"/>
      <c r="B335" s="37"/>
      <c r="C335" s="37"/>
      <c r="D335" s="38"/>
      <c r="E335" s="103"/>
      <c r="F335" s="49"/>
      <c r="G335" s="37"/>
      <c r="H335" s="112"/>
      <c r="I335" s="34"/>
      <c r="J335" s="41" t="s">
        <v>261</v>
      </c>
      <c r="K335" s="41" t="s">
        <v>261</v>
      </c>
      <c r="L335" s="41"/>
      <c r="M335" s="110"/>
      <c r="N335" s="110"/>
      <c r="O335" s="110"/>
      <c r="P335" s="41"/>
      <c r="Q335" s="39"/>
      <c r="R335" s="39"/>
      <c r="S335" s="46">
        <v>0.67</v>
      </c>
      <c r="T335" s="109">
        <f>IFERROR(__xludf.DUMMYFUNCTION("((IFERROR(MIN(FILTER({L335, O335, R335}, ISNUMBER({L335, O335, R335}), {L335, O335, R335} &gt; 0)), """"))*S335)+IFERROR(MIN(FILTER({L335, O335, R335}, ISNUMBER({L335, O335, R335}), {L335, O335, R335} &gt; 0)), """")"),0.0)</f>
        <v>0</v>
      </c>
      <c r="U335" s="53" t="str">
        <f>IFERROR(__xludf.DUMMYFUNCTION("(T335-(IFERROR(MIN(FILTER({L335, O335, R335}, ISNUMBER({L335, O335, R335}), {L335, O335, R335} &gt; 0)), """")))/T335"),"#DIV/0!")</f>
        <v>#DIV/0!</v>
      </c>
    </row>
    <row r="336" ht="22.5" customHeight="1">
      <c r="A336" s="37"/>
      <c r="B336" s="37"/>
      <c r="C336" s="37"/>
      <c r="D336" s="38"/>
      <c r="E336" s="103"/>
      <c r="F336" s="49"/>
      <c r="G336" s="37"/>
      <c r="H336" s="112"/>
      <c r="I336" s="34"/>
      <c r="J336" s="41" t="s">
        <v>261</v>
      </c>
      <c r="K336" s="41" t="s">
        <v>261</v>
      </c>
      <c r="L336" s="41"/>
      <c r="M336" s="110"/>
      <c r="N336" s="110"/>
      <c r="O336" s="110"/>
      <c r="P336" s="41"/>
      <c r="Q336" s="39"/>
      <c r="R336" s="39"/>
      <c r="S336" s="46">
        <v>0.67</v>
      </c>
      <c r="T336" s="109">
        <f>IFERROR(__xludf.DUMMYFUNCTION("((IFERROR(MIN(FILTER({L336, O336, R336}, ISNUMBER({L336, O336, R336}), {L336, O336, R336} &gt; 0)), """"))*S336)+IFERROR(MIN(FILTER({L336, O336, R336}, ISNUMBER({L336, O336, R336}), {L336, O336, R336} &gt; 0)), """")"),0.0)</f>
        <v>0</v>
      </c>
      <c r="U336" s="53" t="str">
        <f>IFERROR(__xludf.DUMMYFUNCTION("(T336-(IFERROR(MIN(FILTER({L336, O336, R336}, ISNUMBER({L336, O336, R336}), {L336, O336, R336} &gt; 0)), """")))/T336"),"#DIV/0!")</f>
        <v>#DIV/0!</v>
      </c>
    </row>
    <row r="337" ht="22.5" customHeight="1">
      <c r="A337" s="37"/>
      <c r="B337" s="37"/>
      <c r="C337" s="37"/>
      <c r="D337" s="38"/>
      <c r="E337" s="103"/>
      <c r="F337" s="49"/>
      <c r="G337" s="37"/>
      <c r="H337" s="112"/>
      <c r="I337" s="34"/>
      <c r="J337" s="41" t="s">
        <v>261</v>
      </c>
      <c r="K337" s="41" t="s">
        <v>261</v>
      </c>
      <c r="L337" s="41"/>
      <c r="M337" s="110"/>
      <c r="N337" s="110"/>
      <c r="O337" s="110"/>
      <c r="P337" s="41"/>
      <c r="Q337" s="41"/>
      <c r="R337" s="41"/>
      <c r="S337" s="46">
        <v>0.67</v>
      </c>
      <c r="T337" s="109">
        <f>IFERROR(__xludf.DUMMYFUNCTION("((IFERROR(MIN(FILTER({L337, O337, R337}, ISNUMBER({L337, O337, R337}), {L337, O337, R337} &gt; 0)), """"))*S337)+IFERROR(MIN(FILTER({L337, O337, R337}, ISNUMBER({L337, O337, R337}), {L337, O337, R337} &gt; 0)), """")"),0.0)</f>
        <v>0</v>
      </c>
      <c r="U337" s="53" t="str">
        <f>IFERROR(__xludf.DUMMYFUNCTION("(T337-(IFERROR(MIN(FILTER({L337, O337, R337}, ISNUMBER({L337, O337, R337}), {L337, O337, R337} &gt; 0)), """")))/T337"),"#DIV/0!")</f>
        <v>#DIV/0!</v>
      </c>
    </row>
    <row r="338" ht="22.5" customHeight="1">
      <c r="A338" s="37"/>
      <c r="B338" s="37"/>
      <c r="C338" s="37"/>
      <c r="D338" s="38"/>
      <c r="E338" s="103"/>
      <c r="F338" s="49"/>
      <c r="G338" s="37"/>
      <c r="H338" s="112"/>
      <c r="I338" s="34"/>
      <c r="J338" s="41" t="s">
        <v>261</v>
      </c>
      <c r="K338" s="41" t="s">
        <v>261</v>
      </c>
      <c r="L338" s="41"/>
      <c r="M338" s="110"/>
      <c r="N338" s="110"/>
      <c r="O338" s="110"/>
      <c r="P338" s="41"/>
      <c r="Q338" s="41"/>
      <c r="R338" s="41"/>
      <c r="S338" s="46">
        <v>0.67</v>
      </c>
      <c r="T338" s="109">
        <f>IFERROR(__xludf.DUMMYFUNCTION("((IFERROR(MIN(FILTER({L338, O338, R338}, ISNUMBER({L338, O338, R338}), {L338, O338, R338} &gt; 0)), """"))*S338)+IFERROR(MIN(FILTER({L338, O338, R338}, ISNUMBER({L338, O338, R338}), {L338, O338, R338} &gt; 0)), """")"),0.0)</f>
        <v>0</v>
      </c>
      <c r="U338" s="53" t="str">
        <f>IFERROR(__xludf.DUMMYFUNCTION("(T338-(IFERROR(MIN(FILTER({L338, O338, R338}, ISNUMBER({L338, O338, R338}), {L338, O338, R338} &gt; 0)), """")))/T338"),"#DIV/0!")</f>
        <v>#DIV/0!</v>
      </c>
    </row>
    <row r="339" ht="22.5" customHeight="1">
      <c r="A339" s="37"/>
      <c r="B339" s="37"/>
      <c r="C339" s="37"/>
      <c r="D339" s="38"/>
      <c r="E339" s="103"/>
      <c r="F339" s="49"/>
      <c r="G339" s="37"/>
      <c r="H339" s="112"/>
      <c r="I339" s="34"/>
      <c r="J339" s="41" t="s">
        <v>261</v>
      </c>
      <c r="K339" s="41" t="s">
        <v>261</v>
      </c>
      <c r="L339" s="41"/>
      <c r="M339" s="110"/>
      <c r="N339" s="110"/>
      <c r="O339" s="110"/>
      <c r="P339" s="41"/>
      <c r="Q339" s="41"/>
      <c r="R339" s="41"/>
      <c r="S339" s="46">
        <v>0.67</v>
      </c>
      <c r="T339" s="109">
        <f>IFERROR(__xludf.DUMMYFUNCTION("((IFERROR(MIN(FILTER({L339, O339, R339}, ISNUMBER({L339, O339, R339}), {L339, O339, R339} &gt; 0)), """"))*S339)+IFERROR(MIN(FILTER({L339, O339, R339}, ISNUMBER({L339, O339, R339}), {L339, O339, R339} &gt; 0)), """")"),0.0)</f>
        <v>0</v>
      </c>
      <c r="U339" s="53" t="str">
        <f>IFERROR(__xludf.DUMMYFUNCTION("(T339-(IFERROR(MIN(FILTER({L339, O339, R339}, ISNUMBER({L339, O339, R339}), {L339, O339, R339} &gt; 0)), """")))/T339"),"#DIV/0!")</f>
        <v>#DIV/0!</v>
      </c>
    </row>
    <row r="340" ht="22.5" customHeight="1">
      <c r="A340" s="37"/>
      <c r="B340" s="37"/>
      <c r="C340" s="37"/>
      <c r="D340" s="38"/>
      <c r="E340" s="103"/>
      <c r="F340" s="49"/>
      <c r="G340" s="37"/>
      <c r="H340" s="112"/>
      <c r="I340" s="34"/>
      <c r="J340" s="39" t="s">
        <v>261</v>
      </c>
      <c r="K340" s="41" t="s">
        <v>261</v>
      </c>
      <c r="L340" s="39"/>
      <c r="M340" s="108"/>
      <c r="N340" s="108"/>
      <c r="O340" s="108"/>
      <c r="P340" s="39"/>
      <c r="Q340" s="39"/>
      <c r="R340" s="39"/>
      <c r="S340" s="46">
        <v>0.67</v>
      </c>
      <c r="T340" s="109">
        <f>IFERROR(__xludf.DUMMYFUNCTION("((IFERROR(MIN(FILTER({L340, O340, R340}, ISNUMBER({L340, O340, R340}), {L340, O340, R340} &gt; 0)), """"))*S340)+IFERROR(MIN(FILTER({L340, O340, R340}, ISNUMBER({L340, O340, R340}), {L340, O340, R340} &gt; 0)), """")"),0.0)</f>
        <v>0</v>
      </c>
      <c r="U340" s="53" t="str">
        <f>IFERROR(__xludf.DUMMYFUNCTION("(T340-(IFERROR(MIN(FILTER({L340, O340, R340}, ISNUMBER({L340, O340, R340}), {L340, O340, R340} &gt; 0)), """")))/T340"),"#DIV/0!")</f>
        <v>#DIV/0!</v>
      </c>
    </row>
    <row r="341" ht="22.5" customHeight="1">
      <c r="A341" s="37"/>
      <c r="B341" s="37"/>
      <c r="C341" s="37"/>
      <c r="D341" s="38"/>
      <c r="E341" s="103"/>
      <c r="F341" s="49"/>
      <c r="G341" s="37"/>
      <c r="H341" s="112"/>
      <c r="I341" s="34"/>
      <c r="J341" s="41" t="s">
        <v>261</v>
      </c>
      <c r="K341" s="41" t="s">
        <v>261</v>
      </c>
      <c r="L341" s="41"/>
      <c r="M341" s="110"/>
      <c r="N341" s="110"/>
      <c r="O341" s="110"/>
      <c r="P341" s="41"/>
      <c r="Q341" s="41"/>
      <c r="R341" s="41"/>
      <c r="S341" s="46">
        <v>0.67</v>
      </c>
      <c r="T341" s="109">
        <f>IFERROR(__xludf.DUMMYFUNCTION("((IFERROR(MIN(FILTER({L341, O341, R341}, ISNUMBER({L341, O341, R341}), {L341, O341, R341} &gt; 0)), """"))*S341)+IFERROR(MIN(FILTER({L341, O341, R341}, ISNUMBER({L341, O341, R341}), {L341, O341, R341} &gt; 0)), """")"),0.0)</f>
        <v>0</v>
      </c>
      <c r="U341" s="53" t="str">
        <f>IFERROR(__xludf.DUMMYFUNCTION("(T341-(IFERROR(MIN(FILTER({L341, O341, R341}, ISNUMBER({L341, O341, R341}), {L341, O341, R341} &gt; 0)), """")))/T341"),"#DIV/0!")</f>
        <v>#DIV/0!</v>
      </c>
    </row>
    <row r="342" ht="22.5" customHeight="1">
      <c r="A342" s="37"/>
      <c r="B342" s="37"/>
      <c r="C342" s="37"/>
      <c r="D342" s="38"/>
      <c r="E342" s="103"/>
      <c r="F342" s="49"/>
      <c r="G342" s="37"/>
      <c r="H342" s="112"/>
      <c r="I342" s="34"/>
      <c r="J342" s="39" t="s">
        <v>261</v>
      </c>
      <c r="K342" s="41" t="s">
        <v>261</v>
      </c>
      <c r="L342" s="39"/>
      <c r="M342" s="108"/>
      <c r="N342" s="108"/>
      <c r="O342" s="108"/>
      <c r="P342" s="39"/>
      <c r="Q342" s="39"/>
      <c r="R342" s="39"/>
      <c r="S342" s="46">
        <v>0.67</v>
      </c>
      <c r="T342" s="109">
        <f>IFERROR(__xludf.DUMMYFUNCTION("((IFERROR(MIN(FILTER({L342, O342, R342}, ISNUMBER({L342, O342, R342}), {L342, O342, R342} &gt; 0)), """"))*S342)+IFERROR(MIN(FILTER({L342, O342, R342}, ISNUMBER({L342, O342, R342}), {L342, O342, R342} &gt; 0)), """")"),0.0)</f>
        <v>0</v>
      </c>
      <c r="U342" s="53" t="str">
        <f>IFERROR(__xludf.DUMMYFUNCTION("(T342-(IFERROR(MIN(FILTER({L342, O342, R342}, ISNUMBER({L342, O342, R342}), {L342, O342, R342} &gt; 0)), """")))/T342"),"#DIV/0!")</f>
        <v>#DIV/0!</v>
      </c>
    </row>
    <row r="343" ht="22.5" customHeight="1">
      <c r="A343" s="37"/>
      <c r="B343" s="37"/>
      <c r="C343" s="37"/>
      <c r="D343" s="38"/>
      <c r="E343" s="103"/>
      <c r="F343" s="49"/>
      <c r="G343" s="37"/>
      <c r="H343" s="112"/>
      <c r="I343" s="34"/>
      <c r="J343" s="39" t="s">
        <v>261</v>
      </c>
      <c r="K343" s="41" t="s">
        <v>261</v>
      </c>
      <c r="L343" s="39"/>
      <c r="M343" s="108"/>
      <c r="N343" s="108"/>
      <c r="O343" s="108"/>
      <c r="P343" s="39"/>
      <c r="Q343" s="39"/>
      <c r="R343" s="39"/>
      <c r="S343" s="46">
        <v>0.67</v>
      </c>
      <c r="T343" s="109">
        <f>IFERROR(__xludf.DUMMYFUNCTION("((IFERROR(MIN(FILTER({L343, O343, R343}, ISNUMBER({L343, O343, R343}), {L343, O343, R343} &gt; 0)), """"))*S343)+IFERROR(MIN(FILTER({L343, O343, R343}, ISNUMBER({L343, O343, R343}), {L343, O343, R343} &gt; 0)), """")"),0.0)</f>
        <v>0</v>
      </c>
      <c r="U343" s="53" t="str">
        <f>IFERROR(__xludf.DUMMYFUNCTION("(T343-(IFERROR(MIN(FILTER({L343, O343, R343}, ISNUMBER({L343, O343, R343}), {L343, O343, R343} &gt; 0)), """")))/T343"),"#DIV/0!")</f>
        <v>#DIV/0!</v>
      </c>
    </row>
    <row r="344" ht="22.5" customHeight="1">
      <c r="A344" s="37"/>
      <c r="B344" s="37"/>
      <c r="C344" s="37"/>
      <c r="D344" s="38"/>
      <c r="E344" s="103"/>
      <c r="F344" s="49"/>
      <c r="G344" s="37"/>
      <c r="H344" s="112"/>
      <c r="I344" s="34"/>
      <c r="J344" s="41" t="s">
        <v>261</v>
      </c>
      <c r="K344" s="41" t="s">
        <v>261</v>
      </c>
      <c r="L344" s="41"/>
      <c r="M344" s="110"/>
      <c r="N344" s="110"/>
      <c r="O344" s="110"/>
      <c r="P344" s="41"/>
      <c r="Q344" s="41"/>
      <c r="R344" s="41"/>
      <c r="S344" s="46">
        <v>0.67</v>
      </c>
      <c r="T344" s="109">
        <f>IFERROR(__xludf.DUMMYFUNCTION("((IFERROR(MIN(FILTER({L344, O344, R344}, ISNUMBER({L344, O344, R344}), {L344, O344, R344} &gt; 0)), """"))*S344)+IFERROR(MIN(FILTER({L344, O344, R344}, ISNUMBER({L344, O344, R344}), {L344, O344, R344} &gt; 0)), """")"),0.0)</f>
        <v>0</v>
      </c>
      <c r="U344" s="53" t="str">
        <f>IFERROR(__xludf.DUMMYFUNCTION("(T344-(IFERROR(MIN(FILTER({L344, O344, R344}, ISNUMBER({L344, O344, R344}), {L344, O344, R344} &gt; 0)), """")))/T344"),"#DIV/0!")</f>
        <v>#DIV/0!</v>
      </c>
    </row>
    <row r="345" ht="22.5" customHeight="1">
      <c r="A345" s="37"/>
      <c r="B345" s="37"/>
      <c r="C345" s="37"/>
      <c r="D345" s="38"/>
      <c r="E345" s="103"/>
      <c r="F345" s="49"/>
      <c r="G345" s="37"/>
      <c r="H345" s="112"/>
      <c r="I345" s="34"/>
      <c r="J345" s="39" t="s">
        <v>261</v>
      </c>
      <c r="K345" s="41" t="s">
        <v>261</v>
      </c>
      <c r="L345" s="39"/>
      <c r="M345" s="108"/>
      <c r="N345" s="108"/>
      <c r="O345" s="108"/>
      <c r="P345" s="39"/>
      <c r="Q345" s="39"/>
      <c r="R345" s="39"/>
      <c r="S345" s="46">
        <v>0.67</v>
      </c>
      <c r="T345" s="109">
        <f>IFERROR(__xludf.DUMMYFUNCTION("((IFERROR(MIN(FILTER({L345, O345, R345}, ISNUMBER({L345, O345, R345}), {L345, O345, R345} &gt; 0)), """"))*S345)+IFERROR(MIN(FILTER({L345, O345, R345}, ISNUMBER({L345, O345, R345}), {L345, O345, R345} &gt; 0)), """")"),0.0)</f>
        <v>0</v>
      </c>
      <c r="U345" s="53" t="str">
        <f>IFERROR(__xludf.DUMMYFUNCTION("(T345-(IFERROR(MIN(FILTER({L345, O345, R345}, ISNUMBER({L345, O345, R345}), {L345, O345, R345} &gt; 0)), """")))/T345"),"#DIV/0!")</f>
        <v>#DIV/0!</v>
      </c>
    </row>
    <row r="346" ht="22.5" customHeight="1">
      <c r="A346" s="37"/>
      <c r="B346" s="37"/>
      <c r="C346" s="37"/>
      <c r="D346" s="38"/>
      <c r="E346" s="103"/>
      <c r="F346" s="49"/>
      <c r="G346" s="37"/>
      <c r="H346" s="112"/>
      <c r="I346" s="34"/>
      <c r="J346" s="39" t="s">
        <v>261</v>
      </c>
      <c r="K346" s="41" t="s">
        <v>261</v>
      </c>
      <c r="L346" s="39"/>
      <c r="M346" s="108"/>
      <c r="N346" s="108"/>
      <c r="O346" s="108"/>
      <c r="P346" s="39"/>
      <c r="Q346" s="39"/>
      <c r="R346" s="39"/>
      <c r="S346" s="46">
        <v>0.67</v>
      </c>
      <c r="T346" s="109">
        <f>IFERROR(__xludf.DUMMYFUNCTION("((IFERROR(MIN(FILTER({L346, O346, R346}, ISNUMBER({L346, O346, R346}), {L346, O346, R346} &gt; 0)), """"))*S346)+IFERROR(MIN(FILTER({L346, O346, R346}, ISNUMBER({L346, O346, R346}), {L346, O346, R346} &gt; 0)), """")"),0.0)</f>
        <v>0</v>
      </c>
      <c r="U346" s="53" t="str">
        <f>IFERROR(__xludf.DUMMYFUNCTION("(T346-(IFERROR(MIN(FILTER({L346, O346, R346}, ISNUMBER({L346, O346, R346}), {L346, O346, R346} &gt; 0)), """")))/T346"),"#DIV/0!")</f>
        <v>#DIV/0!</v>
      </c>
    </row>
    <row r="347" ht="22.5" customHeight="1">
      <c r="A347" s="37"/>
      <c r="B347" s="37"/>
      <c r="C347" s="37"/>
      <c r="D347" s="38"/>
      <c r="E347" s="103"/>
      <c r="F347" s="49"/>
      <c r="G347" s="37"/>
      <c r="H347" s="112"/>
      <c r="I347" s="34"/>
      <c r="J347" s="39" t="s">
        <v>261</v>
      </c>
      <c r="K347" s="41" t="s">
        <v>261</v>
      </c>
      <c r="L347" s="39"/>
      <c r="M347" s="108"/>
      <c r="N347" s="108"/>
      <c r="O347" s="108"/>
      <c r="P347" s="39"/>
      <c r="Q347" s="39"/>
      <c r="R347" s="39"/>
      <c r="S347" s="46">
        <v>0.67</v>
      </c>
      <c r="T347" s="109">
        <f>IFERROR(__xludf.DUMMYFUNCTION("((IFERROR(MIN(FILTER({L347, O347, R347}, ISNUMBER({L347, O347, R347}), {L347, O347, R347} &gt; 0)), """"))*S347)+IFERROR(MIN(FILTER({L347, O347, R347}, ISNUMBER({L347, O347, R347}), {L347, O347, R347} &gt; 0)), """")"),0.0)</f>
        <v>0</v>
      </c>
      <c r="U347" s="53" t="str">
        <f>IFERROR(__xludf.DUMMYFUNCTION("(T347-(IFERROR(MIN(FILTER({L347, O347, R347}, ISNUMBER({L347, O347, R347}), {L347, O347, R347} &gt; 0)), """")))/T347"),"#DIV/0!")</f>
        <v>#DIV/0!</v>
      </c>
    </row>
    <row r="348" ht="22.5" customHeight="1">
      <c r="A348" s="37"/>
      <c r="B348" s="37"/>
      <c r="C348" s="37"/>
      <c r="D348" s="38"/>
      <c r="E348" s="103"/>
      <c r="F348" s="49"/>
      <c r="G348" s="37"/>
      <c r="H348" s="112"/>
      <c r="I348" s="34"/>
      <c r="J348" s="39" t="s">
        <v>261</v>
      </c>
      <c r="K348" s="41" t="s">
        <v>261</v>
      </c>
      <c r="L348" s="39"/>
      <c r="M348" s="108"/>
      <c r="N348" s="108"/>
      <c r="O348" s="108"/>
      <c r="P348" s="39"/>
      <c r="Q348" s="39"/>
      <c r="R348" s="39"/>
      <c r="S348" s="46">
        <v>0.67</v>
      </c>
      <c r="T348" s="109">
        <f>IFERROR(__xludf.DUMMYFUNCTION("((IFERROR(MIN(FILTER({L348, O348, R348}, ISNUMBER({L348, O348, R348}), {L348, O348, R348} &gt; 0)), """"))*S348)+IFERROR(MIN(FILTER({L348, O348, R348}, ISNUMBER({L348, O348, R348}), {L348, O348, R348} &gt; 0)), """")"),0.0)</f>
        <v>0</v>
      </c>
      <c r="U348" s="53" t="str">
        <f>IFERROR(__xludf.DUMMYFUNCTION("(T348-(IFERROR(MIN(FILTER({L348, O348, R348}, ISNUMBER({L348, O348, R348}), {L348, O348, R348} &gt; 0)), """")))/T348"),"#DIV/0!")</f>
        <v>#DIV/0!</v>
      </c>
    </row>
    <row r="349" ht="22.5" customHeight="1">
      <c r="A349" s="37"/>
      <c r="B349" s="37"/>
      <c r="C349" s="37"/>
      <c r="D349" s="38"/>
      <c r="E349" s="103"/>
      <c r="F349" s="49"/>
      <c r="G349" s="37"/>
      <c r="H349" s="112"/>
      <c r="I349" s="34"/>
      <c r="J349" s="39" t="s">
        <v>261</v>
      </c>
      <c r="K349" s="41" t="s">
        <v>261</v>
      </c>
      <c r="L349" s="39"/>
      <c r="M349" s="108"/>
      <c r="N349" s="108"/>
      <c r="O349" s="108"/>
      <c r="P349" s="39"/>
      <c r="Q349" s="39"/>
      <c r="R349" s="39"/>
      <c r="S349" s="46">
        <v>0.67</v>
      </c>
      <c r="T349" s="109">
        <f>IFERROR(__xludf.DUMMYFUNCTION("((IFERROR(MIN(FILTER({L349, O349, R349}, ISNUMBER({L349, O349, R349}), {L349, O349, R349} &gt; 0)), """"))*S349)+IFERROR(MIN(FILTER({L349, O349, R349}, ISNUMBER({L349, O349, R349}), {L349, O349, R349} &gt; 0)), """")"),0.0)</f>
        <v>0</v>
      </c>
      <c r="U349" s="53" t="str">
        <f>IFERROR(__xludf.DUMMYFUNCTION("(T349-(IFERROR(MIN(FILTER({L349, O349, R349}, ISNUMBER({L349, O349, R349}), {L349, O349, R349} &gt; 0)), """")))/T349"),"#DIV/0!")</f>
        <v>#DIV/0!</v>
      </c>
    </row>
    <row r="350" ht="22.5" customHeight="1">
      <c r="A350" s="37"/>
      <c r="B350" s="37"/>
      <c r="C350" s="37"/>
      <c r="D350" s="38"/>
      <c r="E350" s="103"/>
      <c r="F350" s="49"/>
      <c r="G350" s="37"/>
      <c r="H350" s="112"/>
      <c r="I350" s="34"/>
      <c r="J350" s="39" t="s">
        <v>261</v>
      </c>
      <c r="K350" s="41" t="s">
        <v>261</v>
      </c>
      <c r="L350" s="39"/>
      <c r="M350" s="108"/>
      <c r="N350" s="108"/>
      <c r="O350" s="108"/>
      <c r="P350" s="39"/>
      <c r="Q350" s="39"/>
      <c r="R350" s="39"/>
      <c r="S350" s="46">
        <v>0.67</v>
      </c>
      <c r="T350" s="109">
        <f>IFERROR(__xludf.DUMMYFUNCTION("((IFERROR(MIN(FILTER({L350, O350, R350}, ISNUMBER({L350, O350, R350}), {L350, O350, R350} &gt; 0)), """"))*S350)+IFERROR(MIN(FILTER({L350, O350, R350}, ISNUMBER({L350, O350, R350}), {L350, O350, R350} &gt; 0)), """")"),0.0)</f>
        <v>0</v>
      </c>
      <c r="U350" s="53" t="str">
        <f>IFERROR(__xludf.DUMMYFUNCTION("(T350-(IFERROR(MIN(FILTER({L350, O350, R350}, ISNUMBER({L350, O350, R350}), {L350, O350, R350} &gt; 0)), """")))/T350"),"#DIV/0!")</f>
        <v>#DIV/0!</v>
      </c>
    </row>
    <row r="351" ht="22.5" customHeight="1">
      <c r="A351" s="37"/>
      <c r="B351" s="37"/>
      <c r="C351" s="37"/>
      <c r="D351" s="38"/>
      <c r="E351" s="103"/>
      <c r="F351" s="49"/>
      <c r="G351" s="37"/>
      <c r="H351" s="112"/>
      <c r="I351" s="34"/>
      <c r="J351" s="41" t="s">
        <v>261</v>
      </c>
      <c r="K351" s="41" t="s">
        <v>261</v>
      </c>
      <c r="L351" s="41"/>
      <c r="M351" s="108"/>
      <c r="N351" s="108"/>
      <c r="O351" s="108"/>
      <c r="P351" s="41"/>
      <c r="Q351" s="41"/>
      <c r="R351" s="41"/>
      <c r="S351" s="46">
        <v>0.67</v>
      </c>
      <c r="T351" s="109">
        <f>IFERROR(__xludf.DUMMYFUNCTION("((IFERROR(MIN(FILTER({L351, O351, R351}, ISNUMBER({L351, O351, R351}), {L351, O351, R351} &gt; 0)), """"))*S351)+IFERROR(MIN(FILTER({L351, O351, R351}, ISNUMBER({L351, O351, R351}), {L351, O351, R351} &gt; 0)), """")"),0.0)</f>
        <v>0</v>
      </c>
      <c r="U351" s="53" t="str">
        <f>IFERROR(__xludf.DUMMYFUNCTION("(T351-(IFERROR(MIN(FILTER({L351, O351, R351}, ISNUMBER({L351, O351, R351}), {L351, O351, R351} &gt; 0)), """")))/T351"),"#DIV/0!")</f>
        <v>#DIV/0!</v>
      </c>
    </row>
    <row r="352" ht="22.5" customHeight="1">
      <c r="A352" s="37"/>
      <c r="B352" s="37"/>
      <c r="C352" s="37"/>
      <c r="D352" s="38"/>
      <c r="E352" s="103"/>
      <c r="F352" s="49"/>
      <c r="G352" s="37"/>
      <c r="H352" s="112"/>
      <c r="I352" s="34"/>
      <c r="J352" s="41" t="s">
        <v>261</v>
      </c>
      <c r="K352" s="41" t="s">
        <v>261</v>
      </c>
      <c r="L352" s="41"/>
      <c r="M352" s="108"/>
      <c r="N352" s="108"/>
      <c r="O352" s="108"/>
      <c r="P352" s="41"/>
      <c r="Q352" s="41"/>
      <c r="R352" s="41"/>
      <c r="S352" s="46">
        <v>0.67</v>
      </c>
      <c r="T352" s="109">
        <f>IFERROR(__xludf.DUMMYFUNCTION("((IFERROR(MIN(FILTER({L352, O352, R352}, ISNUMBER({L352, O352, R352}), {L352, O352, R352} &gt; 0)), """"))*S352)+IFERROR(MIN(FILTER({L352, O352, R352}, ISNUMBER({L352, O352, R352}), {L352, O352, R352} &gt; 0)), """")"),0.0)</f>
        <v>0</v>
      </c>
      <c r="U352" s="53" t="str">
        <f>IFERROR(__xludf.DUMMYFUNCTION("(T352-(IFERROR(MIN(FILTER({L352, O352, R352}, ISNUMBER({L352, O352, R352}), {L352, O352, R352} &gt; 0)), """")))/T352"),"#DIV/0!")</f>
        <v>#DIV/0!</v>
      </c>
    </row>
    <row r="353" ht="22.5" customHeight="1">
      <c r="A353" s="37"/>
      <c r="B353" s="37"/>
      <c r="C353" s="37"/>
      <c r="D353" s="38"/>
      <c r="E353" s="103"/>
      <c r="F353" s="49"/>
      <c r="G353" s="37"/>
      <c r="H353" s="112"/>
      <c r="I353" s="34"/>
      <c r="J353" s="41" t="s">
        <v>261</v>
      </c>
      <c r="K353" s="41" t="s">
        <v>261</v>
      </c>
      <c r="L353" s="41"/>
      <c r="M353" s="108"/>
      <c r="N353" s="108"/>
      <c r="O353" s="110"/>
      <c r="P353" s="41"/>
      <c r="Q353" s="41"/>
      <c r="R353" s="41"/>
      <c r="S353" s="46">
        <v>0.67</v>
      </c>
      <c r="T353" s="109">
        <f>IFERROR(__xludf.DUMMYFUNCTION("((IFERROR(MIN(FILTER({L353, O353, R353}, ISNUMBER({L353, O353, R353}), {L353, O353, R353} &gt; 0)), """"))*S353)+IFERROR(MIN(FILTER({L353, O353, R353}, ISNUMBER({L353, O353, R353}), {L353, O353, R353} &gt; 0)), """")"),0.0)</f>
        <v>0</v>
      </c>
      <c r="U353" s="53" t="str">
        <f>IFERROR(__xludf.DUMMYFUNCTION("(T353-(IFERROR(MIN(FILTER({L353, O353, R353}, ISNUMBER({L353, O353, R353}), {L353, O353, R353} &gt; 0)), """")))/T353"),"#DIV/0!")</f>
        <v>#DIV/0!</v>
      </c>
    </row>
    <row r="354" ht="22.5" customHeight="1">
      <c r="A354" s="37"/>
      <c r="B354" s="37"/>
      <c r="C354" s="37"/>
      <c r="D354" s="38"/>
      <c r="E354" s="103"/>
      <c r="F354" s="49"/>
      <c r="G354" s="37"/>
      <c r="H354" s="112"/>
      <c r="I354" s="34"/>
      <c r="J354" s="41" t="s">
        <v>261</v>
      </c>
      <c r="K354" s="41" t="s">
        <v>261</v>
      </c>
      <c r="L354" s="41"/>
      <c r="M354" s="108"/>
      <c r="N354" s="108"/>
      <c r="O354" s="108"/>
      <c r="P354" s="41"/>
      <c r="Q354" s="41"/>
      <c r="R354" s="41"/>
      <c r="S354" s="46">
        <v>0.67</v>
      </c>
      <c r="T354" s="109">
        <f>IFERROR(__xludf.DUMMYFUNCTION("((IFERROR(MIN(FILTER({L354, O354, R354}, ISNUMBER({L354, O354, R354}), {L354, O354, R354} &gt; 0)), """"))*S354)+IFERROR(MIN(FILTER({L354, O354, R354}, ISNUMBER({L354, O354, R354}), {L354, O354, R354} &gt; 0)), """")"),0.0)</f>
        <v>0</v>
      </c>
      <c r="U354" s="53" t="str">
        <f>IFERROR(__xludf.DUMMYFUNCTION("(T354-(IFERROR(MIN(FILTER({L354, O354, R354}, ISNUMBER({L354, O354, R354}), {L354, O354, R354} &gt; 0)), """")))/T354"),"#DIV/0!")</f>
        <v>#DIV/0!</v>
      </c>
    </row>
    <row r="355" ht="22.5" customHeight="1">
      <c r="A355" s="37"/>
      <c r="B355" s="37"/>
      <c r="C355" s="37"/>
      <c r="D355" s="38"/>
      <c r="E355" s="103"/>
      <c r="F355" s="49"/>
      <c r="G355" s="37"/>
      <c r="H355" s="112"/>
      <c r="I355" s="34"/>
      <c r="J355" s="41" t="s">
        <v>261</v>
      </c>
      <c r="K355" s="41" t="s">
        <v>261</v>
      </c>
      <c r="L355" s="41"/>
      <c r="M355" s="108"/>
      <c r="N355" s="108"/>
      <c r="O355" s="108"/>
      <c r="P355" s="41"/>
      <c r="Q355" s="41"/>
      <c r="R355" s="41"/>
      <c r="S355" s="46">
        <v>0.67</v>
      </c>
      <c r="T355" s="109">
        <f>IFERROR(__xludf.DUMMYFUNCTION("((IFERROR(MIN(FILTER({L355, O355, R355}, ISNUMBER({L355, O355, R355}), {L355, O355, R355} &gt; 0)), """"))*S355)+IFERROR(MIN(FILTER({L355, O355, R355}, ISNUMBER({L355, O355, R355}), {L355, O355, R355} &gt; 0)), """")"),0.0)</f>
        <v>0</v>
      </c>
      <c r="U355" s="53" t="str">
        <f>IFERROR(__xludf.DUMMYFUNCTION("(T355-(IFERROR(MIN(FILTER({L355, O355, R355}, ISNUMBER({L355, O355, R355}), {L355, O355, R355} &gt; 0)), """")))/T355"),"#DIV/0!")</f>
        <v>#DIV/0!</v>
      </c>
    </row>
    <row r="356" ht="22.5" customHeight="1">
      <c r="A356" s="37"/>
      <c r="B356" s="37"/>
      <c r="C356" s="37"/>
      <c r="D356" s="38"/>
      <c r="E356" s="103"/>
      <c r="F356" s="49"/>
      <c r="G356" s="37"/>
      <c r="H356" s="112"/>
      <c r="I356" s="34"/>
      <c r="J356" s="41" t="s">
        <v>261</v>
      </c>
      <c r="K356" s="41" t="s">
        <v>261</v>
      </c>
      <c r="L356" s="41"/>
      <c r="M356" s="108"/>
      <c r="N356" s="108"/>
      <c r="O356" s="108"/>
      <c r="P356" s="41"/>
      <c r="Q356" s="41"/>
      <c r="R356" s="41"/>
      <c r="S356" s="46">
        <v>0.67</v>
      </c>
      <c r="T356" s="109">
        <f>IFERROR(__xludf.DUMMYFUNCTION("((IFERROR(MIN(FILTER({L356, O356, R356}, ISNUMBER({L356, O356, R356}), {L356, O356, R356} &gt; 0)), """"))*S356)+IFERROR(MIN(FILTER({L356, O356, R356}, ISNUMBER({L356, O356, R356}), {L356, O356, R356} &gt; 0)), """")"),0.0)</f>
        <v>0</v>
      </c>
      <c r="U356" s="53" t="str">
        <f>IFERROR(__xludf.DUMMYFUNCTION("(T356-(IFERROR(MIN(FILTER({L356, O356, R356}, ISNUMBER({L356, O356, R356}), {L356, O356, R356} &gt; 0)), """")))/T356"),"#DIV/0!")</f>
        <v>#DIV/0!</v>
      </c>
    </row>
    <row r="357" ht="22.5" customHeight="1">
      <c r="A357" s="37"/>
      <c r="B357" s="37"/>
      <c r="C357" s="37"/>
      <c r="D357" s="38"/>
      <c r="E357" s="103"/>
      <c r="F357" s="49"/>
      <c r="G357" s="37"/>
      <c r="H357" s="112"/>
      <c r="I357" s="34"/>
      <c r="J357" s="41" t="s">
        <v>261</v>
      </c>
      <c r="K357" s="41" t="s">
        <v>261</v>
      </c>
      <c r="L357" s="41"/>
      <c r="M357" s="108"/>
      <c r="N357" s="108"/>
      <c r="O357" s="108"/>
      <c r="P357" s="41"/>
      <c r="Q357" s="41"/>
      <c r="R357" s="41"/>
      <c r="S357" s="46">
        <v>0.67</v>
      </c>
      <c r="T357" s="109">
        <f>IFERROR(__xludf.DUMMYFUNCTION("((IFERROR(MIN(FILTER({L357, O357, R357}, ISNUMBER({L357, O357, R357}), {L357, O357, R357} &gt; 0)), """"))*S357)+IFERROR(MIN(FILTER({L357, O357, R357}, ISNUMBER({L357, O357, R357}), {L357, O357, R357} &gt; 0)), """")"),0.0)</f>
        <v>0</v>
      </c>
      <c r="U357" s="53" t="str">
        <f>IFERROR(__xludf.DUMMYFUNCTION("(T357-(IFERROR(MIN(FILTER({L357, O357, R357}, ISNUMBER({L357, O357, R357}), {L357, O357, R357} &gt; 0)), """")))/T357"),"#DIV/0!")</f>
        <v>#DIV/0!</v>
      </c>
    </row>
    <row r="358" ht="22.5" customHeight="1">
      <c r="A358" s="37"/>
      <c r="B358" s="37"/>
      <c r="C358" s="37"/>
      <c r="D358" s="38"/>
      <c r="E358" s="103"/>
      <c r="F358" s="49"/>
      <c r="G358" s="37"/>
      <c r="H358" s="112"/>
      <c r="I358" s="34"/>
      <c r="J358" s="41" t="s">
        <v>261</v>
      </c>
      <c r="K358" s="41" t="s">
        <v>261</v>
      </c>
      <c r="L358" s="41"/>
      <c r="M358" s="108"/>
      <c r="N358" s="108"/>
      <c r="O358" s="108"/>
      <c r="P358" s="41"/>
      <c r="Q358" s="41"/>
      <c r="R358" s="41"/>
      <c r="S358" s="46">
        <v>0.67</v>
      </c>
      <c r="T358" s="109">
        <f>IFERROR(__xludf.DUMMYFUNCTION("((IFERROR(MIN(FILTER({L358, O358, R358}, ISNUMBER({L358, O358, R358}), {L358, O358, R358} &gt; 0)), """"))*S358)+IFERROR(MIN(FILTER({L358, O358, R358}, ISNUMBER({L358, O358, R358}), {L358, O358, R358} &gt; 0)), """")"),0.0)</f>
        <v>0</v>
      </c>
      <c r="U358" s="53" t="str">
        <f>IFERROR(__xludf.DUMMYFUNCTION("(T358-(IFERROR(MIN(FILTER({L358, O358, R358}, ISNUMBER({L358, O358, R358}), {L358, O358, R358} &gt; 0)), """")))/T358"),"#DIV/0!")</f>
        <v>#DIV/0!</v>
      </c>
    </row>
    <row r="359" ht="22.5" customHeight="1">
      <c r="A359" s="37"/>
      <c r="B359" s="37"/>
      <c r="C359" s="37"/>
      <c r="D359" s="38"/>
      <c r="E359" s="103"/>
      <c r="F359" s="49"/>
      <c r="G359" s="37"/>
      <c r="H359" s="112"/>
      <c r="I359" s="34"/>
      <c r="J359" s="41" t="s">
        <v>261</v>
      </c>
      <c r="K359" s="41" t="s">
        <v>261</v>
      </c>
      <c r="L359" s="41"/>
      <c r="M359" s="108"/>
      <c r="N359" s="108"/>
      <c r="O359" s="108"/>
      <c r="P359" s="41"/>
      <c r="Q359" s="41"/>
      <c r="R359" s="41"/>
      <c r="S359" s="46">
        <v>0.67</v>
      </c>
      <c r="T359" s="109">
        <f>IFERROR(__xludf.DUMMYFUNCTION("((IFERROR(MIN(FILTER({L359, O359, R359}, ISNUMBER({L359, O359, R359}), {L359, O359, R359} &gt; 0)), """"))*S359)+IFERROR(MIN(FILTER({L359, O359, R359}, ISNUMBER({L359, O359, R359}), {L359, O359, R359} &gt; 0)), """")"),0.0)</f>
        <v>0</v>
      </c>
      <c r="U359" s="53" t="str">
        <f>IFERROR(__xludf.DUMMYFUNCTION("(T359-(IFERROR(MIN(FILTER({L359, O359, R359}, ISNUMBER({L359, O359, R359}), {L359, O359, R359} &gt; 0)), """")))/T359"),"#DIV/0!")</f>
        <v>#DIV/0!</v>
      </c>
    </row>
    <row r="360" ht="22.5" customHeight="1">
      <c r="A360" s="37"/>
      <c r="B360" s="37"/>
      <c r="C360" s="37"/>
      <c r="D360" s="38"/>
      <c r="E360" s="103"/>
      <c r="F360" s="49"/>
      <c r="G360" s="37"/>
      <c r="H360" s="112"/>
      <c r="I360" s="34"/>
      <c r="J360" s="41" t="s">
        <v>261</v>
      </c>
      <c r="K360" s="41" t="s">
        <v>261</v>
      </c>
      <c r="L360" s="41"/>
      <c r="M360" s="108"/>
      <c r="N360" s="108"/>
      <c r="O360" s="108"/>
      <c r="P360" s="41"/>
      <c r="Q360" s="41"/>
      <c r="R360" s="41"/>
      <c r="S360" s="46">
        <v>0.67</v>
      </c>
      <c r="T360" s="109">
        <f>IFERROR(__xludf.DUMMYFUNCTION("((IFERROR(MIN(FILTER({L360, O360, R360}, ISNUMBER({L360, O360, R360}), {L360, O360, R360} &gt; 0)), """"))*S360)+IFERROR(MIN(FILTER({L360, O360, R360}, ISNUMBER({L360, O360, R360}), {L360, O360, R360} &gt; 0)), """")"),0.0)</f>
        <v>0</v>
      </c>
      <c r="U360" s="53" t="str">
        <f>IFERROR(__xludf.DUMMYFUNCTION("(T360-(IFERROR(MIN(FILTER({L360, O360, R360}, ISNUMBER({L360, O360, R360}), {L360, O360, R360} &gt; 0)), """")))/T360"),"#DIV/0!")</f>
        <v>#DIV/0!</v>
      </c>
    </row>
    <row r="361" ht="22.5" customHeight="1">
      <c r="A361" s="37"/>
      <c r="B361" s="37"/>
      <c r="C361" s="37"/>
      <c r="D361" s="38"/>
      <c r="E361" s="103"/>
      <c r="F361" s="49"/>
      <c r="G361" s="37"/>
      <c r="H361" s="112"/>
      <c r="I361" s="34"/>
      <c r="J361" s="41" t="s">
        <v>261</v>
      </c>
      <c r="K361" s="41" t="s">
        <v>261</v>
      </c>
      <c r="L361" s="41"/>
      <c r="M361" s="108"/>
      <c r="N361" s="108"/>
      <c r="O361" s="108"/>
      <c r="P361" s="41"/>
      <c r="Q361" s="41"/>
      <c r="R361" s="41"/>
      <c r="S361" s="46">
        <v>0.67</v>
      </c>
      <c r="T361" s="109">
        <f>IFERROR(__xludf.DUMMYFUNCTION("((IFERROR(MIN(FILTER({L361, O361, R361}, ISNUMBER({L361, O361, R361}), {L361, O361, R361} &gt; 0)), """"))*S361)+IFERROR(MIN(FILTER({L361, O361, R361}, ISNUMBER({L361, O361, R361}), {L361, O361, R361} &gt; 0)), """")"),0.0)</f>
        <v>0</v>
      </c>
      <c r="U361" s="53" t="str">
        <f>IFERROR(__xludf.DUMMYFUNCTION("(T361-(IFERROR(MIN(FILTER({L361, O361, R361}, ISNUMBER({L361, O361, R361}), {L361, O361, R361} &gt; 0)), """")))/T361"),"#DIV/0!")</f>
        <v>#DIV/0!</v>
      </c>
    </row>
    <row r="362" ht="22.5" customHeight="1">
      <c r="A362" s="37"/>
      <c r="B362" s="37"/>
      <c r="C362" s="37"/>
      <c r="D362" s="38"/>
      <c r="E362" s="103"/>
      <c r="F362" s="49"/>
      <c r="G362" s="37"/>
      <c r="H362" s="112"/>
      <c r="I362" s="34"/>
      <c r="J362" s="41" t="s">
        <v>261</v>
      </c>
      <c r="K362" s="41" t="s">
        <v>261</v>
      </c>
      <c r="L362" s="41"/>
      <c r="M362" s="108"/>
      <c r="N362" s="108"/>
      <c r="O362" s="108"/>
      <c r="P362" s="41"/>
      <c r="Q362" s="41"/>
      <c r="R362" s="41"/>
      <c r="S362" s="46">
        <v>0.67</v>
      </c>
      <c r="T362" s="109">
        <f>IFERROR(__xludf.DUMMYFUNCTION("((IFERROR(MIN(FILTER({L362, O362, R362}, ISNUMBER({L362, O362, R362}), {L362, O362, R362} &gt; 0)), """"))*S362)+IFERROR(MIN(FILTER({L362, O362, R362}, ISNUMBER({L362, O362, R362}), {L362, O362, R362} &gt; 0)), """")"),0.0)</f>
        <v>0</v>
      </c>
      <c r="U362" s="53" t="str">
        <f>IFERROR(__xludf.DUMMYFUNCTION("(T362-(IFERROR(MIN(FILTER({L362, O362, R362}, ISNUMBER({L362, O362, R362}), {L362, O362, R362} &gt; 0)), """")))/T362"),"#DIV/0!")</f>
        <v>#DIV/0!</v>
      </c>
    </row>
    <row r="363" ht="22.5" customHeight="1">
      <c r="A363" s="37"/>
      <c r="B363" s="37"/>
      <c r="C363" s="37"/>
      <c r="D363" s="38"/>
      <c r="E363" s="103"/>
      <c r="F363" s="49"/>
      <c r="G363" s="37"/>
      <c r="H363" s="112"/>
      <c r="I363" s="34"/>
      <c r="J363" s="41" t="s">
        <v>261</v>
      </c>
      <c r="K363" s="41" t="s">
        <v>261</v>
      </c>
      <c r="L363" s="41"/>
      <c r="M363" s="108"/>
      <c r="N363" s="108"/>
      <c r="O363" s="108"/>
      <c r="P363" s="41"/>
      <c r="Q363" s="41"/>
      <c r="R363" s="41"/>
      <c r="S363" s="46">
        <v>0.67</v>
      </c>
      <c r="T363" s="109">
        <f>IFERROR(__xludf.DUMMYFUNCTION("((IFERROR(MIN(FILTER({L363, O363, R363}, ISNUMBER({L363, O363, R363}), {L363, O363, R363} &gt; 0)), """"))*S363)+IFERROR(MIN(FILTER({L363, O363, R363}, ISNUMBER({L363, O363, R363}), {L363, O363, R363} &gt; 0)), """")"),0.0)</f>
        <v>0</v>
      </c>
      <c r="U363" s="53" t="str">
        <f>IFERROR(__xludf.DUMMYFUNCTION("(T363-(IFERROR(MIN(FILTER({L363, O363, R363}, ISNUMBER({L363, O363, R363}), {L363, O363, R363} &gt; 0)), """")))/T363"),"#DIV/0!")</f>
        <v>#DIV/0!</v>
      </c>
    </row>
    <row r="364" ht="22.5" customHeight="1">
      <c r="A364" s="37"/>
      <c r="B364" s="37"/>
      <c r="C364" s="37"/>
      <c r="D364" s="38"/>
      <c r="E364" s="103"/>
      <c r="F364" s="49"/>
      <c r="G364" s="37"/>
      <c r="H364" s="112"/>
      <c r="I364" s="34"/>
      <c r="J364" s="41" t="s">
        <v>261</v>
      </c>
      <c r="K364" s="41" t="s">
        <v>261</v>
      </c>
      <c r="L364" s="41"/>
      <c r="M364" s="108"/>
      <c r="N364" s="108"/>
      <c r="O364" s="108"/>
      <c r="P364" s="41"/>
      <c r="Q364" s="41"/>
      <c r="R364" s="41"/>
      <c r="S364" s="46">
        <v>0.67</v>
      </c>
      <c r="T364" s="109">
        <f>IFERROR(__xludf.DUMMYFUNCTION("((IFERROR(MIN(FILTER({L364, O364, R364}, ISNUMBER({L364, O364, R364}), {L364, O364, R364} &gt; 0)), """"))*S364)+IFERROR(MIN(FILTER({L364, O364, R364}, ISNUMBER({L364, O364, R364}), {L364, O364, R364} &gt; 0)), """")"),0.0)</f>
        <v>0</v>
      </c>
      <c r="U364" s="53" t="str">
        <f>IFERROR(__xludf.DUMMYFUNCTION("(T364-(IFERROR(MIN(FILTER({L364, O364, R364}, ISNUMBER({L364, O364, R364}), {L364, O364, R364} &gt; 0)), """")))/T364"),"#DIV/0!")</f>
        <v>#DIV/0!</v>
      </c>
    </row>
    <row r="365" ht="22.5" customHeight="1">
      <c r="A365" s="37"/>
      <c r="B365" s="37"/>
      <c r="C365" s="37"/>
      <c r="D365" s="38"/>
      <c r="E365" s="103"/>
      <c r="F365" s="49"/>
      <c r="G365" s="37"/>
      <c r="H365" s="112"/>
      <c r="I365" s="34"/>
      <c r="J365" s="41" t="s">
        <v>261</v>
      </c>
      <c r="K365" s="41" t="s">
        <v>261</v>
      </c>
      <c r="L365" s="41"/>
      <c r="M365" s="108"/>
      <c r="N365" s="108"/>
      <c r="O365" s="108"/>
      <c r="P365" s="41"/>
      <c r="Q365" s="41"/>
      <c r="R365" s="41"/>
      <c r="S365" s="46">
        <v>0.67</v>
      </c>
      <c r="T365" s="109">
        <f>IFERROR(__xludf.DUMMYFUNCTION("((IFERROR(MIN(FILTER({L365, O365, R365}, ISNUMBER({L365, O365, R365}), {L365, O365, R365} &gt; 0)), """"))*S365)+IFERROR(MIN(FILTER({L365, O365, R365}, ISNUMBER({L365, O365, R365}), {L365, O365, R365} &gt; 0)), """")"),0.0)</f>
        <v>0</v>
      </c>
      <c r="U365" s="53" t="str">
        <f>IFERROR(__xludf.DUMMYFUNCTION("(T365-(IFERROR(MIN(FILTER({L365, O365, R365}, ISNUMBER({L365, O365, R365}), {L365, O365, R365} &gt; 0)), """")))/T365"),"#DIV/0!")</f>
        <v>#DIV/0!</v>
      </c>
    </row>
    <row r="366" ht="22.5" customHeight="1">
      <c r="A366" s="37"/>
      <c r="B366" s="37"/>
      <c r="C366" s="37"/>
      <c r="D366" s="38"/>
      <c r="E366" s="103"/>
      <c r="F366" s="49"/>
      <c r="G366" s="37"/>
      <c r="H366" s="112"/>
      <c r="I366" s="34"/>
      <c r="J366" s="41" t="s">
        <v>261</v>
      </c>
      <c r="K366" s="41" t="s">
        <v>261</v>
      </c>
      <c r="L366" s="41"/>
      <c r="M366" s="108"/>
      <c r="N366" s="108"/>
      <c r="O366" s="108"/>
      <c r="P366" s="41"/>
      <c r="Q366" s="41"/>
      <c r="R366" s="41"/>
      <c r="S366" s="46">
        <v>0.67</v>
      </c>
      <c r="T366" s="109">
        <f>IFERROR(__xludf.DUMMYFUNCTION("((IFERROR(MIN(FILTER({L366, O366, R366}, ISNUMBER({L366, O366, R366}), {L366, O366, R366} &gt; 0)), """"))*S366)+IFERROR(MIN(FILTER({L366, O366, R366}, ISNUMBER({L366, O366, R366}), {L366, O366, R366} &gt; 0)), """")"),0.0)</f>
        <v>0</v>
      </c>
      <c r="U366" s="53" t="str">
        <f>IFERROR(__xludf.DUMMYFUNCTION("(T366-(IFERROR(MIN(FILTER({L366, O366, R366}, ISNUMBER({L366, O366, R366}), {L366, O366, R366} &gt; 0)), """")))/T366"),"#DIV/0!")</f>
        <v>#DIV/0!</v>
      </c>
    </row>
    <row r="367" ht="22.5" customHeight="1">
      <c r="A367" s="37"/>
      <c r="B367" s="37"/>
      <c r="C367" s="37"/>
      <c r="D367" s="38"/>
      <c r="E367" s="103"/>
      <c r="F367" s="49"/>
      <c r="G367" s="37"/>
      <c r="H367" s="112"/>
      <c r="I367" s="34"/>
      <c r="J367" s="41" t="s">
        <v>261</v>
      </c>
      <c r="K367" s="41" t="s">
        <v>261</v>
      </c>
      <c r="L367" s="41"/>
      <c r="M367" s="108"/>
      <c r="N367" s="108"/>
      <c r="O367" s="108"/>
      <c r="P367" s="41"/>
      <c r="Q367" s="41"/>
      <c r="R367" s="41"/>
      <c r="S367" s="46">
        <v>0.67</v>
      </c>
      <c r="T367" s="109">
        <f>IFERROR(__xludf.DUMMYFUNCTION("((IFERROR(MIN(FILTER({L367, O367, R367}, ISNUMBER({L367, O367, R367}), {L367, O367, R367} &gt; 0)), """"))*S367)+IFERROR(MIN(FILTER({L367, O367, R367}, ISNUMBER({L367, O367, R367}), {L367, O367, R367} &gt; 0)), """")"),0.0)</f>
        <v>0</v>
      </c>
      <c r="U367" s="53" t="str">
        <f>IFERROR(__xludf.DUMMYFUNCTION("(T367-(IFERROR(MIN(FILTER({L367, O367, R367}, ISNUMBER({L367, O367, R367}), {L367, O367, R367} &gt; 0)), """")))/T367"),"#DIV/0!")</f>
        <v>#DIV/0!</v>
      </c>
    </row>
    <row r="368" ht="22.5" customHeight="1">
      <c r="A368" s="37"/>
      <c r="B368" s="37"/>
      <c r="C368" s="37"/>
      <c r="D368" s="38"/>
      <c r="E368" s="103"/>
      <c r="F368" s="49"/>
      <c r="G368" s="37"/>
      <c r="H368" s="112"/>
      <c r="I368" s="34"/>
      <c r="J368" s="41" t="s">
        <v>261</v>
      </c>
      <c r="K368" s="41" t="s">
        <v>261</v>
      </c>
      <c r="L368" s="41"/>
      <c r="M368" s="108"/>
      <c r="N368" s="108"/>
      <c r="O368" s="108"/>
      <c r="P368" s="41"/>
      <c r="Q368" s="41"/>
      <c r="R368" s="41"/>
      <c r="S368" s="46">
        <v>0.67</v>
      </c>
      <c r="T368" s="109">
        <f>IFERROR(__xludf.DUMMYFUNCTION("((IFERROR(MIN(FILTER({L368, O368, R368}, ISNUMBER({L368, O368, R368}), {L368, O368, R368} &gt; 0)), """"))*S368)+IFERROR(MIN(FILTER({L368, O368, R368}, ISNUMBER({L368, O368, R368}), {L368, O368, R368} &gt; 0)), """")"),0.0)</f>
        <v>0</v>
      </c>
      <c r="U368" s="53" t="str">
        <f>IFERROR(__xludf.DUMMYFUNCTION("(T368-(IFERROR(MIN(FILTER({L368, O368, R368}, ISNUMBER({L368, O368, R368}), {L368, O368, R368} &gt; 0)), """")))/T368"),"#DIV/0!")</f>
        <v>#DIV/0!</v>
      </c>
    </row>
    <row r="369" ht="22.5" customHeight="1">
      <c r="A369" s="37"/>
      <c r="B369" s="37"/>
      <c r="C369" s="37"/>
      <c r="D369" s="38"/>
      <c r="E369" s="103"/>
      <c r="F369" s="49"/>
      <c r="G369" s="37"/>
      <c r="H369" s="112"/>
      <c r="I369" s="34"/>
      <c r="J369" s="41" t="s">
        <v>261</v>
      </c>
      <c r="K369" s="41" t="s">
        <v>261</v>
      </c>
      <c r="L369" s="41"/>
      <c r="M369" s="108"/>
      <c r="N369" s="108"/>
      <c r="O369" s="110"/>
      <c r="P369" s="41"/>
      <c r="Q369" s="41"/>
      <c r="R369" s="41"/>
      <c r="S369" s="46">
        <v>0.67</v>
      </c>
      <c r="T369" s="109">
        <f>IFERROR(__xludf.DUMMYFUNCTION("((IFERROR(MIN(FILTER({L369, O369, R369}, ISNUMBER({L369, O369, R369}), {L369, O369, R369} &gt; 0)), """"))*S369)+IFERROR(MIN(FILTER({L369, O369, R369}, ISNUMBER({L369, O369, R369}), {L369, O369, R369} &gt; 0)), """")"),0.0)</f>
        <v>0</v>
      </c>
      <c r="U369" s="53" t="str">
        <f>IFERROR(__xludf.DUMMYFUNCTION("(T369-(IFERROR(MIN(FILTER({L369, O369, R369}, ISNUMBER({L369, O369, R369}), {L369, O369, R369} &gt; 0)), """")))/T369"),"#DIV/0!")</f>
        <v>#DIV/0!</v>
      </c>
    </row>
    <row r="370" ht="22.5" customHeight="1">
      <c r="A370" s="37"/>
      <c r="B370" s="37"/>
      <c r="C370" s="37"/>
      <c r="D370" s="38"/>
      <c r="E370" s="103"/>
      <c r="F370" s="49"/>
      <c r="G370" s="37"/>
      <c r="H370" s="112"/>
      <c r="I370" s="34"/>
      <c r="J370" s="41" t="s">
        <v>261</v>
      </c>
      <c r="K370" s="41" t="s">
        <v>261</v>
      </c>
      <c r="L370" s="41"/>
      <c r="M370" s="108"/>
      <c r="N370" s="108"/>
      <c r="O370" s="110"/>
      <c r="P370" s="41"/>
      <c r="Q370" s="41"/>
      <c r="R370" s="41"/>
      <c r="S370" s="46">
        <v>0.67</v>
      </c>
      <c r="T370" s="109">
        <f>IFERROR(__xludf.DUMMYFUNCTION("((IFERROR(MIN(FILTER({L370, O370, R370}, ISNUMBER({L370, O370, R370}), {L370, O370, R370} &gt; 0)), """"))*S370)+IFERROR(MIN(FILTER({L370, O370, R370}, ISNUMBER({L370, O370, R370}), {L370, O370, R370} &gt; 0)), """")"),0.0)</f>
        <v>0</v>
      </c>
      <c r="U370" s="53" t="str">
        <f>IFERROR(__xludf.DUMMYFUNCTION("(T370-(IFERROR(MIN(FILTER({L370, O370, R370}, ISNUMBER({L370, O370, R370}), {L370, O370, R370} &gt; 0)), """")))/T370"),"#DIV/0!")</f>
        <v>#DIV/0!</v>
      </c>
    </row>
    <row r="371" ht="22.5" customHeight="1">
      <c r="A371" s="37"/>
      <c r="B371" s="37"/>
      <c r="C371" s="37"/>
      <c r="D371" s="38"/>
      <c r="E371" s="103"/>
      <c r="F371" s="49"/>
      <c r="G371" s="37"/>
      <c r="H371" s="112"/>
      <c r="I371" s="34"/>
      <c r="J371" s="41" t="s">
        <v>261</v>
      </c>
      <c r="K371" s="41" t="s">
        <v>261</v>
      </c>
      <c r="L371" s="41"/>
      <c r="M371" s="108"/>
      <c r="N371" s="108"/>
      <c r="O371" s="110"/>
      <c r="P371" s="41"/>
      <c r="Q371" s="41"/>
      <c r="R371" s="41"/>
      <c r="S371" s="46">
        <v>0.67</v>
      </c>
      <c r="T371" s="109">
        <f>IFERROR(__xludf.DUMMYFUNCTION("((IFERROR(MIN(FILTER({L371, O371, R371}, ISNUMBER({L371, O371, R371}), {L371, O371, R371} &gt; 0)), """"))*S371)+IFERROR(MIN(FILTER({L371, O371, R371}, ISNUMBER({L371, O371, R371}), {L371, O371, R371} &gt; 0)), """")"),0.0)</f>
        <v>0</v>
      </c>
      <c r="U371" s="53" t="str">
        <f>IFERROR(__xludf.DUMMYFUNCTION("(T371-(IFERROR(MIN(FILTER({L371, O371, R371}, ISNUMBER({L371, O371, R371}), {L371, O371, R371} &gt; 0)), """")))/T371"),"#DIV/0!")</f>
        <v>#DIV/0!</v>
      </c>
    </row>
    <row r="372" ht="22.5" customHeight="1">
      <c r="A372" s="37"/>
      <c r="B372" s="37"/>
      <c r="C372" s="37"/>
      <c r="D372" s="38"/>
      <c r="E372" s="103"/>
      <c r="F372" s="49"/>
      <c r="G372" s="37"/>
      <c r="H372" s="112"/>
      <c r="I372" s="34"/>
      <c r="J372" s="41" t="s">
        <v>261</v>
      </c>
      <c r="K372" s="41" t="s">
        <v>261</v>
      </c>
      <c r="L372" s="41"/>
      <c r="M372" s="108"/>
      <c r="N372" s="108"/>
      <c r="O372" s="110"/>
      <c r="P372" s="41"/>
      <c r="Q372" s="41"/>
      <c r="R372" s="41"/>
      <c r="S372" s="46">
        <v>0.67</v>
      </c>
      <c r="T372" s="109">
        <f>IFERROR(__xludf.DUMMYFUNCTION("((IFERROR(MIN(FILTER({L372, O372, R372}, ISNUMBER({L372, O372, R372}), {L372, O372, R372} &gt; 0)), """"))*S372)+IFERROR(MIN(FILTER({L372, O372, R372}, ISNUMBER({L372, O372, R372}), {L372, O372, R372} &gt; 0)), """")"),0.0)</f>
        <v>0</v>
      </c>
      <c r="U372" s="53" t="str">
        <f>IFERROR(__xludf.DUMMYFUNCTION("(T372-(IFERROR(MIN(FILTER({L372, O372, R372}, ISNUMBER({L372, O372, R372}), {L372, O372, R372} &gt; 0)), """")))/T372"),"#DIV/0!")</f>
        <v>#DIV/0!</v>
      </c>
    </row>
    <row r="373" ht="22.5" customHeight="1">
      <c r="A373" s="37"/>
      <c r="B373" s="37"/>
      <c r="C373" s="37"/>
      <c r="D373" s="38"/>
      <c r="E373" s="103"/>
      <c r="F373" s="49"/>
      <c r="G373" s="37"/>
      <c r="H373" s="112"/>
      <c r="I373" s="34"/>
      <c r="J373" s="41" t="s">
        <v>261</v>
      </c>
      <c r="K373" s="41" t="s">
        <v>261</v>
      </c>
      <c r="L373" s="41"/>
      <c r="M373" s="108"/>
      <c r="N373" s="108"/>
      <c r="O373" s="110"/>
      <c r="P373" s="41"/>
      <c r="Q373" s="41"/>
      <c r="R373" s="41"/>
      <c r="S373" s="46">
        <v>0.67</v>
      </c>
      <c r="T373" s="109">
        <f>IFERROR(__xludf.DUMMYFUNCTION("((IFERROR(MIN(FILTER({L373, O373, R373}, ISNUMBER({L373, O373, R373}), {L373, O373, R373} &gt; 0)), """"))*S373)+IFERROR(MIN(FILTER({L373, O373, R373}, ISNUMBER({L373, O373, R373}), {L373, O373, R373} &gt; 0)), """")"),0.0)</f>
        <v>0</v>
      </c>
      <c r="U373" s="53" t="str">
        <f>IFERROR(__xludf.DUMMYFUNCTION("(T373-(IFERROR(MIN(FILTER({L373, O373, R373}, ISNUMBER({L373, O373, R373}), {L373, O373, R373} &gt; 0)), """")))/T373"),"#DIV/0!")</f>
        <v>#DIV/0!</v>
      </c>
    </row>
    <row r="374" ht="22.5" customHeight="1">
      <c r="A374" s="37"/>
      <c r="B374" s="37"/>
      <c r="C374" s="37"/>
      <c r="D374" s="38"/>
      <c r="E374" s="103"/>
      <c r="F374" s="49"/>
      <c r="G374" s="37"/>
      <c r="H374" s="112"/>
      <c r="I374" s="34"/>
      <c r="J374" s="41" t="s">
        <v>261</v>
      </c>
      <c r="K374" s="41" t="s">
        <v>261</v>
      </c>
      <c r="L374" s="41"/>
      <c r="M374" s="108"/>
      <c r="N374" s="108"/>
      <c r="O374" s="110"/>
      <c r="P374" s="41"/>
      <c r="Q374" s="41"/>
      <c r="R374" s="41"/>
      <c r="S374" s="46">
        <v>0.67</v>
      </c>
      <c r="T374" s="109">
        <f>IFERROR(__xludf.DUMMYFUNCTION("((IFERROR(MIN(FILTER({L374, O374, R374}, ISNUMBER({L374, O374, R374}), {L374, O374, R374} &gt; 0)), """"))*S374)+IFERROR(MIN(FILTER({L374, O374, R374}, ISNUMBER({L374, O374, R374}), {L374, O374, R374} &gt; 0)), """")"),0.0)</f>
        <v>0</v>
      </c>
      <c r="U374" s="53" t="str">
        <f>IFERROR(__xludf.DUMMYFUNCTION("(T374-(IFERROR(MIN(FILTER({L374, O374, R374}, ISNUMBER({L374, O374, R374}), {L374, O374, R374} &gt; 0)), """")))/T374"),"#DIV/0!")</f>
        <v>#DIV/0!</v>
      </c>
    </row>
    <row r="375" ht="22.5" customHeight="1">
      <c r="A375" s="37"/>
      <c r="B375" s="37"/>
      <c r="C375" s="37"/>
      <c r="D375" s="38"/>
      <c r="E375" s="103"/>
      <c r="F375" s="49"/>
      <c r="G375" s="37"/>
      <c r="H375" s="112"/>
      <c r="I375" s="34"/>
      <c r="J375" s="41" t="s">
        <v>261</v>
      </c>
      <c r="K375" s="41" t="s">
        <v>261</v>
      </c>
      <c r="L375" s="41"/>
      <c r="M375" s="108"/>
      <c r="N375" s="108"/>
      <c r="O375" s="110"/>
      <c r="P375" s="41"/>
      <c r="Q375" s="41"/>
      <c r="R375" s="41"/>
      <c r="S375" s="46">
        <v>0.67</v>
      </c>
      <c r="T375" s="109">
        <f>IFERROR(__xludf.DUMMYFUNCTION("((IFERROR(MIN(FILTER({L375, O375, R375}, ISNUMBER({L375, O375, R375}), {L375, O375, R375} &gt; 0)), """"))*S375)+IFERROR(MIN(FILTER({L375, O375, R375}, ISNUMBER({L375, O375, R375}), {L375, O375, R375} &gt; 0)), """")"),0.0)</f>
        <v>0</v>
      </c>
      <c r="U375" s="53" t="str">
        <f>IFERROR(__xludf.DUMMYFUNCTION("(T375-(IFERROR(MIN(FILTER({L375, O375, R375}, ISNUMBER({L375, O375, R375}), {L375, O375, R375} &gt; 0)), """")))/T375"),"#DIV/0!")</f>
        <v>#DIV/0!</v>
      </c>
    </row>
    <row r="376" ht="22.5" customHeight="1">
      <c r="A376" s="37"/>
      <c r="B376" s="37"/>
      <c r="C376" s="37"/>
      <c r="D376" s="38"/>
      <c r="E376" s="103"/>
      <c r="F376" s="49"/>
      <c r="G376" s="37"/>
      <c r="H376" s="112"/>
      <c r="I376" s="34"/>
      <c r="J376" s="41" t="s">
        <v>261</v>
      </c>
      <c r="K376" s="41" t="s">
        <v>261</v>
      </c>
      <c r="L376" s="41"/>
      <c r="M376" s="108"/>
      <c r="N376" s="108"/>
      <c r="O376" s="110"/>
      <c r="P376" s="41"/>
      <c r="Q376" s="41"/>
      <c r="R376" s="41"/>
      <c r="S376" s="46">
        <v>0.67</v>
      </c>
      <c r="T376" s="109">
        <f>IFERROR(__xludf.DUMMYFUNCTION("((IFERROR(MIN(FILTER({L376, O376, R376}, ISNUMBER({L376, O376, R376}), {L376, O376, R376} &gt; 0)), """"))*S376)+IFERROR(MIN(FILTER({L376, O376, R376}, ISNUMBER({L376, O376, R376}), {L376, O376, R376} &gt; 0)), """")"),0.0)</f>
        <v>0</v>
      </c>
      <c r="U376" s="53" t="str">
        <f>IFERROR(__xludf.DUMMYFUNCTION("(T376-(IFERROR(MIN(FILTER({L376, O376, R376}, ISNUMBER({L376, O376, R376}), {L376, O376, R376} &gt; 0)), """")))/T376"),"#DIV/0!")</f>
        <v>#DIV/0!</v>
      </c>
    </row>
    <row r="377" ht="22.5" customHeight="1">
      <c r="A377" s="37"/>
      <c r="B377" s="37"/>
      <c r="C377" s="37"/>
      <c r="D377" s="38"/>
      <c r="E377" s="103"/>
      <c r="F377" s="49"/>
      <c r="G377" s="37"/>
      <c r="H377" s="112"/>
      <c r="I377" s="34"/>
      <c r="J377" s="41" t="s">
        <v>261</v>
      </c>
      <c r="K377" s="41" t="s">
        <v>261</v>
      </c>
      <c r="L377" s="41"/>
      <c r="M377" s="108"/>
      <c r="N377" s="108"/>
      <c r="O377" s="108"/>
      <c r="P377" s="41"/>
      <c r="Q377" s="41"/>
      <c r="R377" s="41"/>
      <c r="S377" s="46">
        <v>0.67</v>
      </c>
      <c r="T377" s="109">
        <f>IFERROR(__xludf.DUMMYFUNCTION("((IFERROR(MIN(FILTER({L377, O377, R377}, ISNUMBER({L377, O377, R377}), {L377, O377, R377} &gt; 0)), """"))*S377)+IFERROR(MIN(FILTER({L377, O377, R377}, ISNUMBER({L377, O377, R377}), {L377, O377, R377} &gt; 0)), """")"),0.0)</f>
        <v>0</v>
      </c>
      <c r="U377" s="53" t="str">
        <f>IFERROR(__xludf.DUMMYFUNCTION("(T377-(IFERROR(MIN(FILTER({L377, O377, R377}, ISNUMBER({L377, O377, R377}), {L377, O377, R377} &gt; 0)), """")))/T377"),"#DIV/0!")</f>
        <v>#DIV/0!</v>
      </c>
    </row>
    <row r="378" ht="22.5" customHeight="1">
      <c r="A378" s="37"/>
      <c r="B378" s="37"/>
      <c r="C378" s="37"/>
      <c r="D378" s="38"/>
      <c r="E378" s="103"/>
      <c r="F378" s="49"/>
      <c r="G378" s="37"/>
      <c r="H378" s="112"/>
      <c r="I378" s="34"/>
      <c r="J378" s="41" t="s">
        <v>261</v>
      </c>
      <c r="K378" s="41" t="s">
        <v>261</v>
      </c>
      <c r="L378" s="41"/>
      <c r="M378" s="108"/>
      <c r="N378" s="108"/>
      <c r="O378" s="108"/>
      <c r="P378" s="41"/>
      <c r="Q378" s="41"/>
      <c r="R378" s="41"/>
      <c r="S378" s="46">
        <v>0.67</v>
      </c>
      <c r="T378" s="109">
        <f>IFERROR(__xludf.DUMMYFUNCTION("((IFERROR(MIN(FILTER({L378, O378, R378}, ISNUMBER({L378, O378, R378}), {L378, O378, R378} &gt; 0)), """"))*S378)+IFERROR(MIN(FILTER({L378, O378, R378}, ISNUMBER({L378, O378, R378}), {L378, O378, R378} &gt; 0)), """")"),0.0)</f>
        <v>0</v>
      </c>
      <c r="U378" s="53" t="str">
        <f>IFERROR(__xludf.DUMMYFUNCTION("(T378-(IFERROR(MIN(FILTER({L378, O378, R378}, ISNUMBER({L378, O378, R378}), {L378, O378, R378} &gt; 0)), """")))/T378"),"#DIV/0!")</f>
        <v>#DIV/0!</v>
      </c>
    </row>
    <row r="379" ht="22.5" customHeight="1">
      <c r="A379" s="37"/>
      <c r="B379" s="37"/>
      <c r="C379" s="37"/>
      <c r="D379" s="38"/>
      <c r="E379" s="103"/>
      <c r="F379" s="49"/>
      <c r="G379" s="37"/>
      <c r="H379" s="112"/>
      <c r="I379" s="34"/>
      <c r="J379" s="41" t="s">
        <v>261</v>
      </c>
      <c r="K379" s="41" t="s">
        <v>261</v>
      </c>
      <c r="L379" s="41"/>
      <c r="M379" s="108"/>
      <c r="N379" s="108"/>
      <c r="O379" s="108"/>
      <c r="P379" s="41"/>
      <c r="Q379" s="41"/>
      <c r="R379" s="41"/>
      <c r="S379" s="46">
        <v>0.67</v>
      </c>
      <c r="T379" s="109">
        <f>IFERROR(__xludf.DUMMYFUNCTION("((IFERROR(MIN(FILTER({L379, O379, R379}, ISNUMBER({L379, O379, R379}), {L379, O379, R379} &gt; 0)), """"))*S379)+IFERROR(MIN(FILTER({L379, O379, R379}, ISNUMBER({L379, O379, R379}), {L379, O379, R379} &gt; 0)), """")"),0.0)</f>
        <v>0</v>
      </c>
      <c r="U379" s="53" t="str">
        <f>IFERROR(__xludf.DUMMYFUNCTION("(T379-(IFERROR(MIN(FILTER({L379, O379, R379}, ISNUMBER({L379, O379, R379}), {L379, O379, R379} &gt; 0)), """")))/T379"),"#DIV/0!")</f>
        <v>#DIV/0!</v>
      </c>
    </row>
    <row r="380" ht="22.5" customHeight="1">
      <c r="A380" s="37"/>
      <c r="B380" s="37"/>
      <c r="C380" s="37"/>
      <c r="D380" s="38"/>
      <c r="E380" s="103"/>
      <c r="F380" s="49"/>
      <c r="G380" s="37"/>
      <c r="H380" s="112"/>
      <c r="I380" s="34"/>
      <c r="J380" s="41" t="s">
        <v>261</v>
      </c>
      <c r="K380" s="41" t="s">
        <v>261</v>
      </c>
      <c r="L380" s="41"/>
      <c r="M380" s="108"/>
      <c r="N380" s="108"/>
      <c r="O380" s="108"/>
      <c r="P380" s="41"/>
      <c r="Q380" s="41"/>
      <c r="R380" s="41"/>
      <c r="S380" s="46">
        <v>0.67</v>
      </c>
      <c r="T380" s="109">
        <f>IFERROR(__xludf.DUMMYFUNCTION("((IFERROR(MIN(FILTER({L380, O380, R380}, ISNUMBER({L380, O380, R380}), {L380, O380, R380} &gt; 0)), """"))*S380)+IFERROR(MIN(FILTER({L380, O380, R380}, ISNUMBER({L380, O380, R380}), {L380, O380, R380} &gt; 0)), """")"),0.0)</f>
        <v>0</v>
      </c>
      <c r="U380" s="53" t="str">
        <f>IFERROR(__xludf.DUMMYFUNCTION("(T380-(IFERROR(MIN(FILTER({L380, O380, R380}, ISNUMBER({L380, O380, R380}), {L380, O380, R380} &gt; 0)), """")))/T380"),"#DIV/0!")</f>
        <v>#DIV/0!</v>
      </c>
    </row>
    <row r="381" ht="22.5" customHeight="1">
      <c r="A381" s="37"/>
      <c r="B381" s="37"/>
      <c r="C381" s="37"/>
      <c r="D381" s="38"/>
      <c r="E381" s="103"/>
      <c r="F381" s="49"/>
      <c r="G381" s="37"/>
      <c r="H381" s="112"/>
      <c r="I381" s="34"/>
      <c r="J381" s="41" t="s">
        <v>261</v>
      </c>
      <c r="K381" s="41" t="s">
        <v>261</v>
      </c>
      <c r="L381" s="41"/>
      <c r="M381" s="108"/>
      <c r="N381" s="108"/>
      <c r="O381" s="108"/>
      <c r="P381" s="41"/>
      <c r="Q381" s="41"/>
      <c r="R381" s="41"/>
      <c r="S381" s="46">
        <v>0.67</v>
      </c>
      <c r="T381" s="109">
        <f>IFERROR(__xludf.DUMMYFUNCTION("((IFERROR(MIN(FILTER({L381, O381, R381}, ISNUMBER({L381, O381, R381}), {L381, O381, R381} &gt; 0)), """"))*S381)+IFERROR(MIN(FILTER({L381, O381, R381}, ISNUMBER({L381, O381, R381}), {L381, O381, R381} &gt; 0)), """")"),0.0)</f>
        <v>0</v>
      </c>
      <c r="U381" s="53" t="str">
        <f>IFERROR(__xludf.DUMMYFUNCTION("(T381-(IFERROR(MIN(FILTER({L381, O381, R381}, ISNUMBER({L381, O381, R381}), {L381, O381, R381} &gt; 0)), """")))/T381"),"#DIV/0!")</f>
        <v>#DIV/0!</v>
      </c>
    </row>
    <row r="382" ht="22.5" customHeight="1">
      <c r="A382" s="37"/>
      <c r="B382" s="37"/>
      <c r="C382" s="37"/>
      <c r="D382" s="38"/>
      <c r="E382" s="103"/>
      <c r="F382" s="49"/>
      <c r="G382" s="37"/>
      <c r="H382" s="112"/>
      <c r="I382" s="34"/>
      <c r="J382" s="41" t="s">
        <v>261</v>
      </c>
      <c r="K382" s="41" t="s">
        <v>261</v>
      </c>
      <c r="L382" s="41"/>
      <c r="M382" s="108"/>
      <c r="N382" s="108"/>
      <c r="O382" s="110"/>
      <c r="P382" s="41"/>
      <c r="Q382" s="41"/>
      <c r="R382" s="41"/>
      <c r="S382" s="46">
        <v>0.67</v>
      </c>
      <c r="T382" s="109">
        <f>IFERROR(__xludf.DUMMYFUNCTION("((IFERROR(MIN(FILTER({L382, O382, R382}, ISNUMBER({L382, O382, R382}), {L382, O382, R382} &gt; 0)), """"))*S382)+IFERROR(MIN(FILTER({L382, O382, R382}, ISNUMBER({L382, O382, R382}), {L382, O382, R382} &gt; 0)), """")"),0.0)</f>
        <v>0</v>
      </c>
      <c r="U382" s="53" t="str">
        <f>IFERROR(__xludf.DUMMYFUNCTION("(T382-(IFERROR(MIN(FILTER({L382, O382, R382}, ISNUMBER({L382, O382, R382}), {L382, O382, R382} &gt; 0)), """")))/T382"),"#DIV/0!")</f>
        <v>#DIV/0!</v>
      </c>
    </row>
    <row r="383" ht="22.5" customHeight="1">
      <c r="A383" s="37"/>
      <c r="B383" s="37"/>
      <c r="C383" s="37"/>
      <c r="D383" s="38"/>
      <c r="E383" s="103"/>
      <c r="F383" s="49"/>
      <c r="G383" s="37"/>
      <c r="H383" s="112"/>
      <c r="I383" s="34"/>
      <c r="J383" s="41" t="s">
        <v>261</v>
      </c>
      <c r="K383" s="41" t="s">
        <v>261</v>
      </c>
      <c r="L383" s="41"/>
      <c r="M383" s="108"/>
      <c r="N383" s="108"/>
      <c r="O383" s="110"/>
      <c r="P383" s="41"/>
      <c r="Q383" s="41"/>
      <c r="R383" s="41"/>
      <c r="S383" s="46">
        <v>0.67</v>
      </c>
      <c r="T383" s="109">
        <f>IFERROR(__xludf.DUMMYFUNCTION("((IFERROR(MIN(FILTER({L383, O383, R383}, ISNUMBER({L383, O383, R383}), {L383, O383, R383} &gt; 0)), """"))*S383)+IFERROR(MIN(FILTER({L383, O383, R383}, ISNUMBER({L383, O383, R383}), {L383, O383, R383} &gt; 0)), """")"),0.0)</f>
        <v>0</v>
      </c>
      <c r="U383" s="53" t="str">
        <f>IFERROR(__xludf.DUMMYFUNCTION("(T383-(IFERROR(MIN(FILTER({L383, O383, R383}, ISNUMBER({L383, O383, R383}), {L383, O383, R383} &gt; 0)), """")))/T383"),"#DIV/0!")</f>
        <v>#DIV/0!</v>
      </c>
    </row>
    <row r="384" ht="22.5" customHeight="1">
      <c r="A384" s="37"/>
      <c r="B384" s="37"/>
      <c r="C384" s="37"/>
      <c r="D384" s="38"/>
      <c r="E384" s="103"/>
      <c r="F384" s="49"/>
      <c r="G384" s="37"/>
      <c r="H384" s="112"/>
      <c r="I384" s="34"/>
      <c r="J384" s="41" t="s">
        <v>261</v>
      </c>
      <c r="K384" s="41" t="s">
        <v>261</v>
      </c>
      <c r="L384" s="41"/>
      <c r="M384" s="108"/>
      <c r="N384" s="108"/>
      <c r="O384" s="110"/>
      <c r="P384" s="41"/>
      <c r="Q384" s="41"/>
      <c r="R384" s="41"/>
      <c r="S384" s="46">
        <v>0.67</v>
      </c>
      <c r="T384" s="109">
        <f>IFERROR(__xludf.DUMMYFUNCTION("((IFERROR(MIN(FILTER({L384, O384, R384}, ISNUMBER({L384, O384, R384}), {L384, O384, R384} &gt; 0)), """"))*S384)+IFERROR(MIN(FILTER({L384, O384, R384}, ISNUMBER({L384, O384, R384}), {L384, O384, R384} &gt; 0)), """")"),0.0)</f>
        <v>0</v>
      </c>
      <c r="U384" s="53" t="str">
        <f>IFERROR(__xludf.DUMMYFUNCTION("(T384-(IFERROR(MIN(FILTER({L384, O384, R384}, ISNUMBER({L384, O384, R384}), {L384, O384, R384} &gt; 0)), """")))/T384"),"#DIV/0!")</f>
        <v>#DIV/0!</v>
      </c>
    </row>
    <row r="385" ht="22.5" customHeight="1">
      <c r="A385" s="37"/>
      <c r="B385" s="37"/>
      <c r="C385" s="37"/>
      <c r="D385" s="38"/>
      <c r="E385" s="103"/>
      <c r="F385" s="49"/>
      <c r="G385" s="37"/>
      <c r="H385" s="112"/>
      <c r="I385" s="34"/>
      <c r="J385" s="41" t="s">
        <v>261</v>
      </c>
      <c r="K385" s="41" t="s">
        <v>261</v>
      </c>
      <c r="L385" s="41"/>
      <c r="M385" s="108"/>
      <c r="N385" s="108"/>
      <c r="O385" s="110"/>
      <c r="P385" s="41"/>
      <c r="Q385" s="41"/>
      <c r="R385" s="41"/>
      <c r="S385" s="46">
        <v>0.67</v>
      </c>
      <c r="T385" s="109">
        <f>IFERROR(__xludf.DUMMYFUNCTION("((IFERROR(MIN(FILTER({L385, O385, R385}, ISNUMBER({L385, O385, R385}), {L385, O385, R385} &gt; 0)), """"))*S385)+IFERROR(MIN(FILTER({L385, O385, R385}, ISNUMBER({L385, O385, R385}), {L385, O385, R385} &gt; 0)), """")"),0.0)</f>
        <v>0</v>
      </c>
      <c r="U385" s="53" t="str">
        <f>IFERROR(__xludf.DUMMYFUNCTION("(T385-(IFERROR(MIN(FILTER({L385, O385, R385}, ISNUMBER({L385, O385, R385}), {L385, O385, R385} &gt; 0)), """")))/T385"),"#DIV/0!")</f>
        <v>#DIV/0!</v>
      </c>
    </row>
    <row r="386" ht="22.5" customHeight="1">
      <c r="A386" s="37"/>
      <c r="B386" s="37"/>
      <c r="C386" s="37"/>
      <c r="D386" s="38"/>
      <c r="E386" s="103"/>
      <c r="F386" s="49"/>
      <c r="G386" s="37"/>
      <c r="H386" s="112"/>
      <c r="I386" s="34"/>
      <c r="J386" s="41" t="s">
        <v>261</v>
      </c>
      <c r="K386" s="41" t="s">
        <v>261</v>
      </c>
      <c r="L386" s="41"/>
      <c r="M386" s="110"/>
      <c r="N386" s="110"/>
      <c r="O386" s="108"/>
      <c r="P386" s="41"/>
      <c r="Q386" s="41"/>
      <c r="R386" s="41"/>
      <c r="S386" s="46">
        <v>0.67</v>
      </c>
      <c r="T386" s="109">
        <f>IFERROR(__xludf.DUMMYFUNCTION("((IFERROR(MIN(FILTER({L386, O386, R386}, ISNUMBER({L386, O386, R386}), {L386, O386, R386} &gt; 0)), """"))*S386)+IFERROR(MIN(FILTER({L386, O386, R386}, ISNUMBER({L386, O386, R386}), {L386, O386, R386} &gt; 0)), """")"),0.0)</f>
        <v>0</v>
      </c>
      <c r="U386" s="53" t="str">
        <f>IFERROR(__xludf.DUMMYFUNCTION("(T386-(IFERROR(MIN(FILTER({L386, O386, R386}, ISNUMBER({L386, O386, R386}), {L386, O386, R386} &gt; 0)), """")))/T386"),"#DIV/0!")</f>
        <v>#DIV/0!</v>
      </c>
    </row>
    <row r="387" ht="22.5" customHeight="1">
      <c r="A387" s="37"/>
      <c r="B387" s="37"/>
      <c r="C387" s="37"/>
      <c r="D387" s="38"/>
      <c r="E387" s="103"/>
      <c r="F387" s="49"/>
      <c r="G387" s="37"/>
      <c r="H387" s="112"/>
      <c r="I387" s="34"/>
      <c r="J387" s="41" t="s">
        <v>261</v>
      </c>
      <c r="K387" s="41" t="s">
        <v>261</v>
      </c>
      <c r="L387" s="41"/>
      <c r="M387" s="110"/>
      <c r="N387" s="110"/>
      <c r="O387" s="110"/>
      <c r="P387" s="41"/>
      <c r="Q387" s="41"/>
      <c r="R387" s="39"/>
      <c r="S387" s="46">
        <v>0.67</v>
      </c>
      <c r="T387" s="109">
        <f>IFERROR(__xludf.DUMMYFUNCTION("((IFERROR(MIN(FILTER({L387, O387, R387}, ISNUMBER({L387, O387, R387}), {L387, O387, R387} &gt; 0)), """"))*S387)+IFERROR(MIN(FILTER({L387, O387, R387}, ISNUMBER({L387, O387, R387}), {L387, O387, R387} &gt; 0)), """")"),0.0)</f>
        <v>0</v>
      </c>
      <c r="U387" s="53" t="str">
        <f>IFERROR(__xludf.DUMMYFUNCTION("(T387-(IFERROR(MIN(FILTER({L387, O387, R387}, ISNUMBER({L387, O387, R387}), {L387, O387, R387} &gt; 0)), """")))/T387"),"#DIV/0!")</f>
        <v>#DIV/0!</v>
      </c>
    </row>
    <row r="388" ht="22.5" customHeight="1">
      <c r="A388" s="37"/>
      <c r="B388" s="37"/>
      <c r="C388" s="37"/>
      <c r="D388" s="38"/>
      <c r="E388" s="103"/>
      <c r="F388" s="49"/>
      <c r="G388" s="37"/>
      <c r="H388" s="112"/>
      <c r="I388" s="34"/>
      <c r="J388" s="41" t="s">
        <v>261</v>
      </c>
      <c r="K388" s="41" t="s">
        <v>261</v>
      </c>
      <c r="L388" s="41"/>
      <c r="M388" s="110"/>
      <c r="N388" s="110"/>
      <c r="O388" s="110"/>
      <c r="P388" s="41"/>
      <c r="Q388" s="41"/>
      <c r="R388" s="39"/>
      <c r="S388" s="46">
        <v>0.67</v>
      </c>
      <c r="T388" s="109">
        <f>IFERROR(__xludf.DUMMYFUNCTION("((IFERROR(MIN(FILTER({L388, O388, R388}, ISNUMBER({L388, O388, R388}), {L388, O388, R388} &gt; 0)), """"))*S388)+IFERROR(MIN(FILTER({L388, O388, R388}, ISNUMBER({L388, O388, R388}), {L388, O388, R388} &gt; 0)), """")"),0.0)</f>
        <v>0</v>
      </c>
      <c r="U388" s="53" t="str">
        <f>IFERROR(__xludf.DUMMYFUNCTION("(T388-(IFERROR(MIN(FILTER({L388, O388, R388}, ISNUMBER({L388, O388, R388}), {L388, O388, R388} &gt; 0)), """")))/T388"),"#DIV/0!")</f>
        <v>#DIV/0!</v>
      </c>
    </row>
    <row r="389" ht="22.5" customHeight="1">
      <c r="A389" s="37"/>
      <c r="B389" s="37"/>
      <c r="C389" s="37"/>
      <c r="D389" s="38"/>
      <c r="E389" s="103"/>
      <c r="F389" s="49"/>
      <c r="G389" s="37"/>
      <c r="H389" s="112"/>
      <c r="I389" s="34"/>
      <c r="J389" s="41" t="s">
        <v>261</v>
      </c>
      <c r="K389" s="41" t="s">
        <v>261</v>
      </c>
      <c r="L389" s="41"/>
      <c r="M389" s="110"/>
      <c r="N389" s="110"/>
      <c r="O389" s="110"/>
      <c r="P389" s="41"/>
      <c r="Q389" s="41"/>
      <c r="R389" s="39"/>
      <c r="S389" s="46">
        <v>0.67</v>
      </c>
      <c r="T389" s="109">
        <f>IFERROR(__xludf.DUMMYFUNCTION("((IFERROR(MIN(FILTER({L389, O389, R389}, ISNUMBER({L389, O389, R389}), {L389, O389, R389} &gt; 0)), """"))*S389)+IFERROR(MIN(FILTER({L389, O389, R389}, ISNUMBER({L389, O389, R389}), {L389, O389, R389} &gt; 0)), """")"),0.0)</f>
        <v>0</v>
      </c>
      <c r="U389" s="53" t="str">
        <f>IFERROR(__xludf.DUMMYFUNCTION("(T389-(IFERROR(MIN(FILTER({L389, O389, R389}, ISNUMBER({L389, O389, R389}), {L389, O389, R389} &gt; 0)), """")))/T389"),"#DIV/0!")</f>
        <v>#DIV/0!</v>
      </c>
    </row>
    <row r="390" ht="22.5" customHeight="1">
      <c r="A390" s="37"/>
      <c r="B390" s="37"/>
      <c r="C390" s="37"/>
      <c r="D390" s="38"/>
      <c r="E390" s="103"/>
      <c r="F390" s="49"/>
      <c r="G390" s="37"/>
      <c r="H390" s="112"/>
      <c r="I390" s="34"/>
      <c r="J390" s="41" t="s">
        <v>261</v>
      </c>
      <c r="K390" s="41" t="s">
        <v>261</v>
      </c>
      <c r="L390" s="41"/>
      <c r="M390" s="110"/>
      <c r="N390" s="110"/>
      <c r="O390" s="110"/>
      <c r="P390" s="41"/>
      <c r="Q390" s="41"/>
      <c r="R390" s="41"/>
      <c r="S390" s="46">
        <v>0.67</v>
      </c>
      <c r="T390" s="109">
        <f>IFERROR(__xludf.DUMMYFUNCTION("((IFERROR(MIN(FILTER({L390, O390, R390}, ISNUMBER({L390, O390, R390}), {L390, O390, R390} &gt; 0)), """"))*S390)+IFERROR(MIN(FILTER({L390, O390, R390}, ISNUMBER({L390, O390, R390}), {L390, O390, R390} &gt; 0)), """")"),0.0)</f>
        <v>0</v>
      </c>
      <c r="U390" s="53" t="str">
        <f>IFERROR(__xludf.DUMMYFUNCTION("(T390-(IFERROR(MIN(FILTER({L390, O390, R390}, ISNUMBER({L390, O390, R390}), {L390, O390, R390} &gt; 0)), """")))/T390"),"#DIV/0!")</f>
        <v>#DIV/0!</v>
      </c>
    </row>
    <row r="391" ht="22.5" customHeight="1">
      <c r="A391" s="37"/>
      <c r="B391" s="37"/>
      <c r="C391" s="37"/>
      <c r="D391" s="38"/>
      <c r="E391" s="103"/>
      <c r="F391" s="49"/>
      <c r="G391" s="37"/>
      <c r="H391" s="112"/>
      <c r="I391" s="34"/>
      <c r="J391" s="39" t="s">
        <v>261</v>
      </c>
      <c r="K391" s="41" t="s">
        <v>261</v>
      </c>
      <c r="L391" s="39"/>
      <c r="M391" s="108"/>
      <c r="N391" s="108"/>
      <c r="O391" s="108"/>
      <c r="P391" s="39"/>
      <c r="Q391" s="39"/>
      <c r="R391" s="39"/>
      <c r="S391" s="46">
        <v>0.67</v>
      </c>
      <c r="T391" s="109">
        <f>IFERROR(__xludf.DUMMYFUNCTION("((IFERROR(MIN(FILTER({L391, O391, R391}, ISNUMBER({L391, O391, R391}), {L391, O391, R391} &gt; 0)), """"))*S391)+IFERROR(MIN(FILTER({L391, O391, R391}, ISNUMBER({L391, O391, R391}), {L391, O391, R391} &gt; 0)), """")"),0.0)</f>
        <v>0</v>
      </c>
      <c r="U391" s="53" t="str">
        <f>IFERROR(__xludf.DUMMYFUNCTION("(T391-(IFERROR(MIN(FILTER({L391, O391, R391}, ISNUMBER({L391, O391, R391}), {L391, O391, R391} &gt; 0)), """")))/T391"),"#DIV/0!")</f>
        <v>#DIV/0!</v>
      </c>
    </row>
    <row r="392" ht="22.5" customHeight="1">
      <c r="A392" s="37"/>
      <c r="B392" s="37"/>
      <c r="C392" s="37"/>
      <c r="D392" s="38"/>
      <c r="E392" s="103"/>
      <c r="F392" s="49"/>
      <c r="G392" s="37"/>
      <c r="H392" s="112"/>
      <c r="I392" s="34"/>
      <c r="J392" s="39" t="s">
        <v>261</v>
      </c>
      <c r="K392" s="41" t="s">
        <v>261</v>
      </c>
      <c r="L392" s="39"/>
      <c r="M392" s="108"/>
      <c r="N392" s="108"/>
      <c r="O392" s="108"/>
      <c r="P392" s="39"/>
      <c r="Q392" s="39"/>
      <c r="R392" s="39"/>
      <c r="S392" s="46">
        <v>0.67</v>
      </c>
      <c r="T392" s="109">
        <f>IFERROR(__xludf.DUMMYFUNCTION("((IFERROR(MIN(FILTER({L392, O392, R392}, ISNUMBER({L392, O392, R392}), {L392, O392, R392} &gt; 0)), """"))*S392)+IFERROR(MIN(FILTER({L392, O392, R392}, ISNUMBER({L392, O392, R392}), {L392, O392, R392} &gt; 0)), """")"),0.0)</f>
        <v>0</v>
      </c>
      <c r="U392" s="53" t="str">
        <f>IFERROR(__xludf.DUMMYFUNCTION("(T392-(IFERROR(MIN(FILTER({L392, O392, R392}, ISNUMBER({L392, O392, R392}), {L392, O392, R392} &gt; 0)), """")))/T392"),"#DIV/0!")</f>
        <v>#DIV/0!</v>
      </c>
    </row>
    <row r="393">
      <c r="A393" s="175"/>
      <c r="B393" s="175"/>
      <c r="C393" s="175"/>
      <c r="D393" s="176"/>
      <c r="E393" s="175"/>
      <c r="F393" s="175"/>
      <c r="G393" s="175"/>
      <c r="H393" s="175"/>
      <c r="I393" s="175"/>
      <c r="J393" s="177"/>
      <c r="K393" s="177"/>
      <c r="L393" s="177"/>
      <c r="M393" s="177"/>
      <c r="N393" s="177"/>
      <c r="O393" s="177"/>
      <c r="P393" s="177"/>
      <c r="Q393" s="177"/>
      <c r="R393" s="177"/>
      <c r="S393" s="163"/>
      <c r="T393" s="178"/>
      <c r="U393" s="123" t="str">
        <f t="shared" ref="U393:U988" si="1">(T393-L393)/T393</f>
        <v>#DIV/0!</v>
      </c>
    </row>
    <row r="394">
      <c r="A394" s="175"/>
      <c r="B394" s="175"/>
      <c r="C394" s="175"/>
      <c r="D394" s="176"/>
      <c r="E394" s="175"/>
      <c r="F394" s="175"/>
      <c r="G394" s="175"/>
      <c r="H394" s="175"/>
      <c r="I394" s="175"/>
      <c r="J394" s="177"/>
      <c r="K394" s="177"/>
      <c r="L394" s="177"/>
      <c r="M394" s="177"/>
      <c r="N394" s="177"/>
      <c r="O394" s="177"/>
      <c r="P394" s="177"/>
      <c r="Q394" s="177"/>
      <c r="R394" s="177"/>
      <c r="S394" s="163"/>
      <c r="T394" s="178"/>
      <c r="U394" s="123" t="str">
        <f t="shared" si="1"/>
        <v>#DIV/0!</v>
      </c>
    </row>
    <row r="395">
      <c r="A395" s="175"/>
      <c r="B395" s="175"/>
      <c r="C395" s="175"/>
      <c r="D395" s="176"/>
      <c r="E395" s="175"/>
      <c r="F395" s="175"/>
      <c r="G395" s="175"/>
      <c r="H395" s="175"/>
      <c r="I395" s="175"/>
      <c r="J395" s="177"/>
      <c r="K395" s="177"/>
      <c r="L395" s="177"/>
      <c r="M395" s="177"/>
      <c r="N395" s="177"/>
      <c r="O395" s="177"/>
      <c r="P395" s="177"/>
      <c r="Q395" s="177"/>
      <c r="R395" s="177"/>
      <c r="S395" s="163"/>
      <c r="T395" s="178"/>
      <c r="U395" s="123" t="str">
        <f t="shared" si="1"/>
        <v>#DIV/0!</v>
      </c>
    </row>
    <row r="396">
      <c r="A396" s="175"/>
      <c r="B396" s="175"/>
      <c r="C396" s="175"/>
      <c r="D396" s="176"/>
      <c r="E396" s="175"/>
      <c r="F396" s="175"/>
      <c r="G396" s="175"/>
      <c r="H396" s="175"/>
      <c r="I396" s="175"/>
      <c r="J396" s="177"/>
      <c r="K396" s="177"/>
      <c r="L396" s="177"/>
      <c r="M396" s="177"/>
      <c r="N396" s="177"/>
      <c r="O396" s="177"/>
      <c r="P396" s="177"/>
      <c r="Q396" s="177"/>
      <c r="R396" s="177"/>
      <c r="S396" s="163"/>
      <c r="T396" s="178"/>
      <c r="U396" s="123" t="str">
        <f t="shared" si="1"/>
        <v>#DIV/0!</v>
      </c>
    </row>
    <row r="397">
      <c r="A397" s="175"/>
      <c r="B397" s="175"/>
      <c r="C397" s="175"/>
      <c r="D397" s="176"/>
      <c r="E397" s="175"/>
      <c r="F397" s="175"/>
      <c r="G397" s="175"/>
      <c r="H397" s="175"/>
      <c r="I397" s="175"/>
      <c r="J397" s="177"/>
      <c r="K397" s="177"/>
      <c r="L397" s="177"/>
      <c r="M397" s="177"/>
      <c r="N397" s="177"/>
      <c r="O397" s="177"/>
      <c r="P397" s="177"/>
      <c r="Q397" s="177"/>
      <c r="R397" s="177"/>
      <c r="S397" s="163"/>
      <c r="T397" s="178"/>
      <c r="U397" s="123" t="str">
        <f t="shared" si="1"/>
        <v>#DIV/0!</v>
      </c>
    </row>
    <row r="398">
      <c r="A398" s="175"/>
      <c r="B398" s="175"/>
      <c r="C398" s="175"/>
      <c r="D398" s="176"/>
      <c r="E398" s="175"/>
      <c r="F398" s="175"/>
      <c r="G398" s="175"/>
      <c r="H398" s="175"/>
      <c r="I398" s="175"/>
      <c r="J398" s="177"/>
      <c r="K398" s="177"/>
      <c r="L398" s="177"/>
      <c r="M398" s="177"/>
      <c r="N398" s="177"/>
      <c r="O398" s="177"/>
      <c r="P398" s="177"/>
      <c r="Q398" s="177"/>
      <c r="R398" s="177"/>
      <c r="S398" s="163"/>
      <c r="T398" s="178"/>
      <c r="U398" s="123" t="str">
        <f t="shared" si="1"/>
        <v>#DIV/0!</v>
      </c>
    </row>
    <row r="399">
      <c r="A399" s="175"/>
      <c r="B399" s="175"/>
      <c r="C399" s="175"/>
      <c r="D399" s="176"/>
      <c r="E399" s="175"/>
      <c r="F399" s="175"/>
      <c r="G399" s="175"/>
      <c r="H399" s="175"/>
      <c r="I399" s="175"/>
      <c r="J399" s="177"/>
      <c r="K399" s="177"/>
      <c r="L399" s="177"/>
      <c r="M399" s="177"/>
      <c r="N399" s="177"/>
      <c r="O399" s="177"/>
      <c r="P399" s="177"/>
      <c r="Q399" s="177"/>
      <c r="R399" s="177"/>
      <c r="S399" s="163"/>
      <c r="T399" s="178"/>
      <c r="U399" s="123" t="str">
        <f t="shared" si="1"/>
        <v>#DIV/0!</v>
      </c>
    </row>
    <row r="400">
      <c r="A400" s="175"/>
      <c r="B400" s="175"/>
      <c r="C400" s="175"/>
      <c r="D400" s="176"/>
      <c r="E400" s="175"/>
      <c r="F400" s="175"/>
      <c r="G400" s="175"/>
      <c r="H400" s="175"/>
      <c r="I400" s="175"/>
      <c r="J400" s="177"/>
      <c r="K400" s="177"/>
      <c r="L400" s="177"/>
      <c r="M400" s="177"/>
      <c r="N400" s="177"/>
      <c r="O400" s="177"/>
      <c r="P400" s="177"/>
      <c r="Q400" s="177"/>
      <c r="R400" s="177"/>
      <c r="S400" s="163"/>
      <c r="T400" s="178"/>
      <c r="U400" s="123" t="str">
        <f t="shared" si="1"/>
        <v>#DIV/0!</v>
      </c>
    </row>
    <row r="401">
      <c r="A401" s="175"/>
      <c r="B401" s="175"/>
      <c r="C401" s="175"/>
      <c r="D401" s="176"/>
      <c r="E401" s="175"/>
      <c r="F401" s="175"/>
      <c r="G401" s="175"/>
      <c r="H401" s="175"/>
      <c r="I401" s="175"/>
      <c r="J401" s="177"/>
      <c r="K401" s="177"/>
      <c r="L401" s="177"/>
      <c r="M401" s="177"/>
      <c r="N401" s="177"/>
      <c r="O401" s="177"/>
      <c r="P401" s="177"/>
      <c r="Q401" s="177"/>
      <c r="R401" s="177"/>
      <c r="S401" s="163"/>
      <c r="T401" s="178"/>
      <c r="U401" s="123" t="str">
        <f t="shared" si="1"/>
        <v>#DIV/0!</v>
      </c>
    </row>
    <row r="402">
      <c r="A402" s="175"/>
      <c r="B402" s="175"/>
      <c r="C402" s="175"/>
      <c r="D402" s="176"/>
      <c r="E402" s="175"/>
      <c r="F402" s="175"/>
      <c r="G402" s="175"/>
      <c r="H402" s="175"/>
      <c r="I402" s="175"/>
      <c r="J402" s="177"/>
      <c r="K402" s="177"/>
      <c r="L402" s="177"/>
      <c r="M402" s="177"/>
      <c r="N402" s="177"/>
      <c r="O402" s="177"/>
      <c r="P402" s="177"/>
      <c r="Q402" s="177"/>
      <c r="R402" s="177"/>
      <c r="S402" s="163"/>
      <c r="T402" s="178"/>
      <c r="U402" s="123" t="str">
        <f t="shared" si="1"/>
        <v>#DIV/0!</v>
      </c>
    </row>
    <row r="403">
      <c r="A403" s="175"/>
      <c r="B403" s="175"/>
      <c r="C403" s="175"/>
      <c r="D403" s="176"/>
      <c r="E403" s="175"/>
      <c r="F403" s="175"/>
      <c r="G403" s="175"/>
      <c r="H403" s="175"/>
      <c r="I403" s="175"/>
      <c r="J403" s="177"/>
      <c r="K403" s="177"/>
      <c r="L403" s="177"/>
      <c r="M403" s="177"/>
      <c r="N403" s="177"/>
      <c r="O403" s="177"/>
      <c r="P403" s="177"/>
      <c r="Q403" s="177"/>
      <c r="R403" s="177"/>
      <c r="S403" s="163"/>
      <c r="T403" s="178"/>
      <c r="U403" s="123" t="str">
        <f t="shared" si="1"/>
        <v>#DIV/0!</v>
      </c>
    </row>
    <row r="404">
      <c r="A404" s="175"/>
      <c r="B404" s="175"/>
      <c r="C404" s="175"/>
      <c r="D404" s="176"/>
      <c r="E404" s="175"/>
      <c r="F404" s="175"/>
      <c r="G404" s="175"/>
      <c r="H404" s="175"/>
      <c r="I404" s="175"/>
      <c r="J404" s="177"/>
      <c r="K404" s="177"/>
      <c r="L404" s="177"/>
      <c r="M404" s="177"/>
      <c r="N404" s="177"/>
      <c r="O404" s="177"/>
      <c r="P404" s="177"/>
      <c r="Q404" s="177"/>
      <c r="R404" s="177"/>
      <c r="S404" s="163"/>
      <c r="T404" s="178"/>
      <c r="U404" s="123" t="str">
        <f t="shared" si="1"/>
        <v>#DIV/0!</v>
      </c>
    </row>
    <row r="405">
      <c r="A405" s="175"/>
      <c r="B405" s="175"/>
      <c r="C405" s="175"/>
      <c r="D405" s="176"/>
      <c r="E405" s="175"/>
      <c r="F405" s="175"/>
      <c r="G405" s="175"/>
      <c r="H405" s="175"/>
      <c r="I405" s="175"/>
      <c r="J405" s="177"/>
      <c r="K405" s="177"/>
      <c r="L405" s="177"/>
      <c r="M405" s="177"/>
      <c r="N405" s="177"/>
      <c r="O405" s="177"/>
      <c r="P405" s="177"/>
      <c r="Q405" s="177"/>
      <c r="R405" s="177"/>
      <c r="S405" s="163"/>
      <c r="T405" s="178"/>
      <c r="U405" s="123" t="str">
        <f t="shared" si="1"/>
        <v>#DIV/0!</v>
      </c>
    </row>
    <row r="406">
      <c r="A406" s="175"/>
      <c r="B406" s="175"/>
      <c r="C406" s="175"/>
      <c r="D406" s="176"/>
      <c r="E406" s="175"/>
      <c r="F406" s="175"/>
      <c r="G406" s="175"/>
      <c r="H406" s="175"/>
      <c r="I406" s="175"/>
      <c r="J406" s="177"/>
      <c r="K406" s="177"/>
      <c r="L406" s="177"/>
      <c r="M406" s="177"/>
      <c r="N406" s="177"/>
      <c r="O406" s="177"/>
      <c r="P406" s="177"/>
      <c r="Q406" s="177"/>
      <c r="R406" s="177"/>
      <c r="S406" s="163"/>
      <c r="T406" s="178"/>
      <c r="U406" s="123" t="str">
        <f t="shared" si="1"/>
        <v>#DIV/0!</v>
      </c>
    </row>
    <row r="407">
      <c r="A407" s="175"/>
      <c r="B407" s="175"/>
      <c r="C407" s="175"/>
      <c r="D407" s="176"/>
      <c r="E407" s="175"/>
      <c r="F407" s="175"/>
      <c r="G407" s="175"/>
      <c r="H407" s="175"/>
      <c r="I407" s="175"/>
      <c r="J407" s="177"/>
      <c r="K407" s="177"/>
      <c r="L407" s="177"/>
      <c r="M407" s="177"/>
      <c r="N407" s="177"/>
      <c r="O407" s="177"/>
      <c r="P407" s="177"/>
      <c r="Q407" s="177"/>
      <c r="R407" s="177"/>
      <c r="S407" s="163"/>
      <c r="T407" s="178"/>
      <c r="U407" s="123" t="str">
        <f t="shared" si="1"/>
        <v>#DIV/0!</v>
      </c>
    </row>
    <row r="408">
      <c r="A408" s="175"/>
      <c r="B408" s="175"/>
      <c r="C408" s="175"/>
      <c r="D408" s="176"/>
      <c r="E408" s="175"/>
      <c r="F408" s="175"/>
      <c r="G408" s="175"/>
      <c r="H408" s="175"/>
      <c r="I408" s="175"/>
      <c r="J408" s="177"/>
      <c r="K408" s="177"/>
      <c r="L408" s="177"/>
      <c r="M408" s="177"/>
      <c r="N408" s="177"/>
      <c r="O408" s="177"/>
      <c r="P408" s="177"/>
      <c r="Q408" s="177"/>
      <c r="R408" s="177"/>
      <c r="S408" s="163"/>
      <c r="T408" s="178"/>
      <c r="U408" s="123" t="str">
        <f t="shared" si="1"/>
        <v>#DIV/0!</v>
      </c>
    </row>
    <row r="409">
      <c r="A409" s="175"/>
      <c r="B409" s="175"/>
      <c r="C409" s="175"/>
      <c r="D409" s="176"/>
      <c r="E409" s="175"/>
      <c r="F409" s="175"/>
      <c r="G409" s="175"/>
      <c r="H409" s="175"/>
      <c r="I409" s="175"/>
      <c r="J409" s="177"/>
      <c r="K409" s="177"/>
      <c r="L409" s="177"/>
      <c r="M409" s="177"/>
      <c r="N409" s="177"/>
      <c r="O409" s="177"/>
      <c r="P409" s="177"/>
      <c r="Q409" s="177"/>
      <c r="R409" s="177"/>
      <c r="S409" s="163"/>
      <c r="T409" s="178"/>
      <c r="U409" s="123" t="str">
        <f t="shared" si="1"/>
        <v>#DIV/0!</v>
      </c>
    </row>
    <row r="410">
      <c r="A410" s="175"/>
      <c r="B410" s="175"/>
      <c r="C410" s="175"/>
      <c r="D410" s="176"/>
      <c r="E410" s="175"/>
      <c r="F410" s="175"/>
      <c r="G410" s="175"/>
      <c r="H410" s="175"/>
      <c r="I410" s="175"/>
      <c r="J410" s="177"/>
      <c r="K410" s="177"/>
      <c r="L410" s="177"/>
      <c r="M410" s="177"/>
      <c r="N410" s="177"/>
      <c r="O410" s="177"/>
      <c r="P410" s="177"/>
      <c r="Q410" s="177"/>
      <c r="R410" s="177"/>
      <c r="S410" s="163"/>
      <c r="T410" s="178"/>
      <c r="U410" s="123" t="str">
        <f t="shared" si="1"/>
        <v>#DIV/0!</v>
      </c>
    </row>
    <row r="411">
      <c r="A411" s="175"/>
      <c r="B411" s="175"/>
      <c r="C411" s="175"/>
      <c r="D411" s="176"/>
      <c r="E411" s="175"/>
      <c r="F411" s="175"/>
      <c r="G411" s="175"/>
      <c r="H411" s="175"/>
      <c r="I411" s="175"/>
      <c r="J411" s="177"/>
      <c r="K411" s="177"/>
      <c r="L411" s="177"/>
      <c r="M411" s="177"/>
      <c r="N411" s="177"/>
      <c r="O411" s="177"/>
      <c r="P411" s="177"/>
      <c r="Q411" s="177"/>
      <c r="R411" s="177"/>
      <c r="S411" s="163"/>
      <c r="T411" s="178"/>
      <c r="U411" s="123" t="str">
        <f t="shared" si="1"/>
        <v>#DIV/0!</v>
      </c>
    </row>
    <row r="412">
      <c r="A412" s="175"/>
      <c r="B412" s="175"/>
      <c r="C412" s="175"/>
      <c r="D412" s="176"/>
      <c r="E412" s="175"/>
      <c r="F412" s="175"/>
      <c r="G412" s="175"/>
      <c r="H412" s="175"/>
      <c r="I412" s="175"/>
      <c r="J412" s="177"/>
      <c r="K412" s="177"/>
      <c r="L412" s="177"/>
      <c r="M412" s="177"/>
      <c r="N412" s="177"/>
      <c r="O412" s="177"/>
      <c r="P412" s="177"/>
      <c r="Q412" s="177"/>
      <c r="R412" s="177"/>
      <c r="S412" s="163"/>
      <c r="T412" s="178"/>
      <c r="U412" s="123" t="str">
        <f t="shared" si="1"/>
        <v>#DIV/0!</v>
      </c>
    </row>
    <row r="413">
      <c r="A413" s="175"/>
      <c r="B413" s="175"/>
      <c r="C413" s="175"/>
      <c r="D413" s="176"/>
      <c r="E413" s="175"/>
      <c r="F413" s="175"/>
      <c r="G413" s="175"/>
      <c r="H413" s="175"/>
      <c r="I413" s="175"/>
      <c r="J413" s="177"/>
      <c r="K413" s="177"/>
      <c r="L413" s="177"/>
      <c r="M413" s="177"/>
      <c r="N413" s="177"/>
      <c r="O413" s="177"/>
      <c r="P413" s="177"/>
      <c r="Q413" s="177"/>
      <c r="R413" s="177"/>
      <c r="S413" s="163"/>
      <c r="T413" s="178"/>
      <c r="U413" s="123" t="str">
        <f t="shared" si="1"/>
        <v>#DIV/0!</v>
      </c>
    </row>
    <row r="414">
      <c r="A414" s="175"/>
      <c r="B414" s="175"/>
      <c r="C414" s="175"/>
      <c r="D414" s="176"/>
      <c r="E414" s="175"/>
      <c r="F414" s="175"/>
      <c r="G414" s="175"/>
      <c r="H414" s="175"/>
      <c r="I414" s="175"/>
      <c r="J414" s="177"/>
      <c r="K414" s="177"/>
      <c r="L414" s="177"/>
      <c r="M414" s="177"/>
      <c r="N414" s="177"/>
      <c r="O414" s="177"/>
      <c r="P414" s="177"/>
      <c r="Q414" s="177"/>
      <c r="R414" s="177"/>
      <c r="S414" s="163"/>
      <c r="T414" s="178"/>
      <c r="U414" s="123" t="str">
        <f t="shared" si="1"/>
        <v>#DIV/0!</v>
      </c>
    </row>
    <row r="415">
      <c r="A415" s="175"/>
      <c r="B415" s="175"/>
      <c r="C415" s="175"/>
      <c r="D415" s="176"/>
      <c r="E415" s="175"/>
      <c r="F415" s="175"/>
      <c r="G415" s="175"/>
      <c r="H415" s="175"/>
      <c r="I415" s="175"/>
      <c r="J415" s="177"/>
      <c r="K415" s="177"/>
      <c r="L415" s="177"/>
      <c r="M415" s="177"/>
      <c r="N415" s="177"/>
      <c r="O415" s="177"/>
      <c r="P415" s="177"/>
      <c r="Q415" s="177"/>
      <c r="R415" s="177"/>
      <c r="S415" s="163"/>
      <c r="T415" s="178"/>
      <c r="U415" s="123" t="str">
        <f t="shared" si="1"/>
        <v>#DIV/0!</v>
      </c>
    </row>
    <row r="416">
      <c r="A416" s="175"/>
      <c r="B416" s="175"/>
      <c r="C416" s="175"/>
      <c r="D416" s="176"/>
      <c r="E416" s="175"/>
      <c r="F416" s="175"/>
      <c r="G416" s="175"/>
      <c r="H416" s="175"/>
      <c r="I416" s="175"/>
      <c r="J416" s="177"/>
      <c r="K416" s="177"/>
      <c r="L416" s="177"/>
      <c r="M416" s="177"/>
      <c r="N416" s="177"/>
      <c r="O416" s="177"/>
      <c r="P416" s="177"/>
      <c r="Q416" s="177"/>
      <c r="R416" s="177"/>
      <c r="S416" s="163"/>
      <c r="T416" s="178"/>
      <c r="U416" s="123" t="str">
        <f t="shared" si="1"/>
        <v>#DIV/0!</v>
      </c>
    </row>
    <row r="417">
      <c r="A417" s="175"/>
      <c r="B417" s="175"/>
      <c r="C417" s="175"/>
      <c r="D417" s="176"/>
      <c r="E417" s="175"/>
      <c r="F417" s="175"/>
      <c r="G417" s="175"/>
      <c r="H417" s="175"/>
      <c r="I417" s="175"/>
      <c r="J417" s="177"/>
      <c r="K417" s="177"/>
      <c r="L417" s="177"/>
      <c r="M417" s="177"/>
      <c r="N417" s="177"/>
      <c r="O417" s="177"/>
      <c r="P417" s="177"/>
      <c r="Q417" s="177"/>
      <c r="R417" s="177"/>
      <c r="S417" s="163"/>
      <c r="T417" s="178"/>
      <c r="U417" s="123" t="str">
        <f t="shared" si="1"/>
        <v>#DIV/0!</v>
      </c>
    </row>
    <row r="418">
      <c r="A418" s="175"/>
      <c r="B418" s="175"/>
      <c r="C418" s="175"/>
      <c r="D418" s="176"/>
      <c r="E418" s="175"/>
      <c r="F418" s="175"/>
      <c r="G418" s="175"/>
      <c r="H418" s="175"/>
      <c r="I418" s="175"/>
      <c r="J418" s="177"/>
      <c r="K418" s="177"/>
      <c r="L418" s="177"/>
      <c r="M418" s="177"/>
      <c r="N418" s="177"/>
      <c r="O418" s="177"/>
      <c r="P418" s="177"/>
      <c r="Q418" s="177"/>
      <c r="R418" s="177"/>
      <c r="S418" s="163"/>
      <c r="T418" s="178"/>
      <c r="U418" s="123" t="str">
        <f t="shared" si="1"/>
        <v>#DIV/0!</v>
      </c>
    </row>
    <row r="419">
      <c r="A419" s="175"/>
      <c r="B419" s="175"/>
      <c r="C419" s="175"/>
      <c r="D419" s="176"/>
      <c r="E419" s="175"/>
      <c r="F419" s="175"/>
      <c r="G419" s="175"/>
      <c r="H419" s="175"/>
      <c r="I419" s="175"/>
      <c r="J419" s="177"/>
      <c r="K419" s="177"/>
      <c r="L419" s="177"/>
      <c r="M419" s="177"/>
      <c r="N419" s="177"/>
      <c r="O419" s="177"/>
      <c r="P419" s="177"/>
      <c r="Q419" s="177"/>
      <c r="R419" s="177"/>
      <c r="S419" s="163"/>
      <c r="T419" s="178"/>
      <c r="U419" s="123" t="str">
        <f t="shared" si="1"/>
        <v>#DIV/0!</v>
      </c>
    </row>
    <row r="420">
      <c r="A420" s="175"/>
      <c r="B420" s="175"/>
      <c r="C420" s="175"/>
      <c r="D420" s="176"/>
      <c r="E420" s="175"/>
      <c r="F420" s="175"/>
      <c r="G420" s="175"/>
      <c r="H420" s="175"/>
      <c r="I420" s="175"/>
      <c r="J420" s="177"/>
      <c r="K420" s="177"/>
      <c r="L420" s="177"/>
      <c r="M420" s="177"/>
      <c r="N420" s="177"/>
      <c r="O420" s="177"/>
      <c r="P420" s="177"/>
      <c r="Q420" s="177"/>
      <c r="R420" s="177"/>
      <c r="S420" s="163"/>
      <c r="T420" s="178"/>
      <c r="U420" s="123" t="str">
        <f t="shared" si="1"/>
        <v>#DIV/0!</v>
      </c>
    </row>
    <row r="421">
      <c r="A421" s="175"/>
      <c r="B421" s="175"/>
      <c r="C421" s="175"/>
      <c r="D421" s="176"/>
      <c r="E421" s="175"/>
      <c r="F421" s="175"/>
      <c r="G421" s="175"/>
      <c r="H421" s="175"/>
      <c r="I421" s="175"/>
      <c r="J421" s="177"/>
      <c r="K421" s="177"/>
      <c r="L421" s="177"/>
      <c r="M421" s="177"/>
      <c r="N421" s="177"/>
      <c r="O421" s="177"/>
      <c r="P421" s="177"/>
      <c r="Q421" s="177"/>
      <c r="R421" s="177"/>
      <c r="S421" s="163"/>
      <c r="T421" s="178"/>
      <c r="U421" s="123" t="str">
        <f t="shared" si="1"/>
        <v>#DIV/0!</v>
      </c>
    </row>
    <row r="422">
      <c r="A422" s="175"/>
      <c r="B422" s="175"/>
      <c r="C422" s="175"/>
      <c r="D422" s="176"/>
      <c r="E422" s="175"/>
      <c r="F422" s="175"/>
      <c r="G422" s="175"/>
      <c r="H422" s="175"/>
      <c r="I422" s="175"/>
      <c r="J422" s="177"/>
      <c r="K422" s="177"/>
      <c r="L422" s="177"/>
      <c r="M422" s="177"/>
      <c r="N422" s="177"/>
      <c r="O422" s="177"/>
      <c r="P422" s="177"/>
      <c r="Q422" s="177"/>
      <c r="R422" s="177"/>
      <c r="S422" s="163"/>
      <c r="T422" s="178"/>
      <c r="U422" s="123" t="str">
        <f t="shared" si="1"/>
        <v>#DIV/0!</v>
      </c>
    </row>
    <row r="423">
      <c r="A423" s="175"/>
      <c r="B423" s="175"/>
      <c r="C423" s="175"/>
      <c r="D423" s="176"/>
      <c r="E423" s="175"/>
      <c r="F423" s="175"/>
      <c r="G423" s="175"/>
      <c r="H423" s="175"/>
      <c r="I423" s="175"/>
      <c r="J423" s="177"/>
      <c r="K423" s="177"/>
      <c r="L423" s="177"/>
      <c r="M423" s="177"/>
      <c r="N423" s="177"/>
      <c r="O423" s="177"/>
      <c r="P423" s="177"/>
      <c r="Q423" s="177"/>
      <c r="R423" s="177"/>
      <c r="S423" s="163"/>
      <c r="T423" s="178"/>
      <c r="U423" s="123" t="str">
        <f t="shared" si="1"/>
        <v>#DIV/0!</v>
      </c>
    </row>
    <row r="424">
      <c r="A424" s="175"/>
      <c r="B424" s="175"/>
      <c r="C424" s="175"/>
      <c r="D424" s="176"/>
      <c r="E424" s="175"/>
      <c r="F424" s="175"/>
      <c r="G424" s="175"/>
      <c r="H424" s="175"/>
      <c r="I424" s="175"/>
      <c r="J424" s="177"/>
      <c r="K424" s="177"/>
      <c r="L424" s="177"/>
      <c r="M424" s="177"/>
      <c r="N424" s="177"/>
      <c r="O424" s="177"/>
      <c r="P424" s="177"/>
      <c r="Q424" s="177"/>
      <c r="R424" s="177"/>
      <c r="S424" s="163"/>
      <c r="T424" s="178"/>
      <c r="U424" s="123" t="str">
        <f t="shared" si="1"/>
        <v>#DIV/0!</v>
      </c>
    </row>
    <row r="425">
      <c r="A425" s="175"/>
      <c r="B425" s="175"/>
      <c r="C425" s="175"/>
      <c r="D425" s="176"/>
      <c r="E425" s="175"/>
      <c r="F425" s="175"/>
      <c r="G425" s="175"/>
      <c r="H425" s="175"/>
      <c r="I425" s="175"/>
      <c r="J425" s="177"/>
      <c r="K425" s="177"/>
      <c r="L425" s="177"/>
      <c r="M425" s="177"/>
      <c r="N425" s="177"/>
      <c r="O425" s="177"/>
      <c r="P425" s="177"/>
      <c r="Q425" s="177"/>
      <c r="R425" s="177"/>
      <c r="S425" s="163"/>
      <c r="T425" s="178"/>
      <c r="U425" s="123" t="str">
        <f t="shared" si="1"/>
        <v>#DIV/0!</v>
      </c>
    </row>
    <row r="426">
      <c r="A426" s="175"/>
      <c r="B426" s="175"/>
      <c r="C426" s="175"/>
      <c r="D426" s="176"/>
      <c r="E426" s="175"/>
      <c r="F426" s="175"/>
      <c r="G426" s="175"/>
      <c r="H426" s="175"/>
      <c r="I426" s="175"/>
      <c r="J426" s="177"/>
      <c r="K426" s="177"/>
      <c r="L426" s="177"/>
      <c r="M426" s="177"/>
      <c r="N426" s="177"/>
      <c r="O426" s="177"/>
      <c r="P426" s="177"/>
      <c r="Q426" s="177"/>
      <c r="R426" s="177"/>
      <c r="S426" s="163"/>
      <c r="T426" s="178"/>
      <c r="U426" s="123" t="str">
        <f t="shared" si="1"/>
        <v>#DIV/0!</v>
      </c>
    </row>
    <row r="427">
      <c r="A427" s="175"/>
      <c r="B427" s="175"/>
      <c r="C427" s="175"/>
      <c r="D427" s="176"/>
      <c r="E427" s="175"/>
      <c r="F427" s="175"/>
      <c r="G427" s="175"/>
      <c r="H427" s="175"/>
      <c r="I427" s="175"/>
      <c r="J427" s="177"/>
      <c r="K427" s="177"/>
      <c r="L427" s="177"/>
      <c r="M427" s="177"/>
      <c r="N427" s="177"/>
      <c r="O427" s="177"/>
      <c r="P427" s="177"/>
      <c r="Q427" s="177"/>
      <c r="R427" s="177"/>
      <c r="S427" s="163"/>
      <c r="T427" s="178"/>
      <c r="U427" s="123" t="str">
        <f t="shared" si="1"/>
        <v>#DIV/0!</v>
      </c>
    </row>
    <row r="428">
      <c r="A428" s="175"/>
      <c r="B428" s="175"/>
      <c r="C428" s="175"/>
      <c r="D428" s="176"/>
      <c r="E428" s="175"/>
      <c r="F428" s="175"/>
      <c r="G428" s="175"/>
      <c r="H428" s="175"/>
      <c r="I428" s="175"/>
      <c r="J428" s="177"/>
      <c r="K428" s="177"/>
      <c r="L428" s="177"/>
      <c r="M428" s="177"/>
      <c r="N428" s="177"/>
      <c r="O428" s="177"/>
      <c r="P428" s="177"/>
      <c r="Q428" s="177"/>
      <c r="R428" s="177"/>
      <c r="S428" s="163"/>
      <c r="T428" s="178"/>
      <c r="U428" s="123" t="str">
        <f t="shared" si="1"/>
        <v>#DIV/0!</v>
      </c>
    </row>
    <row r="429">
      <c r="A429" s="175"/>
      <c r="B429" s="175"/>
      <c r="C429" s="175"/>
      <c r="D429" s="176"/>
      <c r="E429" s="175"/>
      <c r="F429" s="175"/>
      <c r="G429" s="175"/>
      <c r="H429" s="175"/>
      <c r="I429" s="175"/>
      <c r="J429" s="177"/>
      <c r="K429" s="177"/>
      <c r="L429" s="177"/>
      <c r="M429" s="177"/>
      <c r="N429" s="177"/>
      <c r="O429" s="177"/>
      <c r="P429" s="177"/>
      <c r="Q429" s="177"/>
      <c r="R429" s="177"/>
      <c r="S429" s="163"/>
      <c r="T429" s="178"/>
      <c r="U429" s="123" t="str">
        <f t="shared" si="1"/>
        <v>#DIV/0!</v>
      </c>
    </row>
    <row r="430">
      <c r="A430" s="175"/>
      <c r="B430" s="175"/>
      <c r="C430" s="175"/>
      <c r="D430" s="176"/>
      <c r="E430" s="175"/>
      <c r="F430" s="175"/>
      <c r="G430" s="175"/>
      <c r="H430" s="175"/>
      <c r="I430" s="175"/>
      <c r="J430" s="177"/>
      <c r="K430" s="177"/>
      <c r="L430" s="177"/>
      <c r="M430" s="177"/>
      <c r="N430" s="177"/>
      <c r="O430" s="177"/>
      <c r="P430" s="177"/>
      <c r="Q430" s="177"/>
      <c r="R430" s="177"/>
      <c r="S430" s="163"/>
      <c r="T430" s="178"/>
      <c r="U430" s="123" t="str">
        <f t="shared" si="1"/>
        <v>#DIV/0!</v>
      </c>
    </row>
    <row r="431">
      <c r="A431" s="175"/>
      <c r="B431" s="175"/>
      <c r="C431" s="175"/>
      <c r="D431" s="176"/>
      <c r="E431" s="175"/>
      <c r="F431" s="175"/>
      <c r="G431" s="175"/>
      <c r="H431" s="175"/>
      <c r="I431" s="175"/>
      <c r="J431" s="177"/>
      <c r="K431" s="177"/>
      <c r="L431" s="177"/>
      <c r="M431" s="177"/>
      <c r="N431" s="177"/>
      <c r="O431" s="177"/>
      <c r="P431" s="177"/>
      <c r="Q431" s="177"/>
      <c r="R431" s="177"/>
      <c r="S431" s="163"/>
      <c r="T431" s="178"/>
      <c r="U431" s="123" t="str">
        <f t="shared" si="1"/>
        <v>#DIV/0!</v>
      </c>
    </row>
    <row r="432">
      <c r="A432" s="175"/>
      <c r="B432" s="175"/>
      <c r="C432" s="175"/>
      <c r="D432" s="176"/>
      <c r="E432" s="175"/>
      <c r="F432" s="175"/>
      <c r="G432" s="175"/>
      <c r="H432" s="175"/>
      <c r="I432" s="175"/>
      <c r="J432" s="177"/>
      <c r="K432" s="177"/>
      <c r="L432" s="177"/>
      <c r="M432" s="177"/>
      <c r="N432" s="177"/>
      <c r="O432" s="177"/>
      <c r="P432" s="177"/>
      <c r="Q432" s="177"/>
      <c r="R432" s="177"/>
      <c r="S432" s="163"/>
      <c r="T432" s="178"/>
      <c r="U432" s="123" t="str">
        <f t="shared" si="1"/>
        <v>#DIV/0!</v>
      </c>
    </row>
    <row r="433">
      <c r="A433" s="175"/>
      <c r="B433" s="175"/>
      <c r="C433" s="175"/>
      <c r="D433" s="176"/>
      <c r="E433" s="175"/>
      <c r="F433" s="175"/>
      <c r="G433" s="175"/>
      <c r="H433" s="175"/>
      <c r="I433" s="175"/>
      <c r="J433" s="177"/>
      <c r="K433" s="177"/>
      <c r="L433" s="177"/>
      <c r="M433" s="177"/>
      <c r="N433" s="177"/>
      <c r="O433" s="177"/>
      <c r="P433" s="177"/>
      <c r="Q433" s="177"/>
      <c r="R433" s="177"/>
      <c r="S433" s="163"/>
      <c r="T433" s="178"/>
      <c r="U433" s="123" t="str">
        <f t="shared" si="1"/>
        <v>#DIV/0!</v>
      </c>
    </row>
    <row r="434">
      <c r="A434" s="175"/>
      <c r="B434" s="175"/>
      <c r="C434" s="175"/>
      <c r="D434" s="176"/>
      <c r="E434" s="175"/>
      <c r="F434" s="175"/>
      <c r="G434" s="175"/>
      <c r="H434" s="175"/>
      <c r="I434" s="175"/>
      <c r="J434" s="177"/>
      <c r="K434" s="177"/>
      <c r="L434" s="177"/>
      <c r="M434" s="177"/>
      <c r="N434" s="177"/>
      <c r="O434" s="177"/>
      <c r="P434" s="177"/>
      <c r="Q434" s="177"/>
      <c r="R434" s="177"/>
      <c r="S434" s="163"/>
      <c r="T434" s="178"/>
      <c r="U434" s="123" t="str">
        <f t="shared" si="1"/>
        <v>#DIV/0!</v>
      </c>
    </row>
    <row r="435">
      <c r="A435" s="175"/>
      <c r="B435" s="175"/>
      <c r="C435" s="175"/>
      <c r="D435" s="176"/>
      <c r="E435" s="175"/>
      <c r="F435" s="175"/>
      <c r="G435" s="175"/>
      <c r="H435" s="175"/>
      <c r="I435" s="175"/>
      <c r="J435" s="177"/>
      <c r="K435" s="177"/>
      <c r="L435" s="177"/>
      <c r="M435" s="177"/>
      <c r="N435" s="177"/>
      <c r="O435" s="177"/>
      <c r="P435" s="177"/>
      <c r="Q435" s="177"/>
      <c r="R435" s="177"/>
      <c r="S435" s="163"/>
      <c r="T435" s="178"/>
      <c r="U435" s="123" t="str">
        <f t="shared" si="1"/>
        <v>#DIV/0!</v>
      </c>
    </row>
    <row r="436">
      <c r="A436" s="175"/>
      <c r="B436" s="175"/>
      <c r="C436" s="175"/>
      <c r="D436" s="176"/>
      <c r="E436" s="175"/>
      <c r="F436" s="175"/>
      <c r="G436" s="175"/>
      <c r="H436" s="175"/>
      <c r="I436" s="175"/>
      <c r="J436" s="177"/>
      <c r="K436" s="177"/>
      <c r="L436" s="177"/>
      <c r="M436" s="177"/>
      <c r="N436" s="177"/>
      <c r="O436" s="177"/>
      <c r="P436" s="177"/>
      <c r="Q436" s="177"/>
      <c r="R436" s="177"/>
      <c r="S436" s="163"/>
      <c r="T436" s="178"/>
      <c r="U436" s="123" t="str">
        <f t="shared" si="1"/>
        <v>#DIV/0!</v>
      </c>
    </row>
    <row r="437">
      <c r="A437" s="175"/>
      <c r="B437" s="175"/>
      <c r="C437" s="175"/>
      <c r="D437" s="176"/>
      <c r="E437" s="175"/>
      <c r="F437" s="175"/>
      <c r="G437" s="175"/>
      <c r="H437" s="175"/>
      <c r="I437" s="175"/>
      <c r="J437" s="177"/>
      <c r="K437" s="177"/>
      <c r="L437" s="177"/>
      <c r="M437" s="177"/>
      <c r="N437" s="177"/>
      <c r="O437" s="177"/>
      <c r="P437" s="177"/>
      <c r="Q437" s="177"/>
      <c r="R437" s="177"/>
      <c r="S437" s="163"/>
      <c r="T437" s="178"/>
      <c r="U437" s="123" t="str">
        <f t="shared" si="1"/>
        <v>#DIV/0!</v>
      </c>
    </row>
    <row r="438">
      <c r="A438" s="175"/>
      <c r="B438" s="175"/>
      <c r="C438" s="175"/>
      <c r="D438" s="176"/>
      <c r="E438" s="175"/>
      <c r="F438" s="175"/>
      <c r="G438" s="175"/>
      <c r="H438" s="175"/>
      <c r="I438" s="175"/>
      <c r="J438" s="177"/>
      <c r="K438" s="177"/>
      <c r="L438" s="177"/>
      <c r="M438" s="177"/>
      <c r="N438" s="177"/>
      <c r="O438" s="177"/>
      <c r="P438" s="177"/>
      <c r="Q438" s="177"/>
      <c r="R438" s="177"/>
      <c r="S438" s="163"/>
      <c r="T438" s="178"/>
      <c r="U438" s="123" t="str">
        <f t="shared" si="1"/>
        <v>#DIV/0!</v>
      </c>
    </row>
    <row r="439">
      <c r="A439" s="175"/>
      <c r="B439" s="175"/>
      <c r="C439" s="175"/>
      <c r="D439" s="176"/>
      <c r="E439" s="175"/>
      <c r="F439" s="175"/>
      <c r="G439" s="175"/>
      <c r="H439" s="175"/>
      <c r="I439" s="175"/>
      <c r="J439" s="177"/>
      <c r="K439" s="177"/>
      <c r="L439" s="177"/>
      <c r="M439" s="177"/>
      <c r="N439" s="177"/>
      <c r="O439" s="177"/>
      <c r="P439" s="177"/>
      <c r="Q439" s="177"/>
      <c r="R439" s="177"/>
      <c r="S439" s="163"/>
      <c r="T439" s="178"/>
      <c r="U439" s="123" t="str">
        <f t="shared" si="1"/>
        <v>#DIV/0!</v>
      </c>
    </row>
    <row r="440">
      <c r="A440" s="175"/>
      <c r="B440" s="175"/>
      <c r="C440" s="175"/>
      <c r="D440" s="176"/>
      <c r="E440" s="175"/>
      <c r="F440" s="175"/>
      <c r="G440" s="175"/>
      <c r="H440" s="175"/>
      <c r="I440" s="175"/>
      <c r="J440" s="177"/>
      <c r="K440" s="177"/>
      <c r="L440" s="177"/>
      <c r="M440" s="177"/>
      <c r="N440" s="177"/>
      <c r="O440" s="177"/>
      <c r="P440" s="177"/>
      <c r="Q440" s="177"/>
      <c r="R440" s="177"/>
      <c r="S440" s="163"/>
      <c r="T440" s="178"/>
      <c r="U440" s="123" t="str">
        <f t="shared" si="1"/>
        <v>#DIV/0!</v>
      </c>
    </row>
    <row r="441">
      <c r="A441" s="175"/>
      <c r="B441" s="175"/>
      <c r="C441" s="175"/>
      <c r="D441" s="176"/>
      <c r="E441" s="175"/>
      <c r="F441" s="175"/>
      <c r="G441" s="175"/>
      <c r="H441" s="175"/>
      <c r="I441" s="175"/>
      <c r="J441" s="177"/>
      <c r="K441" s="177"/>
      <c r="L441" s="177"/>
      <c r="M441" s="177"/>
      <c r="N441" s="177"/>
      <c r="O441" s="177"/>
      <c r="P441" s="177"/>
      <c r="Q441" s="177"/>
      <c r="R441" s="177"/>
      <c r="S441" s="163"/>
      <c r="T441" s="178"/>
      <c r="U441" s="123" t="str">
        <f t="shared" si="1"/>
        <v>#DIV/0!</v>
      </c>
    </row>
    <row r="442">
      <c r="A442" s="175"/>
      <c r="B442" s="175"/>
      <c r="C442" s="175"/>
      <c r="D442" s="176"/>
      <c r="E442" s="175"/>
      <c r="F442" s="175"/>
      <c r="G442" s="175"/>
      <c r="H442" s="175"/>
      <c r="I442" s="175"/>
      <c r="J442" s="177"/>
      <c r="K442" s="177"/>
      <c r="L442" s="177"/>
      <c r="M442" s="177"/>
      <c r="N442" s="177"/>
      <c r="O442" s="177"/>
      <c r="P442" s="177"/>
      <c r="Q442" s="177"/>
      <c r="R442" s="177"/>
      <c r="S442" s="163"/>
      <c r="T442" s="178"/>
      <c r="U442" s="123" t="str">
        <f t="shared" si="1"/>
        <v>#DIV/0!</v>
      </c>
    </row>
    <row r="443">
      <c r="A443" s="175"/>
      <c r="B443" s="175"/>
      <c r="C443" s="175"/>
      <c r="D443" s="176"/>
      <c r="E443" s="175"/>
      <c r="F443" s="175"/>
      <c r="G443" s="175"/>
      <c r="H443" s="175"/>
      <c r="I443" s="175"/>
      <c r="J443" s="177"/>
      <c r="K443" s="177"/>
      <c r="L443" s="177"/>
      <c r="M443" s="177"/>
      <c r="N443" s="177"/>
      <c r="O443" s="177"/>
      <c r="P443" s="177"/>
      <c r="Q443" s="177"/>
      <c r="R443" s="177"/>
      <c r="S443" s="163"/>
      <c r="T443" s="178"/>
      <c r="U443" s="123" t="str">
        <f t="shared" si="1"/>
        <v>#DIV/0!</v>
      </c>
    </row>
    <row r="444">
      <c r="A444" s="175"/>
      <c r="B444" s="175"/>
      <c r="C444" s="175"/>
      <c r="D444" s="176"/>
      <c r="E444" s="175"/>
      <c r="F444" s="175"/>
      <c r="G444" s="175"/>
      <c r="H444" s="175"/>
      <c r="I444" s="175"/>
      <c r="J444" s="177"/>
      <c r="K444" s="177"/>
      <c r="L444" s="177"/>
      <c r="M444" s="177"/>
      <c r="N444" s="177"/>
      <c r="O444" s="177"/>
      <c r="P444" s="177"/>
      <c r="Q444" s="177"/>
      <c r="R444" s="177"/>
      <c r="S444" s="163"/>
      <c r="T444" s="178"/>
      <c r="U444" s="123" t="str">
        <f t="shared" si="1"/>
        <v>#DIV/0!</v>
      </c>
    </row>
    <row r="445">
      <c r="A445" s="175"/>
      <c r="B445" s="175"/>
      <c r="C445" s="175"/>
      <c r="D445" s="176"/>
      <c r="E445" s="175"/>
      <c r="F445" s="175"/>
      <c r="G445" s="175"/>
      <c r="H445" s="175"/>
      <c r="I445" s="175"/>
      <c r="J445" s="177"/>
      <c r="K445" s="177"/>
      <c r="L445" s="177"/>
      <c r="M445" s="177"/>
      <c r="N445" s="177"/>
      <c r="O445" s="177"/>
      <c r="P445" s="177"/>
      <c r="Q445" s="177"/>
      <c r="R445" s="177"/>
      <c r="S445" s="163"/>
      <c r="T445" s="178"/>
      <c r="U445" s="123" t="str">
        <f t="shared" si="1"/>
        <v>#DIV/0!</v>
      </c>
    </row>
    <row r="446">
      <c r="A446" s="175"/>
      <c r="B446" s="175"/>
      <c r="C446" s="175"/>
      <c r="D446" s="176"/>
      <c r="E446" s="175"/>
      <c r="F446" s="175"/>
      <c r="G446" s="175"/>
      <c r="H446" s="175"/>
      <c r="I446" s="175"/>
      <c r="J446" s="177"/>
      <c r="K446" s="177"/>
      <c r="L446" s="177"/>
      <c r="M446" s="177"/>
      <c r="N446" s="177"/>
      <c r="O446" s="177"/>
      <c r="P446" s="177"/>
      <c r="Q446" s="177"/>
      <c r="R446" s="177"/>
      <c r="S446" s="163"/>
      <c r="T446" s="178"/>
      <c r="U446" s="123" t="str">
        <f t="shared" si="1"/>
        <v>#DIV/0!</v>
      </c>
    </row>
    <row r="447">
      <c r="A447" s="175"/>
      <c r="B447" s="175"/>
      <c r="C447" s="175"/>
      <c r="D447" s="176"/>
      <c r="E447" s="175"/>
      <c r="F447" s="175"/>
      <c r="G447" s="175"/>
      <c r="H447" s="175"/>
      <c r="I447" s="175"/>
      <c r="J447" s="177"/>
      <c r="K447" s="177"/>
      <c r="L447" s="177"/>
      <c r="M447" s="177"/>
      <c r="N447" s="177"/>
      <c r="O447" s="177"/>
      <c r="P447" s="177"/>
      <c r="Q447" s="177"/>
      <c r="R447" s="177"/>
      <c r="S447" s="163"/>
      <c r="T447" s="178"/>
      <c r="U447" s="123" t="str">
        <f t="shared" si="1"/>
        <v>#DIV/0!</v>
      </c>
    </row>
    <row r="448">
      <c r="A448" s="175"/>
      <c r="B448" s="175"/>
      <c r="C448" s="175"/>
      <c r="D448" s="176"/>
      <c r="E448" s="175"/>
      <c r="F448" s="175"/>
      <c r="G448" s="175"/>
      <c r="H448" s="175"/>
      <c r="I448" s="175"/>
      <c r="J448" s="177"/>
      <c r="K448" s="177"/>
      <c r="L448" s="177"/>
      <c r="M448" s="177"/>
      <c r="N448" s="177"/>
      <c r="O448" s="177"/>
      <c r="P448" s="177"/>
      <c r="Q448" s="177"/>
      <c r="R448" s="177"/>
      <c r="S448" s="163"/>
      <c r="T448" s="178"/>
      <c r="U448" s="123" t="str">
        <f t="shared" si="1"/>
        <v>#DIV/0!</v>
      </c>
    </row>
    <row r="449">
      <c r="A449" s="175"/>
      <c r="B449" s="175"/>
      <c r="C449" s="175"/>
      <c r="D449" s="176"/>
      <c r="E449" s="175"/>
      <c r="F449" s="175"/>
      <c r="G449" s="175"/>
      <c r="H449" s="175"/>
      <c r="I449" s="175"/>
      <c r="J449" s="177"/>
      <c r="K449" s="177"/>
      <c r="L449" s="177"/>
      <c r="M449" s="177"/>
      <c r="N449" s="177"/>
      <c r="O449" s="177"/>
      <c r="P449" s="177"/>
      <c r="Q449" s="177"/>
      <c r="R449" s="177"/>
      <c r="S449" s="163"/>
      <c r="T449" s="178"/>
      <c r="U449" s="123" t="str">
        <f t="shared" si="1"/>
        <v>#DIV/0!</v>
      </c>
    </row>
    <row r="450">
      <c r="A450" s="175"/>
      <c r="B450" s="175"/>
      <c r="C450" s="175"/>
      <c r="D450" s="176"/>
      <c r="E450" s="175"/>
      <c r="F450" s="175"/>
      <c r="G450" s="175"/>
      <c r="H450" s="175"/>
      <c r="I450" s="175"/>
      <c r="J450" s="177"/>
      <c r="K450" s="177"/>
      <c r="L450" s="177"/>
      <c r="M450" s="177"/>
      <c r="N450" s="177"/>
      <c r="O450" s="177"/>
      <c r="P450" s="177"/>
      <c r="Q450" s="177"/>
      <c r="R450" s="177"/>
      <c r="S450" s="163"/>
      <c r="T450" s="178"/>
      <c r="U450" s="123" t="str">
        <f t="shared" si="1"/>
        <v>#DIV/0!</v>
      </c>
    </row>
    <row r="451">
      <c r="A451" s="175"/>
      <c r="B451" s="175"/>
      <c r="C451" s="175"/>
      <c r="D451" s="176"/>
      <c r="E451" s="175"/>
      <c r="F451" s="175"/>
      <c r="G451" s="175"/>
      <c r="H451" s="175"/>
      <c r="I451" s="175"/>
      <c r="J451" s="177"/>
      <c r="K451" s="177"/>
      <c r="L451" s="177"/>
      <c r="M451" s="177"/>
      <c r="N451" s="177"/>
      <c r="O451" s="177"/>
      <c r="P451" s="177"/>
      <c r="Q451" s="177"/>
      <c r="R451" s="177"/>
      <c r="S451" s="163"/>
      <c r="T451" s="178"/>
      <c r="U451" s="123" t="str">
        <f t="shared" si="1"/>
        <v>#DIV/0!</v>
      </c>
    </row>
    <row r="452">
      <c r="A452" s="175"/>
      <c r="B452" s="175"/>
      <c r="C452" s="175"/>
      <c r="D452" s="176"/>
      <c r="E452" s="175"/>
      <c r="F452" s="175"/>
      <c r="G452" s="175"/>
      <c r="H452" s="175"/>
      <c r="I452" s="175"/>
      <c r="J452" s="177"/>
      <c r="K452" s="177"/>
      <c r="L452" s="177"/>
      <c r="M452" s="177"/>
      <c r="N452" s="177"/>
      <c r="O452" s="177"/>
      <c r="P452" s="177"/>
      <c r="Q452" s="177"/>
      <c r="R452" s="177"/>
      <c r="S452" s="163"/>
      <c r="T452" s="178"/>
      <c r="U452" s="123" t="str">
        <f t="shared" si="1"/>
        <v>#DIV/0!</v>
      </c>
    </row>
    <row r="453">
      <c r="A453" s="175"/>
      <c r="B453" s="175"/>
      <c r="C453" s="175"/>
      <c r="D453" s="176"/>
      <c r="E453" s="175"/>
      <c r="F453" s="175"/>
      <c r="G453" s="175"/>
      <c r="H453" s="175"/>
      <c r="I453" s="175"/>
      <c r="J453" s="177"/>
      <c r="K453" s="177"/>
      <c r="L453" s="177"/>
      <c r="M453" s="177"/>
      <c r="N453" s="177"/>
      <c r="O453" s="177"/>
      <c r="P453" s="177"/>
      <c r="Q453" s="177"/>
      <c r="R453" s="177"/>
      <c r="S453" s="163"/>
      <c r="T453" s="178"/>
      <c r="U453" s="123" t="str">
        <f t="shared" si="1"/>
        <v>#DIV/0!</v>
      </c>
    </row>
    <row r="454">
      <c r="A454" s="175"/>
      <c r="B454" s="175"/>
      <c r="C454" s="175"/>
      <c r="D454" s="176"/>
      <c r="E454" s="175"/>
      <c r="F454" s="175"/>
      <c r="G454" s="175"/>
      <c r="H454" s="175"/>
      <c r="I454" s="175"/>
      <c r="J454" s="177"/>
      <c r="K454" s="177"/>
      <c r="L454" s="177"/>
      <c r="M454" s="177"/>
      <c r="N454" s="177"/>
      <c r="O454" s="177"/>
      <c r="P454" s="177"/>
      <c r="Q454" s="177"/>
      <c r="R454" s="177"/>
      <c r="S454" s="163"/>
      <c r="T454" s="178"/>
      <c r="U454" s="123" t="str">
        <f t="shared" si="1"/>
        <v>#DIV/0!</v>
      </c>
    </row>
    <row r="455">
      <c r="A455" s="175"/>
      <c r="B455" s="175"/>
      <c r="C455" s="175"/>
      <c r="D455" s="176"/>
      <c r="E455" s="175"/>
      <c r="F455" s="175"/>
      <c r="G455" s="175"/>
      <c r="H455" s="175"/>
      <c r="I455" s="175"/>
      <c r="J455" s="177"/>
      <c r="K455" s="177"/>
      <c r="L455" s="177"/>
      <c r="M455" s="177"/>
      <c r="N455" s="177"/>
      <c r="O455" s="177"/>
      <c r="P455" s="177"/>
      <c r="Q455" s="177"/>
      <c r="R455" s="177"/>
      <c r="S455" s="163"/>
      <c r="T455" s="178"/>
      <c r="U455" s="123" t="str">
        <f t="shared" si="1"/>
        <v>#DIV/0!</v>
      </c>
    </row>
    <row r="456">
      <c r="A456" s="175"/>
      <c r="B456" s="175"/>
      <c r="C456" s="175"/>
      <c r="D456" s="176"/>
      <c r="E456" s="175"/>
      <c r="F456" s="175"/>
      <c r="G456" s="175"/>
      <c r="H456" s="175"/>
      <c r="I456" s="175"/>
      <c r="J456" s="177"/>
      <c r="K456" s="177"/>
      <c r="L456" s="177"/>
      <c r="M456" s="177"/>
      <c r="N456" s="177"/>
      <c r="O456" s="177"/>
      <c r="P456" s="177"/>
      <c r="Q456" s="177"/>
      <c r="R456" s="177"/>
      <c r="S456" s="163"/>
      <c r="T456" s="178"/>
      <c r="U456" s="123" t="str">
        <f t="shared" si="1"/>
        <v>#DIV/0!</v>
      </c>
    </row>
    <row r="457">
      <c r="A457" s="175"/>
      <c r="B457" s="175"/>
      <c r="C457" s="175"/>
      <c r="D457" s="176"/>
      <c r="E457" s="175"/>
      <c r="F457" s="175"/>
      <c r="G457" s="175"/>
      <c r="H457" s="175"/>
      <c r="I457" s="175"/>
      <c r="J457" s="177"/>
      <c r="K457" s="177"/>
      <c r="L457" s="177"/>
      <c r="M457" s="177"/>
      <c r="N457" s="177"/>
      <c r="O457" s="177"/>
      <c r="P457" s="177"/>
      <c r="Q457" s="177"/>
      <c r="R457" s="177"/>
      <c r="S457" s="163"/>
      <c r="T457" s="178"/>
      <c r="U457" s="123" t="str">
        <f t="shared" si="1"/>
        <v>#DIV/0!</v>
      </c>
    </row>
    <row r="458">
      <c r="A458" s="175"/>
      <c r="B458" s="175"/>
      <c r="C458" s="175"/>
      <c r="D458" s="176"/>
      <c r="E458" s="175"/>
      <c r="F458" s="175"/>
      <c r="G458" s="175"/>
      <c r="H458" s="175"/>
      <c r="I458" s="175"/>
      <c r="J458" s="177"/>
      <c r="K458" s="177"/>
      <c r="L458" s="177"/>
      <c r="M458" s="177"/>
      <c r="N458" s="177"/>
      <c r="O458" s="177"/>
      <c r="P458" s="177"/>
      <c r="Q458" s="177"/>
      <c r="R458" s="177"/>
      <c r="S458" s="163"/>
      <c r="T458" s="178"/>
      <c r="U458" s="123" t="str">
        <f t="shared" si="1"/>
        <v>#DIV/0!</v>
      </c>
    </row>
    <row r="459">
      <c r="A459" s="175"/>
      <c r="B459" s="175"/>
      <c r="C459" s="175"/>
      <c r="D459" s="176"/>
      <c r="E459" s="175"/>
      <c r="F459" s="175"/>
      <c r="G459" s="175"/>
      <c r="H459" s="175"/>
      <c r="I459" s="175"/>
      <c r="J459" s="177"/>
      <c r="K459" s="177"/>
      <c r="L459" s="177"/>
      <c r="M459" s="177"/>
      <c r="N459" s="177"/>
      <c r="O459" s="177"/>
      <c r="P459" s="177"/>
      <c r="Q459" s="177"/>
      <c r="R459" s="177"/>
      <c r="S459" s="163"/>
      <c r="T459" s="178"/>
      <c r="U459" s="123" t="str">
        <f t="shared" si="1"/>
        <v>#DIV/0!</v>
      </c>
    </row>
    <row r="460">
      <c r="A460" s="175"/>
      <c r="B460" s="175"/>
      <c r="C460" s="175"/>
      <c r="D460" s="176"/>
      <c r="E460" s="175"/>
      <c r="F460" s="175"/>
      <c r="G460" s="175"/>
      <c r="H460" s="175"/>
      <c r="I460" s="175"/>
      <c r="J460" s="177"/>
      <c r="K460" s="177"/>
      <c r="L460" s="177"/>
      <c r="M460" s="177"/>
      <c r="N460" s="177"/>
      <c r="O460" s="177"/>
      <c r="P460" s="177"/>
      <c r="Q460" s="177"/>
      <c r="R460" s="177"/>
      <c r="S460" s="163"/>
      <c r="T460" s="178"/>
      <c r="U460" s="123" t="str">
        <f t="shared" si="1"/>
        <v>#DIV/0!</v>
      </c>
    </row>
    <row r="461">
      <c r="A461" s="175"/>
      <c r="B461" s="175"/>
      <c r="C461" s="175"/>
      <c r="D461" s="176"/>
      <c r="E461" s="175"/>
      <c r="F461" s="175"/>
      <c r="G461" s="175"/>
      <c r="H461" s="175"/>
      <c r="I461" s="175"/>
      <c r="J461" s="177"/>
      <c r="K461" s="177"/>
      <c r="L461" s="177"/>
      <c r="M461" s="177"/>
      <c r="N461" s="177"/>
      <c r="O461" s="177"/>
      <c r="P461" s="177"/>
      <c r="Q461" s="177"/>
      <c r="R461" s="177"/>
      <c r="S461" s="163"/>
      <c r="T461" s="178"/>
      <c r="U461" s="123" t="str">
        <f t="shared" si="1"/>
        <v>#DIV/0!</v>
      </c>
    </row>
    <row r="462">
      <c r="A462" s="175"/>
      <c r="B462" s="175"/>
      <c r="C462" s="175"/>
      <c r="D462" s="176"/>
      <c r="E462" s="175"/>
      <c r="F462" s="175"/>
      <c r="G462" s="175"/>
      <c r="H462" s="175"/>
      <c r="I462" s="175"/>
      <c r="J462" s="177"/>
      <c r="K462" s="177"/>
      <c r="L462" s="177"/>
      <c r="M462" s="177"/>
      <c r="N462" s="177"/>
      <c r="O462" s="177"/>
      <c r="P462" s="177"/>
      <c r="Q462" s="177"/>
      <c r="R462" s="177"/>
      <c r="S462" s="163"/>
      <c r="T462" s="178"/>
      <c r="U462" s="123" t="str">
        <f t="shared" si="1"/>
        <v>#DIV/0!</v>
      </c>
    </row>
    <row r="463">
      <c r="A463" s="175"/>
      <c r="B463" s="175"/>
      <c r="C463" s="175"/>
      <c r="D463" s="176"/>
      <c r="E463" s="175"/>
      <c r="F463" s="175"/>
      <c r="G463" s="175"/>
      <c r="H463" s="175"/>
      <c r="I463" s="175"/>
      <c r="J463" s="177"/>
      <c r="K463" s="177"/>
      <c r="L463" s="177"/>
      <c r="M463" s="177"/>
      <c r="N463" s="177"/>
      <c r="O463" s="177"/>
      <c r="P463" s="177"/>
      <c r="Q463" s="177"/>
      <c r="R463" s="177"/>
      <c r="S463" s="163"/>
      <c r="T463" s="178"/>
      <c r="U463" s="123" t="str">
        <f t="shared" si="1"/>
        <v>#DIV/0!</v>
      </c>
    </row>
    <row r="464">
      <c r="A464" s="175"/>
      <c r="B464" s="175"/>
      <c r="C464" s="175"/>
      <c r="D464" s="176"/>
      <c r="E464" s="175"/>
      <c r="F464" s="175"/>
      <c r="G464" s="175"/>
      <c r="H464" s="175"/>
      <c r="I464" s="175"/>
      <c r="J464" s="177"/>
      <c r="K464" s="177"/>
      <c r="L464" s="177"/>
      <c r="M464" s="177"/>
      <c r="N464" s="177"/>
      <c r="O464" s="177"/>
      <c r="P464" s="177"/>
      <c r="Q464" s="177"/>
      <c r="R464" s="177"/>
      <c r="S464" s="163"/>
      <c r="T464" s="178"/>
      <c r="U464" s="123" t="str">
        <f t="shared" si="1"/>
        <v>#DIV/0!</v>
      </c>
    </row>
    <row r="465">
      <c r="A465" s="175"/>
      <c r="B465" s="175"/>
      <c r="C465" s="175"/>
      <c r="D465" s="176"/>
      <c r="E465" s="175"/>
      <c r="F465" s="175"/>
      <c r="G465" s="175"/>
      <c r="H465" s="175"/>
      <c r="I465" s="175"/>
      <c r="J465" s="177"/>
      <c r="K465" s="177"/>
      <c r="L465" s="177"/>
      <c r="M465" s="177"/>
      <c r="N465" s="177"/>
      <c r="O465" s="177"/>
      <c r="P465" s="177"/>
      <c r="Q465" s="177"/>
      <c r="R465" s="177"/>
      <c r="S465" s="163"/>
      <c r="T465" s="178"/>
      <c r="U465" s="123" t="str">
        <f t="shared" si="1"/>
        <v>#DIV/0!</v>
      </c>
    </row>
    <row r="466">
      <c r="A466" s="175"/>
      <c r="B466" s="175"/>
      <c r="C466" s="175"/>
      <c r="D466" s="176"/>
      <c r="E466" s="175"/>
      <c r="F466" s="175"/>
      <c r="G466" s="175"/>
      <c r="H466" s="175"/>
      <c r="I466" s="175"/>
      <c r="J466" s="177"/>
      <c r="K466" s="177"/>
      <c r="L466" s="177"/>
      <c r="M466" s="177"/>
      <c r="N466" s="177"/>
      <c r="O466" s="177"/>
      <c r="P466" s="177"/>
      <c r="Q466" s="177"/>
      <c r="R466" s="177"/>
      <c r="S466" s="163"/>
      <c r="T466" s="178"/>
      <c r="U466" s="123" t="str">
        <f t="shared" si="1"/>
        <v>#DIV/0!</v>
      </c>
    </row>
    <row r="467">
      <c r="A467" s="175"/>
      <c r="B467" s="175"/>
      <c r="C467" s="175"/>
      <c r="D467" s="176"/>
      <c r="E467" s="175"/>
      <c r="F467" s="175"/>
      <c r="G467" s="175"/>
      <c r="H467" s="175"/>
      <c r="I467" s="175"/>
      <c r="J467" s="177"/>
      <c r="K467" s="177"/>
      <c r="L467" s="177"/>
      <c r="M467" s="177"/>
      <c r="N467" s="177"/>
      <c r="O467" s="177"/>
      <c r="P467" s="177"/>
      <c r="Q467" s="177"/>
      <c r="R467" s="177"/>
      <c r="S467" s="163"/>
      <c r="T467" s="178"/>
      <c r="U467" s="123" t="str">
        <f t="shared" si="1"/>
        <v>#DIV/0!</v>
      </c>
    </row>
    <row r="468">
      <c r="A468" s="175"/>
      <c r="B468" s="175"/>
      <c r="C468" s="175"/>
      <c r="D468" s="176"/>
      <c r="E468" s="175"/>
      <c r="F468" s="175"/>
      <c r="G468" s="175"/>
      <c r="H468" s="175"/>
      <c r="I468" s="175"/>
      <c r="J468" s="177"/>
      <c r="K468" s="177"/>
      <c r="L468" s="177"/>
      <c r="M468" s="177"/>
      <c r="N468" s="177"/>
      <c r="O468" s="177"/>
      <c r="P468" s="177"/>
      <c r="Q468" s="177"/>
      <c r="R468" s="177"/>
      <c r="S468" s="163"/>
      <c r="T468" s="178"/>
      <c r="U468" s="123" t="str">
        <f t="shared" si="1"/>
        <v>#DIV/0!</v>
      </c>
    </row>
    <row r="469">
      <c r="A469" s="175"/>
      <c r="B469" s="175"/>
      <c r="C469" s="175"/>
      <c r="D469" s="176"/>
      <c r="E469" s="175"/>
      <c r="F469" s="175"/>
      <c r="G469" s="175"/>
      <c r="H469" s="175"/>
      <c r="I469" s="175"/>
      <c r="J469" s="177"/>
      <c r="K469" s="177"/>
      <c r="L469" s="177"/>
      <c r="M469" s="177"/>
      <c r="N469" s="177"/>
      <c r="O469" s="177"/>
      <c r="P469" s="177"/>
      <c r="Q469" s="177"/>
      <c r="R469" s="177"/>
      <c r="S469" s="163"/>
      <c r="T469" s="178"/>
      <c r="U469" s="123" t="str">
        <f t="shared" si="1"/>
        <v>#DIV/0!</v>
      </c>
    </row>
    <row r="470">
      <c r="A470" s="175"/>
      <c r="B470" s="175"/>
      <c r="C470" s="175"/>
      <c r="D470" s="176"/>
      <c r="E470" s="175"/>
      <c r="F470" s="175"/>
      <c r="G470" s="175"/>
      <c r="H470" s="175"/>
      <c r="I470" s="175"/>
      <c r="J470" s="177"/>
      <c r="K470" s="177"/>
      <c r="L470" s="177"/>
      <c r="M470" s="177"/>
      <c r="N470" s="177"/>
      <c r="O470" s="177"/>
      <c r="P470" s="177"/>
      <c r="Q470" s="177"/>
      <c r="R470" s="177"/>
      <c r="S470" s="163"/>
      <c r="T470" s="178"/>
      <c r="U470" s="123" t="str">
        <f t="shared" si="1"/>
        <v>#DIV/0!</v>
      </c>
    </row>
    <row r="471">
      <c r="A471" s="175"/>
      <c r="B471" s="175"/>
      <c r="C471" s="175"/>
      <c r="D471" s="176"/>
      <c r="E471" s="175"/>
      <c r="F471" s="175"/>
      <c r="G471" s="175"/>
      <c r="H471" s="175"/>
      <c r="I471" s="175"/>
      <c r="J471" s="177"/>
      <c r="K471" s="177"/>
      <c r="L471" s="177"/>
      <c r="M471" s="177"/>
      <c r="N471" s="177"/>
      <c r="O471" s="177"/>
      <c r="P471" s="177"/>
      <c r="Q471" s="177"/>
      <c r="R471" s="177"/>
      <c r="S471" s="163"/>
      <c r="T471" s="178"/>
      <c r="U471" s="123" t="str">
        <f t="shared" si="1"/>
        <v>#DIV/0!</v>
      </c>
    </row>
    <row r="472">
      <c r="A472" s="175"/>
      <c r="B472" s="175"/>
      <c r="C472" s="175"/>
      <c r="D472" s="176"/>
      <c r="E472" s="175"/>
      <c r="F472" s="175"/>
      <c r="G472" s="175"/>
      <c r="H472" s="175"/>
      <c r="I472" s="175"/>
      <c r="J472" s="177"/>
      <c r="K472" s="177"/>
      <c r="L472" s="177"/>
      <c r="M472" s="177"/>
      <c r="N472" s="177"/>
      <c r="O472" s="177"/>
      <c r="P472" s="177"/>
      <c r="Q472" s="177"/>
      <c r="R472" s="177"/>
      <c r="S472" s="163"/>
      <c r="T472" s="178"/>
      <c r="U472" s="123" t="str">
        <f t="shared" si="1"/>
        <v>#DIV/0!</v>
      </c>
    </row>
    <row r="473">
      <c r="A473" s="175"/>
      <c r="B473" s="175"/>
      <c r="C473" s="175"/>
      <c r="D473" s="176"/>
      <c r="E473" s="175"/>
      <c r="F473" s="175"/>
      <c r="G473" s="175"/>
      <c r="H473" s="175"/>
      <c r="I473" s="175"/>
      <c r="J473" s="177"/>
      <c r="K473" s="177"/>
      <c r="L473" s="177"/>
      <c r="M473" s="177"/>
      <c r="N473" s="177"/>
      <c r="O473" s="177"/>
      <c r="P473" s="177"/>
      <c r="Q473" s="177"/>
      <c r="R473" s="177"/>
      <c r="S473" s="163"/>
      <c r="T473" s="178"/>
      <c r="U473" s="123" t="str">
        <f t="shared" si="1"/>
        <v>#DIV/0!</v>
      </c>
    </row>
    <row r="474">
      <c r="A474" s="175"/>
      <c r="B474" s="175"/>
      <c r="C474" s="175"/>
      <c r="D474" s="176"/>
      <c r="E474" s="175"/>
      <c r="F474" s="175"/>
      <c r="G474" s="175"/>
      <c r="H474" s="175"/>
      <c r="I474" s="175"/>
      <c r="J474" s="177"/>
      <c r="K474" s="177"/>
      <c r="L474" s="177"/>
      <c r="M474" s="177"/>
      <c r="N474" s="177"/>
      <c r="O474" s="177"/>
      <c r="P474" s="177"/>
      <c r="Q474" s="177"/>
      <c r="R474" s="177"/>
      <c r="S474" s="163"/>
      <c r="T474" s="178"/>
      <c r="U474" s="123" t="str">
        <f t="shared" si="1"/>
        <v>#DIV/0!</v>
      </c>
    </row>
    <row r="475">
      <c r="A475" s="175"/>
      <c r="B475" s="175"/>
      <c r="C475" s="175"/>
      <c r="D475" s="176"/>
      <c r="E475" s="175"/>
      <c r="F475" s="175"/>
      <c r="G475" s="175"/>
      <c r="H475" s="175"/>
      <c r="I475" s="175"/>
      <c r="J475" s="177"/>
      <c r="K475" s="177"/>
      <c r="L475" s="177"/>
      <c r="M475" s="177"/>
      <c r="N475" s="177"/>
      <c r="O475" s="177"/>
      <c r="P475" s="177"/>
      <c r="Q475" s="177"/>
      <c r="R475" s="177"/>
      <c r="S475" s="163"/>
      <c r="T475" s="178"/>
      <c r="U475" s="123" t="str">
        <f t="shared" si="1"/>
        <v>#DIV/0!</v>
      </c>
    </row>
    <row r="476">
      <c r="A476" s="175"/>
      <c r="B476" s="175"/>
      <c r="C476" s="175"/>
      <c r="D476" s="176"/>
      <c r="E476" s="175"/>
      <c r="F476" s="175"/>
      <c r="G476" s="175"/>
      <c r="H476" s="175"/>
      <c r="I476" s="175"/>
      <c r="J476" s="177"/>
      <c r="K476" s="177"/>
      <c r="L476" s="177"/>
      <c r="M476" s="177"/>
      <c r="N476" s="177"/>
      <c r="O476" s="177"/>
      <c r="P476" s="177"/>
      <c r="Q476" s="177"/>
      <c r="R476" s="177"/>
      <c r="S476" s="163"/>
      <c r="T476" s="178"/>
      <c r="U476" s="123" t="str">
        <f t="shared" si="1"/>
        <v>#DIV/0!</v>
      </c>
    </row>
    <row r="477">
      <c r="A477" s="175"/>
      <c r="B477" s="175"/>
      <c r="C477" s="175"/>
      <c r="D477" s="176"/>
      <c r="E477" s="175"/>
      <c r="F477" s="175"/>
      <c r="G477" s="175"/>
      <c r="H477" s="175"/>
      <c r="I477" s="175"/>
      <c r="J477" s="177"/>
      <c r="K477" s="177"/>
      <c r="L477" s="177"/>
      <c r="M477" s="177"/>
      <c r="N477" s="177"/>
      <c r="O477" s="177"/>
      <c r="P477" s="177"/>
      <c r="Q477" s="177"/>
      <c r="R477" s="177"/>
      <c r="S477" s="163"/>
      <c r="T477" s="178"/>
      <c r="U477" s="123" t="str">
        <f t="shared" si="1"/>
        <v>#DIV/0!</v>
      </c>
    </row>
    <row r="478">
      <c r="A478" s="175"/>
      <c r="B478" s="175"/>
      <c r="C478" s="175"/>
      <c r="D478" s="176"/>
      <c r="E478" s="175"/>
      <c r="F478" s="175"/>
      <c r="G478" s="175"/>
      <c r="H478" s="175"/>
      <c r="I478" s="175"/>
      <c r="J478" s="177"/>
      <c r="K478" s="177"/>
      <c r="L478" s="177"/>
      <c r="M478" s="177"/>
      <c r="N478" s="177"/>
      <c r="O478" s="177"/>
      <c r="P478" s="177"/>
      <c r="Q478" s="177"/>
      <c r="R478" s="177"/>
      <c r="S478" s="163"/>
      <c r="T478" s="178"/>
      <c r="U478" s="123" t="str">
        <f t="shared" si="1"/>
        <v>#DIV/0!</v>
      </c>
    </row>
    <row r="479">
      <c r="A479" s="175"/>
      <c r="B479" s="175"/>
      <c r="C479" s="175"/>
      <c r="D479" s="176"/>
      <c r="E479" s="175"/>
      <c r="F479" s="175"/>
      <c r="G479" s="175"/>
      <c r="H479" s="175"/>
      <c r="I479" s="175"/>
      <c r="J479" s="177"/>
      <c r="K479" s="177"/>
      <c r="L479" s="177"/>
      <c r="M479" s="177"/>
      <c r="N479" s="177"/>
      <c r="O479" s="177"/>
      <c r="P479" s="177"/>
      <c r="Q479" s="177"/>
      <c r="R479" s="177"/>
      <c r="S479" s="163"/>
      <c r="T479" s="178"/>
      <c r="U479" s="123" t="str">
        <f t="shared" si="1"/>
        <v>#DIV/0!</v>
      </c>
    </row>
    <row r="480">
      <c r="A480" s="175"/>
      <c r="B480" s="175"/>
      <c r="C480" s="175"/>
      <c r="D480" s="176"/>
      <c r="E480" s="175"/>
      <c r="F480" s="175"/>
      <c r="G480" s="175"/>
      <c r="H480" s="175"/>
      <c r="I480" s="175"/>
      <c r="J480" s="177"/>
      <c r="K480" s="177"/>
      <c r="L480" s="177"/>
      <c r="M480" s="177"/>
      <c r="N480" s="177"/>
      <c r="O480" s="177"/>
      <c r="P480" s="177"/>
      <c r="Q480" s="177"/>
      <c r="R480" s="177"/>
      <c r="S480" s="163"/>
      <c r="T480" s="178"/>
      <c r="U480" s="123" t="str">
        <f t="shared" si="1"/>
        <v>#DIV/0!</v>
      </c>
    </row>
    <row r="481">
      <c r="A481" s="175"/>
      <c r="B481" s="175"/>
      <c r="C481" s="175"/>
      <c r="D481" s="176"/>
      <c r="E481" s="175"/>
      <c r="F481" s="175"/>
      <c r="G481" s="175"/>
      <c r="H481" s="175"/>
      <c r="I481" s="175"/>
      <c r="J481" s="177"/>
      <c r="K481" s="177"/>
      <c r="L481" s="177"/>
      <c r="M481" s="177"/>
      <c r="N481" s="177"/>
      <c r="O481" s="177"/>
      <c r="P481" s="177"/>
      <c r="Q481" s="177"/>
      <c r="R481" s="177"/>
      <c r="S481" s="163"/>
      <c r="T481" s="178"/>
      <c r="U481" s="123" t="str">
        <f t="shared" si="1"/>
        <v>#DIV/0!</v>
      </c>
    </row>
    <row r="482">
      <c r="A482" s="175"/>
      <c r="B482" s="175"/>
      <c r="C482" s="175"/>
      <c r="D482" s="176"/>
      <c r="E482" s="175"/>
      <c r="F482" s="175"/>
      <c r="G482" s="175"/>
      <c r="H482" s="175"/>
      <c r="I482" s="175"/>
      <c r="J482" s="177"/>
      <c r="K482" s="177"/>
      <c r="L482" s="177"/>
      <c r="M482" s="177"/>
      <c r="N482" s="177"/>
      <c r="O482" s="177"/>
      <c r="P482" s="177"/>
      <c r="Q482" s="177"/>
      <c r="R482" s="177"/>
      <c r="S482" s="163"/>
      <c r="T482" s="178"/>
      <c r="U482" s="123" t="str">
        <f t="shared" si="1"/>
        <v>#DIV/0!</v>
      </c>
    </row>
    <row r="483">
      <c r="A483" s="175"/>
      <c r="B483" s="175"/>
      <c r="C483" s="175"/>
      <c r="D483" s="176"/>
      <c r="E483" s="175"/>
      <c r="F483" s="175"/>
      <c r="G483" s="175"/>
      <c r="H483" s="175"/>
      <c r="I483" s="175"/>
      <c r="J483" s="177"/>
      <c r="K483" s="177"/>
      <c r="L483" s="177"/>
      <c r="M483" s="177"/>
      <c r="N483" s="177"/>
      <c r="O483" s="177"/>
      <c r="P483" s="177"/>
      <c r="Q483" s="177"/>
      <c r="R483" s="177"/>
      <c r="S483" s="163"/>
      <c r="T483" s="178"/>
      <c r="U483" s="123" t="str">
        <f t="shared" si="1"/>
        <v>#DIV/0!</v>
      </c>
    </row>
    <row r="484">
      <c r="A484" s="175"/>
      <c r="B484" s="175"/>
      <c r="C484" s="175"/>
      <c r="D484" s="176"/>
      <c r="E484" s="175"/>
      <c r="F484" s="175"/>
      <c r="G484" s="175"/>
      <c r="H484" s="175"/>
      <c r="I484" s="175"/>
      <c r="J484" s="177"/>
      <c r="K484" s="177"/>
      <c r="L484" s="177"/>
      <c r="M484" s="177"/>
      <c r="N484" s="177"/>
      <c r="O484" s="177"/>
      <c r="P484" s="177"/>
      <c r="Q484" s="177"/>
      <c r="R484" s="177"/>
      <c r="S484" s="163"/>
      <c r="T484" s="178"/>
      <c r="U484" s="123" t="str">
        <f t="shared" si="1"/>
        <v>#DIV/0!</v>
      </c>
    </row>
    <row r="485">
      <c r="A485" s="175"/>
      <c r="B485" s="175"/>
      <c r="C485" s="175"/>
      <c r="D485" s="176"/>
      <c r="E485" s="175"/>
      <c r="F485" s="175"/>
      <c r="G485" s="175"/>
      <c r="H485" s="175"/>
      <c r="I485" s="175"/>
      <c r="J485" s="177"/>
      <c r="K485" s="177"/>
      <c r="L485" s="177"/>
      <c r="M485" s="177"/>
      <c r="N485" s="177"/>
      <c r="O485" s="177"/>
      <c r="P485" s="177"/>
      <c r="Q485" s="177"/>
      <c r="R485" s="177"/>
      <c r="S485" s="163"/>
      <c r="T485" s="178"/>
      <c r="U485" s="123" t="str">
        <f t="shared" si="1"/>
        <v>#DIV/0!</v>
      </c>
    </row>
    <row r="486">
      <c r="A486" s="175"/>
      <c r="B486" s="175"/>
      <c r="C486" s="175"/>
      <c r="D486" s="176"/>
      <c r="E486" s="175"/>
      <c r="F486" s="175"/>
      <c r="G486" s="175"/>
      <c r="H486" s="175"/>
      <c r="I486" s="175"/>
      <c r="J486" s="179"/>
      <c r="K486" s="179"/>
      <c r="L486" s="179"/>
      <c r="M486" s="179"/>
      <c r="N486" s="179"/>
      <c r="O486" s="179"/>
      <c r="P486" s="179"/>
      <c r="Q486" s="179"/>
      <c r="R486" s="179"/>
      <c r="S486" s="163"/>
      <c r="T486" s="180"/>
      <c r="U486" s="123" t="str">
        <f t="shared" si="1"/>
        <v>#DIV/0!</v>
      </c>
    </row>
    <row r="487">
      <c r="A487" s="175"/>
      <c r="B487" s="175"/>
      <c r="C487" s="175"/>
      <c r="D487" s="176"/>
      <c r="E487" s="175"/>
      <c r="F487" s="175"/>
      <c r="G487" s="175"/>
      <c r="H487" s="175"/>
      <c r="I487" s="175"/>
      <c r="J487" s="179"/>
      <c r="K487" s="179"/>
      <c r="L487" s="179"/>
      <c r="M487" s="179"/>
      <c r="N487" s="179"/>
      <c r="O487" s="179"/>
      <c r="P487" s="179"/>
      <c r="Q487" s="179"/>
      <c r="R487" s="179"/>
      <c r="S487" s="163"/>
      <c r="T487" s="180"/>
      <c r="U487" s="123" t="str">
        <f t="shared" si="1"/>
        <v>#DIV/0!</v>
      </c>
    </row>
    <row r="488">
      <c r="A488" s="175"/>
      <c r="B488" s="175"/>
      <c r="C488" s="175"/>
      <c r="D488" s="176"/>
      <c r="E488" s="175"/>
      <c r="F488" s="175"/>
      <c r="G488" s="175"/>
      <c r="H488" s="175"/>
      <c r="I488" s="175"/>
      <c r="J488" s="179"/>
      <c r="K488" s="179"/>
      <c r="L488" s="179"/>
      <c r="M488" s="179"/>
      <c r="N488" s="179"/>
      <c r="O488" s="179"/>
      <c r="P488" s="179"/>
      <c r="Q488" s="179"/>
      <c r="R488" s="179"/>
      <c r="S488" s="163"/>
      <c r="T488" s="180"/>
      <c r="U488" s="123" t="str">
        <f t="shared" si="1"/>
        <v>#DIV/0!</v>
      </c>
    </row>
    <row r="489">
      <c r="A489" s="175"/>
      <c r="B489" s="175"/>
      <c r="C489" s="175"/>
      <c r="D489" s="176"/>
      <c r="E489" s="175"/>
      <c r="F489" s="175"/>
      <c r="G489" s="175"/>
      <c r="H489" s="175"/>
      <c r="I489" s="175"/>
      <c r="J489" s="179"/>
      <c r="K489" s="179"/>
      <c r="L489" s="179"/>
      <c r="M489" s="179"/>
      <c r="N489" s="179"/>
      <c r="O489" s="179"/>
      <c r="P489" s="179"/>
      <c r="Q489" s="179"/>
      <c r="R489" s="179"/>
      <c r="S489" s="163"/>
      <c r="T489" s="180"/>
      <c r="U489" s="123" t="str">
        <f t="shared" si="1"/>
        <v>#DIV/0!</v>
      </c>
    </row>
    <row r="490">
      <c r="A490" s="175"/>
      <c r="B490" s="175"/>
      <c r="C490" s="175"/>
      <c r="D490" s="176"/>
      <c r="E490" s="175"/>
      <c r="F490" s="175"/>
      <c r="G490" s="175"/>
      <c r="H490" s="175"/>
      <c r="I490" s="175"/>
      <c r="J490" s="179"/>
      <c r="K490" s="179"/>
      <c r="L490" s="179"/>
      <c r="M490" s="179"/>
      <c r="N490" s="179"/>
      <c r="O490" s="179"/>
      <c r="P490" s="179"/>
      <c r="Q490" s="179"/>
      <c r="R490" s="179"/>
      <c r="S490" s="163"/>
      <c r="T490" s="180"/>
      <c r="U490" s="123" t="str">
        <f t="shared" si="1"/>
        <v>#DIV/0!</v>
      </c>
    </row>
    <row r="491">
      <c r="A491" s="175"/>
      <c r="B491" s="175"/>
      <c r="C491" s="175"/>
      <c r="D491" s="176"/>
      <c r="E491" s="175"/>
      <c r="F491" s="175"/>
      <c r="G491" s="175"/>
      <c r="H491" s="175"/>
      <c r="I491" s="175"/>
      <c r="J491" s="179"/>
      <c r="K491" s="179"/>
      <c r="L491" s="179"/>
      <c r="M491" s="179"/>
      <c r="N491" s="179"/>
      <c r="O491" s="179"/>
      <c r="P491" s="179"/>
      <c r="Q491" s="179"/>
      <c r="R491" s="179"/>
      <c r="S491" s="163"/>
      <c r="T491" s="180"/>
      <c r="U491" s="123" t="str">
        <f t="shared" si="1"/>
        <v>#DIV/0!</v>
      </c>
    </row>
    <row r="492">
      <c r="A492" s="175"/>
      <c r="B492" s="175"/>
      <c r="C492" s="175"/>
      <c r="D492" s="176"/>
      <c r="E492" s="175"/>
      <c r="F492" s="175"/>
      <c r="G492" s="175"/>
      <c r="H492" s="175"/>
      <c r="I492" s="175"/>
      <c r="J492" s="179"/>
      <c r="K492" s="179"/>
      <c r="L492" s="179"/>
      <c r="M492" s="179"/>
      <c r="N492" s="179"/>
      <c r="O492" s="179"/>
      <c r="P492" s="179"/>
      <c r="Q492" s="179"/>
      <c r="R492" s="179"/>
      <c r="S492" s="163"/>
      <c r="T492" s="180"/>
      <c r="U492" s="123" t="str">
        <f t="shared" si="1"/>
        <v>#DIV/0!</v>
      </c>
    </row>
    <row r="493">
      <c r="A493" s="175"/>
      <c r="B493" s="175"/>
      <c r="C493" s="175"/>
      <c r="D493" s="176"/>
      <c r="E493" s="175"/>
      <c r="F493" s="175"/>
      <c r="G493" s="175"/>
      <c r="H493" s="175"/>
      <c r="I493" s="175"/>
      <c r="J493" s="179"/>
      <c r="K493" s="179"/>
      <c r="L493" s="179"/>
      <c r="M493" s="179"/>
      <c r="N493" s="179"/>
      <c r="O493" s="179"/>
      <c r="P493" s="179"/>
      <c r="Q493" s="179"/>
      <c r="R493" s="179"/>
      <c r="S493" s="163"/>
      <c r="T493" s="180"/>
      <c r="U493" s="123" t="str">
        <f t="shared" si="1"/>
        <v>#DIV/0!</v>
      </c>
    </row>
    <row r="494">
      <c r="A494" s="175"/>
      <c r="B494" s="175"/>
      <c r="C494" s="175"/>
      <c r="D494" s="176"/>
      <c r="E494" s="175"/>
      <c r="F494" s="175"/>
      <c r="G494" s="175"/>
      <c r="H494" s="175"/>
      <c r="I494" s="175"/>
      <c r="J494" s="179"/>
      <c r="K494" s="179"/>
      <c r="L494" s="179"/>
      <c r="M494" s="179"/>
      <c r="N494" s="179"/>
      <c r="O494" s="179"/>
      <c r="P494" s="179"/>
      <c r="Q494" s="179"/>
      <c r="R494" s="179"/>
      <c r="S494" s="163"/>
      <c r="T494" s="180"/>
      <c r="U494" s="123" t="str">
        <f t="shared" si="1"/>
        <v>#DIV/0!</v>
      </c>
    </row>
    <row r="495">
      <c r="A495" s="175"/>
      <c r="B495" s="175"/>
      <c r="C495" s="175"/>
      <c r="D495" s="176"/>
      <c r="E495" s="175"/>
      <c r="F495" s="175"/>
      <c r="G495" s="175"/>
      <c r="H495" s="175"/>
      <c r="I495" s="175"/>
      <c r="J495" s="179"/>
      <c r="K495" s="179"/>
      <c r="L495" s="179"/>
      <c r="M495" s="179"/>
      <c r="N495" s="179"/>
      <c r="O495" s="179"/>
      <c r="P495" s="179"/>
      <c r="Q495" s="179"/>
      <c r="R495" s="179"/>
      <c r="S495" s="163"/>
      <c r="T495" s="180"/>
      <c r="U495" s="123" t="str">
        <f t="shared" si="1"/>
        <v>#DIV/0!</v>
      </c>
    </row>
    <row r="496">
      <c r="A496" s="175"/>
      <c r="B496" s="175"/>
      <c r="C496" s="175"/>
      <c r="D496" s="176"/>
      <c r="E496" s="175"/>
      <c r="F496" s="175"/>
      <c r="G496" s="175"/>
      <c r="H496" s="175"/>
      <c r="I496" s="175"/>
      <c r="J496" s="179"/>
      <c r="K496" s="179"/>
      <c r="L496" s="179"/>
      <c r="M496" s="179"/>
      <c r="N496" s="179"/>
      <c r="O496" s="179"/>
      <c r="P496" s="179"/>
      <c r="Q496" s="179"/>
      <c r="R496" s="179"/>
      <c r="S496" s="163"/>
      <c r="T496" s="180"/>
      <c r="U496" s="123" t="str">
        <f t="shared" si="1"/>
        <v>#DIV/0!</v>
      </c>
    </row>
    <row r="497">
      <c r="A497" s="175"/>
      <c r="B497" s="175"/>
      <c r="C497" s="175"/>
      <c r="D497" s="176"/>
      <c r="E497" s="175"/>
      <c r="F497" s="175"/>
      <c r="G497" s="175"/>
      <c r="H497" s="175"/>
      <c r="I497" s="175"/>
      <c r="J497" s="179"/>
      <c r="K497" s="179"/>
      <c r="L497" s="179"/>
      <c r="M497" s="179"/>
      <c r="N497" s="179"/>
      <c r="O497" s="179"/>
      <c r="P497" s="179"/>
      <c r="Q497" s="179"/>
      <c r="R497" s="179"/>
      <c r="S497" s="163"/>
      <c r="T497" s="180"/>
      <c r="U497" s="123" t="str">
        <f t="shared" si="1"/>
        <v>#DIV/0!</v>
      </c>
    </row>
    <row r="498">
      <c r="A498" s="175"/>
      <c r="B498" s="175"/>
      <c r="C498" s="175"/>
      <c r="D498" s="176"/>
      <c r="E498" s="175"/>
      <c r="F498" s="175"/>
      <c r="G498" s="175"/>
      <c r="H498" s="175"/>
      <c r="I498" s="175"/>
      <c r="J498" s="179"/>
      <c r="K498" s="179"/>
      <c r="L498" s="179"/>
      <c r="M498" s="179"/>
      <c r="N498" s="179"/>
      <c r="O498" s="179"/>
      <c r="P498" s="179"/>
      <c r="Q498" s="179"/>
      <c r="R498" s="179"/>
      <c r="S498" s="163"/>
      <c r="T498" s="180"/>
      <c r="U498" s="123" t="str">
        <f t="shared" si="1"/>
        <v>#DIV/0!</v>
      </c>
    </row>
    <row r="499">
      <c r="A499" s="175"/>
      <c r="B499" s="175"/>
      <c r="C499" s="175"/>
      <c r="D499" s="176"/>
      <c r="E499" s="175"/>
      <c r="F499" s="175"/>
      <c r="G499" s="175"/>
      <c r="H499" s="175"/>
      <c r="I499" s="175"/>
      <c r="J499" s="179"/>
      <c r="K499" s="179"/>
      <c r="L499" s="179"/>
      <c r="M499" s="179"/>
      <c r="N499" s="179"/>
      <c r="O499" s="179"/>
      <c r="P499" s="179"/>
      <c r="Q499" s="179"/>
      <c r="R499" s="179"/>
      <c r="S499" s="163"/>
      <c r="T499" s="180"/>
      <c r="U499" s="123" t="str">
        <f t="shared" si="1"/>
        <v>#DIV/0!</v>
      </c>
    </row>
    <row r="500">
      <c r="A500" s="175"/>
      <c r="B500" s="175"/>
      <c r="C500" s="175"/>
      <c r="D500" s="176"/>
      <c r="E500" s="175"/>
      <c r="F500" s="175"/>
      <c r="G500" s="175"/>
      <c r="H500" s="175"/>
      <c r="I500" s="175"/>
      <c r="J500" s="179"/>
      <c r="K500" s="179"/>
      <c r="L500" s="179"/>
      <c r="M500" s="179"/>
      <c r="N500" s="179"/>
      <c r="O500" s="179"/>
      <c r="P500" s="179"/>
      <c r="Q500" s="179"/>
      <c r="R500" s="179"/>
      <c r="S500" s="163"/>
      <c r="T500" s="180"/>
      <c r="U500" s="123" t="str">
        <f t="shared" si="1"/>
        <v>#DIV/0!</v>
      </c>
    </row>
    <row r="501">
      <c r="A501" s="175"/>
      <c r="B501" s="175"/>
      <c r="C501" s="175"/>
      <c r="D501" s="176"/>
      <c r="E501" s="175"/>
      <c r="F501" s="175"/>
      <c r="G501" s="175"/>
      <c r="H501" s="175"/>
      <c r="I501" s="175"/>
      <c r="J501" s="179"/>
      <c r="K501" s="179"/>
      <c r="L501" s="179"/>
      <c r="M501" s="179"/>
      <c r="N501" s="179"/>
      <c r="O501" s="179"/>
      <c r="P501" s="179"/>
      <c r="Q501" s="179"/>
      <c r="R501" s="179"/>
      <c r="S501" s="163"/>
      <c r="T501" s="180"/>
      <c r="U501" s="123" t="str">
        <f t="shared" si="1"/>
        <v>#DIV/0!</v>
      </c>
    </row>
    <row r="502">
      <c r="A502" s="175"/>
      <c r="B502" s="175"/>
      <c r="C502" s="175"/>
      <c r="D502" s="176"/>
      <c r="E502" s="175"/>
      <c r="F502" s="175"/>
      <c r="G502" s="175"/>
      <c r="H502" s="175"/>
      <c r="I502" s="175"/>
      <c r="J502" s="179"/>
      <c r="K502" s="179"/>
      <c r="L502" s="179"/>
      <c r="M502" s="179"/>
      <c r="N502" s="179"/>
      <c r="O502" s="179"/>
      <c r="P502" s="179"/>
      <c r="Q502" s="179"/>
      <c r="R502" s="179"/>
      <c r="S502" s="163"/>
      <c r="T502" s="180"/>
      <c r="U502" s="123" t="str">
        <f t="shared" si="1"/>
        <v>#DIV/0!</v>
      </c>
    </row>
    <row r="503">
      <c r="A503" s="175"/>
      <c r="B503" s="175"/>
      <c r="C503" s="175"/>
      <c r="D503" s="176"/>
      <c r="E503" s="175"/>
      <c r="F503" s="175"/>
      <c r="G503" s="175"/>
      <c r="H503" s="175"/>
      <c r="I503" s="175"/>
      <c r="J503" s="179"/>
      <c r="K503" s="179"/>
      <c r="L503" s="179"/>
      <c r="M503" s="179"/>
      <c r="N503" s="179"/>
      <c r="O503" s="179"/>
      <c r="P503" s="179"/>
      <c r="Q503" s="179"/>
      <c r="R503" s="179"/>
      <c r="S503" s="163"/>
      <c r="T503" s="180"/>
      <c r="U503" s="123" t="str">
        <f t="shared" si="1"/>
        <v>#DIV/0!</v>
      </c>
    </row>
    <row r="504">
      <c r="A504" s="175"/>
      <c r="B504" s="175"/>
      <c r="C504" s="175"/>
      <c r="D504" s="176"/>
      <c r="E504" s="175"/>
      <c r="F504" s="175"/>
      <c r="G504" s="175"/>
      <c r="H504" s="175"/>
      <c r="I504" s="175"/>
      <c r="J504" s="179"/>
      <c r="K504" s="179"/>
      <c r="L504" s="179"/>
      <c r="M504" s="179"/>
      <c r="N504" s="179"/>
      <c r="O504" s="179"/>
      <c r="P504" s="179"/>
      <c r="Q504" s="179"/>
      <c r="R504" s="179"/>
      <c r="S504" s="163"/>
      <c r="T504" s="180"/>
      <c r="U504" s="123" t="str">
        <f t="shared" si="1"/>
        <v>#DIV/0!</v>
      </c>
    </row>
    <row r="505">
      <c r="A505" s="175"/>
      <c r="B505" s="175"/>
      <c r="C505" s="175"/>
      <c r="D505" s="176"/>
      <c r="E505" s="175"/>
      <c r="F505" s="175"/>
      <c r="G505" s="175"/>
      <c r="H505" s="175"/>
      <c r="I505" s="175"/>
      <c r="J505" s="179"/>
      <c r="K505" s="179"/>
      <c r="L505" s="179"/>
      <c r="M505" s="179"/>
      <c r="N505" s="179"/>
      <c r="O505" s="179"/>
      <c r="P505" s="179"/>
      <c r="Q505" s="179"/>
      <c r="R505" s="179"/>
      <c r="S505" s="163"/>
      <c r="T505" s="180"/>
      <c r="U505" s="123" t="str">
        <f t="shared" si="1"/>
        <v>#DIV/0!</v>
      </c>
    </row>
    <row r="506">
      <c r="A506" s="175"/>
      <c r="B506" s="175"/>
      <c r="C506" s="175"/>
      <c r="D506" s="176"/>
      <c r="E506" s="175"/>
      <c r="F506" s="175"/>
      <c r="G506" s="175"/>
      <c r="H506" s="175"/>
      <c r="I506" s="175"/>
      <c r="J506" s="179"/>
      <c r="K506" s="179"/>
      <c r="L506" s="179"/>
      <c r="M506" s="179"/>
      <c r="N506" s="179"/>
      <c r="O506" s="179"/>
      <c r="P506" s="179"/>
      <c r="Q506" s="179"/>
      <c r="R506" s="179"/>
      <c r="S506" s="163"/>
      <c r="T506" s="180"/>
      <c r="U506" s="123" t="str">
        <f t="shared" si="1"/>
        <v>#DIV/0!</v>
      </c>
    </row>
    <row r="507">
      <c r="A507" s="175"/>
      <c r="B507" s="175"/>
      <c r="C507" s="175"/>
      <c r="D507" s="176"/>
      <c r="E507" s="175"/>
      <c r="F507" s="175"/>
      <c r="G507" s="175"/>
      <c r="H507" s="175"/>
      <c r="I507" s="175"/>
      <c r="J507" s="179"/>
      <c r="K507" s="179"/>
      <c r="L507" s="179"/>
      <c r="M507" s="179"/>
      <c r="N507" s="179"/>
      <c r="O507" s="179"/>
      <c r="P507" s="179"/>
      <c r="Q507" s="179"/>
      <c r="R507" s="179"/>
      <c r="S507" s="163"/>
      <c r="T507" s="180"/>
      <c r="U507" s="123" t="str">
        <f t="shared" si="1"/>
        <v>#DIV/0!</v>
      </c>
    </row>
    <row r="508">
      <c r="A508" s="175"/>
      <c r="B508" s="175"/>
      <c r="C508" s="175"/>
      <c r="D508" s="176"/>
      <c r="E508" s="175"/>
      <c r="F508" s="175"/>
      <c r="G508" s="175"/>
      <c r="H508" s="175"/>
      <c r="I508" s="175"/>
      <c r="J508" s="179"/>
      <c r="K508" s="179"/>
      <c r="L508" s="179"/>
      <c r="M508" s="179"/>
      <c r="N508" s="179"/>
      <c r="O508" s="179"/>
      <c r="P508" s="179"/>
      <c r="Q508" s="179"/>
      <c r="R508" s="179"/>
      <c r="S508" s="163"/>
      <c r="T508" s="180"/>
      <c r="U508" s="123" t="str">
        <f t="shared" si="1"/>
        <v>#DIV/0!</v>
      </c>
    </row>
    <row r="509">
      <c r="A509" s="175"/>
      <c r="B509" s="175"/>
      <c r="C509" s="175"/>
      <c r="D509" s="176"/>
      <c r="E509" s="175"/>
      <c r="F509" s="175"/>
      <c r="G509" s="175"/>
      <c r="H509" s="175"/>
      <c r="I509" s="175"/>
      <c r="J509" s="179"/>
      <c r="K509" s="179"/>
      <c r="L509" s="179"/>
      <c r="M509" s="179"/>
      <c r="N509" s="179"/>
      <c r="O509" s="179"/>
      <c r="P509" s="179"/>
      <c r="Q509" s="179"/>
      <c r="R509" s="179"/>
      <c r="S509" s="163"/>
      <c r="T509" s="180"/>
      <c r="U509" s="123" t="str">
        <f t="shared" si="1"/>
        <v>#DIV/0!</v>
      </c>
    </row>
    <row r="510">
      <c r="A510" s="175"/>
      <c r="B510" s="175"/>
      <c r="C510" s="175"/>
      <c r="D510" s="176"/>
      <c r="E510" s="175"/>
      <c r="F510" s="175"/>
      <c r="G510" s="175"/>
      <c r="H510" s="175"/>
      <c r="I510" s="175"/>
      <c r="J510" s="179"/>
      <c r="K510" s="179"/>
      <c r="L510" s="179"/>
      <c r="M510" s="179"/>
      <c r="N510" s="179"/>
      <c r="O510" s="179"/>
      <c r="P510" s="179"/>
      <c r="Q510" s="179"/>
      <c r="R510" s="179"/>
      <c r="S510" s="163"/>
      <c r="T510" s="180"/>
      <c r="U510" s="123" t="str">
        <f t="shared" si="1"/>
        <v>#DIV/0!</v>
      </c>
    </row>
    <row r="511">
      <c r="A511" s="175"/>
      <c r="B511" s="175"/>
      <c r="C511" s="175"/>
      <c r="D511" s="176"/>
      <c r="E511" s="175"/>
      <c r="F511" s="175"/>
      <c r="G511" s="175"/>
      <c r="H511" s="175"/>
      <c r="I511" s="175"/>
      <c r="J511" s="179"/>
      <c r="K511" s="179"/>
      <c r="L511" s="179"/>
      <c r="M511" s="179"/>
      <c r="N511" s="179"/>
      <c r="O511" s="179"/>
      <c r="P511" s="179"/>
      <c r="Q511" s="179"/>
      <c r="R511" s="179"/>
      <c r="S511" s="163"/>
      <c r="T511" s="180"/>
      <c r="U511" s="123" t="str">
        <f t="shared" si="1"/>
        <v>#DIV/0!</v>
      </c>
    </row>
    <row r="512">
      <c r="A512" s="175"/>
      <c r="B512" s="175"/>
      <c r="C512" s="175"/>
      <c r="D512" s="176"/>
      <c r="E512" s="175"/>
      <c r="F512" s="175"/>
      <c r="G512" s="175"/>
      <c r="H512" s="175"/>
      <c r="I512" s="175"/>
      <c r="J512" s="179"/>
      <c r="K512" s="179"/>
      <c r="L512" s="179"/>
      <c r="M512" s="179"/>
      <c r="N512" s="179"/>
      <c r="O512" s="179"/>
      <c r="P512" s="179"/>
      <c r="Q512" s="179"/>
      <c r="R512" s="179"/>
      <c r="S512" s="163"/>
      <c r="T512" s="180"/>
      <c r="U512" s="123" t="str">
        <f t="shared" si="1"/>
        <v>#DIV/0!</v>
      </c>
    </row>
    <row r="513">
      <c r="A513" s="175"/>
      <c r="B513" s="175"/>
      <c r="C513" s="175"/>
      <c r="D513" s="176"/>
      <c r="E513" s="175"/>
      <c r="F513" s="175"/>
      <c r="G513" s="175"/>
      <c r="H513" s="175"/>
      <c r="I513" s="175"/>
      <c r="J513" s="179"/>
      <c r="K513" s="179"/>
      <c r="L513" s="179"/>
      <c r="M513" s="179"/>
      <c r="N513" s="179"/>
      <c r="O513" s="179"/>
      <c r="P513" s="179"/>
      <c r="Q513" s="179"/>
      <c r="R513" s="179"/>
      <c r="S513" s="163"/>
      <c r="T513" s="180"/>
      <c r="U513" s="123" t="str">
        <f t="shared" si="1"/>
        <v>#DIV/0!</v>
      </c>
    </row>
    <row r="514">
      <c r="A514" s="175"/>
      <c r="B514" s="175"/>
      <c r="C514" s="175"/>
      <c r="D514" s="176"/>
      <c r="E514" s="175"/>
      <c r="F514" s="175"/>
      <c r="G514" s="175"/>
      <c r="H514" s="175"/>
      <c r="I514" s="175"/>
      <c r="J514" s="179"/>
      <c r="K514" s="179"/>
      <c r="L514" s="179"/>
      <c r="M514" s="179"/>
      <c r="N514" s="179"/>
      <c r="O514" s="179"/>
      <c r="P514" s="179"/>
      <c r="Q514" s="179"/>
      <c r="R514" s="179"/>
      <c r="S514" s="163"/>
      <c r="T514" s="180"/>
      <c r="U514" s="123" t="str">
        <f t="shared" si="1"/>
        <v>#DIV/0!</v>
      </c>
    </row>
    <row r="515">
      <c r="A515" s="175"/>
      <c r="B515" s="175"/>
      <c r="C515" s="175"/>
      <c r="D515" s="176"/>
      <c r="E515" s="175"/>
      <c r="F515" s="175"/>
      <c r="G515" s="175"/>
      <c r="H515" s="175"/>
      <c r="I515" s="175"/>
      <c r="J515" s="179"/>
      <c r="K515" s="179"/>
      <c r="L515" s="179"/>
      <c r="M515" s="179"/>
      <c r="N515" s="179"/>
      <c r="O515" s="179"/>
      <c r="P515" s="179"/>
      <c r="Q515" s="179"/>
      <c r="R515" s="179"/>
      <c r="S515" s="163"/>
      <c r="T515" s="180"/>
      <c r="U515" s="123" t="str">
        <f t="shared" si="1"/>
        <v>#DIV/0!</v>
      </c>
    </row>
    <row r="516">
      <c r="A516" s="175"/>
      <c r="B516" s="175"/>
      <c r="C516" s="175"/>
      <c r="D516" s="176"/>
      <c r="E516" s="175"/>
      <c r="F516" s="175"/>
      <c r="G516" s="175"/>
      <c r="H516" s="175"/>
      <c r="I516" s="175"/>
      <c r="J516" s="179"/>
      <c r="K516" s="179"/>
      <c r="L516" s="179"/>
      <c r="M516" s="179"/>
      <c r="N516" s="179"/>
      <c r="O516" s="179"/>
      <c r="P516" s="179"/>
      <c r="Q516" s="179"/>
      <c r="R516" s="179"/>
      <c r="S516" s="163"/>
      <c r="T516" s="180"/>
      <c r="U516" s="123" t="str">
        <f t="shared" si="1"/>
        <v>#DIV/0!</v>
      </c>
    </row>
    <row r="517">
      <c r="A517" s="175"/>
      <c r="B517" s="175"/>
      <c r="C517" s="175"/>
      <c r="D517" s="176"/>
      <c r="E517" s="175"/>
      <c r="F517" s="175"/>
      <c r="G517" s="175"/>
      <c r="H517" s="175"/>
      <c r="I517" s="175"/>
      <c r="J517" s="179"/>
      <c r="K517" s="179"/>
      <c r="L517" s="179"/>
      <c r="M517" s="179"/>
      <c r="N517" s="179"/>
      <c r="O517" s="179"/>
      <c r="P517" s="179"/>
      <c r="Q517" s="179"/>
      <c r="R517" s="179"/>
      <c r="S517" s="163"/>
      <c r="T517" s="180"/>
      <c r="U517" s="123" t="str">
        <f t="shared" si="1"/>
        <v>#DIV/0!</v>
      </c>
    </row>
    <row r="518">
      <c r="A518" s="175"/>
      <c r="B518" s="175"/>
      <c r="C518" s="175"/>
      <c r="D518" s="176"/>
      <c r="E518" s="175"/>
      <c r="F518" s="175"/>
      <c r="G518" s="175"/>
      <c r="H518" s="175"/>
      <c r="I518" s="175"/>
      <c r="J518" s="179"/>
      <c r="K518" s="179"/>
      <c r="L518" s="179"/>
      <c r="M518" s="179"/>
      <c r="N518" s="179"/>
      <c r="O518" s="179"/>
      <c r="P518" s="179"/>
      <c r="Q518" s="179"/>
      <c r="R518" s="179"/>
      <c r="S518" s="163"/>
      <c r="T518" s="180"/>
      <c r="U518" s="123" t="str">
        <f t="shared" si="1"/>
        <v>#DIV/0!</v>
      </c>
    </row>
    <row r="519">
      <c r="A519" s="175"/>
      <c r="B519" s="175"/>
      <c r="C519" s="175"/>
      <c r="D519" s="176"/>
      <c r="E519" s="175"/>
      <c r="F519" s="175"/>
      <c r="G519" s="175"/>
      <c r="H519" s="175"/>
      <c r="I519" s="175"/>
      <c r="J519" s="179"/>
      <c r="K519" s="179"/>
      <c r="L519" s="179"/>
      <c r="M519" s="179"/>
      <c r="N519" s="179"/>
      <c r="O519" s="179"/>
      <c r="P519" s="179"/>
      <c r="Q519" s="179"/>
      <c r="R519" s="179"/>
      <c r="S519" s="163"/>
      <c r="T519" s="180"/>
      <c r="U519" s="123" t="str">
        <f t="shared" si="1"/>
        <v>#DIV/0!</v>
      </c>
    </row>
    <row r="520">
      <c r="A520" s="175"/>
      <c r="B520" s="175"/>
      <c r="C520" s="175"/>
      <c r="D520" s="176"/>
      <c r="E520" s="175"/>
      <c r="F520" s="175"/>
      <c r="G520" s="175"/>
      <c r="H520" s="175"/>
      <c r="I520" s="175"/>
      <c r="J520" s="179"/>
      <c r="K520" s="179"/>
      <c r="L520" s="179"/>
      <c r="M520" s="179"/>
      <c r="N520" s="179"/>
      <c r="O520" s="179"/>
      <c r="P520" s="179"/>
      <c r="Q520" s="179"/>
      <c r="R520" s="179"/>
      <c r="S520" s="163"/>
      <c r="T520" s="180"/>
      <c r="U520" s="123" t="str">
        <f t="shared" si="1"/>
        <v>#DIV/0!</v>
      </c>
    </row>
    <row r="521">
      <c r="A521" s="175"/>
      <c r="B521" s="175"/>
      <c r="C521" s="175"/>
      <c r="D521" s="176"/>
      <c r="E521" s="175"/>
      <c r="F521" s="175"/>
      <c r="G521" s="175"/>
      <c r="H521" s="175"/>
      <c r="I521" s="175"/>
      <c r="J521" s="179"/>
      <c r="K521" s="179"/>
      <c r="L521" s="179"/>
      <c r="M521" s="179"/>
      <c r="N521" s="179"/>
      <c r="O521" s="179"/>
      <c r="P521" s="179"/>
      <c r="Q521" s="179"/>
      <c r="R521" s="179"/>
      <c r="S521" s="163"/>
      <c r="T521" s="180"/>
      <c r="U521" s="123" t="str">
        <f t="shared" si="1"/>
        <v>#DIV/0!</v>
      </c>
    </row>
    <row r="522">
      <c r="A522" s="175"/>
      <c r="B522" s="175"/>
      <c r="C522" s="175"/>
      <c r="D522" s="176"/>
      <c r="E522" s="175"/>
      <c r="F522" s="175"/>
      <c r="G522" s="175"/>
      <c r="H522" s="175"/>
      <c r="I522" s="175"/>
      <c r="J522" s="179"/>
      <c r="K522" s="179"/>
      <c r="L522" s="179"/>
      <c r="M522" s="179"/>
      <c r="N522" s="179"/>
      <c r="O522" s="179"/>
      <c r="P522" s="179"/>
      <c r="Q522" s="179"/>
      <c r="R522" s="179"/>
      <c r="S522" s="163"/>
      <c r="T522" s="180"/>
      <c r="U522" s="123" t="str">
        <f t="shared" si="1"/>
        <v>#DIV/0!</v>
      </c>
    </row>
    <row r="523">
      <c r="A523" s="175"/>
      <c r="B523" s="175"/>
      <c r="C523" s="175"/>
      <c r="D523" s="176"/>
      <c r="E523" s="175"/>
      <c r="F523" s="175"/>
      <c r="G523" s="175"/>
      <c r="H523" s="175"/>
      <c r="I523" s="175"/>
      <c r="J523" s="179"/>
      <c r="K523" s="179"/>
      <c r="L523" s="179"/>
      <c r="M523" s="179"/>
      <c r="N523" s="179"/>
      <c r="O523" s="179"/>
      <c r="P523" s="179"/>
      <c r="Q523" s="179"/>
      <c r="R523" s="179"/>
      <c r="S523" s="163"/>
      <c r="T523" s="180"/>
      <c r="U523" s="123" t="str">
        <f t="shared" si="1"/>
        <v>#DIV/0!</v>
      </c>
    </row>
    <row r="524">
      <c r="A524" s="175"/>
      <c r="B524" s="175"/>
      <c r="C524" s="175"/>
      <c r="D524" s="176"/>
      <c r="E524" s="175"/>
      <c r="F524" s="175"/>
      <c r="G524" s="175"/>
      <c r="H524" s="175"/>
      <c r="I524" s="175"/>
      <c r="J524" s="179"/>
      <c r="K524" s="179"/>
      <c r="L524" s="179"/>
      <c r="M524" s="179"/>
      <c r="N524" s="179"/>
      <c r="O524" s="179"/>
      <c r="P524" s="179"/>
      <c r="Q524" s="179"/>
      <c r="R524" s="179"/>
      <c r="S524" s="163"/>
      <c r="T524" s="180"/>
      <c r="U524" s="123" t="str">
        <f t="shared" si="1"/>
        <v>#DIV/0!</v>
      </c>
    </row>
    <row r="525">
      <c r="A525" s="175"/>
      <c r="B525" s="175"/>
      <c r="C525" s="175"/>
      <c r="D525" s="176"/>
      <c r="E525" s="175"/>
      <c r="F525" s="175"/>
      <c r="G525" s="175"/>
      <c r="H525" s="175"/>
      <c r="I525" s="175"/>
      <c r="J525" s="179"/>
      <c r="K525" s="179"/>
      <c r="L525" s="179"/>
      <c r="M525" s="179"/>
      <c r="N525" s="179"/>
      <c r="O525" s="179"/>
      <c r="P525" s="179"/>
      <c r="Q525" s="179"/>
      <c r="R525" s="179"/>
      <c r="S525" s="163"/>
      <c r="T525" s="180"/>
      <c r="U525" s="123" t="str">
        <f t="shared" si="1"/>
        <v>#DIV/0!</v>
      </c>
    </row>
    <row r="526">
      <c r="A526" s="175"/>
      <c r="B526" s="175"/>
      <c r="C526" s="175"/>
      <c r="D526" s="176"/>
      <c r="E526" s="175"/>
      <c r="F526" s="175"/>
      <c r="G526" s="175"/>
      <c r="H526" s="175"/>
      <c r="I526" s="175"/>
      <c r="J526" s="179"/>
      <c r="K526" s="179"/>
      <c r="L526" s="179"/>
      <c r="M526" s="179"/>
      <c r="N526" s="179"/>
      <c r="O526" s="179"/>
      <c r="P526" s="179"/>
      <c r="Q526" s="179"/>
      <c r="R526" s="179"/>
      <c r="S526" s="163"/>
      <c r="T526" s="180"/>
      <c r="U526" s="123" t="str">
        <f t="shared" si="1"/>
        <v>#DIV/0!</v>
      </c>
    </row>
    <row r="527">
      <c r="A527" s="175"/>
      <c r="B527" s="175"/>
      <c r="C527" s="175"/>
      <c r="D527" s="176"/>
      <c r="E527" s="175"/>
      <c r="F527" s="175"/>
      <c r="G527" s="175"/>
      <c r="H527" s="175"/>
      <c r="I527" s="175"/>
      <c r="J527" s="179"/>
      <c r="K527" s="179"/>
      <c r="L527" s="179"/>
      <c r="M527" s="179"/>
      <c r="N527" s="179"/>
      <c r="O527" s="179"/>
      <c r="P527" s="179"/>
      <c r="Q527" s="179"/>
      <c r="R527" s="179"/>
      <c r="S527" s="163"/>
      <c r="T527" s="180"/>
      <c r="U527" s="123" t="str">
        <f t="shared" si="1"/>
        <v>#DIV/0!</v>
      </c>
    </row>
    <row r="528">
      <c r="A528" s="175"/>
      <c r="B528" s="175"/>
      <c r="C528" s="175"/>
      <c r="D528" s="176"/>
      <c r="E528" s="175"/>
      <c r="F528" s="175"/>
      <c r="G528" s="175"/>
      <c r="H528" s="175"/>
      <c r="I528" s="175"/>
      <c r="J528" s="179"/>
      <c r="K528" s="179"/>
      <c r="L528" s="179"/>
      <c r="M528" s="179"/>
      <c r="N528" s="179"/>
      <c r="O528" s="179"/>
      <c r="P528" s="179"/>
      <c r="Q528" s="179"/>
      <c r="R528" s="179"/>
      <c r="S528" s="163"/>
      <c r="T528" s="180"/>
      <c r="U528" s="123" t="str">
        <f t="shared" si="1"/>
        <v>#DIV/0!</v>
      </c>
    </row>
    <row r="529">
      <c r="A529" s="175"/>
      <c r="B529" s="175"/>
      <c r="C529" s="175"/>
      <c r="D529" s="176"/>
      <c r="E529" s="175"/>
      <c r="F529" s="175"/>
      <c r="G529" s="175"/>
      <c r="H529" s="175"/>
      <c r="I529" s="175"/>
      <c r="J529" s="179"/>
      <c r="K529" s="179"/>
      <c r="L529" s="179"/>
      <c r="M529" s="179"/>
      <c r="N529" s="179"/>
      <c r="O529" s="179"/>
      <c r="P529" s="179"/>
      <c r="Q529" s="179"/>
      <c r="R529" s="179"/>
      <c r="S529" s="163"/>
      <c r="T529" s="180"/>
      <c r="U529" s="123" t="str">
        <f t="shared" si="1"/>
        <v>#DIV/0!</v>
      </c>
    </row>
    <row r="530">
      <c r="A530" s="175"/>
      <c r="B530" s="175"/>
      <c r="C530" s="175"/>
      <c r="D530" s="176"/>
      <c r="E530" s="175"/>
      <c r="F530" s="175"/>
      <c r="G530" s="175"/>
      <c r="H530" s="175"/>
      <c r="I530" s="175"/>
      <c r="J530" s="179"/>
      <c r="K530" s="179"/>
      <c r="L530" s="179"/>
      <c r="M530" s="179"/>
      <c r="N530" s="179"/>
      <c r="O530" s="179"/>
      <c r="P530" s="179"/>
      <c r="Q530" s="179"/>
      <c r="R530" s="179"/>
      <c r="S530" s="163"/>
      <c r="T530" s="180"/>
      <c r="U530" s="123" t="str">
        <f t="shared" si="1"/>
        <v>#DIV/0!</v>
      </c>
    </row>
    <row r="531">
      <c r="A531" s="175"/>
      <c r="B531" s="175"/>
      <c r="C531" s="175"/>
      <c r="D531" s="176"/>
      <c r="E531" s="175"/>
      <c r="F531" s="175"/>
      <c r="G531" s="175"/>
      <c r="H531" s="175"/>
      <c r="I531" s="175"/>
      <c r="J531" s="179"/>
      <c r="K531" s="179"/>
      <c r="L531" s="179"/>
      <c r="M531" s="179"/>
      <c r="N531" s="179"/>
      <c r="O531" s="179"/>
      <c r="P531" s="179"/>
      <c r="Q531" s="179"/>
      <c r="R531" s="179"/>
      <c r="S531" s="163"/>
      <c r="T531" s="180"/>
      <c r="U531" s="123" t="str">
        <f t="shared" si="1"/>
        <v>#DIV/0!</v>
      </c>
    </row>
    <row r="532">
      <c r="A532" s="175"/>
      <c r="B532" s="175"/>
      <c r="C532" s="175"/>
      <c r="D532" s="176"/>
      <c r="E532" s="175"/>
      <c r="F532" s="175"/>
      <c r="G532" s="175"/>
      <c r="H532" s="175"/>
      <c r="I532" s="175"/>
      <c r="J532" s="179"/>
      <c r="K532" s="179"/>
      <c r="L532" s="179"/>
      <c r="M532" s="179"/>
      <c r="N532" s="179"/>
      <c r="O532" s="179"/>
      <c r="P532" s="179"/>
      <c r="Q532" s="179"/>
      <c r="R532" s="179"/>
      <c r="S532" s="163"/>
      <c r="T532" s="180"/>
      <c r="U532" s="123" t="str">
        <f t="shared" si="1"/>
        <v>#DIV/0!</v>
      </c>
    </row>
    <row r="533">
      <c r="A533" s="175"/>
      <c r="B533" s="175"/>
      <c r="C533" s="175"/>
      <c r="D533" s="176"/>
      <c r="E533" s="175"/>
      <c r="F533" s="175"/>
      <c r="G533" s="175"/>
      <c r="H533" s="175"/>
      <c r="I533" s="175"/>
      <c r="J533" s="179"/>
      <c r="K533" s="179"/>
      <c r="L533" s="179"/>
      <c r="M533" s="179"/>
      <c r="N533" s="179"/>
      <c r="O533" s="179"/>
      <c r="P533" s="179"/>
      <c r="Q533" s="179"/>
      <c r="R533" s="179"/>
      <c r="S533" s="163"/>
      <c r="T533" s="180"/>
      <c r="U533" s="123" t="str">
        <f t="shared" si="1"/>
        <v>#DIV/0!</v>
      </c>
    </row>
    <row r="534">
      <c r="A534" s="175"/>
      <c r="B534" s="175"/>
      <c r="C534" s="175"/>
      <c r="D534" s="176"/>
      <c r="E534" s="175"/>
      <c r="F534" s="175"/>
      <c r="G534" s="175"/>
      <c r="H534" s="175"/>
      <c r="I534" s="175"/>
      <c r="J534" s="179"/>
      <c r="K534" s="179"/>
      <c r="L534" s="179"/>
      <c r="M534" s="179"/>
      <c r="N534" s="179"/>
      <c r="O534" s="179"/>
      <c r="P534" s="179"/>
      <c r="Q534" s="179"/>
      <c r="R534" s="179"/>
      <c r="S534" s="163"/>
      <c r="T534" s="180"/>
      <c r="U534" s="123" t="str">
        <f t="shared" si="1"/>
        <v>#DIV/0!</v>
      </c>
    </row>
    <row r="535">
      <c r="A535" s="175"/>
      <c r="B535" s="175"/>
      <c r="C535" s="175"/>
      <c r="D535" s="176"/>
      <c r="E535" s="175"/>
      <c r="F535" s="175"/>
      <c r="G535" s="175"/>
      <c r="H535" s="175"/>
      <c r="I535" s="175"/>
      <c r="J535" s="179"/>
      <c r="K535" s="179"/>
      <c r="L535" s="179"/>
      <c r="M535" s="179"/>
      <c r="N535" s="179"/>
      <c r="O535" s="179"/>
      <c r="P535" s="179"/>
      <c r="Q535" s="179"/>
      <c r="R535" s="179"/>
      <c r="S535" s="163"/>
      <c r="T535" s="180"/>
      <c r="U535" s="123" t="str">
        <f t="shared" si="1"/>
        <v>#DIV/0!</v>
      </c>
    </row>
    <row r="536">
      <c r="A536" s="175"/>
      <c r="B536" s="175"/>
      <c r="C536" s="175"/>
      <c r="D536" s="176"/>
      <c r="E536" s="175"/>
      <c r="F536" s="175"/>
      <c r="G536" s="175"/>
      <c r="H536" s="175"/>
      <c r="I536" s="175"/>
      <c r="J536" s="179"/>
      <c r="K536" s="179"/>
      <c r="L536" s="179"/>
      <c r="M536" s="179"/>
      <c r="N536" s="179"/>
      <c r="O536" s="179"/>
      <c r="P536" s="179"/>
      <c r="Q536" s="179"/>
      <c r="R536" s="179"/>
      <c r="S536" s="163"/>
      <c r="T536" s="180"/>
      <c r="U536" s="123" t="str">
        <f t="shared" si="1"/>
        <v>#DIV/0!</v>
      </c>
    </row>
    <row r="537">
      <c r="A537" s="175"/>
      <c r="B537" s="175"/>
      <c r="C537" s="175"/>
      <c r="D537" s="176"/>
      <c r="E537" s="175"/>
      <c r="F537" s="175"/>
      <c r="G537" s="175"/>
      <c r="H537" s="175"/>
      <c r="I537" s="175"/>
      <c r="J537" s="179"/>
      <c r="K537" s="179"/>
      <c r="L537" s="179"/>
      <c r="M537" s="179"/>
      <c r="N537" s="179"/>
      <c r="O537" s="179"/>
      <c r="P537" s="179"/>
      <c r="Q537" s="179"/>
      <c r="R537" s="179"/>
      <c r="S537" s="163"/>
      <c r="T537" s="180"/>
      <c r="U537" s="123" t="str">
        <f t="shared" si="1"/>
        <v>#DIV/0!</v>
      </c>
    </row>
    <row r="538">
      <c r="A538" s="175"/>
      <c r="B538" s="175"/>
      <c r="C538" s="175"/>
      <c r="D538" s="176"/>
      <c r="E538" s="175"/>
      <c r="F538" s="175"/>
      <c r="G538" s="175"/>
      <c r="H538" s="175"/>
      <c r="I538" s="175"/>
      <c r="J538" s="179"/>
      <c r="K538" s="179"/>
      <c r="L538" s="179"/>
      <c r="M538" s="179"/>
      <c r="N538" s="179"/>
      <c r="O538" s="179"/>
      <c r="P538" s="179"/>
      <c r="Q538" s="179"/>
      <c r="R538" s="179"/>
      <c r="S538" s="163"/>
      <c r="T538" s="180"/>
      <c r="U538" s="123" t="str">
        <f t="shared" si="1"/>
        <v>#DIV/0!</v>
      </c>
    </row>
    <row r="539">
      <c r="A539" s="175"/>
      <c r="B539" s="175"/>
      <c r="C539" s="175"/>
      <c r="D539" s="176"/>
      <c r="E539" s="175"/>
      <c r="F539" s="175"/>
      <c r="G539" s="175"/>
      <c r="H539" s="175"/>
      <c r="I539" s="175"/>
      <c r="J539" s="179"/>
      <c r="K539" s="179"/>
      <c r="L539" s="179"/>
      <c r="M539" s="179"/>
      <c r="N539" s="179"/>
      <c r="O539" s="179"/>
      <c r="P539" s="179"/>
      <c r="Q539" s="179"/>
      <c r="R539" s="179"/>
      <c r="S539" s="163"/>
      <c r="T539" s="180"/>
      <c r="U539" s="123" t="str">
        <f t="shared" si="1"/>
        <v>#DIV/0!</v>
      </c>
    </row>
    <row r="540">
      <c r="A540" s="175"/>
      <c r="B540" s="175"/>
      <c r="C540" s="175"/>
      <c r="D540" s="176"/>
      <c r="E540" s="175"/>
      <c r="F540" s="175"/>
      <c r="G540" s="175"/>
      <c r="H540" s="175"/>
      <c r="I540" s="175"/>
      <c r="J540" s="179"/>
      <c r="K540" s="179"/>
      <c r="L540" s="179"/>
      <c r="M540" s="179"/>
      <c r="N540" s="179"/>
      <c r="O540" s="179"/>
      <c r="P540" s="179"/>
      <c r="Q540" s="179"/>
      <c r="R540" s="179"/>
      <c r="S540" s="163"/>
      <c r="T540" s="180"/>
      <c r="U540" s="123" t="str">
        <f t="shared" si="1"/>
        <v>#DIV/0!</v>
      </c>
    </row>
    <row r="541">
      <c r="A541" s="175"/>
      <c r="B541" s="175"/>
      <c r="C541" s="175"/>
      <c r="D541" s="176"/>
      <c r="E541" s="175"/>
      <c r="F541" s="175"/>
      <c r="G541" s="175"/>
      <c r="H541" s="175"/>
      <c r="I541" s="175"/>
      <c r="J541" s="179"/>
      <c r="K541" s="179"/>
      <c r="L541" s="179"/>
      <c r="M541" s="179"/>
      <c r="N541" s="179"/>
      <c r="O541" s="179"/>
      <c r="P541" s="179"/>
      <c r="Q541" s="179"/>
      <c r="R541" s="179"/>
      <c r="S541" s="163"/>
      <c r="T541" s="180"/>
      <c r="U541" s="123" t="str">
        <f t="shared" si="1"/>
        <v>#DIV/0!</v>
      </c>
    </row>
    <row r="542">
      <c r="A542" s="175"/>
      <c r="B542" s="175"/>
      <c r="C542" s="175"/>
      <c r="D542" s="176"/>
      <c r="E542" s="175"/>
      <c r="F542" s="175"/>
      <c r="G542" s="175"/>
      <c r="H542" s="175"/>
      <c r="I542" s="175"/>
      <c r="J542" s="179"/>
      <c r="K542" s="179"/>
      <c r="L542" s="179"/>
      <c r="M542" s="179"/>
      <c r="N542" s="179"/>
      <c r="O542" s="179"/>
      <c r="P542" s="179"/>
      <c r="Q542" s="179"/>
      <c r="R542" s="179"/>
      <c r="S542" s="163"/>
      <c r="T542" s="180"/>
      <c r="U542" s="123" t="str">
        <f t="shared" si="1"/>
        <v>#DIV/0!</v>
      </c>
    </row>
    <row r="543">
      <c r="A543" s="175"/>
      <c r="B543" s="175"/>
      <c r="C543" s="175"/>
      <c r="D543" s="176"/>
      <c r="E543" s="175"/>
      <c r="F543" s="175"/>
      <c r="G543" s="175"/>
      <c r="H543" s="175"/>
      <c r="I543" s="175"/>
      <c r="J543" s="179"/>
      <c r="K543" s="179"/>
      <c r="L543" s="179"/>
      <c r="M543" s="179"/>
      <c r="N543" s="179"/>
      <c r="O543" s="179"/>
      <c r="P543" s="179"/>
      <c r="Q543" s="179"/>
      <c r="R543" s="179"/>
      <c r="S543" s="163"/>
      <c r="T543" s="180"/>
      <c r="U543" s="123" t="str">
        <f t="shared" si="1"/>
        <v>#DIV/0!</v>
      </c>
    </row>
    <row r="544">
      <c r="A544" s="175"/>
      <c r="B544" s="175"/>
      <c r="C544" s="175"/>
      <c r="D544" s="176"/>
      <c r="E544" s="175"/>
      <c r="F544" s="175"/>
      <c r="G544" s="175"/>
      <c r="H544" s="175"/>
      <c r="I544" s="175"/>
      <c r="J544" s="179"/>
      <c r="K544" s="179"/>
      <c r="L544" s="179"/>
      <c r="M544" s="179"/>
      <c r="N544" s="179"/>
      <c r="O544" s="179"/>
      <c r="P544" s="179"/>
      <c r="Q544" s="179"/>
      <c r="R544" s="179"/>
      <c r="S544" s="163"/>
      <c r="T544" s="180"/>
      <c r="U544" s="123" t="str">
        <f t="shared" si="1"/>
        <v>#DIV/0!</v>
      </c>
    </row>
    <row r="545">
      <c r="A545" s="175"/>
      <c r="B545" s="175"/>
      <c r="C545" s="175"/>
      <c r="D545" s="176"/>
      <c r="E545" s="175"/>
      <c r="F545" s="175"/>
      <c r="G545" s="175"/>
      <c r="H545" s="175"/>
      <c r="I545" s="175"/>
      <c r="J545" s="179"/>
      <c r="K545" s="179"/>
      <c r="L545" s="179"/>
      <c r="M545" s="179"/>
      <c r="N545" s="179"/>
      <c r="O545" s="179"/>
      <c r="P545" s="179"/>
      <c r="Q545" s="179"/>
      <c r="R545" s="179"/>
      <c r="S545" s="163"/>
      <c r="T545" s="180"/>
      <c r="U545" s="123" t="str">
        <f t="shared" si="1"/>
        <v>#DIV/0!</v>
      </c>
    </row>
    <row r="546">
      <c r="A546" s="175"/>
      <c r="B546" s="175"/>
      <c r="C546" s="175"/>
      <c r="D546" s="176"/>
      <c r="E546" s="175"/>
      <c r="F546" s="175"/>
      <c r="G546" s="175"/>
      <c r="H546" s="175"/>
      <c r="I546" s="175"/>
      <c r="J546" s="179"/>
      <c r="K546" s="179"/>
      <c r="L546" s="179"/>
      <c r="M546" s="179"/>
      <c r="N546" s="179"/>
      <c r="O546" s="179"/>
      <c r="P546" s="179"/>
      <c r="Q546" s="179"/>
      <c r="R546" s="179"/>
      <c r="S546" s="163"/>
      <c r="T546" s="180"/>
      <c r="U546" s="123" t="str">
        <f t="shared" si="1"/>
        <v>#DIV/0!</v>
      </c>
    </row>
    <row r="547">
      <c r="A547" s="175"/>
      <c r="B547" s="175"/>
      <c r="C547" s="175"/>
      <c r="D547" s="176"/>
      <c r="E547" s="175"/>
      <c r="F547" s="175"/>
      <c r="G547" s="175"/>
      <c r="H547" s="175"/>
      <c r="I547" s="175"/>
      <c r="J547" s="179"/>
      <c r="K547" s="179"/>
      <c r="L547" s="179"/>
      <c r="M547" s="179"/>
      <c r="N547" s="179"/>
      <c r="O547" s="179"/>
      <c r="P547" s="179"/>
      <c r="Q547" s="179"/>
      <c r="R547" s="179"/>
      <c r="S547" s="163"/>
      <c r="T547" s="180"/>
      <c r="U547" s="123" t="str">
        <f t="shared" si="1"/>
        <v>#DIV/0!</v>
      </c>
    </row>
    <row r="548">
      <c r="A548" s="175"/>
      <c r="B548" s="175"/>
      <c r="C548" s="175"/>
      <c r="D548" s="176"/>
      <c r="E548" s="175"/>
      <c r="F548" s="175"/>
      <c r="G548" s="175"/>
      <c r="H548" s="175"/>
      <c r="I548" s="175"/>
      <c r="J548" s="179"/>
      <c r="K548" s="179"/>
      <c r="L548" s="179"/>
      <c r="M548" s="179"/>
      <c r="N548" s="179"/>
      <c r="O548" s="179"/>
      <c r="P548" s="179"/>
      <c r="Q548" s="179"/>
      <c r="R548" s="179"/>
      <c r="S548" s="163"/>
      <c r="T548" s="180"/>
      <c r="U548" s="123" t="str">
        <f t="shared" si="1"/>
        <v>#DIV/0!</v>
      </c>
    </row>
    <row r="549">
      <c r="A549" s="175"/>
      <c r="B549" s="175"/>
      <c r="C549" s="175"/>
      <c r="D549" s="176"/>
      <c r="E549" s="175"/>
      <c r="F549" s="175"/>
      <c r="G549" s="175"/>
      <c r="H549" s="175"/>
      <c r="I549" s="175"/>
      <c r="J549" s="179"/>
      <c r="K549" s="179"/>
      <c r="L549" s="179"/>
      <c r="M549" s="179"/>
      <c r="N549" s="179"/>
      <c r="O549" s="179"/>
      <c r="P549" s="179"/>
      <c r="Q549" s="179"/>
      <c r="R549" s="179"/>
      <c r="S549" s="163"/>
      <c r="T549" s="180"/>
      <c r="U549" s="123" t="str">
        <f t="shared" si="1"/>
        <v>#DIV/0!</v>
      </c>
    </row>
    <row r="550">
      <c r="A550" s="175"/>
      <c r="B550" s="175"/>
      <c r="C550" s="175"/>
      <c r="D550" s="176"/>
      <c r="E550" s="175"/>
      <c r="F550" s="175"/>
      <c r="G550" s="175"/>
      <c r="H550" s="175"/>
      <c r="I550" s="175"/>
      <c r="J550" s="179"/>
      <c r="K550" s="179"/>
      <c r="L550" s="179"/>
      <c r="M550" s="179"/>
      <c r="N550" s="179"/>
      <c r="O550" s="179"/>
      <c r="P550" s="179"/>
      <c r="Q550" s="179"/>
      <c r="R550" s="179"/>
      <c r="S550" s="163"/>
      <c r="T550" s="180"/>
      <c r="U550" s="123" t="str">
        <f t="shared" si="1"/>
        <v>#DIV/0!</v>
      </c>
    </row>
    <row r="551">
      <c r="A551" s="175"/>
      <c r="B551" s="175"/>
      <c r="C551" s="175"/>
      <c r="D551" s="176"/>
      <c r="E551" s="175"/>
      <c r="F551" s="175"/>
      <c r="G551" s="175"/>
      <c r="H551" s="175"/>
      <c r="I551" s="175"/>
      <c r="J551" s="179"/>
      <c r="K551" s="179"/>
      <c r="L551" s="179"/>
      <c r="M551" s="179"/>
      <c r="N551" s="179"/>
      <c r="O551" s="179"/>
      <c r="P551" s="179"/>
      <c r="Q551" s="179"/>
      <c r="R551" s="179"/>
      <c r="S551" s="163"/>
      <c r="T551" s="180"/>
      <c r="U551" s="123" t="str">
        <f t="shared" si="1"/>
        <v>#DIV/0!</v>
      </c>
    </row>
    <row r="552">
      <c r="A552" s="175"/>
      <c r="B552" s="175"/>
      <c r="C552" s="175"/>
      <c r="D552" s="176"/>
      <c r="E552" s="175"/>
      <c r="F552" s="175"/>
      <c r="G552" s="175"/>
      <c r="H552" s="175"/>
      <c r="I552" s="175"/>
      <c r="J552" s="179"/>
      <c r="K552" s="179"/>
      <c r="L552" s="179"/>
      <c r="M552" s="179"/>
      <c r="N552" s="179"/>
      <c r="O552" s="179"/>
      <c r="P552" s="179"/>
      <c r="Q552" s="179"/>
      <c r="R552" s="179"/>
      <c r="S552" s="163"/>
      <c r="T552" s="180"/>
      <c r="U552" s="123" t="str">
        <f t="shared" si="1"/>
        <v>#DIV/0!</v>
      </c>
    </row>
    <row r="553">
      <c r="A553" s="175"/>
      <c r="B553" s="175"/>
      <c r="C553" s="175"/>
      <c r="D553" s="176"/>
      <c r="E553" s="175"/>
      <c r="F553" s="175"/>
      <c r="G553" s="175"/>
      <c r="H553" s="175"/>
      <c r="I553" s="175"/>
      <c r="J553" s="179"/>
      <c r="K553" s="179"/>
      <c r="L553" s="179"/>
      <c r="M553" s="179"/>
      <c r="N553" s="179"/>
      <c r="O553" s="179"/>
      <c r="P553" s="179"/>
      <c r="Q553" s="179"/>
      <c r="R553" s="179"/>
      <c r="S553" s="163"/>
      <c r="T553" s="180"/>
      <c r="U553" s="123" t="str">
        <f t="shared" si="1"/>
        <v>#DIV/0!</v>
      </c>
    </row>
    <row r="554">
      <c r="A554" s="175"/>
      <c r="B554" s="175"/>
      <c r="C554" s="175"/>
      <c r="D554" s="176"/>
      <c r="E554" s="175"/>
      <c r="F554" s="175"/>
      <c r="G554" s="175"/>
      <c r="H554" s="175"/>
      <c r="I554" s="175"/>
      <c r="J554" s="179"/>
      <c r="K554" s="179"/>
      <c r="L554" s="179"/>
      <c r="M554" s="179"/>
      <c r="N554" s="179"/>
      <c r="O554" s="179"/>
      <c r="P554" s="179"/>
      <c r="Q554" s="179"/>
      <c r="R554" s="179"/>
      <c r="S554" s="163"/>
      <c r="T554" s="180"/>
      <c r="U554" s="123" t="str">
        <f t="shared" si="1"/>
        <v>#DIV/0!</v>
      </c>
    </row>
    <row r="555">
      <c r="A555" s="175"/>
      <c r="B555" s="175"/>
      <c r="C555" s="175"/>
      <c r="D555" s="176"/>
      <c r="E555" s="175"/>
      <c r="F555" s="175"/>
      <c r="G555" s="175"/>
      <c r="H555" s="175"/>
      <c r="I555" s="175"/>
      <c r="J555" s="179"/>
      <c r="K555" s="179"/>
      <c r="L555" s="179"/>
      <c r="M555" s="179"/>
      <c r="N555" s="179"/>
      <c r="O555" s="179"/>
      <c r="P555" s="179"/>
      <c r="Q555" s="179"/>
      <c r="R555" s="179"/>
      <c r="S555" s="163"/>
      <c r="T555" s="180"/>
      <c r="U555" s="123" t="str">
        <f t="shared" si="1"/>
        <v>#DIV/0!</v>
      </c>
    </row>
    <row r="556">
      <c r="A556" s="175"/>
      <c r="B556" s="175"/>
      <c r="C556" s="175"/>
      <c r="D556" s="176"/>
      <c r="E556" s="175"/>
      <c r="F556" s="175"/>
      <c r="G556" s="175"/>
      <c r="H556" s="175"/>
      <c r="I556" s="175"/>
      <c r="J556" s="179"/>
      <c r="K556" s="179"/>
      <c r="L556" s="179"/>
      <c r="M556" s="179"/>
      <c r="N556" s="179"/>
      <c r="O556" s="179"/>
      <c r="P556" s="179"/>
      <c r="Q556" s="179"/>
      <c r="R556" s="179"/>
      <c r="S556" s="163"/>
      <c r="T556" s="180"/>
      <c r="U556" s="123" t="str">
        <f t="shared" si="1"/>
        <v>#DIV/0!</v>
      </c>
    </row>
    <row r="557">
      <c r="A557" s="175"/>
      <c r="B557" s="175"/>
      <c r="C557" s="175"/>
      <c r="D557" s="176"/>
      <c r="E557" s="175"/>
      <c r="F557" s="175"/>
      <c r="G557" s="175"/>
      <c r="H557" s="175"/>
      <c r="I557" s="175"/>
      <c r="J557" s="179"/>
      <c r="K557" s="179"/>
      <c r="L557" s="179"/>
      <c r="M557" s="179"/>
      <c r="N557" s="179"/>
      <c r="O557" s="179"/>
      <c r="P557" s="179"/>
      <c r="Q557" s="179"/>
      <c r="R557" s="179"/>
      <c r="S557" s="163"/>
      <c r="T557" s="180"/>
      <c r="U557" s="123" t="str">
        <f t="shared" si="1"/>
        <v>#DIV/0!</v>
      </c>
    </row>
    <row r="558">
      <c r="A558" s="175"/>
      <c r="B558" s="175"/>
      <c r="C558" s="175"/>
      <c r="D558" s="176"/>
      <c r="E558" s="175"/>
      <c r="F558" s="175"/>
      <c r="G558" s="175"/>
      <c r="H558" s="175"/>
      <c r="I558" s="175"/>
      <c r="J558" s="179"/>
      <c r="K558" s="179"/>
      <c r="L558" s="179"/>
      <c r="M558" s="179"/>
      <c r="N558" s="179"/>
      <c r="O558" s="179"/>
      <c r="P558" s="179"/>
      <c r="Q558" s="179"/>
      <c r="R558" s="179"/>
      <c r="S558" s="163"/>
      <c r="T558" s="180"/>
      <c r="U558" s="123" t="str">
        <f t="shared" si="1"/>
        <v>#DIV/0!</v>
      </c>
    </row>
    <row r="559">
      <c r="A559" s="175"/>
      <c r="B559" s="175"/>
      <c r="C559" s="175"/>
      <c r="D559" s="176"/>
      <c r="E559" s="175"/>
      <c r="F559" s="175"/>
      <c r="G559" s="175"/>
      <c r="H559" s="175"/>
      <c r="I559" s="175"/>
      <c r="J559" s="179"/>
      <c r="K559" s="179"/>
      <c r="L559" s="179"/>
      <c r="M559" s="179"/>
      <c r="N559" s="179"/>
      <c r="O559" s="179"/>
      <c r="P559" s="179"/>
      <c r="Q559" s="179"/>
      <c r="R559" s="179"/>
      <c r="S559" s="163"/>
      <c r="T559" s="180"/>
      <c r="U559" s="123" t="str">
        <f t="shared" si="1"/>
        <v>#DIV/0!</v>
      </c>
    </row>
    <row r="560">
      <c r="A560" s="175"/>
      <c r="B560" s="175"/>
      <c r="C560" s="175"/>
      <c r="D560" s="176"/>
      <c r="E560" s="175"/>
      <c r="F560" s="175"/>
      <c r="G560" s="175"/>
      <c r="H560" s="175"/>
      <c r="I560" s="175"/>
      <c r="J560" s="179"/>
      <c r="K560" s="179"/>
      <c r="L560" s="179"/>
      <c r="M560" s="179"/>
      <c r="N560" s="179"/>
      <c r="O560" s="179"/>
      <c r="P560" s="179"/>
      <c r="Q560" s="179"/>
      <c r="R560" s="179"/>
      <c r="S560" s="163"/>
      <c r="T560" s="180"/>
      <c r="U560" s="123" t="str">
        <f t="shared" si="1"/>
        <v>#DIV/0!</v>
      </c>
    </row>
    <row r="561">
      <c r="A561" s="175"/>
      <c r="B561" s="175"/>
      <c r="C561" s="175"/>
      <c r="D561" s="176"/>
      <c r="E561" s="175"/>
      <c r="F561" s="175"/>
      <c r="G561" s="175"/>
      <c r="H561" s="175"/>
      <c r="I561" s="175"/>
      <c r="J561" s="179"/>
      <c r="K561" s="179"/>
      <c r="L561" s="179"/>
      <c r="M561" s="179"/>
      <c r="N561" s="179"/>
      <c r="O561" s="179"/>
      <c r="P561" s="179"/>
      <c r="Q561" s="179"/>
      <c r="R561" s="179"/>
      <c r="S561" s="163"/>
      <c r="T561" s="180"/>
      <c r="U561" s="123" t="str">
        <f t="shared" si="1"/>
        <v>#DIV/0!</v>
      </c>
    </row>
    <row r="562">
      <c r="A562" s="175"/>
      <c r="B562" s="175"/>
      <c r="C562" s="175"/>
      <c r="D562" s="176"/>
      <c r="E562" s="175"/>
      <c r="F562" s="175"/>
      <c r="G562" s="175"/>
      <c r="H562" s="175"/>
      <c r="I562" s="175"/>
      <c r="J562" s="179"/>
      <c r="K562" s="179"/>
      <c r="L562" s="179"/>
      <c r="M562" s="179"/>
      <c r="N562" s="179"/>
      <c r="O562" s="179"/>
      <c r="P562" s="179"/>
      <c r="Q562" s="179"/>
      <c r="R562" s="179"/>
      <c r="S562" s="163"/>
      <c r="T562" s="180"/>
      <c r="U562" s="123" t="str">
        <f t="shared" si="1"/>
        <v>#DIV/0!</v>
      </c>
    </row>
    <row r="563">
      <c r="A563" s="175"/>
      <c r="B563" s="175"/>
      <c r="C563" s="175"/>
      <c r="D563" s="176"/>
      <c r="E563" s="175"/>
      <c r="F563" s="175"/>
      <c r="G563" s="175"/>
      <c r="H563" s="175"/>
      <c r="I563" s="175"/>
      <c r="J563" s="179"/>
      <c r="K563" s="179"/>
      <c r="L563" s="179"/>
      <c r="M563" s="179"/>
      <c r="N563" s="179"/>
      <c r="O563" s="179"/>
      <c r="P563" s="179"/>
      <c r="Q563" s="179"/>
      <c r="R563" s="179"/>
      <c r="S563" s="163"/>
      <c r="T563" s="180"/>
      <c r="U563" s="123" t="str">
        <f t="shared" si="1"/>
        <v>#DIV/0!</v>
      </c>
    </row>
    <row r="564">
      <c r="A564" s="175"/>
      <c r="B564" s="175"/>
      <c r="C564" s="175"/>
      <c r="D564" s="176"/>
      <c r="E564" s="175"/>
      <c r="F564" s="175"/>
      <c r="G564" s="175"/>
      <c r="H564" s="175"/>
      <c r="I564" s="175"/>
      <c r="J564" s="179"/>
      <c r="K564" s="179"/>
      <c r="L564" s="179"/>
      <c r="M564" s="179"/>
      <c r="N564" s="179"/>
      <c r="O564" s="179"/>
      <c r="P564" s="179"/>
      <c r="Q564" s="179"/>
      <c r="R564" s="179"/>
      <c r="S564" s="163"/>
      <c r="T564" s="180"/>
      <c r="U564" s="123" t="str">
        <f t="shared" si="1"/>
        <v>#DIV/0!</v>
      </c>
    </row>
    <row r="565">
      <c r="A565" s="175"/>
      <c r="B565" s="175"/>
      <c r="C565" s="175"/>
      <c r="D565" s="176"/>
      <c r="E565" s="175"/>
      <c r="F565" s="175"/>
      <c r="G565" s="175"/>
      <c r="H565" s="175"/>
      <c r="I565" s="175"/>
      <c r="J565" s="179"/>
      <c r="K565" s="179"/>
      <c r="L565" s="179"/>
      <c r="M565" s="179"/>
      <c r="N565" s="179"/>
      <c r="O565" s="179"/>
      <c r="P565" s="179"/>
      <c r="Q565" s="179"/>
      <c r="R565" s="179"/>
      <c r="S565" s="163"/>
      <c r="T565" s="180"/>
      <c r="U565" s="123" t="str">
        <f t="shared" si="1"/>
        <v>#DIV/0!</v>
      </c>
    </row>
    <row r="566">
      <c r="A566" s="175"/>
      <c r="B566" s="175"/>
      <c r="C566" s="175"/>
      <c r="D566" s="176"/>
      <c r="E566" s="175"/>
      <c r="F566" s="175"/>
      <c r="G566" s="175"/>
      <c r="H566" s="175"/>
      <c r="I566" s="175"/>
      <c r="J566" s="179"/>
      <c r="K566" s="179"/>
      <c r="L566" s="179"/>
      <c r="M566" s="179"/>
      <c r="N566" s="179"/>
      <c r="O566" s="179"/>
      <c r="P566" s="179"/>
      <c r="Q566" s="179"/>
      <c r="R566" s="179"/>
      <c r="S566" s="163"/>
      <c r="T566" s="180"/>
      <c r="U566" s="123" t="str">
        <f t="shared" si="1"/>
        <v>#DIV/0!</v>
      </c>
    </row>
    <row r="567">
      <c r="A567" s="175"/>
      <c r="B567" s="175"/>
      <c r="C567" s="175"/>
      <c r="D567" s="176"/>
      <c r="E567" s="175"/>
      <c r="F567" s="175"/>
      <c r="G567" s="175"/>
      <c r="H567" s="175"/>
      <c r="I567" s="175"/>
      <c r="J567" s="179"/>
      <c r="K567" s="179"/>
      <c r="L567" s="179"/>
      <c r="M567" s="179"/>
      <c r="N567" s="179"/>
      <c r="O567" s="179"/>
      <c r="P567" s="179"/>
      <c r="Q567" s="179"/>
      <c r="R567" s="179"/>
      <c r="S567" s="163"/>
      <c r="T567" s="180"/>
      <c r="U567" s="123" t="str">
        <f t="shared" si="1"/>
        <v>#DIV/0!</v>
      </c>
    </row>
    <row r="568">
      <c r="A568" s="175"/>
      <c r="B568" s="175"/>
      <c r="C568" s="175"/>
      <c r="D568" s="176"/>
      <c r="E568" s="175"/>
      <c r="F568" s="175"/>
      <c r="G568" s="175"/>
      <c r="H568" s="175"/>
      <c r="I568" s="175"/>
      <c r="J568" s="179"/>
      <c r="K568" s="179"/>
      <c r="L568" s="179"/>
      <c r="M568" s="179"/>
      <c r="N568" s="179"/>
      <c r="O568" s="179"/>
      <c r="P568" s="179"/>
      <c r="Q568" s="179"/>
      <c r="R568" s="179"/>
      <c r="S568" s="163"/>
      <c r="T568" s="180"/>
      <c r="U568" s="123" t="str">
        <f t="shared" si="1"/>
        <v>#DIV/0!</v>
      </c>
    </row>
    <row r="569">
      <c r="A569" s="175"/>
      <c r="B569" s="175"/>
      <c r="C569" s="175"/>
      <c r="D569" s="176"/>
      <c r="E569" s="175"/>
      <c r="F569" s="175"/>
      <c r="G569" s="175"/>
      <c r="H569" s="175"/>
      <c r="I569" s="175"/>
      <c r="J569" s="179"/>
      <c r="K569" s="179"/>
      <c r="L569" s="179"/>
      <c r="M569" s="179"/>
      <c r="N569" s="179"/>
      <c r="O569" s="179"/>
      <c r="P569" s="179"/>
      <c r="Q569" s="179"/>
      <c r="R569" s="179"/>
      <c r="S569" s="163"/>
      <c r="T569" s="180"/>
      <c r="U569" s="123" t="str">
        <f t="shared" si="1"/>
        <v>#DIV/0!</v>
      </c>
    </row>
    <row r="570">
      <c r="A570" s="175"/>
      <c r="B570" s="175"/>
      <c r="C570" s="175"/>
      <c r="D570" s="176"/>
      <c r="E570" s="175"/>
      <c r="F570" s="175"/>
      <c r="G570" s="175"/>
      <c r="H570" s="175"/>
      <c r="I570" s="175"/>
      <c r="J570" s="179"/>
      <c r="K570" s="179"/>
      <c r="L570" s="179"/>
      <c r="M570" s="179"/>
      <c r="N570" s="179"/>
      <c r="O570" s="179"/>
      <c r="P570" s="179"/>
      <c r="Q570" s="179"/>
      <c r="R570" s="179"/>
      <c r="S570" s="163"/>
      <c r="T570" s="180"/>
      <c r="U570" s="123" t="str">
        <f t="shared" si="1"/>
        <v>#DIV/0!</v>
      </c>
    </row>
    <row r="571">
      <c r="A571" s="175"/>
      <c r="B571" s="175"/>
      <c r="C571" s="175"/>
      <c r="D571" s="176"/>
      <c r="E571" s="175"/>
      <c r="F571" s="175"/>
      <c r="G571" s="175"/>
      <c r="H571" s="175"/>
      <c r="I571" s="175"/>
      <c r="J571" s="179"/>
      <c r="K571" s="179"/>
      <c r="L571" s="179"/>
      <c r="M571" s="179"/>
      <c r="N571" s="179"/>
      <c r="O571" s="179"/>
      <c r="P571" s="179"/>
      <c r="Q571" s="179"/>
      <c r="R571" s="179"/>
      <c r="S571" s="163"/>
      <c r="T571" s="180"/>
      <c r="U571" s="123" t="str">
        <f t="shared" si="1"/>
        <v>#DIV/0!</v>
      </c>
    </row>
    <row r="572">
      <c r="A572" s="175"/>
      <c r="B572" s="175"/>
      <c r="C572" s="175"/>
      <c r="D572" s="176"/>
      <c r="E572" s="175"/>
      <c r="F572" s="175"/>
      <c r="G572" s="175"/>
      <c r="H572" s="175"/>
      <c r="I572" s="175"/>
      <c r="J572" s="179"/>
      <c r="K572" s="179"/>
      <c r="L572" s="179"/>
      <c r="M572" s="179"/>
      <c r="N572" s="179"/>
      <c r="O572" s="179"/>
      <c r="P572" s="179"/>
      <c r="Q572" s="179"/>
      <c r="R572" s="179"/>
      <c r="S572" s="163"/>
      <c r="T572" s="180"/>
      <c r="U572" s="123" t="str">
        <f t="shared" si="1"/>
        <v>#DIV/0!</v>
      </c>
    </row>
    <row r="573">
      <c r="A573" s="175"/>
      <c r="B573" s="175"/>
      <c r="C573" s="175"/>
      <c r="D573" s="176"/>
      <c r="E573" s="175"/>
      <c r="F573" s="175"/>
      <c r="G573" s="175"/>
      <c r="H573" s="175"/>
      <c r="I573" s="175"/>
      <c r="J573" s="179"/>
      <c r="K573" s="179"/>
      <c r="L573" s="179"/>
      <c r="M573" s="179"/>
      <c r="N573" s="179"/>
      <c r="O573" s="179"/>
      <c r="P573" s="179"/>
      <c r="Q573" s="179"/>
      <c r="R573" s="179"/>
      <c r="S573" s="163"/>
      <c r="T573" s="180"/>
      <c r="U573" s="123" t="str">
        <f t="shared" si="1"/>
        <v>#DIV/0!</v>
      </c>
    </row>
    <row r="574">
      <c r="A574" s="175"/>
      <c r="B574" s="175"/>
      <c r="C574" s="175"/>
      <c r="D574" s="176"/>
      <c r="E574" s="175"/>
      <c r="F574" s="175"/>
      <c r="G574" s="175"/>
      <c r="H574" s="175"/>
      <c r="I574" s="175"/>
      <c r="J574" s="179"/>
      <c r="K574" s="179"/>
      <c r="L574" s="179"/>
      <c r="M574" s="179"/>
      <c r="N574" s="179"/>
      <c r="O574" s="179"/>
      <c r="P574" s="179"/>
      <c r="Q574" s="179"/>
      <c r="R574" s="179"/>
      <c r="S574" s="163"/>
      <c r="T574" s="180"/>
      <c r="U574" s="123" t="str">
        <f t="shared" si="1"/>
        <v>#DIV/0!</v>
      </c>
    </row>
    <row r="575">
      <c r="A575" s="175"/>
      <c r="B575" s="175"/>
      <c r="C575" s="175"/>
      <c r="D575" s="176"/>
      <c r="E575" s="175"/>
      <c r="F575" s="175"/>
      <c r="G575" s="175"/>
      <c r="H575" s="175"/>
      <c r="I575" s="175"/>
      <c r="J575" s="179"/>
      <c r="K575" s="179"/>
      <c r="L575" s="179"/>
      <c r="M575" s="179"/>
      <c r="N575" s="179"/>
      <c r="O575" s="179"/>
      <c r="P575" s="179"/>
      <c r="Q575" s="179"/>
      <c r="R575" s="179"/>
      <c r="S575" s="163"/>
      <c r="T575" s="180"/>
      <c r="U575" s="123" t="str">
        <f t="shared" si="1"/>
        <v>#DIV/0!</v>
      </c>
    </row>
    <row r="576">
      <c r="A576" s="175"/>
      <c r="B576" s="175"/>
      <c r="C576" s="175"/>
      <c r="D576" s="176"/>
      <c r="E576" s="175"/>
      <c r="F576" s="175"/>
      <c r="G576" s="175"/>
      <c r="H576" s="175"/>
      <c r="I576" s="175"/>
      <c r="J576" s="179"/>
      <c r="K576" s="179"/>
      <c r="L576" s="179"/>
      <c r="M576" s="179"/>
      <c r="N576" s="179"/>
      <c r="O576" s="179"/>
      <c r="P576" s="179"/>
      <c r="Q576" s="179"/>
      <c r="R576" s="179"/>
      <c r="S576" s="163"/>
      <c r="T576" s="180"/>
      <c r="U576" s="123" t="str">
        <f t="shared" si="1"/>
        <v>#DIV/0!</v>
      </c>
    </row>
    <row r="577">
      <c r="A577" s="175"/>
      <c r="B577" s="175"/>
      <c r="C577" s="175"/>
      <c r="D577" s="176"/>
      <c r="E577" s="175"/>
      <c r="F577" s="175"/>
      <c r="G577" s="175"/>
      <c r="H577" s="175"/>
      <c r="I577" s="175"/>
      <c r="J577" s="179"/>
      <c r="K577" s="179"/>
      <c r="L577" s="179"/>
      <c r="M577" s="179"/>
      <c r="N577" s="179"/>
      <c r="O577" s="179"/>
      <c r="P577" s="179"/>
      <c r="Q577" s="179"/>
      <c r="R577" s="179"/>
      <c r="S577" s="163"/>
      <c r="T577" s="180"/>
      <c r="U577" s="123" t="str">
        <f t="shared" si="1"/>
        <v>#DIV/0!</v>
      </c>
    </row>
    <row r="578">
      <c r="A578" s="175"/>
      <c r="B578" s="175"/>
      <c r="C578" s="175"/>
      <c r="D578" s="176"/>
      <c r="E578" s="175"/>
      <c r="F578" s="175"/>
      <c r="G578" s="175"/>
      <c r="H578" s="175"/>
      <c r="I578" s="175"/>
      <c r="J578" s="179"/>
      <c r="K578" s="179"/>
      <c r="L578" s="179"/>
      <c r="M578" s="179"/>
      <c r="N578" s="179"/>
      <c r="O578" s="179"/>
      <c r="P578" s="179"/>
      <c r="Q578" s="179"/>
      <c r="R578" s="179"/>
      <c r="S578" s="163"/>
      <c r="T578" s="180"/>
      <c r="U578" s="123" t="str">
        <f t="shared" si="1"/>
        <v>#DIV/0!</v>
      </c>
    </row>
    <row r="579">
      <c r="A579" s="175"/>
      <c r="B579" s="175"/>
      <c r="C579" s="175"/>
      <c r="D579" s="176"/>
      <c r="E579" s="175"/>
      <c r="F579" s="175"/>
      <c r="G579" s="175"/>
      <c r="H579" s="175"/>
      <c r="I579" s="175"/>
      <c r="J579" s="179"/>
      <c r="K579" s="179"/>
      <c r="L579" s="179"/>
      <c r="M579" s="179"/>
      <c r="N579" s="179"/>
      <c r="O579" s="179"/>
      <c r="P579" s="179"/>
      <c r="Q579" s="179"/>
      <c r="R579" s="179"/>
      <c r="S579" s="163"/>
      <c r="T579" s="180"/>
      <c r="U579" s="123" t="str">
        <f t="shared" si="1"/>
        <v>#DIV/0!</v>
      </c>
    </row>
    <row r="580">
      <c r="A580" s="175"/>
      <c r="B580" s="175"/>
      <c r="C580" s="175"/>
      <c r="D580" s="176"/>
      <c r="E580" s="175"/>
      <c r="F580" s="175"/>
      <c r="G580" s="175"/>
      <c r="H580" s="175"/>
      <c r="I580" s="175"/>
      <c r="J580" s="179"/>
      <c r="K580" s="179"/>
      <c r="L580" s="179"/>
      <c r="M580" s="179"/>
      <c r="N580" s="179"/>
      <c r="O580" s="179"/>
      <c r="P580" s="179"/>
      <c r="Q580" s="179"/>
      <c r="R580" s="179"/>
      <c r="S580" s="163"/>
      <c r="T580" s="180"/>
      <c r="U580" s="123" t="str">
        <f t="shared" si="1"/>
        <v>#DIV/0!</v>
      </c>
    </row>
    <row r="581">
      <c r="A581" s="175"/>
      <c r="B581" s="175"/>
      <c r="C581" s="175"/>
      <c r="D581" s="176"/>
      <c r="E581" s="175"/>
      <c r="F581" s="175"/>
      <c r="G581" s="175"/>
      <c r="H581" s="175"/>
      <c r="I581" s="175"/>
      <c r="J581" s="179"/>
      <c r="K581" s="179"/>
      <c r="L581" s="179"/>
      <c r="M581" s="179"/>
      <c r="N581" s="179"/>
      <c r="O581" s="179"/>
      <c r="P581" s="179"/>
      <c r="Q581" s="179"/>
      <c r="R581" s="179"/>
      <c r="S581" s="163"/>
      <c r="T581" s="180"/>
      <c r="U581" s="123" t="str">
        <f t="shared" si="1"/>
        <v>#DIV/0!</v>
      </c>
    </row>
    <row r="582">
      <c r="A582" s="175"/>
      <c r="B582" s="175"/>
      <c r="C582" s="175"/>
      <c r="D582" s="176"/>
      <c r="E582" s="175"/>
      <c r="F582" s="175"/>
      <c r="G582" s="175"/>
      <c r="H582" s="175"/>
      <c r="I582" s="175"/>
      <c r="J582" s="179"/>
      <c r="K582" s="179"/>
      <c r="L582" s="179"/>
      <c r="M582" s="179"/>
      <c r="N582" s="179"/>
      <c r="O582" s="179"/>
      <c r="P582" s="179"/>
      <c r="Q582" s="179"/>
      <c r="R582" s="179"/>
      <c r="S582" s="163"/>
      <c r="T582" s="180"/>
      <c r="U582" s="123" t="str">
        <f t="shared" si="1"/>
        <v>#DIV/0!</v>
      </c>
    </row>
    <row r="583">
      <c r="A583" s="175"/>
      <c r="B583" s="175"/>
      <c r="C583" s="175"/>
      <c r="D583" s="176"/>
      <c r="E583" s="175"/>
      <c r="F583" s="175"/>
      <c r="G583" s="175"/>
      <c r="H583" s="175"/>
      <c r="I583" s="175"/>
      <c r="J583" s="179"/>
      <c r="K583" s="179"/>
      <c r="L583" s="179"/>
      <c r="M583" s="179"/>
      <c r="N583" s="179"/>
      <c r="O583" s="179"/>
      <c r="P583" s="179"/>
      <c r="Q583" s="179"/>
      <c r="R583" s="179"/>
      <c r="S583" s="163"/>
      <c r="T583" s="180"/>
      <c r="U583" s="123" t="str">
        <f t="shared" si="1"/>
        <v>#DIV/0!</v>
      </c>
    </row>
    <row r="584">
      <c r="A584" s="175"/>
      <c r="B584" s="175"/>
      <c r="C584" s="175"/>
      <c r="D584" s="176"/>
      <c r="E584" s="175"/>
      <c r="F584" s="175"/>
      <c r="G584" s="175"/>
      <c r="H584" s="175"/>
      <c r="I584" s="175"/>
      <c r="J584" s="179"/>
      <c r="K584" s="179"/>
      <c r="L584" s="179"/>
      <c r="M584" s="179"/>
      <c r="N584" s="179"/>
      <c r="O584" s="179"/>
      <c r="P584" s="179"/>
      <c r="Q584" s="179"/>
      <c r="R584" s="179"/>
      <c r="S584" s="163"/>
      <c r="T584" s="180"/>
      <c r="U584" s="123" t="str">
        <f t="shared" si="1"/>
        <v>#DIV/0!</v>
      </c>
    </row>
    <row r="585">
      <c r="A585" s="175"/>
      <c r="B585" s="175"/>
      <c r="C585" s="175"/>
      <c r="D585" s="176"/>
      <c r="E585" s="175"/>
      <c r="F585" s="175"/>
      <c r="G585" s="175"/>
      <c r="H585" s="175"/>
      <c r="I585" s="175"/>
      <c r="J585" s="179"/>
      <c r="K585" s="179"/>
      <c r="L585" s="179"/>
      <c r="M585" s="179"/>
      <c r="N585" s="179"/>
      <c r="O585" s="179"/>
      <c r="P585" s="179"/>
      <c r="Q585" s="179"/>
      <c r="R585" s="179"/>
      <c r="S585" s="163"/>
      <c r="T585" s="180"/>
      <c r="U585" s="123" t="str">
        <f t="shared" si="1"/>
        <v>#DIV/0!</v>
      </c>
    </row>
    <row r="586">
      <c r="A586" s="175"/>
      <c r="B586" s="175"/>
      <c r="C586" s="175"/>
      <c r="D586" s="176"/>
      <c r="E586" s="175"/>
      <c r="F586" s="175"/>
      <c r="G586" s="175"/>
      <c r="H586" s="175"/>
      <c r="I586" s="175"/>
      <c r="J586" s="179"/>
      <c r="K586" s="179"/>
      <c r="L586" s="179"/>
      <c r="M586" s="179"/>
      <c r="N586" s="179"/>
      <c r="O586" s="179"/>
      <c r="P586" s="179"/>
      <c r="Q586" s="179"/>
      <c r="R586" s="179"/>
      <c r="S586" s="163"/>
      <c r="T586" s="180"/>
      <c r="U586" s="123" t="str">
        <f t="shared" si="1"/>
        <v>#DIV/0!</v>
      </c>
    </row>
    <row r="587">
      <c r="A587" s="175"/>
      <c r="B587" s="175"/>
      <c r="C587" s="175"/>
      <c r="D587" s="176"/>
      <c r="E587" s="175"/>
      <c r="F587" s="175"/>
      <c r="G587" s="175"/>
      <c r="H587" s="175"/>
      <c r="I587" s="175"/>
      <c r="J587" s="179"/>
      <c r="K587" s="179"/>
      <c r="L587" s="179"/>
      <c r="M587" s="179"/>
      <c r="N587" s="179"/>
      <c r="O587" s="179"/>
      <c r="P587" s="179"/>
      <c r="Q587" s="179"/>
      <c r="R587" s="179"/>
      <c r="S587" s="163"/>
      <c r="T587" s="180"/>
      <c r="U587" s="123" t="str">
        <f t="shared" si="1"/>
        <v>#DIV/0!</v>
      </c>
    </row>
    <row r="588">
      <c r="A588" s="175"/>
      <c r="B588" s="175"/>
      <c r="C588" s="175"/>
      <c r="D588" s="176"/>
      <c r="E588" s="175"/>
      <c r="F588" s="175"/>
      <c r="G588" s="175"/>
      <c r="H588" s="175"/>
      <c r="I588" s="175"/>
      <c r="J588" s="179"/>
      <c r="K588" s="179"/>
      <c r="L588" s="179"/>
      <c r="M588" s="179"/>
      <c r="N588" s="179"/>
      <c r="O588" s="179"/>
      <c r="P588" s="179"/>
      <c r="Q588" s="179"/>
      <c r="R588" s="179"/>
      <c r="S588" s="163"/>
      <c r="T588" s="180"/>
      <c r="U588" s="123" t="str">
        <f t="shared" si="1"/>
        <v>#DIV/0!</v>
      </c>
    </row>
    <row r="589">
      <c r="A589" s="175"/>
      <c r="B589" s="175"/>
      <c r="C589" s="175"/>
      <c r="D589" s="176"/>
      <c r="E589" s="175"/>
      <c r="F589" s="175"/>
      <c r="G589" s="175"/>
      <c r="H589" s="175"/>
      <c r="I589" s="175"/>
      <c r="J589" s="179"/>
      <c r="K589" s="179"/>
      <c r="L589" s="179"/>
      <c r="M589" s="179"/>
      <c r="N589" s="179"/>
      <c r="O589" s="179"/>
      <c r="P589" s="179"/>
      <c r="Q589" s="179"/>
      <c r="R589" s="179"/>
      <c r="S589" s="163"/>
      <c r="T589" s="180"/>
      <c r="U589" s="123" t="str">
        <f t="shared" si="1"/>
        <v>#DIV/0!</v>
      </c>
    </row>
    <row r="590">
      <c r="A590" s="175"/>
      <c r="B590" s="175"/>
      <c r="C590" s="175"/>
      <c r="D590" s="176"/>
      <c r="E590" s="175"/>
      <c r="F590" s="175"/>
      <c r="G590" s="175"/>
      <c r="H590" s="175"/>
      <c r="I590" s="175"/>
      <c r="J590" s="179"/>
      <c r="K590" s="179"/>
      <c r="L590" s="179"/>
      <c r="M590" s="179"/>
      <c r="N590" s="179"/>
      <c r="O590" s="179"/>
      <c r="P590" s="179"/>
      <c r="Q590" s="179"/>
      <c r="R590" s="179"/>
      <c r="S590" s="163"/>
      <c r="T590" s="180"/>
      <c r="U590" s="123" t="str">
        <f t="shared" si="1"/>
        <v>#DIV/0!</v>
      </c>
    </row>
    <row r="591">
      <c r="A591" s="175"/>
      <c r="B591" s="175"/>
      <c r="C591" s="175"/>
      <c r="D591" s="176"/>
      <c r="E591" s="175"/>
      <c r="F591" s="175"/>
      <c r="G591" s="175"/>
      <c r="H591" s="175"/>
      <c r="I591" s="175"/>
      <c r="J591" s="179"/>
      <c r="K591" s="179"/>
      <c r="L591" s="179"/>
      <c r="M591" s="179"/>
      <c r="N591" s="179"/>
      <c r="O591" s="179"/>
      <c r="P591" s="179"/>
      <c r="Q591" s="179"/>
      <c r="R591" s="179"/>
      <c r="S591" s="163"/>
      <c r="T591" s="180"/>
      <c r="U591" s="123" t="str">
        <f t="shared" si="1"/>
        <v>#DIV/0!</v>
      </c>
    </row>
    <row r="592">
      <c r="A592" s="175"/>
      <c r="B592" s="175"/>
      <c r="C592" s="175"/>
      <c r="D592" s="176"/>
      <c r="E592" s="175"/>
      <c r="F592" s="175"/>
      <c r="G592" s="175"/>
      <c r="H592" s="175"/>
      <c r="I592" s="175"/>
      <c r="J592" s="179"/>
      <c r="K592" s="179"/>
      <c r="L592" s="179"/>
      <c r="M592" s="179"/>
      <c r="N592" s="179"/>
      <c r="O592" s="179"/>
      <c r="P592" s="179"/>
      <c r="Q592" s="179"/>
      <c r="R592" s="179"/>
      <c r="S592" s="163"/>
      <c r="T592" s="180"/>
      <c r="U592" s="123" t="str">
        <f t="shared" si="1"/>
        <v>#DIV/0!</v>
      </c>
    </row>
    <row r="593">
      <c r="A593" s="175"/>
      <c r="B593" s="175"/>
      <c r="C593" s="175"/>
      <c r="D593" s="176"/>
      <c r="E593" s="175"/>
      <c r="F593" s="175"/>
      <c r="G593" s="175"/>
      <c r="H593" s="175"/>
      <c r="I593" s="175"/>
      <c r="J593" s="179"/>
      <c r="K593" s="179"/>
      <c r="L593" s="179"/>
      <c r="M593" s="179"/>
      <c r="N593" s="179"/>
      <c r="O593" s="179"/>
      <c r="P593" s="179"/>
      <c r="Q593" s="179"/>
      <c r="R593" s="179"/>
      <c r="S593" s="163"/>
      <c r="T593" s="180"/>
      <c r="U593" s="123" t="str">
        <f t="shared" si="1"/>
        <v>#DIV/0!</v>
      </c>
    </row>
    <row r="594">
      <c r="A594" s="175"/>
      <c r="B594" s="175"/>
      <c r="C594" s="175"/>
      <c r="D594" s="176"/>
      <c r="E594" s="175"/>
      <c r="F594" s="175"/>
      <c r="G594" s="175"/>
      <c r="H594" s="175"/>
      <c r="I594" s="175"/>
      <c r="J594" s="179"/>
      <c r="K594" s="179"/>
      <c r="L594" s="179"/>
      <c r="M594" s="179"/>
      <c r="N594" s="179"/>
      <c r="O594" s="179"/>
      <c r="P594" s="179"/>
      <c r="Q594" s="179"/>
      <c r="R594" s="179"/>
      <c r="S594" s="163"/>
      <c r="T594" s="180"/>
      <c r="U594" s="123" t="str">
        <f t="shared" si="1"/>
        <v>#DIV/0!</v>
      </c>
    </row>
    <row r="595">
      <c r="A595" s="175"/>
      <c r="B595" s="175"/>
      <c r="C595" s="175"/>
      <c r="D595" s="176"/>
      <c r="E595" s="175"/>
      <c r="F595" s="175"/>
      <c r="G595" s="175"/>
      <c r="H595" s="175"/>
      <c r="I595" s="175"/>
      <c r="J595" s="179"/>
      <c r="K595" s="179"/>
      <c r="L595" s="179"/>
      <c r="M595" s="179"/>
      <c r="N595" s="179"/>
      <c r="O595" s="179"/>
      <c r="P595" s="179"/>
      <c r="Q595" s="179"/>
      <c r="R595" s="179"/>
      <c r="S595" s="163"/>
      <c r="T595" s="180"/>
      <c r="U595" s="123" t="str">
        <f t="shared" si="1"/>
        <v>#DIV/0!</v>
      </c>
    </row>
    <row r="596">
      <c r="A596" s="175"/>
      <c r="B596" s="175"/>
      <c r="C596" s="175"/>
      <c r="D596" s="176"/>
      <c r="E596" s="175"/>
      <c r="F596" s="175"/>
      <c r="G596" s="175"/>
      <c r="H596" s="175"/>
      <c r="I596" s="175"/>
      <c r="J596" s="179"/>
      <c r="K596" s="179"/>
      <c r="L596" s="179"/>
      <c r="M596" s="179"/>
      <c r="N596" s="179"/>
      <c r="O596" s="179"/>
      <c r="P596" s="179"/>
      <c r="Q596" s="179"/>
      <c r="R596" s="179"/>
      <c r="S596" s="163"/>
      <c r="T596" s="180"/>
      <c r="U596" s="123" t="str">
        <f t="shared" si="1"/>
        <v>#DIV/0!</v>
      </c>
    </row>
    <row r="597">
      <c r="A597" s="175"/>
      <c r="B597" s="175"/>
      <c r="C597" s="175"/>
      <c r="D597" s="176"/>
      <c r="E597" s="175"/>
      <c r="F597" s="175"/>
      <c r="G597" s="175"/>
      <c r="H597" s="175"/>
      <c r="I597" s="175"/>
      <c r="J597" s="179"/>
      <c r="K597" s="179"/>
      <c r="L597" s="179"/>
      <c r="M597" s="179"/>
      <c r="N597" s="179"/>
      <c r="O597" s="179"/>
      <c r="P597" s="179"/>
      <c r="Q597" s="179"/>
      <c r="R597" s="179"/>
      <c r="S597" s="163"/>
      <c r="T597" s="180"/>
      <c r="U597" s="123" t="str">
        <f t="shared" si="1"/>
        <v>#DIV/0!</v>
      </c>
    </row>
    <row r="598">
      <c r="A598" s="175"/>
      <c r="B598" s="175"/>
      <c r="C598" s="175"/>
      <c r="D598" s="176"/>
      <c r="E598" s="175"/>
      <c r="F598" s="175"/>
      <c r="G598" s="175"/>
      <c r="H598" s="175"/>
      <c r="I598" s="175"/>
      <c r="J598" s="179"/>
      <c r="K598" s="179"/>
      <c r="L598" s="179"/>
      <c r="M598" s="179"/>
      <c r="N598" s="179"/>
      <c r="O598" s="179"/>
      <c r="P598" s="179"/>
      <c r="Q598" s="179"/>
      <c r="R598" s="179"/>
      <c r="S598" s="163"/>
      <c r="T598" s="180"/>
      <c r="U598" s="123" t="str">
        <f t="shared" si="1"/>
        <v>#DIV/0!</v>
      </c>
    </row>
    <row r="599">
      <c r="A599" s="175"/>
      <c r="B599" s="175"/>
      <c r="C599" s="175"/>
      <c r="D599" s="176"/>
      <c r="E599" s="175"/>
      <c r="F599" s="175"/>
      <c r="G599" s="175"/>
      <c r="H599" s="175"/>
      <c r="I599" s="175"/>
      <c r="J599" s="179"/>
      <c r="K599" s="179"/>
      <c r="L599" s="179"/>
      <c r="M599" s="179"/>
      <c r="N599" s="179"/>
      <c r="O599" s="179"/>
      <c r="P599" s="179"/>
      <c r="Q599" s="179"/>
      <c r="R599" s="179"/>
      <c r="S599" s="163"/>
      <c r="T599" s="180"/>
      <c r="U599" s="123" t="str">
        <f t="shared" si="1"/>
        <v>#DIV/0!</v>
      </c>
    </row>
    <row r="600">
      <c r="A600" s="175"/>
      <c r="B600" s="175"/>
      <c r="C600" s="175"/>
      <c r="D600" s="176"/>
      <c r="E600" s="175"/>
      <c r="F600" s="175"/>
      <c r="G600" s="175"/>
      <c r="H600" s="175"/>
      <c r="I600" s="175"/>
      <c r="J600" s="179"/>
      <c r="K600" s="179"/>
      <c r="L600" s="179"/>
      <c r="M600" s="179"/>
      <c r="N600" s="179"/>
      <c r="O600" s="179"/>
      <c r="P600" s="179"/>
      <c r="Q600" s="179"/>
      <c r="R600" s="179"/>
      <c r="S600" s="163"/>
      <c r="T600" s="180"/>
      <c r="U600" s="123" t="str">
        <f t="shared" si="1"/>
        <v>#DIV/0!</v>
      </c>
    </row>
    <row r="601">
      <c r="A601" s="175"/>
      <c r="B601" s="175"/>
      <c r="C601" s="175"/>
      <c r="D601" s="176"/>
      <c r="E601" s="175"/>
      <c r="F601" s="175"/>
      <c r="G601" s="175"/>
      <c r="H601" s="175"/>
      <c r="I601" s="175"/>
      <c r="J601" s="179"/>
      <c r="K601" s="179"/>
      <c r="L601" s="179"/>
      <c r="M601" s="179"/>
      <c r="N601" s="179"/>
      <c r="O601" s="179"/>
      <c r="P601" s="179"/>
      <c r="Q601" s="179"/>
      <c r="R601" s="179"/>
      <c r="S601" s="163"/>
      <c r="T601" s="180"/>
      <c r="U601" s="123" t="str">
        <f t="shared" si="1"/>
        <v>#DIV/0!</v>
      </c>
    </row>
    <row r="602">
      <c r="A602" s="175"/>
      <c r="B602" s="175"/>
      <c r="C602" s="175"/>
      <c r="D602" s="176"/>
      <c r="E602" s="175"/>
      <c r="F602" s="175"/>
      <c r="G602" s="175"/>
      <c r="H602" s="175"/>
      <c r="I602" s="175"/>
      <c r="J602" s="179"/>
      <c r="K602" s="179"/>
      <c r="L602" s="179"/>
      <c r="M602" s="179"/>
      <c r="N602" s="179"/>
      <c r="O602" s="179"/>
      <c r="P602" s="179"/>
      <c r="Q602" s="179"/>
      <c r="R602" s="179"/>
      <c r="S602" s="163"/>
      <c r="T602" s="180"/>
      <c r="U602" s="123" t="str">
        <f t="shared" si="1"/>
        <v>#DIV/0!</v>
      </c>
    </row>
    <row r="603">
      <c r="A603" s="175"/>
      <c r="B603" s="175"/>
      <c r="C603" s="175"/>
      <c r="D603" s="176"/>
      <c r="E603" s="175"/>
      <c r="F603" s="175"/>
      <c r="G603" s="175"/>
      <c r="H603" s="175"/>
      <c r="I603" s="175"/>
      <c r="J603" s="179"/>
      <c r="K603" s="179"/>
      <c r="L603" s="179"/>
      <c r="M603" s="179"/>
      <c r="N603" s="179"/>
      <c r="O603" s="179"/>
      <c r="P603" s="179"/>
      <c r="Q603" s="179"/>
      <c r="R603" s="179"/>
      <c r="S603" s="163"/>
      <c r="T603" s="180"/>
      <c r="U603" s="123" t="str">
        <f t="shared" si="1"/>
        <v>#DIV/0!</v>
      </c>
    </row>
    <row r="604">
      <c r="A604" s="175"/>
      <c r="B604" s="175"/>
      <c r="C604" s="175"/>
      <c r="D604" s="176"/>
      <c r="E604" s="175"/>
      <c r="F604" s="175"/>
      <c r="G604" s="175"/>
      <c r="H604" s="175"/>
      <c r="I604" s="175"/>
      <c r="J604" s="179"/>
      <c r="K604" s="179"/>
      <c r="L604" s="179"/>
      <c r="M604" s="179"/>
      <c r="N604" s="179"/>
      <c r="O604" s="179"/>
      <c r="P604" s="179"/>
      <c r="Q604" s="179"/>
      <c r="R604" s="179"/>
      <c r="S604" s="163"/>
      <c r="T604" s="180"/>
      <c r="U604" s="123" t="str">
        <f t="shared" si="1"/>
        <v>#DIV/0!</v>
      </c>
    </row>
    <row r="605">
      <c r="A605" s="175"/>
      <c r="B605" s="175"/>
      <c r="C605" s="175"/>
      <c r="D605" s="176"/>
      <c r="E605" s="175"/>
      <c r="F605" s="175"/>
      <c r="G605" s="175"/>
      <c r="H605" s="175"/>
      <c r="I605" s="175"/>
      <c r="J605" s="179"/>
      <c r="K605" s="179"/>
      <c r="L605" s="179"/>
      <c r="M605" s="179"/>
      <c r="N605" s="179"/>
      <c r="O605" s="179"/>
      <c r="P605" s="179"/>
      <c r="Q605" s="179"/>
      <c r="R605" s="179"/>
      <c r="S605" s="163"/>
      <c r="T605" s="180"/>
      <c r="U605" s="123" t="str">
        <f t="shared" si="1"/>
        <v>#DIV/0!</v>
      </c>
    </row>
    <row r="606">
      <c r="A606" s="175"/>
      <c r="B606" s="175"/>
      <c r="C606" s="175"/>
      <c r="D606" s="176"/>
      <c r="E606" s="175"/>
      <c r="F606" s="175"/>
      <c r="G606" s="175"/>
      <c r="H606" s="175"/>
      <c r="I606" s="175"/>
      <c r="J606" s="179"/>
      <c r="K606" s="179"/>
      <c r="L606" s="179"/>
      <c r="M606" s="179"/>
      <c r="N606" s="179"/>
      <c r="O606" s="179"/>
      <c r="P606" s="179"/>
      <c r="Q606" s="179"/>
      <c r="R606" s="179"/>
      <c r="S606" s="163"/>
      <c r="T606" s="180"/>
      <c r="U606" s="123" t="str">
        <f t="shared" si="1"/>
        <v>#DIV/0!</v>
      </c>
    </row>
    <row r="607">
      <c r="A607" s="175"/>
      <c r="B607" s="175"/>
      <c r="C607" s="175"/>
      <c r="D607" s="176"/>
      <c r="E607" s="175"/>
      <c r="F607" s="175"/>
      <c r="G607" s="175"/>
      <c r="H607" s="175"/>
      <c r="I607" s="175"/>
      <c r="J607" s="179"/>
      <c r="K607" s="179"/>
      <c r="L607" s="179"/>
      <c r="M607" s="179"/>
      <c r="N607" s="179"/>
      <c r="O607" s="179"/>
      <c r="P607" s="179"/>
      <c r="Q607" s="179"/>
      <c r="R607" s="179"/>
      <c r="S607" s="163"/>
      <c r="T607" s="180"/>
      <c r="U607" s="123" t="str">
        <f t="shared" si="1"/>
        <v>#DIV/0!</v>
      </c>
    </row>
    <row r="608">
      <c r="A608" s="175"/>
      <c r="B608" s="175"/>
      <c r="C608" s="175"/>
      <c r="D608" s="176"/>
      <c r="E608" s="175"/>
      <c r="F608" s="175"/>
      <c r="G608" s="175"/>
      <c r="H608" s="175"/>
      <c r="I608" s="175"/>
      <c r="J608" s="179"/>
      <c r="K608" s="179"/>
      <c r="L608" s="179"/>
      <c r="M608" s="179"/>
      <c r="N608" s="179"/>
      <c r="O608" s="179"/>
      <c r="P608" s="179"/>
      <c r="Q608" s="179"/>
      <c r="R608" s="179"/>
      <c r="S608" s="163"/>
      <c r="T608" s="180"/>
      <c r="U608" s="123" t="str">
        <f t="shared" si="1"/>
        <v>#DIV/0!</v>
      </c>
    </row>
    <row r="609">
      <c r="A609" s="175"/>
      <c r="B609" s="175"/>
      <c r="C609" s="175"/>
      <c r="D609" s="176"/>
      <c r="E609" s="175"/>
      <c r="F609" s="175"/>
      <c r="G609" s="175"/>
      <c r="H609" s="175"/>
      <c r="I609" s="175"/>
      <c r="J609" s="179"/>
      <c r="K609" s="179"/>
      <c r="L609" s="179"/>
      <c r="M609" s="179"/>
      <c r="N609" s="179"/>
      <c r="O609" s="179"/>
      <c r="P609" s="179"/>
      <c r="Q609" s="179"/>
      <c r="R609" s="179"/>
      <c r="S609" s="163"/>
      <c r="T609" s="180"/>
      <c r="U609" s="123" t="str">
        <f t="shared" si="1"/>
        <v>#DIV/0!</v>
      </c>
    </row>
    <row r="610">
      <c r="A610" s="175"/>
      <c r="B610" s="175"/>
      <c r="C610" s="175"/>
      <c r="D610" s="176"/>
      <c r="E610" s="175"/>
      <c r="F610" s="175"/>
      <c r="G610" s="175"/>
      <c r="H610" s="175"/>
      <c r="I610" s="175"/>
      <c r="J610" s="179"/>
      <c r="K610" s="179"/>
      <c r="L610" s="179"/>
      <c r="M610" s="179"/>
      <c r="N610" s="179"/>
      <c r="O610" s="179"/>
      <c r="P610" s="179"/>
      <c r="Q610" s="179"/>
      <c r="R610" s="179"/>
      <c r="S610" s="163"/>
      <c r="T610" s="180"/>
      <c r="U610" s="123" t="str">
        <f t="shared" si="1"/>
        <v>#DIV/0!</v>
      </c>
    </row>
    <row r="611">
      <c r="A611" s="175"/>
      <c r="B611" s="175"/>
      <c r="C611" s="175"/>
      <c r="D611" s="176"/>
      <c r="E611" s="175"/>
      <c r="F611" s="175"/>
      <c r="G611" s="175"/>
      <c r="H611" s="175"/>
      <c r="I611" s="175"/>
      <c r="J611" s="179"/>
      <c r="K611" s="179"/>
      <c r="L611" s="179"/>
      <c r="M611" s="179"/>
      <c r="N611" s="179"/>
      <c r="O611" s="179"/>
      <c r="P611" s="179"/>
      <c r="Q611" s="179"/>
      <c r="R611" s="179"/>
      <c r="S611" s="163"/>
      <c r="T611" s="180"/>
      <c r="U611" s="123" t="str">
        <f t="shared" si="1"/>
        <v>#DIV/0!</v>
      </c>
    </row>
    <row r="612">
      <c r="A612" s="175"/>
      <c r="B612" s="175"/>
      <c r="C612" s="175"/>
      <c r="D612" s="176"/>
      <c r="E612" s="175"/>
      <c r="F612" s="175"/>
      <c r="G612" s="175"/>
      <c r="H612" s="175"/>
      <c r="I612" s="175"/>
      <c r="J612" s="179"/>
      <c r="K612" s="179"/>
      <c r="L612" s="179"/>
      <c r="M612" s="179"/>
      <c r="N612" s="179"/>
      <c r="O612" s="179"/>
      <c r="P612" s="179"/>
      <c r="Q612" s="179"/>
      <c r="R612" s="179"/>
      <c r="S612" s="163"/>
      <c r="T612" s="180"/>
      <c r="U612" s="123" t="str">
        <f t="shared" si="1"/>
        <v>#DIV/0!</v>
      </c>
    </row>
    <row r="613">
      <c r="A613" s="175"/>
      <c r="B613" s="175"/>
      <c r="C613" s="175"/>
      <c r="D613" s="176"/>
      <c r="E613" s="175"/>
      <c r="F613" s="175"/>
      <c r="G613" s="175"/>
      <c r="H613" s="175"/>
      <c r="I613" s="175"/>
      <c r="J613" s="179"/>
      <c r="K613" s="179"/>
      <c r="L613" s="179"/>
      <c r="M613" s="179"/>
      <c r="N613" s="179"/>
      <c r="O613" s="179"/>
      <c r="P613" s="179"/>
      <c r="Q613" s="179"/>
      <c r="R613" s="179"/>
      <c r="S613" s="163"/>
      <c r="T613" s="180"/>
      <c r="U613" s="123" t="str">
        <f t="shared" si="1"/>
        <v>#DIV/0!</v>
      </c>
    </row>
    <row r="614">
      <c r="A614" s="175"/>
      <c r="B614" s="175"/>
      <c r="C614" s="175"/>
      <c r="D614" s="176"/>
      <c r="E614" s="175"/>
      <c r="F614" s="175"/>
      <c r="G614" s="175"/>
      <c r="H614" s="175"/>
      <c r="I614" s="175"/>
      <c r="J614" s="179"/>
      <c r="K614" s="179"/>
      <c r="L614" s="179"/>
      <c r="M614" s="179"/>
      <c r="N614" s="179"/>
      <c r="O614" s="179"/>
      <c r="P614" s="179"/>
      <c r="Q614" s="179"/>
      <c r="R614" s="179"/>
      <c r="S614" s="163"/>
      <c r="T614" s="180"/>
      <c r="U614" s="123" t="str">
        <f t="shared" si="1"/>
        <v>#DIV/0!</v>
      </c>
    </row>
    <row r="615">
      <c r="A615" s="175"/>
      <c r="B615" s="175"/>
      <c r="C615" s="175"/>
      <c r="D615" s="176"/>
      <c r="E615" s="175"/>
      <c r="F615" s="175"/>
      <c r="G615" s="175"/>
      <c r="H615" s="175"/>
      <c r="I615" s="175"/>
      <c r="J615" s="179"/>
      <c r="K615" s="179"/>
      <c r="L615" s="179"/>
      <c r="M615" s="179"/>
      <c r="N615" s="179"/>
      <c r="O615" s="179"/>
      <c r="P615" s="179"/>
      <c r="Q615" s="179"/>
      <c r="R615" s="179"/>
      <c r="S615" s="163"/>
      <c r="T615" s="180"/>
      <c r="U615" s="123" t="str">
        <f t="shared" si="1"/>
        <v>#DIV/0!</v>
      </c>
    </row>
    <row r="616">
      <c r="A616" s="175"/>
      <c r="B616" s="175"/>
      <c r="C616" s="175"/>
      <c r="D616" s="176"/>
      <c r="E616" s="175"/>
      <c r="F616" s="175"/>
      <c r="G616" s="175"/>
      <c r="H616" s="175"/>
      <c r="I616" s="175"/>
      <c r="J616" s="179"/>
      <c r="K616" s="179"/>
      <c r="L616" s="179"/>
      <c r="M616" s="179"/>
      <c r="N616" s="179"/>
      <c r="O616" s="179"/>
      <c r="P616" s="179"/>
      <c r="Q616" s="179"/>
      <c r="R616" s="179"/>
      <c r="S616" s="163"/>
      <c r="T616" s="180"/>
      <c r="U616" s="123" t="str">
        <f t="shared" si="1"/>
        <v>#DIV/0!</v>
      </c>
    </row>
    <row r="617">
      <c r="A617" s="175"/>
      <c r="B617" s="175"/>
      <c r="C617" s="175"/>
      <c r="D617" s="176"/>
      <c r="E617" s="175"/>
      <c r="F617" s="175"/>
      <c r="G617" s="175"/>
      <c r="H617" s="175"/>
      <c r="I617" s="175"/>
      <c r="J617" s="179"/>
      <c r="K617" s="179"/>
      <c r="L617" s="179"/>
      <c r="M617" s="179"/>
      <c r="N617" s="179"/>
      <c r="O617" s="179"/>
      <c r="P617" s="179"/>
      <c r="Q617" s="179"/>
      <c r="R617" s="179"/>
      <c r="S617" s="163"/>
      <c r="T617" s="180"/>
      <c r="U617" s="123" t="str">
        <f t="shared" si="1"/>
        <v>#DIV/0!</v>
      </c>
    </row>
    <row r="618">
      <c r="A618" s="175"/>
      <c r="B618" s="175"/>
      <c r="C618" s="175"/>
      <c r="D618" s="176"/>
      <c r="E618" s="175"/>
      <c r="F618" s="175"/>
      <c r="G618" s="175"/>
      <c r="H618" s="175"/>
      <c r="I618" s="175"/>
      <c r="J618" s="179"/>
      <c r="K618" s="179"/>
      <c r="L618" s="179"/>
      <c r="M618" s="179"/>
      <c r="N618" s="179"/>
      <c r="O618" s="179"/>
      <c r="P618" s="179"/>
      <c r="Q618" s="179"/>
      <c r="R618" s="179"/>
      <c r="S618" s="163"/>
      <c r="T618" s="180"/>
      <c r="U618" s="123" t="str">
        <f t="shared" si="1"/>
        <v>#DIV/0!</v>
      </c>
    </row>
    <row r="619">
      <c r="A619" s="175"/>
      <c r="B619" s="175"/>
      <c r="C619" s="175"/>
      <c r="D619" s="176"/>
      <c r="E619" s="175"/>
      <c r="F619" s="175"/>
      <c r="G619" s="175"/>
      <c r="H619" s="175"/>
      <c r="I619" s="175"/>
      <c r="J619" s="179"/>
      <c r="K619" s="179"/>
      <c r="L619" s="179"/>
      <c r="M619" s="179"/>
      <c r="N619" s="179"/>
      <c r="O619" s="179"/>
      <c r="P619" s="179"/>
      <c r="Q619" s="179"/>
      <c r="R619" s="179"/>
      <c r="S619" s="163"/>
      <c r="T619" s="180"/>
      <c r="U619" s="123" t="str">
        <f t="shared" si="1"/>
        <v>#DIV/0!</v>
      </c>
    </row>
    <row r="620">
      <c r="A620" s="175"/>
      <c r="B620" s="175"/>
      <c r="C620" s="175"/>
      <c r="D620" s="176"/>
      <c r="E620" s="175"/>
      <c r="F620" s="175"/>
      <c r="G620" s="175"/>
      <c r="H620" s="175"/>
      <c r="I620" s="175"/>
      <c r="J620" s="179"/>
      <c r="K620" s="179"/>
      <c r="L620" s="179"/>
      <c r="M620" s="179"/>
      <c r="N620" s="179"/>
      <c r="O620" s="179"/>
      <c r="P620" s="179"/>
      <c r="Q620" s="179"/>
      <c r="R620" s="179"/>
      <c r="S620" s="163"/>
      <c r="T620" s="180"/>
      <c r="U620" s="123" t="str">
        <f t="shared" si="1"/>
        <v>#DIV/0!</v>
      </c>
    </row>
    <row r="621">
      <c r="A621" s="175"/>
      <c r="B621" s="175"/>
      <c r="C621" s="175"/>
      <c r="D621" s="176"/>
      <c r="E621" s="175"/>
      <c r="F621" s="175"/>
      <c r="G621" s="175"/>
      <c r="H621" s="175"/>
      <c r="I621" s="175"/>
      <c r="J621" s="179"/>
      <c r="K621" s="179"/>
      <c r="L621" s="179"/>
      <c r="M621" s="179"/>
      <c r="N621" s="179"/>
      <c r="O621" s="179"/>
      <c r="P621" s="179"/>
      <c r="Q621" s="179"/>
      <c r="R621" s="179"/>
      <c r="S621" s="163"/>
      <c r="T621" s="180"/>
      <c r="U621" s="123" t="str">
        <f t="shared" si="1"/>
        <v>#DIV/0!</v>
      </c>
    </row>
    <row r="622">
      <c r="A622" s="175"/>
      <c r="B622" s="175"/>
      <c r="C622" s="175"/>
      <c r="D622" s="176"/>
      <c r="E622" s="175"/>
      <c r="F622" s="175"/>
      <c r="G622" s="175"/>
      <c r="H622" s="175"/>
      <c r="I622" s="175"/>
      <c r="J622" s="179"/>
      <c r="K622" s="179"/>
      <c r="L622" s="179"/>
      <c r="M622" s="179"/>
      <c r="N622" s="179"/>
      <c r="O622" s="179"/>
      <c r="P622" s="179"/>
      <c r="Q622" s="179"/>
      <c r="R622" s="179"/>
      <c r="S622" s="163"/>
      <c r="T622" s="180"/>
      <c r="U622" s="123" t="str">
        <f t="shared" si="1"/>
        <v>#DIV/0!</v>
      </c>
    </row>
    <row r="623">
      <c r="A623" s="175"/>
      <c r="B623" s="175"/>
      <c r="C623" s="175"/>
      <c r="D623" s="176"/>
      <c r="E623" s="175"/>
      <c r="F623" s="175"/>
      <c r="G623" s="175"/>
      <c r="H623" s="175"/>
      <c r="I623" s="175"/>
      <c r="J623" s="179"/>
      <c r="K623" s="179"/>
      <c r="L623" s="179"/>
      <c r="M623" s="179"/>
      <c r="N623" s="179"/>
      <c r="O623" s="179"/>
      <c r="P623" s="179"/>
      <c r="Q623" s="179"/>
      <c r="R623" s="179"/>
      <c r="S623" s="163"/>
      <c r="T623" s="180"/>
      <c r="U623" s="123" t="str">
        <f t="shared" si="1"/>
        <v>#DIV/0!</v>
      </c>
    </row>
    <row r="624">
      <c r="A624" s="175"/>
      <c r="B624" s="175"/>
      <c r="C624" s="175"/>
      <c r="D624" s="176"/>
      <c r="E624" s="175"/>
      <c r="F624" s="175"/>
      <c r="G624" s="175"/>
      <c r="H624" s="175"/>
      <c r="I624" s="175"/>
      <c r="J624" s="179"/>
      <c r="K624" s="179"/>
      <c r="L624" s="179"/>
      <c r="M624" s="179"/>
      <c r="N624" s="179"/>
      <c r="O624" s="179"/>
      <c r="P624" s="179"/>
      <c r="Q624" s="179"/>
      <c r="R624" s="179"/>
      <c r="S624" s="163"/>
      <c r="T624" s="180"/>
      <c r="U624" s="123" t="str">
        <f t="shared" si="1"/>
        <v>#DIV/0!</v>
      </c>
    </row>
    <row r="625">
      <c r="A625" s="175"/>
      <c r="B625" s="175"/>
      <c r="C625" s="175"/>
      <c r="D625" s="176"/>
      <c r="E625" s="175"/>
      <c r="F625" s="175"/>
      <c r="G625" s="175"/>
      <c r="H625" s="175"/>
      <c r="I625" s="175"/>
      <c r="J625" s="179"/>
      <c r="K625" s="179"/>
      <c r="L625" s="179"/>
      <c r="M625" s="179"/>
      <c r="N625" s="179"/>
      <c r="O625" s="179"/>
      <c r="P625" s="179"/>
      <c r="Q625" s="179"/>
      <c r="R625" s="179"/>
      <c r="S625" s="163"/>
      <c r="T625" s="180"/>
      <c r="U625" s="123" t="str">
        <f t="shared" si="1"/>
        <v>#DIV/0!</v>
      </c>
    </row>
    <row r="626">
      <c r="A626" s="175"/>
      <c r="B626" s="175"/>
      <c r="C626" s="175"/>
      <c r="D626" s="176"/>
      <c r="E626" s="175"/>
      <c r="F626" s="175"/>
      <c r="G626" s="175"/>
      <c r="H626" s="175"/>
      <c r="I626" s="175"/>
      <c r="J626" s="179"/>
      <c r="K626" s="179"/>
      <c r="L626" s="179"/>
      <c r="M626" s="179"/>
      <c r="N626" s="179"/>
      <c r="O626" s="179"/>
      <c r="P626" s="179"/>
      <c r="Q626" s="179"/>
      <c r="R626" s="179"/>
      <c r="S626" s="163"/>
      <c r="T626" s="180"/>
      <c r="U626" s="123" t="str">
        <f t="shared" si="1"/>
        <v>#DIV/0!</v>
      </c>
    </row>
    <row r="627">
      <c r="A627" s="175"/>
      <c r="B627" s="175"/>
      <c r="C627" s="175"/>
      <c r="D627" s="176"/>
      <c r="E627" s="175"/>
      <c r="F627" s="175"/>
      <c r="G627" s="175"/>
      <c r="H627" s="175"/>
      <c r="I627" s="175"/>
      <c r="J627" s="179"/>
      <c r="K627" s="179"/>
      <c r="L627" s="179"/>
      <c r="M627" s="179"/>
      <c r="N627" s="179"/>
      <c r="O627" s="179"/>
      <c r="P627" s="179"/>
      <c r="Q627" s="179"/>
      <c r="R627" s="179"/>
      <c r="S627" s="163"/>
      <c r="T627" s="180"/>
      <c r="U627" s="123" t="str">
        <f t="shared" si="1"/>
        <v>#DIV/0!</v>
      </c>
    </row>
    <row r="628">
      <c r="A628" s="175"/>
      <c r="B628" s="175"/>
      <c r="C628" s="175"/>
      <c r="D628" s="176"/>
      <c r="E628" s="175"/>
      <c r="F628" s="175"/>
      <c r="G628" s="175"/>
      <c r="H628" s="175"/>
      <c r="I628" s="175"/>
      <c r="J628" s="179"/>
      <c r="K628" s="179"/>
      <c r="L628" s="179"/>
      <c r="M628" s="179"/>
      <c r="N628" s="179"/>
      <c r="O628" s="179"/>
      <c r="P628" s="179"/>
      <c r="Q628" s="179"/>
      <c r="R628" s="179"/>
      <c r="S628" s="163"/>
      <c r="T628" s="180"/>
      <c r="U628" s="123" t="str">
        <f t="shared" si="1"/>
        <v>#DIV/0!</v>
      </c>
    </row>
    <row r="629">
      <c r="A629" s="175"/>
      <c r="B629" s="175"/>
      <c r="C629" s="175"/>
      <c r="D629" s="176"/>
      <c r="E629" s="175"/>
      <c r="F629" s="175"/>
      <c r="G629" s="175"/>
      <c r="H629" s="175"/>
      <c r="I629" s="175"/>
      <c r="J629" s="179"/>
      <c r="K629" s="179"/>
      <c r="L629" s="179"/>
      <c r="M629" s="179"/>
      <c r="N629" s="179"/>
      <c r="O629" s="179"/>
      <c r="P629" s="179"/>
      <c r="Q629" s="179"/>
      <c r="R629" s="179"/>
      <c r="S629" s="163"/>
      <c r="T629" s="180"/>
      <c r="U629" s="123" t="str">
        <f t="shared" si="1"/>
        <v>#DIV/0!</v>
      </c>
    </row>
    <row r="630">
      <c r="A630" s="175"/>
      <c r="B630" s="175"/>
      <c r="C630" s="175"/>
      <c r="D630" s="176"/>
      <c r="E630" s="175"/>
      <c r="F630" s="175"/>
      <c r="G630" s="175"/>
      <c r="H630" s="175"/>
      <c r="I630" s="175"/>
      <c r="J630" s="179"/>
      <c r="K630" s="179"/>
      <c r="L630" s="179"/>
      <c r="M630" s="179"/>
      <c r="N630" s="179"/>
      <c r="O630" s="179"/>
      <c r="P630" s="179"/>
      <c r="Q630" s="179"/>
      <c r="R630" s="179"/>
      <c r="S630" s="163"/>
      <c r="T630" s="180"/>
      <c r="U630" s="123" t="str">
        <f t="shared" si="1"/>
        <v>#DIV/0!</v>
      </c>
    </row>
    <row r="631">
      <c r="A631" s="175"/>
      <c r="B631" s="175"/>
      <c r="C631" s="175"/>
      <c r="D631" s="176"/>
      <c r="E631" s="175"/>
      <c r="F631" s="175"/>
      <c r="G631" s="175"/>
      <c r="H631" s="175"/>
      <c r="I631" s="175"/>
      <c r="J631" s="179"/>
      <c r="K631" s="179"/>
      <c r="L631" s="179"/>
      <c r="M631" s="179"/>
      <c r="N631" s="179"/>
      <c r="O631" s="179"/>
      <c r="P631" s="179"/>
      <c r="Q631" s="179"/>
      <c r="R631" s="179"/>
      <c r="S631" s="163"/>
      <c r="T631" s="180"/>
      <c r="U631" s="123" t="str">
        <f t="shared" si="1"/>
        <v>#DIV/0!</v>
      </c>
    </row>
    <row r="632">
      <c r="A632" s="175"/>
      <c r="B632" s="175"/>
      <c r="C632" s="175"/>
      <c r="D632" s="176"/>
      <c r="E632" s="175"/>
      <c r="F632" s="175"/>
      <c r="G632" s="175"/>
      <c r="H632" s="175"/>
      <c r="I632" s="175"/>
      <c r="J632" s="179"/>
      <c r="K632" s="179"/>
      <c r="L632" s="179"/>
      <c r="M632" s="179"/>
      <c r="N632" s="179"/>
      <c r="O632" s="179"/>
      <c r="P632" s="179"/>
      <c r="Q632" s="179"/>
      <c r="R632" s="179"/>
      <c r="S632" s="163"/>
      <c r="T632" s="180"/>
      <c r="U632" s="123" t="str">
        <f t="shared" si="1"/>
        <v>#DIV/0!</v>
      </c>
    </row>
    <row r="633">
      <c r="A633" s="175"/>
      <c r="B633" s="175"/>
      <c r="C633" s="175"/>
      <c r="D633" s="176"/>
      <c r="E633" s="175"/>
      <c r="F633" s="175"/>
      <c r="G633" s="175"/>
      <c r="H633" s="175"/>
      <c r="I633" s="175"/>
      <c r="J633" s="179"/>
      <c r="K633" s="179"/>
      <c r="L633" s="179"/>
      <c r="M633" s="179"/>
      <c r="N633" s="179"/>
      <c r="O633" s="179"/>
      <c r="P633" s="179"/>
      <c r="Q633" s="179"/>
      <c r="R633" s="179"/>
      <c r="S633" s="163"/>
      <c r="T633" s="180"/>
      <c r="U633" s="123" t="str">
        <f t="shared" si="1"/>
        <v>#DIV/0!</v>
      </c>
    </row>
    <row r="634">
      <c r="A634" s="175"/>
      <c r="B634" s="175"/>
      <c r="C634" s="175"/>
      <c r="D634" s="176"/>
      <c r="E634" s="175"/>
      <c r="F634" s="175"/>
      <c r="G634" s="175"/>
      <c r="H634" s="175"/>
      <c r="I634" s="175"/>
      <c r="J634" s="179"/>
      <c r="K634" s="179"/>
      <c r="L634" s="179"/>
      <c r="M634" s="179"/>
      <c r="N634" s="179"/>
      <c r="O634" s="179"/>
      <c r="P634" s="179"/>
      <c r="Q634" s="179"/>
      <c r="R634" s="179"/>
      <c r="S634" s="163"/>
      <c r="T634" s="180"/>
      <c r="U634" s="123" t="str">
        <f t="shared" si="1"/>
        <v>#DIV/0!</v>
      </c>
    </row>
    <row r="635">
      <c r="A635" s="175"/>
      <c r="B635" s="175"/>
      <c r="C635" s="175"/>
      <c r="D635" s="176"/>
      <c r="E635" s="175"/>
      <c r="F635" s="175"/>
      <c r="G635" s="175"/>
      <c r="H635" s="175"/>
      <c r="I635" s="175"/>
      <c r="J635" s="179"/>
      <c r="K635" s="179"/>
      <c r="L635" s="179"/>
      <c r="M635" s="179"/>
      <c r="N635" s="179"/>
      <c r="O635" s="179"/>
      <c r="P635" s="179"/>
      <c r="Q635" s="179"/>
      <c r="R635" s="179"/>
      <c r="S635" s="163"/>
      <c r="T635" s="180"/>
      <c r="U635" s="123" t="str">
        <f t="shared" si="1"/>
        <v>#DIV/0!</v>
      </c>
    </row>
    <row r="636">
      <c r="A636" s="175"/>
      <c r="B636" s="175"/>
      <c r="C636" s="175"/>
      <c r="D636" s="176"/>
      <c r="E636" s="175"/>
      <c r="F636" s="175"/>
      <c r="G636" s="175"/>
      <c r="H636" s="175"/>
      <c r="I636" s="175"/>
      <c r="J636" s="179"/>
      <c r="K636" s="179"/>
      <c r="L636" s="179"/>
      <c r="M636" s="179"/>
      <c r="N636" s="179"/>
      <c r="O636" s="179"/>
      <c r="P636" s="179"/>
      <c r="Q636" s="179"/>
      <c r="R636" s="179"/>
      <c r="S636" s="163"/>
      <c r="T636" s="180"/>
      <c r="U636" s="123" t="str">
        <f t="shared" si="1"/>
        <v>#DIV/0!</v>
      </c>
    </row>
    <row r="637">
      <c r="A637" s="175"/>
      <c r="B637" s="175"/>
      <c r="C637" s="175"/>
      <c r="D637" s="176"/>
      <c r="E637" s="175"/>
      <c r="F637" s="175"/>
      <c r="G637" s="175"/>
      <c r="H637" s="175"/>
      <c r="I637" s="175"/>
      <c r="J637" s="179"/>
      <c r="K637" s="179"/>
      <c r="L637" s="179"/>
      <c r="M637" s="179"/>
      <c r="N637" s="179"/>
      <c r="O637" s="179"/>
      <c r="P637" s="179"/>
      <c r="Q637" s="179"/>
      <c r="R637" s="179"/>
      <c r="S637" s="163"/>
      <c r="T637" s="180"/>
      <c r="U637" s="123" t="str">
        <f t="shared" si="1"/>
        <v>#DIV/0!</v>
      </c>
    </row>
    <row r="638">
      <c r="A638" s="175"/>
      <c r="B638" s="175"/>
      <c r="C638" s="175"/>
      <c r="D638" s="176"/>
      <c r="E638" s="175"/>
      <c r="F638" s="175"/>
      <c r="G638" s="175"/>
      <c r="H638" s="175"/>
      <c r="I638" s="175"/>
      <c r="J638" s="179"/>
      <c r="K638" s="179"/>
      <c r="L638" s="179"/>
      <c r="M638" s="179"/>
      <c r="N638" s="179"/>
      <c r="O638" s="179"/>
      <c r="P638" s="179"/>
      <c r="Q638" s="179"/>
      <c r="R638" s="179"/>
      <c r="S638" s="163"/>
      <c r="T638" s="180"/>
      <c r="U638" s="123" t="str">
        <f t="shared" si="1"/>
        <v>#DIV/0!</v>
      </c>
    </row>
    <row r="639">
      <c r="A639" s="175"/>
      <c r="B639" s="175"/>
      <c r="C639" s="175"/>
      <c r="D639" s="176"/>
      <c r="E639" s="175"/>
      <c r="F639" s="175"/>
      <c r="G639" s="175"/>
      <c r="H639" s="175"/>
      <c r="I639" s="175"/>
      <c r="J639" s="179"/>
      <c r="K639" s="179"/>
      <c r="L639" s="179"/>
      <c r="M639" s="179"/>
      <c r="N639" s="179"/>
      <c r="O639" s="179"/>
      <c r="P639" s="179"/>
      <c r="Q639" s="179"/>
      <c r="R639" s="179"/>
      <c r="S639" s="163"/>
      <c r="T639" s="180"/>
      <c r="U639" s="123" t="str">
        <f t="shared" si="1"/>
        <v>#DIV/0!</v>
      </c>
    </row>
    <row r="640">
      <c r="A640" s="175"/>
      <c r="B640" s="175"/>
      <c r="C640" s="175"/>
      <c r="D640" s="176"/>
      <c r="E640" s="175"/>
      <c r="F640" s="175"/>
      <c r="G640" s="175"/>
      <c r="H640" s="175"/>
      <c r="I640" s="175"/>
      <c r="J640" s="179"/>
      <c r="K640" s="179"/>
      <c r="L640" s="179"/>
      <c r="M640" s="179"/>
      <c r="N640" s="179"/>
      <c r="O640" s="179"/>
      <c r="P640" s="179"/>
      <c r="Q640" s="179"/>
      <c r="R640" s="179"/>
      <c r="S640" s="163"/>
      <c r="T640" s="180"/>
      <c r="U640" s="123" t="str">
        <f t="shared" si="1"/>
        <v>#DIV/0!</v>
      </c>
    </row>
    <row r="641">
      <c r="A641" s="175"/>
      <c r="B641" s="175"/>
      <c r="C641" s="175"/>
      <c r="D641" s="176"/>
      <c r="E641" s="175"/>
      <c r="F641" s="175"/>
      <c r="G641" s="175"/>
      <c r="H641" s="175"/>
      <c r="I641" s="175"/>
      <c r="J641" s="179"/>
      <c r="K641" s="179"/>
      <c r="L641" s="179"/>
      <c r="M641" s="179"/>
      <c r="N641" s="179"/>
      <c r="O641" s="179"/>
      <c r="P641" s="179"/>
      <c r="Q641" s="179"/>
      <c r="R641" s="179"/>
      <c r="S641" s="163"/>
      <c r="T641" s="180"/>
      <c r="U641" s="123" t="str">
        <f t="shared" si="1"/>
        <v>#DIV/0!</v>
      </c>
    </row>
    <row r="642">
      <c r="A642" s="175"/>
      <c r="B642" s="175"/>
      <c r="C642" s="175"/>
      <c r="D642" s="176"/>
      <c r="E642" s="175"/>
      <c r="F642" s="175"/>
      <c r="G642" s="175"/>
      <c r="H642" s="175"/>
      <c r="I642" s="175"/>
      <c r="J642" s="179"/>
      <c r="K642" s="179"/>
      <c r="L642" s="179"/>
      <c r="M642" s="179"/>
      <c r="N642" s="179"/>
      <c r="O642" s="179"/>
      <c r="P642" s="179"/>
      <c r="Q642" s="179"/>
      <c r="R642" s="179"/>
      <c r="S642" s="163"/>
      <c r="T642" s="180"/>
      <c r="U642" s="123" t="str">
        <f t="shared" si="1"/>
        <v>#DIV/0!</v>
      </c>
    </row>
    <row r="643">
      <c r="A643" s="175"/>
      <c r="B643" s="175"/>
      <c r="C643" s="175"/>
      <c r="D643" s="176"/>
      <c r="E643" s="175"/>
      <c r="F643" s="175"/>
      <c r="G643" s="175"/>
      <c r="H643" s="175"/>
      <c r="I643" s="175"/>
      <c r="J643" s="179"/>
      <c r="K643" s="179"/>
      <c r="L643" s="179"/>
      <c r="M643" s="179"/>
      <c r="N643" s="179"/>
      <c r="O643" s="179"/>
      <c r="P643" s="179"/>
      <c r="Q643" s="179"/>
      <c r="R643" s="179"/>
      <c r="S643" s="163"/>
      <c r="T643" s="180"/>
      <c r="U643" s="123" t="str">
        <f t="shared" si="1"/>
        <v>#DIV/0!</v>
      </c>
    </row>
    <row r="644">
      <c r="A644" s="175"/>
      <c r="B644" s="175"/>
      <c r="C644" s="175"/>
      <c r="D644" s="176"/>
      <c r="E644" s="175"/>
      <c r="F644" s="175"/>
      <c r="G644" s="175"/>
      <c r="H644" s="175"/>
      <c r="I644" s="175"/>
      <c r="J644" s="179"/>
      <c r="K644" s="179"/>
      <c r="L644" s="179"/>
      <c r="M644" s="179"/>
      <c r="N644" s="179"/>
      <c r="O644" s="179"/>
      <c r="P644" s="179"/>
      <c r="Q644" s="179"/>
      <c r="R644" s="179"/>
      <c r="S644" s="163"/>
      <c r="T644" s="180"/>
      <c r="U644" s="123" t="str">
        <f t="shared" si="1"/>
        <v>#DIV/0!</v>
      </c>
    </row>
    <row r="645">
      <c r="A645" s="175"/>
      <c r="B645" s="175"/>
      <c r="C645" s="175"/>
      <c r="D645" s="176"/>
      <c r="E645" s="175"/>
      <c r="F645" s="175"/>
      <c r="G645" s="175"/>
      <c r="H645" s="175"/>
      <c r="I645" s="175"/>
      <c r="J645" s="179"/>
      <c r="K645" s="179"/>
      <c r="L645" s="179"/>
      <c r="M645" s="179"/>
      <c r="N645" s="179"/>
      <c r="O645" s="179"/>
      <c r="P645" s="179"/>
      <c r="Q645" s="179"/>
      <c r="R645" s="179"/>
      <c r="S645" s="163"/>
      <c r="T645" s="180"/>
      <c r="U645" s="123" t="str">
        <f t="shared" si="1"/>
        <v>#DIV/0!</v>
      </c>
    </row>
    <row r="646">
      <c r="A646" s="175"/>
      <c r="B646" s="175"/>
      <c r="C646" s="175"/>
      <c r="D646" s="176"/>
      <c r="E646" s="175"/>
      <c r="F646" s="175"/>
      <c r="G646" s="175"/>
      <c r="H646" s="175"/>
      <c r="I646" s="175"/>
      <c r="J646" s="179"/>
      <c r="K646" s="179"/>
      <c r="L646" s="179"/>
      <c r="M646" s="179"/>
      <c r="N646" s="179"/>
      <c r="O646" s="179"/>
      <c r="P646" s="179"/>
      <c r="Q646" s="179"/>
      <c r="R646" s="179"/>
      <c r="S646" s="163"/>
      <c r="T646" s="180"/>
      <c r="U646" s="123" t="str">
        <f t="shared" si="1"/>
        <v>#DIV/0!</v>
      </c>
    </row>
    <row r="647">
      <c r="A647" s="175"/>
      <c r="B647" s="175"/>
      <c r="C647" s="175"/>
      <c r="D647" s="176"/>
      <c r="E647" s="175"/>
      <c r="F647" s="175"/>
      <c r="G647" s="175"/>
      <c r="H647" s="175"/>
      <c r="I647" s="175"/>
      <c r="J647" s="179"/>
      <c r="K647" s="179"/>
      <c r="L647" s="179"/>
      <c r="M647" s="179"/>
      <c r="N647" s="179"/>
      <c r="O647" s="179"/>
      <c r="P647" s="179"/>
      <c r="Q647" s="179"/>
      <c r="R647" s="179"/>
      <c r="S647" s="163"/>
      <c r="T647" s="180"/>
      <c r="U647" s="123" t="str">
        <f t="shared" si="1"/>
        <v>#DIV/0!</v>
      </c>
    </row>
    <row r="648">
      <c r="A648" s="175"/>
      <c r="B648" s="175"/>
      <c r="C648" s="175"/>
      <c r="D648" s="176"/>
      <c r="E648" s="175"/>
      <c r="F648" s="175"/>
      <c r="G648" s="175"/>
      <c r="H648" s="175"/>
      <c r="I648" s="175"/>
      <c r="J648" s="179"/>
      <c r="K648" s="179"/>
      <c r="L648" s="179"/>
      <c r="M648" s="179"/>
      <c r="N648" s="179"/>
      <c r="O648" s="179"/>
      <c r="P648" s="179"/>
      <c r="Q648" s="179"/>
      <c r="R648" s="179"/>
      <c r="S648" s="163"/>
      <c r="T648" s="180"/>
      <c r="U648" s="123" t="str">
        <f t="shared" si="1"/>
        <v>#DIV/0!</v>
      </c>
    </row>
    <row r="649">
      <c r="A649" s="175"/>
      <c r="B649" s="175"/>
      <c r="C649" s="175"/>
      <c r="D649" s="176"/>
      <c r="E649" s="175"/>
      <c r="F649" s="175"/>
      <c r="G649" s="175"/>
      <c r="H649" s="175"/>
      <c r="I649" s="175"/>
      <c r="J649" s="179"/>
      <c r="K649" s="179"/>
      <c r="L649" s="179"/>
      <c r="M649" s="179"/>
      <c r="N649" s="179"/>
      <c r="O649" s="179"/>
      <c r="P649" s="179"/>
      <c r="Q649" s="179"/>
      <c r="R649" s="179"/>
      <c r="S649" s="163"/>
      <c r="T649" s="180"/>
      <c r="U649" s="123" t="str">
        <f t="shared" si="1"/>
        <v>#DIV/0!</v>
      </c>
    </row>
    <row r="650">
      <c r="A650" s="175"/>
      <c r="B650" s="175"/>
      <c r="C650" s="175"/>
      <c r="D650" s="176"/>
      <c r="E650" s="175"/>
      <c r="F650" s="175"/>
      <c r="G650" s="175"/>
      <c r="H650" s="175"/>
      <c r="I650" s="175"/>
      <c r="J650" s="179"/>
      <c r="K650" s="179"/>
      <c r="L650" s="179"/>
      <c r="M650" s="179"/>
      <c r="N650" s="179"/>
      <c r="O650" s="179"/>
      <c r="P650" s="179"/>
      <c r="Q650" s="179"/>
      <c r="R650" s="179"/>
      <c r="S650" s="163"/>
      <c r="T650" s="180"/>
      <c r="U650" s="123" t="str">
        <f t="shared" si="1"/>
        <v>#DIV/0!</v>
      </c>
    </row>
    <row r="651">
      <c r="A651" s="175"/>
      <c r="B651" s="175"/>
      <c r="C651" s="175"/>
      <c r="D651" s="176"/>
      <c r="E651" s="175"/>
      <c r="F651" s="175"/>
      <c r="G651" s="175"/>
      <c r="H651" s="175"/>
      <c r="I651" s="175"/>
      <c r="J651" s="179"/>
      <c r="K651" s="179"/>
      <c r="L651" s="179"/>
      <c r="M651" s="179"/>
      <c r="N651" s="179"/>
      <c r="O651" s="179"/>
      <c r="P651" s="179"/>
      <c r="Q651" s="179"/>
      <c r="R651" s="179"/>
      <c r="S651" s="163"/>
      <c r="T651" s="180"/>
      <c r="U651" s="123" t="str">
        <f t="shared" si="1"/>
        <v>#DIV/0!</v>
      </c>
    </row>
    <row r="652">
      <c r="A652" s="175"/>
      <c r="B652" s="175"/>
      <c r="C652" s="175"/>
      <c r="D652" s="176"/>
      <c r="E652" s="175"/>
      <c r="F652" s="175"/>
      <c r="G652" s="175"/>
      <c r="H652" s="175"/>
      <c r="I652" s="175"/>
      <c r="J652" s="179"/>
      <c r="K652" s="179"/>
      <c r="L652" s="179"/>
      <c r="M652" s="179"/>
      <c r="N652" s="179"/>
      <c r="O652" s="179"/>
      <c r="P652" s="179"/>
      <c r="Q652" s="179"/>
      <c r="R652" s="179"/>
      <c r="S652" s="163"/>
      <c r="T652" s="180"/>
      <c r="U652" s="123" t="str">
        <f t="shared" si="1"/>
        <v>#DIV/0!</v>
      </c>
    </row>
    <row r="653">
      <c r="A653" s="175"/>
      <c r="B653" s="175"/>
      <c r="C653" s="175"/>
      <c r="D653" s="176"/>
      <c r="E653" s="175"/>
      <c r="F653" s="175"/>
      <c r="G653" s="175"/>
      <c r="H653" s="175"/>
      <c r="I653" s="175"/>
      <c r="J653" s="179"/>
      <c r="K653" s="179"/>
      <c r="L653" s="179"/>
      <c r="M653" s="179"/>
      <c r="N653" s="179"/>
      <c r="O653" s="179"/>
      <c r="P653" s="179"/>
      <c r="Q653" s="179"/>
      <c r="R653" s="179"/>
      <c r="S653" s="163"/>
      <c r="T653" s="180"/>
      <c r="U653" s="123" t="str">
        <f t="shared" si="1"/>
        <v>#DIV/0!</v>
      </c>
    </row>
    <row r="654">
      <c r="A654" s="175"/>
      <c r="B654" s="175"/>
      <c r="C654" s="175"/>
      <c r="D654" s="176"/>
      <c r="E654" s="175"/>
      <c r="F654" s="175"/>
      <c r="G654" s="175"/>
      <c r="H654" s="175"/>
      <c r="I654" s="175"/>
      <c r="J654" s="179"/>
      <c r="K654" s="179"/>
      <c r="L654" s="179"/>
      <c r="M654" s="179"/>
      <c r="N654" s="179"/>
      <c r="O654" s="179"/>
      <c r="P654" s="179"/>
      <c r="Q654" s="179"/>
      <c r="R654" s="179"/>
      <c r="S654" s="163"/>
      <c r="T654" s="180"/>
      <c r="U654" s="123" t="str">
        <f t="shared" si="1"/>
        <v>#DIV/0!</v>
      </c>
    </row>
    <row r="655">
      <c r="A655" s="175"/>
      <c r="B655" s="175"/>
      <c r="C655" s="175"/>
      <c r="D655" s="176"/>
      <c r="E655" s="175"/>
      <c r="F655" s="175"/>
      <c r="G655" s="175"/>
      <c r="H655" s="175"/>
      <c r="I655" s="175"/>
      <c r="J655" s="179"/>
      <c r="K655" s="179"/>
      <c r="L655" s="179"/>
      <c r="M655" s="179"/>
      <c r="N655" s="179"/>
      <c r="O655" s="179"/>
      <c r="P655" s="179"/>
      <c r="Q655" s="179"/>
      <c r="R655" s="179"/>
      <c r="S655" s="163"/>
      <c r="T655" s="180"/>
      <c r="U655" s="123" t="str">
        <f t="shared" si="1"/>
        <v>#DIV/0!</v>
      </c>
    </row>
    <row r="656">
      <c r="A656" s="175"/>
      <c r="B656" s="175"/>
      <c r="C656" s="175"/>
      <c r="D656" s="176"/>
      <c r="E656" s="175"/>
      <c r="F656" s="175"/>
      <c r="G656" s="175"/>
      <c r="H656" s="175"/>
      <c r="I656" s="175"/>
      <c r="J656" s="179"/>
      <c r="K656" s="179"/>
      <c r="L656" s="179"/>
      <c r="M656" s="179"/>
      <c r="N656" s="179"/>
      <c r="O656" s="179"/>
      <c r="P656" s="179"/>
      <c r="Q656" s="179"/>
      <c r="R656" s="179"/>
      <c r="S656" s="163"/>
      <c r="T656" s="180"/>
      <c r="U656" s="123" t="str">
        <f t="shared" si="1"/>
        <v>#DIV/0!</v>
      </c>
    </row>
    <row r="657">
      <c r="A657" s="175"/>
      <c r="B657" s="175"/>
      <c r="C657" s="175"/>
      <c r="D657" s="176"/>
      <c r="E657" s="175"/>
      <c r="F657" s="175"/>
      <c r="G657" s="175"/>
      <c r="H657" s="175"/>
      <c r="I657" s="175"/>
      <c r="J657" s="179"/>
      <c r="K657" s="179"/>
      <c r="L657" s="179"/>
      <c r="M657" s="179"/>
      <c r="N657" s="179"/>
      <c r="O657" s="179"/>
      <c r="P657" s="179"/>
      <c r="Q657" s="179"/>
      <c r="R657" s="179"/>
      <c r="S657" s="163"/>
      <c r="T657" s="180"/>
      <c r="U657" s="123" t="str">
        <f t="shared" si="1"/>
        <v>#DIV/0!</v>
      </c>
    </row>
    <row r="658">
      <c r="A658" s="175"/>
      <c r="B658" s="175"/>
      <c r="C658" s="175"/>
      <c r="D658" s="176"/>
      <c r="E658" s="175"/>
      <c r="F658" s="175"/>
      <c r="G658" s="175"/>
      <c r="H658" s="175"/>
      <c r="I658" s="175"/>
      <c r="J658" s="179"/>
      <c r="K658" s="179"/>
      <c r="L658" s="179"/>
      <c r="M658" s="179"/>
      <c r="N658" s="179"/>
      <c r="O658" s="179"/>
      <c r="P658" s="179"/>
      <c r="Q658" s="179"/>
      <c r="R658" s="179"/>
      <c r="S658" s="163"/>
      <c r="T658" s="180"/>
      <c r="U658" s="123" t="str">
        <f t="shared" si="1"/>
        <v>#DIV/0!</v>
      </c>
    </row>
    <row r="659">
      <c r="A659" s="175"/>
      <c r="B659" s="175"/>
      <c r="C659" s="175"/>
      <c r="D659" s="176"/>
      <c r="E659" s="175"/>
      <c r="F659" s="175"/>
      <c r="G659" s="175"/>
      <c r="H659" s="175"/>
      <c r="I659" s="175"/>
      <c r="J659" s="179"/>
      <c r="K659" s="179"/>
      <c r="L659" s="179"/>
      <c r="M659" s="179"/>
      <c r="N659" s="179"/>
      <c r="O659" s="179"/>
      <c r="P659" s="179"/>
      <c r="Q659" s="179"/>
      <c r="R659" s="179"/>
      <c r="S659" s="163"/>
      <c r="T659" s="180"/>
      <c r="U659" s="123" t="str">
        <f t="shared" si="1"/>
        <v>#DIV/0!</v>
      </c>
    </row>
    <row r="660">
      <c r="A660" s="175"/>
      <c r="B660" s="175"/>
      <c r="C660" s="175"/>
      <c r="D660" s="176"/>
      <c r="E660" s="175"/>
      <c r="F660" s="175"/>
      <c r="G660" s="175"/>
      <c r="H660" s="175"/>
      <c r="I660" s="175"/>
      <c r="J660" s="179"/>
      <c r="K660" s="179"/>
      <c r="L660" s="179"/>
      <c r="M660" s="179"/>
      <c r="N660" s="179"/>
      <c r="O660" s="179"/>
      <c r="P660" s="179"/>
      <c r="Q660" s="179"/>
      <c r="R660" s="179"/>
      <c r="S660" s="163"/>
      <c r="T660" s="180"/>
      <c r="U660" s="123" t="str">
        <f t="shared" si="1"/>
        <v>#DIV/0!</v>
      </c>
    </row>
    <row r="661">
      <c r="A661" s="175"/>
      <c r="B661" s="175"/>
      <c r="C661" s="175"/>
      <c r="D661" s="176"/>
      <c r="E661" s="175"/>
      <c r="F661" s="175"/>
      <c r="G661" s="175"/>
      <c r="H661" s="175"/>
      <c r="I661" s="175"/>
      <c r="J661" s="179"/>
      <c r="K661" s="179"/>
      <c r="L661" s="179"/>
      <c r="M661" s="179"/>
      <c r="N661" s="179"/>
      <c r="O661" s="179"/>
      <c r="P661" s="179"/>
      <c r="Q661" s="179"/>
      <c r="R661" s="179"/>
      <c r="S661" s="163"/>
      <c r="T661" s="180"/>
      <c r="U661" s="123" t="str">
        <f t="shared" si="1"/>
        <v>#DIV/0!</v>
      </c>
    </row>
    <row r="662">
      <c r="A662" s="175"/>
      <c r="B662" s="175"/>
      <c r="C662" s="175"/>
      <c r="D662" s="176"/>
      <c r="E662" s="175"/>
      <c r="F662" s="175"/>
      <c r="G662" s="175"/>
      <c r="H662" s="175"/>
      <c r="I662" s="175"/>
      <c r="J662" s="179"/>
      <c r="K662" s="179"/>
      <c r="L662" s="179"/>
      <c r="M662" s="179"/>
      <c r="N662" s="179"/>
      <c r="O662" s="179"/>
      <c r="P662" s="179"/>
      <c r="Q662" s="179"/>
      <c r="R662" s="179"/>
      <c r="S662" s="163"/>
      <c r="T662" s="180"/>
      <c r="U662" s="123" t="str">
        <f t="shared" si="1"/>
        <v>#DIV/0!</v>
      </c>
    </row>
    <row r="663">
      <c r="A663" s="175"/>
      <c r="B663" s="175"/>
      <c r="C663" s="175"/>
      <c r="D663" s="176"/>
      <c r="E663" s="175"/>
      <c r="F663" s="175"/>
      <c r="G663" s="175"/>
      <c r="H663" s="175"/>
      <c r="I663" s="175"/>
      <c r="J663" s="179"/>
      <c r="K663" s="179"/>
      <c r="L663" s="179"/>
      <c r="M663" s="179"/>
      <c r="N663" s="179"/>
      <c r="O663" s="179"/>
      <c r="P663" s="179"/>
      <c r="Q663" s="179"/>
      <c r="R663" s="179"/>
      <c r="S663" s="163"/>
      <c r="T663" s="180"/>
      <c r="U663" s="123" t="str">
        <f t="shared" si="1"/>
        <v>#DIV/0!</v>
      </c>
    </row>
    <row r="664">
      <c r="A664" s="175"/>
      <c r="B664" s="175"/>
      <c r="C664" s="175"/>
      <c r="D664" s="176"/>
      <c r="E664" s="175"/>
      <c r="F664" s="175"/>
      <c r="G664" s="175"/>
      <c r="H664" s="175"/>
      <c r="I664" s="175"/>
      <c r="J664" s="179"/>
      <c r="K664" s="179"/>
      <c r="L664" s="179"/>
      <c r="M664" s="179"/>
      <c r="N664" s="179"/>
      <c r="O664" s="179"/>
      <c r="P664" s="179"/>
      <c r="Q664" s="179"/>
      <c r="R664" s="179"/>
      <c r="S664" s="163"/>
      <c r="T664" s="180"/>
      <c r="U664" s="123" t="str">
        <f t="shared" si="1"/>
        <v>#DIV/0!</v>
      </c>
    </row>
    <row r="665">
      <c r="A665" s="175"/>
      <c r="B665" s="175"/>
      <c r="C665" s="175"/>
      <c r="D665" s="176"/>
      <c r="E665" s="175"/>
      <c r="F665" s="175"/>
      <c r="G665" s="175"/>
      <c r="H665" s="175"/>
      <c r="I665" s="175"/>
      <c r="J665" s="179"/>
      <c r="K665" s="179"/>
      <c r="L665" s="179"/>
      <c r="M665" s="179"/>
      <c r="N665" s="179"/>
      <c r="O665" s="179"/>
      <c r="P665" s="179"/>
      <c r="Q665" s="179"/>
      <c r="R665" s="179"/>
      <c r="S665" s="163"/>
      <c r="T665" s="180"/>
      <c r="U665" s="123" t="str">
        <f t="shared" si="1"/>
        <v>#DIV/0!</v>
      </c>
    </row>
    <row r="666">
      <c r="A666" s="175"/>
      <c r="B666" s="175"/>
      <c r="C666" s="175"/>
      <c r="D666" s="176"/>
      <c r="E666" s="175"/>
      <c r="F666" s="175"/>
      <c r="G666" s="175"/>
      <c r="H666" s="175"/>
      <c r="I666" s="175"/>
      <c r="J666" s="179"/>
      <c r="K666" s="179"/>
      <c r="L666" s="179"/>
      <c r="M666" s="179"/>
      <c r="N666" s="179"/>
      <c r="O666" s="179"/>
      <c r="P666" s="179"/>
      <c r="Q666" s="179"/>
      <c r="R666" s="179"/>
      <c r="S666" s="163"/>
      <c r="T666" s="180"/>
      <c r="U666" s="123" t="str">
        <f t="shared" si="1"/>
        <v>#DIV/0!</v>
      </c>
    </row>
    <row r="667">
      <c r="A667" s="175"/>
      <c r="B667" s="175"/>
      <c r="C667" s="175"/>
      <c r="D667" s="176"/>
      <c r="E667" s="175"/>
      <c r="F667" s="175"/>
      <c r="G667" s="175"/>
      <c r="H667" s="175"/>
      <c r="I667" s="175"/>
      <c r="J667" s="179"/>
      <c r="K667" s="179"/>
      <c r="L667" s="179"/>
      <c r="M667" s="179"/>
      <c r="N667" s="179"/>
      <c r="O667" s="179"/>
      <c r="P667" s="179"/>
      <c r="Q667" s="179"/>
      <c r="R667" s="179"/>
      <c r="S667" s="163"/>
      <c r="T667" s="180"/>
      <c r="U667" s="123" t="str">
        <f t="shared" si="1"/>
        <v>#DIV/0!</v>
      </c>
    </row>
    <row r="668">
      <c r="A668" s="175"/>
      <c r="B668" s="175"/>
      <c r="C668" s="175"/>
      <c r="D668" s="176"/>
      <c r="E668" s="175"/>
      <c r="F668" s="175"/>
      <c r="G668" s="175"/>
      <c r="H668" s="175"/>
      <c r="I668" s="175"/>
      <c r="J668" s="179"/>
      <c r="K668" s="179"/>
      <c r="L668" s="179"/>
      <c r="M668" s="179"/>
      <c r="N668" s="179"/>
      <c r="O668" s="179"/>
      <c r="P668" s="179"/>
      <c r="Q668" s="179"/>
      <c r="R668" s="179"/>
      <c r="S668" s="163"/>
      <c r="T668" s="180"/>
      <c r="U668" s="123" t="str">
        <f t="shared" si="1"/>
        <v>#DIV/0!</v>
      </c>
    </row>
    <row r="669">
      <c r="A669" s="175"/>
      <c r="B669" s="175"/>
      <c r="C669" s="175"/>
      <c r="D669" s="176"/>
      <c r="E669" s="175"/>
      <c r="F669" s="175"/>
      <c r="G669" s="175"/>
      <c r="H669" s="175"/>
      <c r="I669" s="175"/>
      <c r="J669" s="179"/>
      <c r="K669" s="179"/>
      <c r="L669" s="179"/>
      <c r="M669" s="179"/>
      <c r="N669" s="179"/>
      <c r="O669" s="179"/>
      <c r="P669" s="179"/>
      <c r="Q669" s="179"/>
      <c r="R669" s="179"/>
      <c r="S669" s="163"/>
      <c r="T669" s="180"/>
      <c r="U669" s="123" t="str">
        <f t="shared" si="1"/>
        <v>#DIV/0!</v>
      </c>
    </row>
    <row r="670">
      <c r="A670" s="175"/>
      <c r="B670" s="175"/>
      <c r="C670" s="175"/>
      <c r="D670" s="176"/>
      <c r="E670" s="175"/>
      <c r="F670" s="175"/>
      <c r="G670" s="175"/>
      <c r="H670" s="175"/>
      <c r="I670" s="175"/>
      <c r="J670" s="179"/>
      <c r="K670" s="179"/>
      <c r="L670" s="179"/>
      <c r="M670" s="179"/>
      <c r="N670" s="179"/>
      <c r="O670" s="179"/>
      <c r="P670" s="179"/>
      <c r="Q670" s="179"/>
      <c r="R670" s="179"/>
      <c r="S670" s="163"/>
      <c r="T670" s="180"/>
      <c r="U670" s="123" t="str">
        <f t="shared" si="1"/>
        <v>#DIV/0!</v>
      </c>
    </row>
    <row r="671">
      <c r="A671" s="175"/>
      <c r="B671" s="175"/>
      <c r="C671" s="175"/>
      <c r="D671" s="176"/>
      <c r="E671" s="175"/>
      <c r="F671" s="175"/>
      <c r="G671" s="175"/>
      <c r="H671" s="175"/>
      <c r="I671" s="175"/>
      <c r="J671" s="179"/>
      <c r="K671" s="179"/>
      <c r="L671" s="179"/>
      <c r="M671" s="179"/>
      <c r="N671" s="179"/>
      <c r="O671" s="179"/>
      <c r="P671" s="179"/>
      <c r="Q671" s="179"/>
      <c r="R671" s="179"/>
      <c r="S671" s="163"/>
      <c r="T671" s="180"/>
      <c r="U671" s="123" t="str">
        <f t="shared" si="1"/>
        <v>#DIV/0!</v>
      </c>
    </row>
    <row r="672">
      <c r="A672" s="175"/>
      <c r="B672" s="175"/>
      <c r="C672" s="175"/>
      <c r="D672" s="176"/>
      <c r="E672" s="175"/>
      <c r="F672" s="175"/>
      <c r="G672" s="175"/>
      <c r="H672" s="175"/>
      <c r="I672" s="175"/>
      <c r="J672" s="179"/>
      <c r="K672" s="179"/>
      <c r="L672" s="179"/>
      <c r="M672" s="179"/>
      <c r="N672" s="179"/>
      <c r="O672" s="179"/>
      <c r="P672" s="179"/>
      <c r="Q672" s="179"/>
      <c r="R672" s="179"/>
      <c r="S672" s="163"/>
      <c r="T672" s="180"/>
      <c r="U672" s="123" t="str">
        <f t="shared" si="1"/>
        <v>#DIV/0!</v>
      </c>
    </row>
    <row r="673">
      <c r="A673" s="175"/>
      <c r="B673" s="175"/>
      <c r="C673" s="175"/>
      <c r="D673" s="176"/>
      <c r="E673" s="175"/>
      <c r="F673" s="175"/>
      <c r="G673" s="175"/>
      <c r="H673" s="175"/>
      <c r="I673" s="175"/>
      <c r="J673" s="179"/>
      <c r="K673" s="179"/>
      <c r="L673" s="179"/>
      <c r="M673" s="179"/>
      <c r="N673" s="179"/>
      <c r="O673" s="179"/>
      <c r="P673" s="179"/>
      <c r="Q673" s="179"/>
      <c r="R673" s="179"/>
      <c r="S673" s="163"/>
      <c r="T673" s="180"/>
      <c r="U673" s="123" t="str">
        <f t="shared" si="1"/>
        <v>#DIV/0!</v>
      </c>
    </row>
    <row r="674">
      <c r="A674" s="175"/>
      <c r="B674" s="175"/>
      <c r="C674" s="175"/>
      <c r="D674" s="176"/>
      <c r="E674" s="175"/>
      <c r="F674" s="175"/>
      <c r="G674" s="175"/>
      <c r="H674" s="175"/>
      <c r="I674" s="175"/>
      <c r="J674" s="179"/>
      <c r="K674" s="179"/>
      <c r="L674" s="179"/>
      <c r="M674" s="179"/>
      <c r="N674" s="179"/>
      <c r="O674" s="179"/>
      <c r="P674" s="179"/>
      <c r="Q674" s="179"/>
      <c r="R674" s="179"/>
      <c r="S674" s="163"/>
      <c r="T674" s="180"/>
      <c r="U674" s="123" t="str">
        <f t="shared" si="1"/>
        <v>#DIV/0!</v>
      </c>
    </row>
    <row r="675">
      <c r="A675" s="175"/>
      <c r="B675" s="175"/>
      <c r="C675" s="175"/>
      <c r="D675" s="176"/>
      <c r="E675" s="175"/>
      <c r="F675" s="175"/>
      <c r="G675" s="175"/>
      <c r="H675" s="175"/>
      <c r="I675" s="175"/>
      <c r="J675" s="179"/>
      <c r="K675" s="179"/>
      <c r="L675" s="179"/>
      <c r="M675" s="179"/>
      <c r="N675" s="179"/>
      <c r="O675" s="179"/>
      <c r="P675" s="179"/>
      <c r="Q675" s="179"/>
      <c r="R675" s="179"/>
      <c r="S675" s="163"/>
      <c r="T675" s="180"/>
      <c r="U675" s="123" t="str">
        <f t="shared" si="1"/>
        <v>#DIV/0!</v>
      </c>
    </row>
    <row r="676">
      <c r="A676" s="175"/>
      <c r="B676" s="175"/>
      <c r="C676" s="175"/>
      <c r="D676" s="176"/>
      <c r="E676" s="175"/>
      <c r="F676" s="175"/>
      <c r="G676" s="175"/>
      <c r="H676" s="175"/>
      <c r="I676" s="175"/>
      <c r="J676" s="179"/>
      <c r="K676" s="179"/>
      <c r="L676" s="179"/>
      <c r="M676" s="179"/>
      <c r="N676" s="179"/>
      <c r="O676" s="179"/>
      <c r="P676" s="179"/>
      <c r="Q676" s="179"/>
      <c r="R676" s="179"/>
      <c r="S676" s="163"/>
      <c r="T676" s="180"/>
      <c r="U676" s="123" t="str">
        <f t="shared" si="1"/>
        <v>#DIV/0!</v>
      </c>
    </row>
    <row r="677">
      <c r="A677" s="175"/>
      <c r="B677" s="175"/>
      <c r="C677" s="175"/>
      <c r="D677" s="176"/>
      <c r="E677" s="175"/>
      <c r="F677" s="175"/>
      <c r="G677" s="175"/>
      <c r="H677" s="175"/>
      <c r="I677" s="175"/>
      <c r="J677" s="179"/>
      <c r="K677" s="179"/>
      <c r="L677" s="179"/>
      <c r="M677" s="179"/>
      <c r="N677" s="179"/>
      <c r="O677" s="179"/>
      <c r="P677" s="179"/>
      <c r="Q677" s="179"/>
      <c r="R677" s="179"/>
      <c r="S677" s="163"/>
      <c r="T677" s="180"/>
      <c r="U677" s="123" t="str">
        <f t="shared" si="1"/>
        <v>#DIV/0!</v>
      </c>
    </row>
    <row r="678">
      <c r="A678" s="175"/>
      <c r="B678" s="175"/>
      <c r="C678" s="175"/>
      <c r="D678" s="176"/>
      <c r="E678" s="175"/>
      <c r="F678" s="175"/>
      <c r="G678" s="175"/>
      <c r="H678" s="175"/>
      <c r="I678" s="175"/>
      <c r="J678" s="179"/>
      <c r="K678" s="179"/>
      <c r="L678" s="179"/>
      <c r="M678" s="179"/>
      <c r="N678" s="179"/>
      <c r="O678" s="179"/>
      <c r="P678" s="179"/>
      <c r="Q678" s="179"/>
      <c r="R678" s="179"/>
      <c r="S678" s="163"/>
      <c r="T678" s="180"/>
      <c r="U678" s="123" t="str">
        <f t="shared" si="1"/>
        <v>#DIV/0!</v>
      </c>
    </row>
    <row r="679">
      <c r="A679" s="175"/>
      <c r="B679" s="175"/>
      <c r="C679" s="175"/>
      <c r="D679" s="176"/>
      <c r="E679" s="175"/>
      <c r="F679" s="175"/>
      <c r="G679" s="175"/>
      <c r="H679" s="175"/>
      <c r="I679" s="175"/>
      <c r="J679" s="179"/>
      <c r="K679" s="179"/>
      <c r="L679" s="179"/>
      <c r="M679" s="179"/>
      <c r="N679" s="179"/>
      <c r="O679" s="179"/>
      <c r="P679" s="179"/>
      <c r="Q679" s="179"/>
      <c r="R679" s="179"/>
      <c r="S679" s="163"/>
      <c r="T679" s="180"/>
      <c r="U679" s="123" t="str">
        <f t="shared" si="1"/>
        <v>#DIV/0!</v>
      </c>
    </row>
    <row r="680">
      <c r="A680" s="175"/>
      <c r="B680" s="175"/>
      <c r="C680" s="175"/>
      <c r="D680" s="176"/>
      <c r="E680" s="175"/>
      <c r="F680" s="175"/>
      <c r="G680" s="175"/>
      <c r="H680" s="175"/>
      <c r="I680" s="175"/>
      <c r="J680" s="179"/>
      <c r="K680" s="179"/>
      <c r="L680" s="179"/>
      <c r="M680" s="179"/>
      <c r="N680" s="179"/>
      <c r="O680" s="179"/>
      <c r="P680" s="179"/>
      <c r="Q680" s="179"/>
      <c r="R680" s="179"/>
      <c r="S680" s="163"/>
      <c r="T680" s="180"/>
      <c r="U680" s="123" t="str">
        <f t="shared" si="1"/>
        <v>#DIV/0!</v>
      </c>
    </row>
    <row r="681">
      <c r="A681" s="175"/>
      <c r="B681" s="175"/>
      <c r="C681" s="175"/>
      <c r="D681" s="176"/>
      <c r="E681" s="175"/>
      <c r="F681" s="175"/>
      <c r="G681" s="175"/>
      <c r="H681" s="175"/>
      <c r="I681" s="175"/>
      <c r="J681" s="179"/>
      <c r="K681" s="179"/>
      <c r="L681" s="179"/>
      <c r="M681" s="179"/>
      <c r="N681" s="179"/>
      <c r="O681" s="179"/>
      <c r="P681" s="179"/>
      <c r="Q681" s="179"/>
      <c r="R681" s="179"/>
      <c r="S681" s="163"/>
      <c r="T681" s="180"/>
      <c r="U681" s="123" t="str">
        <f t="shared" si="1"/>
        <v>#DIV/0!</v>
      </c>
    </row>
    <row r="682">
      <c r="A682" s="175"/>
      <c r="B682" s="175"/>
      <c r="C682" s="175"/>
      <c r="D682" s="176"/>
      <c r="E682" s="175"/>
      <c r="F682" s="175"/>
      <c r="G682" s="175"/>
      <c r="H682" s="175"/>
      <c r="I682" s="175"/>
      <c r="J682" s="179"/>
      <c r="K682" s="179"/>
      <c r="L682" s="179"/>
      <c r="M682" s="179"/>
      <c r="N682" s="179"/>
      <c r="O682" s="179"/>
      <c r="P682" s="179"/>
      <c r="Q682" s="179"/>
      <c r="R682" s="179"/>
      <c r="S682" s="163"/>
      <c r="T682" s="180"/>
      <c r="U682" s="123" t="str">
        <f t="shared" si="1"/>
        <v>#DIV/0!</v>
      </c>
    </row>
    <row r="683">
      <c r="A683" s="175"/>
      <c r="B683" s="175"/>
      <c r="C683" s="175"/>
      <c r="D683" s="176"/>
      <c r="E683" s="175"/>
      <c r="F683" s="175"/>
      <c r="G683" s="175"/>
      <c r="H683" s="175"/>
      <c r="I683" s="175"/>
      <c r="J683" s="179"/>
      <c r="K683" s="179"/>
      <c r="L683" s="179"/>
      <c r="M683" s="179"/>
      <c r="N683" s="179"/>
      <c r="O683" s="179"/>
      <c r="P683" s="179"/>
      <c r="Q683" s="179"/>
      <c r="R683" s="179"/>
      <c r="S683" s="163"/>
      <c r="T683" s="180"/>
      <c r="U683" s="123" t="str">
        <f t="shared" si="1"/>
        <v>#DIV/0!</v>
      </c>
    </row>
    <row r="684">
      <c r="A684" s="175"/>
      <c r="B684" s="175"/>
      <c r="C684" s="175"/>
      <c r="D684" s="176"/>
      <c r="E684" s="175"/>
      <c r="F684" s="175"/>
      <c r="G684" s="175"/>
      <c r="H684" s="175"/>
      <c r="I684" s="175"/>
      <c r="J684" s="179"/>
      <c r="K684" s="179"/>
      <c r="L684" s="179"/>
      <c r="M684" s="179"/>
      <c r="N684" s="179"/>
      <c r="O684" s="179"/>
      <c r="P684" s="179"/>
      <c r="Q684" s="179"/>
      <c r="R684" s="179"/>
      <c r="S684" s="163"/>
      <c r="T684" s="180"/>
      <c r="U684" s="123" t="str">
        <f t="shared" si="1"/>
        <v>#DIV/0!</v>
      </c>
    </row>
    <row r="685">
      <c r="A685" s="175"/>
      <c r="B685" s="175"/>
      <c r="C685" s="175"/>
      <c r="D685" s="176"/>
      <c r="E685" s="175"/>
      <c r="F685" s="175"/>
      <c r="G685" s="175"/>
      <c r="H685" s="175"/>
      <c r="I685" s="175"/>
      <c r="J685" s="179"/>
      <c r="K685" s="179"/>
      <c r="L685" s="179"/>
      <c r="M685" s="179"/>
      <c r="N685" s="179"/>
      <c r="O685" s="179"/>
      <c r="P685" s="179"/>
      <c r="Q685" s="179"/>
      <c r="R685" s="179"/>
      <c r="S685" s="163"/>
      <c r="T685" s="180"/>
      <c r="U685" s="123" t="str">
        <f t="shared" si="1"/>
        <v>#DIV/0!</v>
      </c>
    </row>
    <row r="686">
      <c r="A686" s="175"/>
      <c r="B686" s="175"/>
      <c r="C686" s="175"/>
      <c r="D686" s="176"/>
      <c r="E686" s="175"/>
      <c r="F686" s="175"/>
      <c r="G686" s="175"/>
      <c r="H686" s="175"/>
      <c r="I686" s="175"/>
      <c r="J686" s="179"/>
      <c r="K686" s="179"/>
      <c r="L686" s="179"/>
      <c r="M686" s="179"/>
      <c r="N686" s="179"/>
      <c r="O686" s="179"/>
      <c r="P686" s="179"/>
      <c r="Q686" s="179"/>
      <c r="R686" s="179"/>
      <c r="S686" s="163"/>
      <c r="T686" s="180"/>
      <c r="U686" s="123" t="str">
        <f t="shared" si="1"/>
        <v>#DIV/0!</v>
      </c>
    </row>
    <row r="687">
      <c r="A687" s="175"/>
      <c r="B687" s="175"/>
      <c r="C687" s="175"/>
      <c r="D687" s="176"/>
      <c r="E687" s="175"/>
      <c r="F687" s="175"/>
      <c r="G687" s="175"/>
      <c r="H687" s="175"/>
      <c r="I687" s="175"/>
      <c r="J687" s="179"/>
      <c r="K687" s="179"/>
      <c r="L687" s="179"/>
      <c r="M687" s="179"/>
      <c r="N687" s="179"/>
      <c r="O687" s="179"/>
      <c r="P687" s="179"/>
      <c r="Q687" s="179"/>
      <c r="R687" s="179"/>
      <c r="S687" s="163"/>
      <c r="T687" s="180"/>
      <c r="U687" s="123" t="str">
        <f t="shared" si="1"/>
        <v>#DIV/0!</v>
      </c>
    </row>
    <row r="688">
      <c r="A688" s="175"/>
      <c r="B688" s="175"/>
      <c r="C688" s="175"/>
      <c r="D688" s="176"/>
      <c r="E688" s="175"/>
      <c r="F688" s="175"/>
      <c r="G688" s="175"/>
      <c r="H688" s="175"/>
      <c r="I688" s="175"/>
      <c r="J688" s="179"/>
      <c r="K688" s="179"/>
      <c r="L688" s="179"/>
      <c r="M688" s="179"/>
      <c r="N688" s="179"/>
      <c r="O688" s="179"/>
      <c r="P688" s="179"/>
      <c r="Q688" s="179"/>
      <c r="R688" s="179"/>
      <c r="S688" s="163"/>
      <c r="T688" s="180"/>
      <c r="U688" s="123" t="str">
        <f t="shared" si="1"/>
        <v>#DIV/0!</v>
      </c>
    </row>
    <row r="689">
      <c r="A689" s="175"/>
      <c r="B689" s="175"/>
      <c r="C689" s="175"/>
      <c r="D689" s="176"/>
      <c r="E689" s="175"/>
      <c r="F689" s="175"/>
      <c r="G689" s="175"/>
      <c r="H689" s="175"/>
      <c r="I689" s="175"/>
      <c r="J689" s="179"/>
      <c r="K689" s="179"/>
      <c r="L689" s="179"/>
      <c r="M689" s="179"/>
      <c r="N689" s="179"/>
      <c r="O689" s="179"/>
      <c r="P689" s="179"/>
      <c r="Q689" s="179"/>
      <c r="R689" s="179"/>
      <c r="S689" s="163"/>
      <c r="T689" s="180"/>
      <c r="U689" s="123" t="str">
        <f t="shared" si="1"/>
        <v>#DIV/0!</v>
      </c>
    </row>
    <row r="690">
      <c r="A690" s="175"/>
      <c r="B690" s="175"/>
      <c r="C690" s="175"/>
      <c r="D690" s="176"/>
      <c r="E690" s="175"/>
      <c r="F690" s="175"/>
      <c r="G690" s="175"/>
      <c r="H690" s="175"/>
      <c r="I690" s="175"/>
      <c r="J690" s="179"/>
      <c r="K690" s="179"/>
      <c r="L690" s="179"/>
      <c r="M690" s="179"/>
      <c r="N690" s="179"/>
      <c r="O690" s="179"/>
      <c r="P690" s="179"/>
      <c r="Q690" s="179"/>
      <c r="R690" s="179"/>
      <c r="S690" s="163"/>
      <c r="T690" s="180"/>
      <c r="U690" s="123" t="str">
        <f t="shared" si="1"/>
        <v>#DIV/0!</v>
      </c>
    </row>
    <row r="691">
      <c r="A691" s="175"/>
      <c r="B691" s="175"/>
      <c r="C691" s="175"/>
      <c r="D691" s="176"/>
      <c r="E691" s="175"/>
      <c r="F691" s="175"/>
      <c r="G691" s="175"/>
      <c r="H691" s="175"/>
      <c r="I691" s="175"/>
      <c r="J691" s="179"/>
      <c r="K691" s="179"/>
      <c r="L691" s="179"/>
      <c r="M691" s="179"/>
      <c r="N691" s="179"/>
      <c r="O691" s="179"/>
      <c r="P691" s="179"/>
      <c r="Q691" s="179"/>
      <c r="R691" s="179"/>
      <c r="S691" s="163"/>
      <c r="T691" s="180"/>
      <c r="U691" s="123" t="str">
        <f t="shared" si="1"/>
        <v>#DIV/0!</v>
      </c>
    </row>
    <row r="692">
      <c r="A692" s="175"/>
      <c r="B692" s="175"/>
      <c r="C692" s="175"/>
      <c r="D692" s="176"/>
      <c r="E692" s="175"/>
      <c r="F692" s="175"/>
      <c r="G692" s="175"/>
      <c r="H692" s="175"/>
      <c r="I692" s="175"/>
      <c r="J692" s="179"/>
      <c r="K692" s="179"/>
      <c r="L692" s="179"/>
      <c r="M692" s="179"/>
      <c r="N692" s="179"/>
      <c r="O692" s="179"/>
      <c r="P692" s="179"/>
      <c r="Q692" s="179"/>
      <c r="R692" s="179"/>
      <c r="S692" s="163"/>
      <c r="T692" s="180"/>
      <c r="U692" s="123" t="str">
        <f t="shared" si="1"/>
        <v>#DIV/0!</v>
      </c>
    </row>
    <row r="693">
      <c r="A693" s="175"/>
      <c r="B693" s="175"/>
      <c r="C693" s="175"/>
      <c r="D693" s="176"/>
      <c r="E693" s="175"/>
      <c r="F693" s="175"/>
      <c r="G693" s="175"/>
      <c r="H693" s="175"/>
      <c r="I693" s="175"/>
      <c r="J693" s="179"/>
      <c r="K693" s="179"/>
      <c r="L693" s="179"/>
      <c r="M693" s="179"/>
      <c r="N693" s="179"/>
      <c r="O693" s="179"/>
      <c r="P693" s="179"/>
      <c r="Q693" s="179"/>
      <c r="R693" s="179"/>
      <c r="S693" s="163"/>
      <c r="T693" s="180"/>
      <c r="U693" s="123" t="str">
        <f t="shared" si="1"/>
        <v>#DIV/0!</v>
      </c>
    </row>
    <row r="694">
      <c r="A694" s="175"/>
      <c r="B694" s="175"/>
      <c r="C694" s="175"/>
      <c r="D694" s="176"/>
      <c r="E694" s="175"/>
      <c r="F694" s="175"/>
      <c r="G694" s="175"/>
      <c r="H694" s="175"/>
      <c r="I694" s="175"/>
      <c r="J694" s="179"/>
      <c r="K694" s="179"/>
      <c r="L694" s="179"/>
      <c r="M694" s="179"/>
      <c r="N694" s="179"/>
      <c r="O694" s="179"/>
      <c r="P694" s="179"/>
      <c r="Q694" s="179"/>
      <c r="R694" s="179"/>
      <c r="S694" s="163"/>
      <c r="T694" s="180"/>
      <c r="U694" s="123" t="str">
        <f t="shared" si="1"/>
        <v>#DIV/0!</v>
      </c>
    </row>
    <row r="695">
      <c r="A695" s="175"/>
      <c r="B695" s="175"/>
      <c r="C695" s="175"/>
      <c r="D695" s="176"/>
      <c r="E695" s="175"/>
      <c r="F695" s="175"/>
      <c r="G695" s="175"/>
      <c r="H695" s="175"/>
      <c r="I695" s="175"/>
      <c r="J695" s="179"/>
      <c r="K695" s="179"/>
      <c r="L695" s="179"/>
      <c r="M695" s="179"/>
      <c r="N695" s="179"/>
      <c r="O695" s="179"/>
      <c r="P695" s="179"/>
      <c r="Q695" s="179"/>
      <c r="R695" s="179"/>
      <c r="S695" s="163"/>
      <c r="T695" s="180"/>
      <c r="U695" s="123" t="str">
        <f t="shared" si="1"/>
        <v>#DIV/0!</v>
      </c>
    </row>
    <row r="696">
      <c r="A696" s="175"/>
      <c r="B696" s="175"/>
      <c r="C696" s="175"/>
      <c r="D696" s="176"/>
      <c r="E696" s="175"/>
      <c r="F696" s="175"/>
      <c r="G696" s="175"/>
      <c r="H696" s="175"/>
      <c r="I696" s="175"/>
      <c r="J696" s="179"/>
      <c r="K696" s="179"/>
      <c r="L696" s="179"/>
      <c r="M696" s="179"/>
      <c r="N696" s="179"/>
      <c r="O696" s="179"/>
      <c r="P696" s="179"/>
      <c r="Q696" s="179"/>
      <c r="R696" s="179"/>
      <c r="S696" s="163"/>
      <c r="T696" s="180"/>
      <c r="U696" s="123" t="str">
        <f t="shared" si="1"/>
        <v>#DIV/0!</v>
      </c>
    </row>
    <row r="697">
      <c r="A697" s="175"/>
      <c r="B697" s="175"/>
      <c r="C697" s="175"/>
      <c r="D697" s="176"/>
      <c r="E697" s="175"/>
      <c r="F697" s="175"/>
      <c r="G697" s="175"/>
      <c r="H697" s="175"/>
      <c r="I697" s="175"/>
      <c r="J697" s="179"/>
      <c r="K697" s="179"/>
      <c r="L697" s="179"/>
      <c r="M697" s="179"/>
      <c r="N697" s="179"/>
      <c r="O697" s="179"/>
      <c r="P697" s="179"/>
      <c r="Q697" s="179"/>
      <c r="R697" s="179"/>
      <c r="S697" s="163"/>
      <c r="T697" s="180"/>
      <c r="U697" s="123" t="str">
        <f t="shared" si="1"/>
        <v>#DIV/0!</v>
      </c>
    </row>
    <row r="698">
      <c r="A698" s="175"/>
      <c r="B698" s="175"/>
      <c r="C698" s="175"/>
      <c r="D698" s="176"/>
      <c r="E698" s="175"/>
      <c r="F698" s="175"/>
      <c r="G698" s="175"/>
      <c r="H698" s="175"/>
      <c r="I698" s="175"/>
      <c r="J698" s="179"/>
      <c r="K698" s="179"/>
      <c r="L698" s="179"/>
      <c r="M698" s="179"/>
      <c r="N698" s="179"/>
      <c r="O698" s="179"/>
      <c r="P698" s="179"/>
      <c r="Q698" s="179"/>
      <c r="R698" s="179"/>
      <c r="S698" s="163"/>
      <c r="T698" s="180"/>
      <c r="U698" s="123" t="str">
        <f t="shared" si="1"/>
        <v>#DIV/0!</v>
      </c>
    </row>
    <row r="699">
      <c r="A699" s="175"/>
      <c r="B699" s="175"/>
      <c r="C699" s="175"/>
      <c r="D699" s="176"/>
      <c r="E699" s="175"/>
      <c r="F699" s="175"/>
      <c r="G699" s="175"/>
      <c r="H699" s="175"/>
      <c r="I699" s="175"/>
      <c r="J699" s="179"/>
      <c r="K699" s="179"/>
      <c r="L699" s="179"/>
      <c r="M699" s="179"/>
      <c r="N699" s="179"/>
      <c r="O699" s="179"/>
      <c r="P699" s="179"/>
      <c r="Q699" s="179"/>
      <c r="R699" s="179"/>
      <c r="S699" s="163"/>
      <c r="T699" s="180"/>
      <c r="U699" s="123" t="str">
        <f t="shared" si="1"/>
        <v>#DIV/0!</v>
      </c>
    </row>
    <row r="700">
      <c r="A700" s="175"/>
      <c r="B700" s="175"/>
      <c r="C700" s="175"/>
      <c r="D700" s="176"/>
      <c r="E700" s="175"/>
      <c r="F700" s="175"/>
      <c r="G700" s="175"/>
      <c r="H700" s="175"/>
      <c r="I700" s="175"/>
      <c r="J700" s="179"/>
      <c r="K700" s="179"/>
      <c r="L700" s="179"/>
      <c r="M700" s="179"/>
      <c r="N700" s="179"/>
      <c r="O700" s="179"/>
      <c r="P700" s="179"/>
      <c r="Q700" s="179"/>
      <c r="R700" s="179"/>
      <c r="S700" s="163"/>
      <c r="T700" s="180"/>
      <c r="U700" s="123" t="str">
        <f t="shared" si="1"/>
        <v>#DIV/0!</v>
      </c>
    </row>
    <row r="701">
      <c r="A701" s="175"/>
      <c r="B701" s="175"/>
      <c r="C701" s="175"/>
      <c r="D701" s="176"/>
      <c r="E701" s="175"/>
      <c r="F701" s="175"/>
      <c r="G701" s="175"/>
      <c r="H701" s="175"/>
      <c r="I701" s="175"/>
      <c r="J701" s="179"/>
      <c r="K701" s="179"/>
      <c r="L701" s="179"/>
      <c r="M701" s="179"/>
      <c r="N701" s="179"/>
      <c r="O701" s="179"/>
      <c r="P701" s="179"/>
      <c r="Q701" s="179"/>
      <c r="R701" s="179"/>
      <c r="S701" s="163"/>
      <c r="T701" s="180"/>
      <c r="U701" s="123" t="str">
        <f t="shared" si="1"/>
        <v>#DIV/0!</v>
      </c>
    </row>
    <row r="702">
      <c r="A702" s="175"/>
      <c r="B702" s="175"/>
      <c r="C702" s="175"/>
      <c r="D702" s="176"/>
      <c r="E702" s="175"/>
      <c r="F702" s="175"/>
      <c r="G702" s="175"/>
      <c r="H702" s="175"/>
      <c r="I702" s="175"/>
      <c r="J702" s="179"/>
      <c r="K702" s="179"/>
      <c r="L702" s="179"/>
      <c r="M702" s="179"/>
      <c r="N702" s="179"/>
      <c r="O702" s="179"/>
      <c r="P702" s="179"/>
      <c r="Q702" s="179"/>
      <c r="R702" s="179"/>
      <c r="S702" s="163"/>
      <c r="T702" s="180"/>
      <c r="U702" s="123" t="str">
        <f t="shared" si="1"/>
        <v>#DIV/0!</v>
      </c>
    </row>
    <row r="703">
      <c r="A703" s="175"/>
      <c r="B703" s="175"/>
      <c r="C703" s="175"/>
      <c r="D703" s="176"/>
      <c r="E703" s="175"/>
      <c r="F703" s="175"/>
      <c r="G703" s="175"/>
      <c r="H703" s="175"/>
      <c r="I703" s="175"/>
      <c r="J703" s="179"/>
      <c r="K703" s="179"/>
      <c r="L703" s="179"/>
      <c r="M703" s="179"/>
      <c r="N703" s="179"/>
      <c r="O703" s="179"/>
      <c r="P703" s="179"/>
      <c r="Q703" s="179"/>
      <c r="R703" s="179"/>
      <c r="S703" s="163"/>
      <c r="T703" s="180"/>
      <c r="U703" s="123" t="str">
        <f t="shared" si="1"/>
        <v>#DIV/0!</v>
      </c>
    </row>
    <row r="704">
      <c r="A704" s="175"/>
      <c r="B704" s="175"/>
      <c r="C704" s="175"/>
      <c r="D704" s="176"/>
      <c r="E704" s="175"/>
      <c r="F704" s="175"/>
      <c r="G704" s="175"/>
      <c r="H704" s="175"/>
      <c r="I704" s="175"/>
      <c r="J704" s="179"/>
      <c r="K704" s="179"/>
      <c r="L704" s="179"/>
      <c r="M704" s="179"/>
      <c r="N704" s="179"/>
      <c r="O704" s="179"/>
      <c r="P704" s="179"/>
      <c r="Q704" s="179"/>
      <c r="R704" s="179"/>
      <c r="S704" s="163"/>
      <c r="T704" s="180"/>
      <c r="U704" s="123" t="str">
        <f t="shared" si="1"/>
        <v>#DIV/0!</v>
      </c>
    </row>
    <row r="705">
      <c r="A705" s="175"/>
      <c r="B705" s="175"/>
      <c r="C705" s="175"/>
      <c r="D705" s="176"/>
      <c r="E705" s="175"/>
      <c r="F705" s="175"/>
      <c r="G705" s="175"/>
      <c r="H705" s="175"/>
      <c r="I705" s="175"/>
      <c r="J705" s="179"/>
      <c r="K705" s="179"/>
      <c r="L705" s="179"/>
      <c r="M705" s="179"/>
      <c r="N705" s="179"/>
      <c r="O705" s="179"/>
      <c r="P705" s="179"/>
      <c r="Q705" s="179"/>
      <c r="R705" s="179"/>
      <c r="S705" s="163"/>
      <c r="T705" s="180"/>
      <c r="U705" s="123" t="str">
        <f t="shared" si="1"/>
        <v>#DIV/0!</v>
      </c>
    </row>
    <row r="706">
      <c r="A706" s="175"/>
      <c r="B706" s="175"/>
      <c r="C706" s="175"/>
      <c r="D706" s="176"/>
      <c r="E706" s="175"/>
      <c r="F706" s="175"/>
      <c r="G706" s="175"/>
      <c r="H706" s="175"/>
      <c r="I706" s="175"/>
      <c r="J706" s="179"/>
      <c r="K706" s="179"/>
      <c r="L706" s="179"/>
      <c r="M706" s="179"/>
      <c r="N706" s="179"/>
      <c r="O706" s="179"/>
      <c r="P706" s="179"/>
      <c r="Q706" s="179"/>
      <c r="R706" s="179"/>
      <c r="S706" s="163"/>
      <c r="T706" s="180"/>
      <c r="U706" s="123" t="str">
        <f t="shared" si="1"/>
        <v>#DIV/0!</v>
      </c>
    </row>
    <row r="707">
      <c r="A707" s="175"/>
      <c r="B707" s="175"/>
      <c r="C707" s="175"/>
      <c r="D707" s="176"/>
      <c r="E707" s="175"/>
      <c r="F707" s="175"/>
      <c r="G707" s="175"/>
      <c r="H707" s="175"/>
      <c r="I707" s="175"/>
      <c r="J707" s="179"/>
      <c r="K707" s="179"/>
      <c r="L707" s="179"/>
      <c r="M707" s="179"/>
      <c r="N707" s="179"/>
      <c r="O707" s="179"/>
      <c r="P707" s="179"/>
      <c r="Q707" s="179"/>
      <c r="R707" s="179"/>
      <c r="S707" s="163"/>
      <c r="T707" s="180"/>
      <c r="U707" s="123" t="str">
        <f t="shared" si="1"/>
        <v>#DIV/0!</v>
      </c>
    </row>
    <row r="708">
      <c r="A708" s="175"/>
      <c r="B708" s="175"/>
      <c r="C708" s="175"/>
      <c r="D708" s="176"/>
      <c r="E708" s="175"/>
      <c r="F708" s="175"/>
      <c r="G708" s="175"/>
      <c r="H708" s="175"/>
      <c r="I708" s="175"/>
      <c r="J708" s="179"/>
      <c r="K708" s="179"/>
      <c r="L708" s="179"/>
      <c r="M708" s="179"/>
      <c r="N708" s="179"/>
      <c r="O708" s="179"/>
      <c r="P708" s="179"/>
      <c r="Q708" s="179"/>
      <c r="R708" s="179"/>
      <c r="S708" s="163"/>
      <c r="T708" s="180"/>
      <c r="U708" s="123" t="str">
        <f t="shared" si="1"/>
        <v>#DIV/0!</v>
      </c>
    </row>
    <row r="709">
      <c r="A709" s="175"/>
      <c r="B709" s="175"/>
      <c r="C709" s="175"/>
      <c r="D709" s="176"/>
      <c r="E709" s="175"/>
      <c r="F709" s="175"/>
      <c r="G709" s="175"/>
      <c r="H709" s="175"/>
      <c r="I709" s="175"/>
      <c r="J709" s="179"/>
      <c r="K709" s="179"/>
      <c r="L709" s="179"/>
      <c r="M709" s="179"/>
      <c r="N709" s="179"/>
      <c r="O709" s="179"/>
      <c r="P709" s="179"/>
      <c r="Q709" s="179"/>
      <c r="R709" s="179"/>
      <c r="S709" s="163"/>
      <c r="T709" s="180"/>
      <c r="U709" s="123" t="str">
        <f t="shared" si="1"/>
        <v>#DIV/0!</v>
      </c>
    </row>
    <row r="710">
      <c r="A710" s="175"/>
      <c r="B710" s="175"/>
      <c r="C710" s="175"/>
      <c r="D710" s="176"/>
      <c r="E710" s="175"/>
      <c r="F710" s="175"/>
      <c r="G710" s="175"/>
      <c r="H710" s="175"/>
      <c r="I710" s="175"/>
      <c r="J710" s="179"/>
      <c r="K710" s="179"/>
      <c r="L710" s="179"/>
      <c r="M710" s="179"/>
      <c r="N710" s="179"/>
      <c r="O710" s="179"/>
      <c r="P710" s="179"/>
      <c r="Q710" s="179"/>
      <c r="R710" s="179"/>
      <c r="S710" s="163"/>
      <c r="T710" s="180"/>
      <c r="U710" s="123" t="str">
        <f t="shared" si="1"/>
        <v>#DIV/0!</v>
      </c>
    </row>
    <row r="711">
      <c r="A711" s="175"/>
      <c r="B711" s="175"/>
      <c r="C711" s="175"/>
      <c r="D711" s="176"/>
      <c r="E711" s="175"/>
      <c r="F711" s="175"/>
      <c r="G711" s="175"/>
      <c r="H711" s="175"/>
      <c r="I711" s="175"/>
      <c r="J711" s="179"/>
      <c r="K711" s="179"/>
      <c r="L711" s="179"/>
      <c r="M711" s="179"/>
      <c r="N711" s="179"/>
      <c r="O711" s="179"/>
      <c r="P711" s="179"/>
      <c r="Q711" s="179"/>
      <c r="R711" s="179"/>
      <c r="S711" s="163"/>
      <c r="T711" s="180"/>
      <c r="U711" s="123" t="str">
        <f t="shared" si="1"/>
        <v>#DIV/0!</v>
      </c>
    </row>
    <row r="712">
      <c r="A712" s="175"/>
      <c r="B712" s="175"/>
      <c r="C712" s="175"/>
      <c r="D712" s="176"/>
      <c r="E712" s="175"/>
      <c r="F712" s="175"/>
      <c r="G712" s="175"/>
      <c r="H712" s="175"/>
      <c r="I712" s="175"/>
      <c r="J712" s="179"/>
      <c r="K712" s="179"/>
      <c r="L712" s="179"/>
      <c r="M712" s="179"/>
      <c r="N712" s="179"/>
      <c r="O712" s="179"/>
      <c r="P712" s="179"/>
      <c r="Q712" s="179"/>
      <c r="R712" s="179"/>
      <c r="S712" s="163"/>
      <c r="T712" s="180"/>
      <c r="U712" s="123" t="str">
        <f t="shared" si="1"/>
        <v>#DIV/0!</v>
      </c>
    </row>
    <row r="713">
      <c r="A713" s="175"/>
      <c r="B713" s="175"/>
      <c r="C713" s="175"/>
      <c r="D713" s="176"/>
      <c r="E713" s="175"/>
      <c r="F713" s="175"/>
      <c r="G713" s="175"/>
      <c r="H713" s="175"/>
      <c r="I713" s="175"/>
      <c r="J713" s="179"/>
      <c r="K713" s="179"/>
      <c r="L713" s="179"/>
      <c r="M713" s="179"/>
      <c r="N713" s="179"/>
      <c r="O713" s="179"/>
      <c r="P713" s="179"/>
      <c r="Q713" s="179"/>
      <c r="R713" s="179"/>
      <c r="S713" s="163"/>
      <c r="T713" s="180"/>
      <c r="U713" s="123" t="str">
        <f t="shared" si="1"/>
        <v>#DIV/0!</v>
      </c>
    </row>
    <row r="714">
      <c r="A714" s="175"/>
      <c r="B714" s="175"/>
      <c r="C714" s="175"/>
      <c r="D714" s="176"/>
      <c r="E714" s="175"/>
      <c r="F714" s="175"/>
      <c r="G714" s="175"/>
      <c r="H714" s="175"/>
      <c r="I714" s="175"/>
      <c r="J714" s="179"/>
      <c r="K714" s="179"/>
      <c r="L714" s="179"/>
      <c r="M714" s="179"/>
      <c r="N714" s="179"/>
      <c r="O714" s="179"/>
      <c r="P714" s="179"/>
      <c r="Q714" s="179"/>
      <c r="R714" s="179"/>
      <c r="S714" s="163"/>
      <c r="T714" s="180"/>
      <c r="U714" s="123" t="str">
        <f t="shared" si="1"/>
        <v>#DIV/0!</v>
      </c>
    </row>
    <row r="715">
      <c r="A715" s="175"/>
      <c r="B715" s="175"/>
      <c r="C715" s="175"/>
      <c r="D715" s="176"/>
      <c r="E715" s="175"/>
      <c r="F715" s="175"/>
      <c r="G715" s="175"/>
      <c r="H715" s="175"/>
      <c r="I715" s="175"/>
      <c r="J715" s="179"/>
      <c r="K715" s="179"/>
      <c r="L715" s="179"/>
      <c r="M715" s="179"/>
      <c r="N715" s="179"/>
      <c r="O715" s="179"/>
      <c r="P715" s="179"/>
      <c r="Q715" s="179"/>
      <c r="R715" s="179"/>
      <c r="S715" s="163"/>
      <c r="T715" s="180"/>
      <c r="U715" s="123" t="str">
        <f t="shared" si="1"/>
        <v>#DIV/0!</v>
      </c>
    </row>
    <row r="716">
      <c r="A716" s="175"/>
      <c r="B716" s="175"/>
      <c r="C716" s="175"/>
      <c r="D716" s="176"/>
      <c r="E716" s="175"/>
      <c r="F716" s="175"/>
      <c r="G716" s="175"/>
      <c r="H716" s="175"/>
      <c r="I716" s="175"/>
      <c r="J716" s="179"/>
      <c r="K716" s="179"/>
      <c r="L716" s="179"/>
      <c r="M716" s="179"/>
      <c r="N716" s="179"/>
      <c r="O716" s="179"/>
      <c r="P716" s="179"/>
      <c r="Q716" s="179"/>
      <c r="R716" s="179"/>
      <c r="S716" s="163"/>
      <c r="T716" s="180"/>
      <c r="U716" s="123" t="str">
        <f t="shared" si="1"/>
        <v>#DIV/0!</v>
      </c>
    </row>
    <row r="717">
      <c r="A717" s="175"/>
      <c r="B717" s="175"/>
      <c r="C717" s="175"/>
      <c r="D717" s="176"/>
      <c r="E717" s="175"/>
      <c r="F717" s="175"/>
      <c r="G717" s="175"/>
      <c r="H717" s="175"/>
      <c r="I717" s="175"/>
      <c r="J717" s="179"/>
      <c r="K717" s="179"/>
      <c r="L717" s="179"/>
      <c r="M717" s="179"/>
      <c r="N717" s="179"/>
      <c r="O717" s="179"/>
      <c r="P717" s="179"/>
      <c r="Q717" s="179"/>
      <c r="R717" s="179"/>
      <c r="S717" s="163"/>
      <c r="T717" s="180"/>
      <c r="U717" s="123" t="str">
        <f t="shared" si="1"/>
        <v>#DIV/0!</v>
      </c>
    </row>
    <row r="718">
      <c r="A718" s="175"/>
      <c r="B718" s="175"/>
      <c r="C718" s="175"/>
      <c r="D718" s="176"/>
      <c r="E718" s="175"/>
      <c r="F718" s="175"/>
      <c r="G718" s="175"/>
      <c r="H718" s="175"/>
      <c r="I718" s="175"/>
      <c r="J718" s="179"/>
      <c r="K718" s="179"/>
      <c r="L718" s="179"/>
      <c r="M718" s="179"/>
      <c r="N718" s="179"/>
      <c r="O718" s="179"/>
      <c r="P718" s="179"/>
      <c r="Q718" s="179"/>
      <c r="R718" s="179"/>
      <c r="S718" s="163"/>
      <c r="T718" s="180"/>
      <c r="U718" s="123" t="str">
        <f t="shared" si="1"/>
        <v>#DIV/0!</v>
      </c>
    </row>
    <row r="719">
      <c r="A719" s="175"/>
      <c r="B719" s="175"/>
      <c r="C719" s="175"/>
      <c r="D719" s="176"/>
      <c r="E719" s="175"/>
      <c r="F719" s="175"/>
      <c r="G719" s="175"/>
      <c r="H719" s="175"/>
      <c r="I719" s="175"/>
      <c r="J719" s="179"/>
      <c r="K719" s="179"/>
      <c r="L719" s="179"/>
      <c r="M719" s="179"/>
      <c r="N719" s="179"/>
      <c r="O719" s="179"/>
      <c r="P719" s="179"/>
      <c r="Q719" s="179"/>
      <c r="R719" s="179"/>
      <c r="S719" s="163"/>
      <c r="T719" s="180"/>
      <c r="U719" s="123" t="str">
        <f t="shared" si="1"/>
        <v>#DIV/0!</v>
      </c>
    </row>
    <row r="720">
      <c r="A720" s="175"/>
      <c r="B720" s="175"/>
      <c r="C720" s="175"/>
      <c r="D720" s="176"/>
      <c r="E720" s="175"/>
      <c r="F720" s="175"/>
      <c r="G720" s="175"/>
      <c r="H720" s="175"/>
      <c r="I720" s="175"/>
      <c r="J720" s="179"/>
      <c r="K720" s="179"/>
      <c r="L720" s="179"/>
      <c r="M720" s="179"/>
      <c r="N720" s="179"/>
      <c r="O720" s="179"/>
      <c r="P720" s="179"/>
      <c r="Q720" s="179"/>
      <c r="R720" s="179"/>
      <c r="S720" s="163"/>
      <c r="T720" s="180"/>
      <c r="U720" s="123" t="str">
        <f t="shared" si="1"/>
        <v>#DIV/0!</v>
      </c>
    </row>
    <row r="721">
      <c r="A721" s="175"/>
      <c r="B721" s="175"/>
      <c r="C721" s="175"/>
      <c r="D721" s="176"/>
      <c r="E721" s="175"/>
      <c r="F721" s="175"/>
      <c r="G721" s="175"/>
      <c r="H721" s="175"/>
      <c r="I721" s="175"/>
      <c r="J721" s="179"/>
      <c r="K721" s="179"/>
      <c r="L721" s="179"/>
      <c r="M721" s="179"/>
      <c r="N721" s="179"/>
      <c r="O721" s="179"/>
      <c r="P721" s="179"/>
      <c r="Q721" s="179"/>
      <c r="R721" s="179"/>
      <c r="S721" s="163"/>
      <c r="T721" s="180"/>
      <c r="U721" s="123" t="str">
        <f t="shared" si="1"/>
        <v>#DIV/0!</v>
      </c>
    </row>
    <row r="722">
      <c r="A722" s="175"/>
      <c r="B722" s="175"/>
      <c r="C722" s="175"/>
      <c r="D722" s="176"/>
      <c r="E722" s="175"/>
      <c r="F722" s="175"/>
      <c r="G722" s="175"/>
      <c r="H722" s="175"/>
      <c r="I722" s="175"/>
      <c r="J722" s="179"/>
      <c r="K722" s="179"/>
      <c r="L722" s="179"/>
      <c r="M722" s="179"/>
      <c r="N722" s="179"/>
      <c r="O722" s="179"/>
      <c r="P722" s="179"/>
      <c r="Q722" s="179"/>
      <c r="R722" s="179"/>
      <c r="S722" s="163"/>
      <c r="T722" s="180"/>
      <c r="U722" s="123" t="str">
        <f t="shared" si="1"/>
        <v>#DIV/0!</v>
      </c>
    </row>
    <row r="723">
      <c r="A723" s="175"/>
      <c r="B723" s="175"/>
      <c r="C723" s="175"/>
      <c r="D723" s="176"/>
      <c r="E723" s="175"/>
      <c r="F723" s="175"/>
      <c r="G723" s="175"/>
      <c r="H723" s="175"/>
      <c r="I723" s="175"/>
      <c r="J723" s="179"/>
      <c r="K723" s="179"/>
      <c r="L723" s="179"/>
      <c r="M723" s="179"/>
      <c r="N723" s="179"/>
      <c r="O723" s="179"/>
      <c r="P723" s="179"/>
      <c r="Q723" s="179"/>
      <c r="R723" s="179"/>
      <c r="S723" s="163"/>
      <c r="T723" s="180"/>
      <c r="U723" s="123" t="str">
        <f t="shared" si="1"/>
        <v>#DIV/0!</v>
      </c>
    </row>
    <row r="724">
      <c r="A724" s="175"/>
      <c r="B724" s="175"/>
      <c r="C724" s="175"/>
      <c r="D724" s="176"/>
      <c r="E724" s="175"/>
      <c r="F724" s="175"/>
      <c r="G724" s="175"/>
      <c r="H724" s="175"/>
      <c r="I724" s="175"/>
      <c r="J724" s="179"/>
      <c r="K724" s="179"/>
      <c r="L724" s="179"/>
      <c r="M724" s="179"/>
      <c r="N724" s="179"/>
      <c r="O724" s="179"/>
      <c r="P724" s="179"/>
      <c r="Q724" s="179"/>
      <c r="R724" s="179"/>
      <c r="S724" s="163"/>
      <c r="T724" s="180"/>
      <c r="U724" s="123" t="str">
        <f t="shared" si="1"/>
        <v>#DIV/0!</v>
      </c>
    </row>
    <row r="725">
      <c r="A725" s="175"/>
      <c r="B725" s="175"/>
      <c r="C725" s="175"/>
      <c r="D725" s="176"/>
      <c r="E725" s="175"/>
      <c r="F725" s="175"/>
      <c r="G725" s="175"/>
      <c r="H725" s="175"/>
      <c r="I725" s="175"/>
      <c r="J725" s="179"/>
      <c r="K725" s="179"/>
      <c r="L725" s="179"/>
      <c r="M725" s="179"/>
      <c r="N725" s="179"/>
      <c r="O725" s="179"/>
      <c r="P725" s="179"/>
      <c r="Q725" s="179"/>
      <c r="R725" s="179"/>
      <c r="S725" s="163"/>
      <c r="T725" s="180"/>
      <c r="U725" s="123" t="str">
        <f t="shared" si="1"/>
        <v>#DIV/0!</v>
      </c>
    </row>
    <row r="726">
      <c r="A726" s="175"/>
      <c r="B726" s="175"/>
      <c r="C726" s="175"/>
      <c r="D726" s="176"/>
      <c r="E726" s="175"/>
      <c r="F726" s="175"/>
      <c r="G726" s="175"/>
      <c r="H726" s="175"/>
      <c r="I726" s="175"/>
      <c r="J726" s="179"/>
      <c r="K726" s="179"/>
      <c r="L726" s="179"/>
      <c r="M726" s="179"/>
      <c r="N726" s="179"/>
      <c r="O726" s="179"/>
      <c r="P726" s="179"/>
      <c r="Q726" s="179"/>
      <c r="R726" s="179"/>
      <c r="S726" s="163"/>
      <c r="T726" s="180"/>
      <c r="U726" s="123" t="str">
        <f t="shared" si="1"/>
        <v>#DIV/0!</v>
      </c>
    </row>
    <row r="727">
      <c r="A727" s="175"/>
      <c r="B727" s="175"/>
      <c r="C727" s="175"/>
      <c r="D727" s="176"/>
      <c r="E727" s="175"/>
      <c r="F727" s="175"/>
      <c r="G727" s="175"/>
      <c r="H727" s="175"/>
      <c r="I727" s="175"/>
      <c r="J727" s="179"/>
      <c r="K727" s="179"/>
      <c r="L727" s="179"/>
      <c r="M727" s="179"/>
      <c r="N727" s="179"/>
      <c r="O727" s="179"/>
      <c r="P727" s="179"/>
      <c r="Q727" s="179"/>
      <c r="R727" s="179"/>
      <c r="S727" s="163"/>
      <c r="T727" s="180"/>
      <c r="U727" s="123" t="str">
        <f t="shared" si="1"/>
        <v>#DIV/0!</v>
      </c>
    </row>
    <row r="728">
      <c r="A728" s="175"/>
      <c r="B728" s="175"/>
      <c r="C728" s="175"/>
      <c r="D728" s="176"/>
      <c r="E728" s="175"/>
      <c r="F728" s="175"/>
      <c r="G728" s="175"/>
      <c r="H728" s="175"/>
      <c r="I728" s="175"/>
      <c r="J728" s="179"/>
      <c r="K728" s="179"/>
      <c r="L728" s="179"/>
      <c r="M728" s="179"/>
      <c r="N728" s="179"/>
      <c r="O728" s="179"/>
      <c r="P728" s="179"/>
      <c r="Q728" s="179"/>
      <c r="R728" s="179"/>
      <c r="S728" s="163"/>
      <c r="T728" s="180"/>
      <c r="U728" s="123" t="str">
        <f t="shared" si="1"/>
        <v>#DIV/0!</v>
      </c>
    </row>
    <row r="729">
      <c r="A729" s="175"/>
      <c r="B729" s="175"/>
      <c r="C729" s="175"/>
      <c r="D729" s="176"/>
      <c r="E729" s="175"/>
      <c r="F729" s="175"/>
      <c r="G729" s="175"/>
      <c r="H729" s="175"/>
      <c r="I729" s="175"/>
      <c r="J729" s="179"/>
      <c r="K729" s="179"/>
      <c r="L729" s="179"/>
      <c r="M729" s="179"/>
      <c r="N729" s="179"/>
      <c r="O729" s="179"/>
      <c r="P729" s="179"/>
      <c r="Q729" s="179"/>
      <c r="R729" s="179"/>
      <c r="S729" s="163"/>
      <c r="T729" s="180"/>
      <c r="U729" s="123" t="str">
        <f t="shared" si="1"/>
        <v>#DIV/0!</v>
      </c>
    </row>
    <row r="730">
      <c r="A730" s="175"/>
      <c r="B730" s="175"/>
      <c r="C730" s="175"/>
      <c r="D730" s="176"/>
      <c r="E730" s="175"/>
      <c r="F730" s="175"/>
      <c r="G730" s="175"/>
      <c r="H730" s="175"/>
      <c r="I730" s="175"/>
      <c r="J730" s="179"/>
      <c r="K730" s="179"/>
      <c r="L730" s="179"/>
      <c r="M730" s="179"/>
      <c r="N730" s="179"/>
      <c r="O730" s="179"/>
      <c r="P730" s="179"/>
      <c r="Q730" s="179"/>
      <c r="R730" s="179"/>
      <c r="S730" s="163"/>
      <c r="T730" s="180"/>
      <c r="U730" s="123" t="str">
        <f t="shared" si="1"/>
        <v>#DIV/0!</v>
      </c>
    </row>
    <row r="731">
      <c r="A731" s="175"/>
      <c r="B731" s="175"/>
      <c r="C731" s="175"/>
      <c r="D731" s="176"/>
      <c r="E731" s="175"/>
      <c r="F731" s="175"/>
      <c r="G731" s="175"/>
      <c r="H731" s="175"/>
      <c r="I731" s="175"/>
      <c r="J731" s="179"/>
      <c r="K731" s="179"/>
      <c r="L731" s="179"/>
      <c r="M731" s="179"/>
      <c r="N731" s="179"/>
      <c r="O731" s="179"/>
      <c r="P731" s="179"/>
      <c r="Q731" s="179"/>
      <c r="R731" s="179"/>
      <c r="S731" s="163"/>
      <c r="T731" s="180"/>
      <c r="U731" s="123" t="str">
        <f t="shared" si="1"/>
        <v>#DIV/0!</v>
      </c>
    </row>
    <row r="732">
      <c r="A732" s="175"/>
      <c r="B732" s="175"/>
      <c r="C732" s="175"/>
      <c r="D732" s="176"/>
      <c r="E732" s="175"/>
      <c r="F732" s="175"/>
      <c r="G732" s="175"/>
      <c r="H732" s="175"/>
      <c r="I732" s="175"/>
      <c r="J732" s="179"/>
      <c r="K732" s="179"/>
      <c r="L732" s="179"/>
      <c r="M732" s="179"/>
      <c r="N732" s="179"/>
      <c r="O732" s="179"/>
      <c r="P732" s="179"/>
      <c r="Q732" s="179"/>
      <c r="R732" s="179"/>
      <c r="S732" s="163"/>
      <c r="T732" s="180"/>
      <c r="U732" s="123" t="str">
        <f t="shared" si="1"/>
        <v>#DIV/0!</v>
      </c>
    </row>
    <row r="733">
      <c r="A733" s="175"/>
      <c r="B733" s="175"/>
      <c r="C733" s="175"/>
      <c r="D733" s="176"/>
      <c r="E733" s="175"/>
      <c r="F733" s="175"/>
      <c r="G733" s="175"/>
      <c r="H733" s="175"/>
      <c r="I733" s="175"/>
      <c r="J733" s="179"/>
      <c r="K733" s="179"/>
      <c r="L733" s="179"/>
      <c r="M733" s="179"/>
      <c r="N733" s="179"/>
      <c r="O733" s="179"/>
      <c r="P733" s="179"/>
      <c r="Q733" s="179"/>
      <c r="R733" s="179"/>
      <c r="S733" s="163"/>
      <c r="T733" s="180"/>
      <c r="U733" s="123" t="str">
        <f t="shared" si="1"/>
        <v>#DIV/0!</v>
      </c>
    </row>
    <row r="734">
      <c r="A734" s="175"/>
      <c r="B734" s="175"/>
      <c r="C734" s="175"/>
      <c r="D734" s="176"/>
      <c r="E734" s="175"/>
      <c r="F734" s="175"/>
      <c r="G734" s="175"/>
      <c r="H734" s="175"/>
      <c r="I734" s="175"/>
      <c r="J734" s="179"/>
      <c r="K734" s="179"/>
      <c r="L734" s="179"/>
      <c r="M734" s="179"/>
      <c r="N734" s="179"/>
      <c r="O734" s="179"/>
      <c r="P734" s="179"/>
      <c r="Q734" s="179"/>
      <c r="R734" s="179"/>
      <c r="S734" s="163"/>
      <c r="T734" s="180"/>
      <c r="U734" s="123" t="str">
        <f t="shared" si="1"/>
        <v>#DIV/0!</v>
      </c>
    </row>
    <row r="735">
      <c r="A735" s="175"/>
      <c r="B735" s="175"/>
      <c r="C735" s="175"/>
      <c r="D735" s="176"/>
      <c r="E735" s="175"/>
      <c r="F735" s="175"/>
      <c r="G735" s="175"/>
      <c r="H735" s="175"/>
      <c r="I735" s="175"/>
      <c r="J735" s="179"/>
      <c r="K735" s="179"/>
      <c r="L735" s="179"/>
      <c r="M735" s="179"/>
      <c r="N735" s="179"/>
      <c r="O735" s="179"/>
      <c r="P735" s="179"/>
      <c r="Q735" s="179"/>
      <c r="R735" s="179"/>
      <c r="S735" s="163"/>
      <c r="T735" s="180"/>
      <c r="U735" s="123" t="str">
        <f t="shared" si="1"/>
        <v>#DIV/0!</v>
      </c>
    </row>
    <row r="736">
      <c r="A736" s="175"/>
      <c r="B736" s="175"/>
      <c r="C736" s="175"/>
      <c r="D736" s="176"/>
      <c r="E736" s="175"/>
      <c r="F736" s="175"/>
      <c r="G736" s="175"/>
      <c r="H736" s="175"/>
      <c r="I736" s="175"/>
      <c r="J736" s="179"/>
      <c r="K736" s="179"/>
      <c r="L736" s="179"/>
      <c r="M736" s="179"/>
      <c r="N736" s="179"/>
      <c r="O736" s="179"/>
      <c r="P736" s="179"/>
      <c r="Q736" s="179"/>
      <c r="R736" s="179"/>
      <c r="S736" s="163"/>
      <c r="T736" s="180"/>
      <c r="U736" s="123" t="str">
        <f t="shared" si="1"/>
        <v>#DIV/0!</v>
      </c>
    </row>
    <row r="737">
      <c r="A737" s="175"/>
      <c r="B737" s="175"/>
      <c r="C737" s="175"/>
      <c r="D737" s="176"/>
      <c r="E737" s="175"/>
      <c r="F737" s="175"/>
      <c r="G737" s="175"/>
      <c r="H737" s="175"/>
      <c r="I737" s="175"/>
      <c r="J737" s="179"/>
      <c r="K737" s="179"/>
      <c r="L737" s="179"/>
      <c r="M737" s="179"/>
      <c r="N737" s="179"/>
      <c r="O737" s="179"/>
      <c r="P737" s="179"/>
      <c r="Q737" s="179"/>
      <c r="R737" s="179"/>
      <c r="S737" s="163"/>
      <c r="T737" s="180"/>
      <c r="U737" s="123" t="str">
        <f t="shared" si="1"/>
        <v>#DIV/0!</v>
      </c>
    </row>
    <row r="738">
      <c r="A738" s="175"/>
      <c r="B738" s="175"/>
      <c r="C738" s="175"/>
      <c r="D738" s="176"/>
      <c r="E738" s="175"/>
      <c r="F738" s="175"/>
      <c r="G738" s="175"/>
      <c r="H738" s="175"/>
      <c r="I738" s="175"/>
      <c r="J738" s="179"/>
      <c r="K738" s="179"/>
      <c r="L738" s="179"/>
      <c r="M738" s="179"/>
      <c r="N738" s="179"/>
      <c r="O738" s="179"/>
      <c r="P738" s="179"/>
      <c r="Q738" s="179"/>
      <c r="R738" s="179"/>
      <c r="S738" s="163"/>
      <c r="T738" s="180"/>
      <c r="U738" s="123" t="str">
        <f t="shared" si="1"/>
        <v>#DIV/0!</v>
      </c>
    </row>
    <row r="739">
      <c r="A739" s="175"/>
      <c r="B739" s="175"/>
      <c r="C739" s="175"/>
      <c r="D739" s="176"/>
      <c r="E739" s="175"/>
      <c r="F739" s="175"/>
      <c r="G739" s="175"/>
      <c r="H739" s="175"/>
      <c r="I739" s="175"/>
      <c r="J739" s="179"/>
      <c r="K739" s="179"/>
      <c r="L739" s="179"/>
      <c r="M739" s="179"/>
      <c r="N739" s="179"/>
      <c r="O739" s="179"/>
      <c r="P739" s="179"/>
      <c r="Q739" s="179"/>
      <c r="R739" s="179"/>
      <c r="S739" s="163"/>
      <c r="T739" s="180"/>
      <c r="U739" s="123" t="str">
        <f t="shared" si="1"/>
        <v>#DIV/0!</v>
      </c>
    </row>
    <row r="740">
      <c r="A740" s="175"/>
      <c r="B740" s="175"/>
      <c r="C740" s="175"/>
      <c r="D740" s="176"/>
      <c r="E740" s="175"/>
      <c r="F740" s="175"/>
      <c r="G740" s="175"/>
      <c r="H740" s="175"/>
      <c r="I740" s="175"/>
      <c r="J740" s="179"/>
      <c r="K740" s="179"/>
      <c r="L740" s="179"/>
      <c r="M740" s="179"/>
      <c r="N740" s="179"/>
      <c r="O740" s="179"/>
      <c r="P740" s="179"/>
      <c r="Q740" s="179"/>
      <c r="R740" s="179"/>
      <c r="S740" s="163"/>
      <c r="T740" s="180"/>
      <c r="U740" s="123" t="str">
        <f t="shared" si="1"/>
        <v>#DIV/0!</v>
      </c>
    </row>
    <row r="741">
      <c r="A741" s="175"/>
      <c r="B741" s="175"/>
      <c r="C741" s="175"/>
      <c r="D741" s="176"/>
      <c r="E741" s="175"/>
      <c r="F741" s="175"/>
      <c r="G741" s="175"/>
      <c r="H741" s="175"/>
      <c r="I741" s="175"/>
      <c r="J741" s="179"/>
      <c r="K741" s="179"/>
      <c r="L741" s="179"/>
      <c r="M741" s="179"/>
      <c r="N741" s="179"/>
      <c r="O741" s="179"/>
      <c r="P741" s="179"/>
      <c r="Q741" s="179"/>
      <c r="R741" s="179"/>
      <c r="S741" s="163"/>
      <c r="T741" s="180"/>
      <c r="U741" s="123" t="str">
        <f t="shared" si="1"/>
        <v>#DIV/0!</v>
      </c>
    </row>
    <row r="742">
      <c r="A742" s="175"/>
      <c r="B742" s="175"/>
      <c r="C742" s="175"/>
      <c r="D742" s="176"/>
      <c r="E742" s="175"/>
      <c r="F742" s="175"/>
      <c r="G742" s="175"/>
      <c r="H742" s="175"/>
      <c r="I742" s="175"/>
      <c r="J742" s="179"/>
      <c r="K742" s="179"/>
      <c r="L742" s="179"/>
      <c r="M742" s="179"/>
      <c r="N742" s="179"/>
      <c r="O742" s="179"/>
      <c r="P742" s="179"/>
      <c r="Q742" s="179"/>
      <c r="R742" s="179"/>
      <c r="S742" s="163"/>
      <c r="T742" s="180"/>
      <c r="U742" s="123" t="str">
        <f t="shared" si="1"/>
        <v>#DIV/0!</v>
      </c>
    </row>
    <row r="743">
      <c r="A743" s="175"/>
      <c r="B743" s="175"/>
      <c r="C743" s="175"/>
      <c r="D743" s="176"/>
      <c r="E743" s="175"/>
      <c r="F743" s="175"/>
      <c r="G743" s="175"/>
      <c r="H743" s="175"/>
      <c r="I743" s="175"/>
      <c r="J743" s="179"/>
      <c r="K743" s="179"/>
      <c r="L743" s="179"/>
      <c r="M743" s="179"/>
      <c r="N743" s="179"/>
      <c r="O743" s="179"/>
      <c r="P743" s="179"/>
      <c r="Q743" s="179"/>
      <c r="R743" s="179"/>
      <c r="S743" s="163"/>
      <c r="T743" s="180"/>
      <c r="U743" s="123" t="str">
        <f t="shared" si="1"/>
        <v>#DIV/0!</v>
      </c>
    </row>
    <row r="744">
      <c r="A744" s="175"/>
      <c r="B744" s="175"/>
      <c r="C744" s="175"/>
      <c r="D744" s="176"/>
      <c r="E744" s="175"/>
      <c r="F744" s="175"/>
      <c r="G744" s="175"/>
      <c r="H744" s="175"/>
      <c r="I744" s="175"/>
      <c r="J744" s="179"/>
      <c r="K744" s="179"/>
      <c r="L744" s="179"/>
      <c r="M744" s="179"/>
      <c r="N744" s="179"/>
      <c r="O744" s="179"/>
      <c r="P744" s="179"/>
      <c r="Q744" s="179"/>
      <c r="R744" s="179"/>
      <c r="S744" s="163"/>
      <c r="T744" s="180"/>
      <c r="U744" s="123" t="str">
        <f t="shared" si="1"/>
        <v>#DIV/0!</v>
      </c>
    </row>
    <row r="745">
      <c r="A745" s="175"/>
      <c r="B745" s="175"/>
      <c r="C745" s="175"/>
      <c r="D745" s="176"/>
      <c r="E745" s="175"/>
      <c r="F745" s="175"/>
      <c r="G745" s="175"/>
      <c r="H745" s="175"/>
      <c r="I745" s="175"/>
      <c r="J745" s="179"/>
      <c r="K745" s="179"/>
      <c r="L745" s="179"/>
      <c r="M745" s="179"/>
      <c r="N745" s="179"/>
      <c r="O745" s="179"/>
      <c r="P745" s="179"/>
      <c r="Q745" s="179"/>
      <c r="R745" s="179"/>
      <c r="S745" s="163"/>
      <c r="T745" s="180"/>
      <c r="U745" s="123" t="str">
        <f t="shared" si="1"/>
        <v>#DIV/0!</v>
      </c>
    </row>
    <row r="746">
      <c r="A746" s="175"/>
      <c r="B746" s="175"/>
      <c r="C746" s="175"/>
      <c r="D746" s="176"/>
      <c r="E746" s="175"/>
      <c r="F746" s="175"/>
      <c r="G746" s="175"/>
      <c r="H746" s="175"/>
      <c r="I746" s="175"/>
      <c r="J746" s="179"/>
      <c r="K746" s="179"/>
      <c r="L746" s="179"/>
      <c r="M746" s="179"/>
      <c r="N746" s="179"/>
      <c r="O746" s="179"/>
      <c r="P746" s="179"/>
      <c r="Q746" s="179"/>
      <c r="R746" s="179"/>
      <c r="S746" s="163"/>
      <c r="T746" s="180"/>
      <c r="U746" s="123" t="str">
        <f t="shared" si="1"/>
        <v>#DIV/0!</v>
      </c>
    </row>
    <row r="747">
      <c r="A747" s="175"/>
      <c r="B747" s="175"/>
      <c r="C747" s="175"/>
      <c r="D747" s="176"/>
      <c r="E747" s="175"/>
      <c r="F747" s="175"/>
      <c r="G747" s="175"/>
      <c r="H747" s="175"/>
      <c r="I747" s="175"/>
      <c r="J747" s="179"/>
      <c r="K747" s="179"/>
      <c r="L747" s="179"/>
      <c r="M747" s="179"/>
      <c r="N747" s="179"/>
      <c r="O747" s="179"/>
      <c r="P747" s="179"/>
      <c r="Q747" s="179"/>
      <c r="R747" s="179"/>
      <c r="S747" s="163"/>
      <c r="T747" s="180"/>
      <c r="U747" s="123" t="str">
        <f t="shared" si="1"/>
        <v>#DIV/0!</v>
      </c>
    </row>
    <row r="748">
      <c r="A748" s="175"/>
      <c r="B748" s="175"/>
      <c r="C748" s="175"/>
      <c r="D748" s="176"/>
      <c r="E748" s="175"/>
      <c r="F748" s="175"/>
      <c r="G748" s="175"/>
      <c r="H748" s="175"/>
      <c r="I748" s="175"/>
      <c r="J748" s="179"/>
      <c r="K748" s="179"/>
      <c r="L748" s="179"/>
      <c r="M748" s="179"/>
      <c r="N748" s="179"/>
      <c r="O748" s="179"/>
      <c r="P748" s="179"/>
      <c r="Q748" s="179"/>
      <c r="R748" s="179"/>
      <c r="S748" s="163"/>
      <c r="T748" s="180"/>
      <c r="U748" s="123" t="str">
        <f t="shared" si="1"/>
        <v>#DIV/0!</v>
      </c>
    </row>
    <row r="749">
      <c r="A749" s="175"/>
      <c r="B749" s="175"/>
      <c r="C749" s="175"/>
      <c r="D749" s="176"/>
      <c r="E749" s="175"/>
      <c r="F749" s="175"/>
      <c r="G749" s="175"/>
      <c r="H749" s="175"/>
      <c r="I749" s="175"/>
      <c r="J749" s="179"/>
      <c r="K749" s="179"/>
      <c r="L749" s="179"/>
      <c r="M749" s="179"/>
      <c r="N749" s="179"/>
      <c r="O749" s="179"/>
      <c r="P749" s="179"/>
      <c r="Q749" s="179"/>
      <c r="R749" s="179"/>
      <c r="S749" s="163"/>
      <c r="T749" s="180"/>
      <c r="U749" s="123" t="str">
        <f t="shared" si="1"/>
        <v>#DIV/0!</v>
      </c>
    </row>
    <row r="750">
      <c r="A750" s="175"/>
      <c r="B750" s="175"/>
      <c r="C750" s="175"/>
      <c r="D750" s="176"/>
      <c r="E750" s="175"/>
      <c r="F750" s="175"/>
      <c r="G750" s="175"/>
      <c r="H750" s="175"/>
      <c r="I750" s="175"/>
      <c r="J750" s="179"/>
      <c r="K750" s="179"/>
      <c r="L750" s="179"/>
      <c r="M750" s="179"/>
      <c r="N750" s="179"/>
      <c r="O750" s="179"/>
      <c r="P750" s="179"/>
      <c r="Q750" s="179"/>
      <c r="R750" s="179"/>
      <c r="S750" s="163"/>
      <c r="T750" s="180"/>
      <c r="U750" s="123" t="str">
        <f t="shared" si="1"/>
        <v>#DIV/0!</v>
      </c>
    </row>
    <row r="751">
      <c r="A751" s="175"/>
      <c r="B751" s="175"/>
      <c r="C751" s="175"/>
      <c r="D751" s="176"/>
      <c r="E751" s="175"/>
      <c r="F751" s="175"/>
      <c r="G751" s="175"/>
      <c r="H751" s="175"/>
      <c r="I751" s="175"/>
      <c r="J751" s="179"/>
      <c r="K751" s="179"/>
      <c r="L751" s="179"/>
      <c r="M751" s="179"/>
      <c r="N751" s="179"/>
      <c r="O751" s="179"/>
      <c r="P751" s="179"/>
      <c r="Q751" s="179"/>
      <c r="R751" s="179"/>
      <c r="S751" s="163"/>
      <c r="T751" s="180"/>
      <c r="U751" s="123" t="str">
        <f t="shared" si="1"/>
        <v>#DIV/0!</v>
      </c>
    </row>
    <row r="752">
      <c r="A752" s="175"/>
      <c r="B752" s="175"/>
      <c r="C752" s="175"/>
      <c r="D752" s="176"/>
      <c r="E752" s="175"/>
      <c r="F752" s="175"/>
      <c r="G752" s="175"/>
      <c r="H752" s="175"/>
      <c r="I752" s="175"/>
      <c r="J752" s="179"/>
      <c r="K752" s="179"/>
      <c r="L752" s="179"/>
      <c r="M752" s="179"/>
      <c r="N752" s="179"/>
      <c r="O752" s="179"/>
      <c r="P752" s="179"/>
      <c r="Q752" s="179"/>
      <c r="R752" s="179"/>
      <c r="S752" s="163"/>
      <c r="T752" s="180"/>
      <c r="U752" s="123" t="str">
        <f t="shared" si="1"/>
        <v>#DIV/0!</v>
      </c>
    </row>
    <row r="753">
      <c r="A753" s="175"/>
      <c r="B753" s="175"/>
      <c r="C753" s="175"/>
      <c r="D753" s="176"/>
      <c r="E753" s="175"/>
      <c r="F753" s="175"/>
      <c r="G753" s="175"/>
      <c r="H753" s="175"/>
      <c r="I753" s="175"/>
      <c r="J753" s="179"/>
      <c r="K753" s="179"/>
      <c r="L753" s="179"/>
      <c r="M753" s="179"/>
      <c r="N753" s="179"/>
      <c r="O753" s="179"/>
      <c r="P753" s="179"/>
      <c r="Q753" s="179"/>
      <c r="R753" s="179"/>
      <c r="S753" s="163"/>
      <c r="T753" s="180"/>
      <c r="U753" s="123" t="str">
        <f t="shared" si="1"/>
        <v>#DIV/0!</v>
      </c>
    </row>
    <row r="754">
      <c r="A754" s="175"/>
      <c r="B754" s="175"/>
      <c r="C754" s="175"/>
      <c r="D754" s="176"/>
      <c r="E754" s="175"/>
      <c r="F754" s="175"/>
      <c r="G754" s="175"/>
      <c r="H754" s="175"/>
      <c r="I754" s="175"/>
      <c r="J754" s="179"/>
      <c r="K754" s="179"/>
      <c r="L754" s="179"/>
      <c r="M754" s="179"/>
      <c r="N754" s="179"/>
      <c r="O754" s="179"/>
      <c r="P754" s="179"/>
      <c r="Q754" s="179"/>
      <c r="R754" s="179"/>
      <c r="S754" s="163"/>
      <c r="T754" s="180"/>
      <c r="U754" s="123" t="str">
        <f t="shared" si="1"/>
        <v>#DIV/0!</v>
      </c>
    </row>
    <row r="755">
      <c r="A755" s="175"/>
      <c r="B755" s="175"/>
      <c r="C755" s="175"/>
      <c r="D755" s="176"/>
      <c r="E755" s="175"/>
      <c r="F755" s="175"/>
      <c r="G755" s="175"/>
      <c r="H755" s="175"/>
      <c r="I755" s="175"/>
      <c r="J755" s="179"/>
      <c r="K755" s="179"/>
      <c r="L755" s="179"/>
      <c r="M755" s="179"/>
      <c r="N755" s="179"/>
      <c r="O755" s="179"/>
      <c r="P755" s="179"/>
      <c r="Q755" s="179"/>
      <c r="R755" s="179"/>
      <c r="S755" s="163"/>
      <c r="T755" s="180"/>
      <c r="U755" s="123" t="str">
        <f t="shared" si="1"/>
        <v>#DIV/0!</v>
      </c>
    </row>
    <row r="756">
      <c r="A756" s="175"/>
      <c r="B756" s="175"/>
      <c r="C756" s="175"/>
      <c r="D756" s="176"/>
      <c r="E756" s="175"/>
      <c r="F756" s="175"/>
      <c r="G756" s="175"/>
      <c r="H756" s="175"/>
      <c r="I756" s="175"/>
      <c r="J756" s="179"/>
      <c r="K756" s="179"/>
      <c r="L756" s="179"/>
      <c r="M756" s="179"/>
      <c r="N756" s="179"/>
      <c r="O756" s="179"/>
      <c r="P756" s="179"/>
      <c r="Q756" s="179"/>
      <c r="R756" s="179"/>
      <c r="S756" s="163"/>
      <c r="T756" s="180"/>
      <c r="U756" s="123" t="str">
        <f t="shared" si="1"/>
        <v>#DIV/0!</v>
      </c>
    </row>
    <row r="757">
      <c r="A757" s="175"/>
      <c r="B757" s="175"/>
      <c r="C757" s="175"/>
      <c r="D757" s="176"/>
      <c r="E757" s="175"/>
      <c r="F757" s="175"/>
      <c r="G757" s="175"/>
      <c r="H757" s="175"/>
      <c r="I757" s="175"/>
      <c r="J757" s="179"/>
      <c r="K757" s="179"/>
      <c r="L757" s="179"/>
      <c r="M757" s="179"/>
      <c r="N757" s="179"/>
      <c r="O757" s="179"/>
      <c r="P757" s="179"/>
      <c r="Q757" s="179"/>
      <c r="R757" s="179"/>
      <c r="S757" s="163"/>
      <c r="T757" s="180"/>
      <c r="U757" s="123" t="str">
        <f t="shared" si="1"/>
        <v>#DIV/0!</v>
      </c>
    </row>
    <row r="758">
      <c r="A758" s="175"/>
      <c r="B758" s="175"/>
      <c r="C758" s="175"/>
      <c r="D758" s="176"/>
      <c r="E758" s="175"/>
      <c r="F758" s="175"/>
      <c r="G758" s="175"/>
      <c r="H758" s="175"/>
      <c r="I758" s="175"/>
      <c r="J758" s="179"/>
      <c r="K758" s="179"/>
      <c r="L758" s="179"/>
      <c r="M758" s="179"/>
      <c r="N758" s="179"/>
      <c r="O758" s="179"/>
      <c r="P758" s="179"/>
      <c r="Q758" s="179"/>
      <c r="R758" s="179"/>
      <c r="S758" s="163"/>
      <c r="T758" s="180"/>
      <c r="U758" s="123" t="str">
        <f t="shared" si="1"/>
        <v>#DIV/0!</v>
      </c>
    </row>
    <row r="759">
      <c r="A759" s="175"/>
      <c r="B759" s="175"/>
      <c r="C759" s="175"/>
      <c r="D759" s="176"/>
      <c r="E759" s="175"/>
      <c r="F759" s="175"/>
      <c r="G759" s="175"/>
      <c r="H759" s="175"/>
      <c r="I759" s="175"/>
      <c r="J759" s="179"/>
      <c r="K759" s="179"/>
      <c r="L759" s="179"/>
      <c r="M759" s="179"/>
      <c r="N759" s="179"/>
      <c r="O759" s="179"/>
      <c r="P759" s="179"/>
      <c r="Q759" s="179"/>
      <c r="R759" s="179"/>
      <c r="S759" s="163"/>
      <c r="T759" s="180"/>
      <c r="U759" s="123" t="str">
        <f t="shared" si="1"/>
        <v>#DIV/0!</v>
      </c>
    </row>
    <row r="760">
      <c r="A760" s="175"/>
      <c r="B760" s="175"/>
      <c r="C760" s="175"/>
      <c r="D760" s="176"/>
      <c r="E760" s="175"/>
      <c r="F760" s="175"/>
      <c r="G760" s="175"/>
      <c r="H760" s="175"/>
      <c r="I760" s="175"/>
      <c r="J760" s="179"/>
      <c r="K760" s="179"/>
      <c r="L760" s="179"/>
      <c r="M760" s="179"/>
      <c r="N760" s="179"/>
      <c r="O760" s="179"/>
      <c r="P760" s="179"/>
      <c r="Q760" s="179"/>
      <c r="R760" s="179"/>
      <c r="S760" s="163"/>
      <c r="T760" s="180"/>
      <c r="U760" s="123" t="str">
        <f t="shared" si="1"/>
        <v>#DIV/0!</v>
      </c>
    </row>
    <row r="761">
      <c r="A761" s="175"/>
      <c r="B761" s="175"/>
      <c r="C761" s="175"/>
      <c r="D761" s="176"/>
      <c r="E761" s="175"/>
      <c r="F761" s="175"/>
      <c r="G761" s="175"/>
      <c r="H761" s="175"/>
      <c r="I761" s="175"/>
      <c r="J761" s="179"/>
      <c r="K761" s="179"/>
      <c r="L761" s="179"/>
      <c r="M761" s="179"/>
      <c r="N761" s="179"/>
      <c r="O761" s="179"/>
      <c r="P761" s="179"/>
      <c r="Q761" s="179"/>
      <c r="R761" s="179"/>
      <c r="S761" s="163"/>
      <c r="T761" s="180"/>
      <c r="U761" s="123" t="str">
        <f t="shared" si="1"/>
        <v>#DIV/0!</v>
      </c>
    </row>
    <row r="762">
      <c r="A762" s="175"/>
      <c r="B762" s="175"/>
      <c r="C762" s="175"/>
      <c r="D762" s="176"/>
      <c r="E762" s="175"/>
      <c r="F762" s="175"/>
      <c r="G762" s="175"/>
      <c r="H762" s="175"/>
      <c r="I762" s="175"/>
      <c r="J762" s="179"/>
      <c r="K762" s="179"/>
      <c r="L762" s="179"/>
      <c r="M762" s="179"/>
      <c r="N762" s="179"/>
      <c r="O762" s="179"/>
      <c r="P762" s="179"/>
      <c r="Q762" s="179"/>
      <c r="R762" s="179"/>
      <c r="S762" s="163"/>
      <c r="T762" s="180"/>
      <c r="U762" s="123" t="str">
        <f t="shared" si="1"/>
        <v>#DIV/0!</v>
      </c>
    </row>
    <row r="763">
      <c r="A763" s="175"/>
      <c r="B763" s="175"/>
      <c r="C763" s="175"/>
      <c r="D763" s="176"/>
      <c r="E763" s="175"/>
      <c r="F763" s="175"/>
      <c r="G763" s="175"/>
      <c r="H763" s="175"/>
      <c r="I763" s="175"/>
      <c r="J763" s="179"/>
      <c r="K763" s="179"/>
      <c r="L763" s="179"/>
      <c r="M763" s="179"/>
      <c r="N763" s="179"/>
      <c r="O763" s="179"/>
      <c r="P763" s="179"/>
      <c r="Q763" s="179"/>
      <c r="R763" s="179"/>
      <c r="S763" s="163"/>
      <c r="T763" s="180"/>
      <c r="U763" s="123" t="str">
        <f t="shared" si="1"/>
        <v>#DIV/0!</v>
      </c>
    </row>
    <row r="764">
      <c r="A764" s="175"/>
      <c r="B764" s="175"/>
      <c r="C764" s="175"/>
      <c r="D764" s="176"/>
      <c r="E764" s="175"/>
      <c r="F764" s="175"/>
      <c r="G764" s="175"/>
      <c r="H764" s="175"/>
      <c r="I764" s="175"/>
      <c r="J764" s="179"/>
      <c r="K764" s="179"/>
      <c r="L764" s="179"/>
      <c r="M764" s="179"/>
      <c r="N764" s="179"/>
      <c r="O764" s="179"/>
      <c r="P764" s="179"/>
      <c r="Q764" s="179"/>
      <c r="R764" s="179"/>
      <c r="S764" s="163"/>
      <c r="T764" s="180"/>
      <c r="U764" s="123" t="str">
        <f t="shared" si="1"/>
        <v>#DIV/0!</v>
      </c>
    </row>
    <row r="765">
      <c r="A765" s="175"/>
      <c r="B765" s="175"/>
      <c r="C765" s="175"/>
      <c r="D765" s="176"/>
      <c r="E765" s="175"/>
      <c r="F765" s="175"/>
      <c r="G765" s="175"/>
      <c r="H765" s="175"/>
      <c r="I765" s="175"/>
      <c r="J765" s="179"/>
      <c r="K765" s="179"/>
      <c r="L765" s="179"/>
      <c r="M765" s="179"/>
      <c r="N765" s="179"/>
      <c r="O765" s="179"/>
      <c r="P765" s="179"/>
      <c r="Q765" s="179"/>
      <c r="R765" s="179"/>
      <c r="S765" s="163"/>
      <c r="T765" s="180"/>
      <c r="U765" s="123" t="str">
        <f t="shared" si="1"/>
        <v>#DIV/0!</v>
      </c>
    </row>
    <row r="766">
      <c r="A766" s="175"/>
      <c r="B766" s="175"/>
      <c r="C766" s="175"/>
      <c r="D766" s="176"/>
      <c r="E766" s="175"/>
      <c r="F766" s="175"/>
      <c r="G766" s="175"/>
      <c r="H766" s="175"/>
      <c r="I766" s="175"/>
      <c r="J766" s="179"/>
      <c r="K766" s="179"/>
      <c r="L766" s="179"/>
      <c r="M766" s="179"/>
      <c r="N766" s="179"/>
      <c r="O766" s="179"/>
      <c r="P766" s="179"/>
      <c r="Q766" s="179"/>
      <c r="R766" s="179"/>
      <c r="S766" s="163"/>
      <c r="T766" s="180"/>
      <c r="U766" s="123" t="str">
        <f t="shared" si="1"/>
        <v>#DIV/0!</v>
      </c>
    </row>
    <row r="767">
      <c r="A767" s="175"/>
      <c r="B767" s="175"/>
      <c r="C767" s="175"/>
      <c r="D767" s="176"/>
      <c r="E767" s="175"/>
      <c r="F767" s="175"/>
      <c r="G767" s="175"/>
      <c r="H767" s="175"/>
      <c r="I767" s="175"/>
      <c r="J767" s="179"/>
      <c r="K767" s="179"/>
      <c r="L767" s="179"/>
      <c r="M767" s="179"/>
      <c r="N767" s="179"/>
      <c r="O767" s="179"/>
      <c r="P767" s="179"/>
      <c r="Q767" s="179"/>
      <c r="R767" s="179"/>
      <c r="S767" s="163"/>
      <c r="T767" s="180"/>
      <c r="U767" s="123" t="str">
        <f t="shared" si="1"/>
        <v>#DIV/0!</v>
      </c>
    </row>
    <row r="768">
      <c r="A768" s="175"/>
      <c r="B768" s="175"/>
      <c r="C768" s="175"/>
      <c r="D768" s="176"/>
      <c r="E768" s="175"/>
      <c r="F768" s="175"/>
      <c r="G768" s="175"/>
      <c r="H768" s="175"/>
      <c r="I768" s="175"/>
      <c r="J768" s="179"/>
      <c r="K768" s="179"/>
      <c r="L768" s="179"/>
      <c r="M768" s="179"/>
      <c r="N768" s="179"/>
      <c r="O768" s="179"/>
      <c r="P768" s="179"/>
      <c r="Q768" s="179"/>
      <c r="R768" s="179"/>
      <c r="S768" s="163"/>
      <c r="T768" s="180"/>
      <c r="U768" s="123" t="str">
        <f t="shared" si="1"/>
        <v>#DIV/0!</v>
      </c>
    </row>
    <row r="769">
      <c r="A769" s="175"/>
      <c r="B769" s="175"/>
      <c r="C769" s="175"/>
      <c r="D769" s="176"/>
      <c r="E769" s="175"/>
      <c r="F769" s="175"/>
      <c r="G769" s="175"/>
      <c r="H769" s="175"/>
      <c r="I769" s="175"/>
      <c r="J769" s="179"/>
      <c r="K769" s="179"/>
      <c r="L769" s="179"/>
      <c r="M769" s="179"/>
      <c r="N769" s="179"/>
      <c r="O769" s="179"/>
      <c r="P769" s="179"/>
      <c r="Q769" s="179"/>
      <c r="R769" s="179"/>
      <c r="S769" s="163"/>
      <c r="T769" s="180"/>
      <c r="U769" s="123" t="str">
        <f t="shared" si="1"/>
        <v>#DIV/0!</v>
      </c>
    </row>
    <row r="770">
      <c r="A770" s="175"/>
      <c r="B770" s="175"/>
      <c r="C770" s="175"/>
      <c r="D770" s="176"/>
      <c r="E770" s="175"/>
      <c r="F770" s="175"/>
      <c r="G770" s="175"/>
      <c r="H770" s="175"/>
      <c r="I770" s="175"/>
      <c r="J770" s="179"/>
      <c r="K770" s="179"/>
      <c r="L770" s="179"/>
      <c r="M770" s="179"/>
      <c r="N770" s="179"/>
      <c r="O770" s="179"/>
      <c r="P770" s="179"/>
      <c r="Q770" s="179"/>
      <c r="R770" s="179"/>
      <c r="S770" s="163"/>
      <c r="T770" s="180"/>
      <c r="U770" s="123" t="str">
        <f t="shared" si="1"/>
        <v>#DIV/0!</v>
      </c>
    </row>
    <row r="771">
      <c r="A771" s="175"/>
      <c r="B771" s="175"/>
      <c r="C771" s="175"/>
      <c r="D771" s="176"/>
      <c r="E771" s="175"/>
      <c r="F771" s="175"/>
      <c r="G771" s="175"/>
      <c r="H771" s="175"/>
      <c r="I771" s="175"/>
      <c r="J771" s="179"/>
      <c r="K771" s="179"/>
      <c r="L771" s="179"/>
      <c r="M771" s="179"/>
      <c r="N771" s="179"/>
      <c r="O771" s="179"/>
      <c r="P771" s="179"/>
      <c r="Q771" s="179"/>
      <c r="R771" s="179"/>
      <c r="S771" s="163"/>
      <c r="T771" s="180"/>
      <c r="U771" s="123" t="str">
        <f t="shared" si="1"/>
        <v>#DIV/0!</v>
      </c>
    </row>
    <row r="772">
      <c r="A772" s="175"/>
      <c r="B772" s="175"/>
      <c r="C772" s="175"/>
      <c r="D772" s="176"/>
      <c r="E772" s="175"/>
      <c r="F772" s="175"/>
      <c r="G772" s="175"/>
      <c r="H772" s="175"/>
      <c r="I772" s="175"/>
      <c r="J772" s="179"/>
      <c r="K772" s="179"/>
      <c r="L772" s="179"/>
      <c r="M772" s="179"/>
      <c r="N772" s="179"/>
      <c r="O772" s="179"/>
      <c r="P772" s="179"/>
      <c r="Q772" s="179"/>
      <c r="R772" s="179"/>
      <c r="S772" s="163"/>
      <c r="T772" s="180"/>
      <c r="U772" s="123" t="str">
        <f t="shared" si="1"/>
        <v>#DIV/0!</v>
      </c>
    </row>
    <row r="773">
      <c r="A773" s="175"/>
      <c r="B773" s="175"/>
      <c r="C773" s="175"/>
      <c r="D773" s="176"/>
      <c r="E773" s="175"/>
      <c r="F773" s="175"/>
      <c r="G773" s="175"/>
      <c r="H773" s="175"/>
      <c r="I773" s="175"/>
      <c r="J773" s="179"/>
      <c r="K773" s="179"/>
      <c r="L773" s="179"/>
      <c r="M773" s="179"/>
      <c r="N773" s="179"/>
      <c r="O773" s="179"/>
      <c r="P773" s="179"/>
      <c r="Q773" s="179"/>
      <c r="R773" s="179"/>
      <c r="S773" s="163"/>
      <c r="T773" s="180"/>
      <c r="U773" s="123" t="str">
        <f t="shared" si="1"/>
        <v>#DIV/0!</v>
      </c>
    </row>
    <row r="774">
      <c r="A774" s="175"/>
      <c r="B774" s="175"/>
      <c r="C774" s="175"/>
      <c r="D774" s="176"/>
      <c r="E774" s="175"/>
      <c r="F774" s="175"/>
      <c r="G774" s="175"/>
      <c r="H774" s="175"/>
      <c r="I774" s="175"/>
      <c r="J774" s="179"/>
      <c r="K774" s="179"/>
      <c r="L774" s="179"/>
      <c r="M774" s="179"/>
      <c r="N774" s="179"/>
      <c r="O774" s="179"/>
      <c r="P774" s="179"/>
      <c r="Q774" s="179"/>
      <c r="R774" s="179"/>
      <c r="S774" s="163"/>
      <c r="T774" s="180"/>
      <c r="U774" s="123" t="str">
        <f t="shared" si="1"/>
        <v>#DIV/0!</v>
      </c>
    </row>
    <row r="775">
      <c r="A775" s="175"/>
      <c r="B775" s="175"/>
      <c r="C775" s="175"/>
      <c r="D775" s="176"/>
      <c r="E775" s="175"/>
      <c r="F775" s="175"/>
      <c r="G775" s="175"/>
      <c r="H775" s="175"/>
      <c r="I775" s="175"/>
      <c r="J775" s="179"/>
      <c r="K775" s="179"/>
      <c r="L775" s="179"/>
      <c r="M775" s="179"/>
      <c r="N775" s="179"/>
      <c r="O775" s="179"/>
      <c r="P775" s="179"/>
      <c r="Q775" s="179"/>
      <c r="R775" s="179"/>
      <c r="S775" s="163"/>
      <c r="T775" s="180"/>
      <c r="U775" s="123" t="str">
        <f t="shared" si="1"/>
        <v>#DIV/0!</v>
      </c>
    </row>
    <row r="776">
      <c r="A776" s="175"/>
      <c r="B776" s="175"/>
      <c r="C776" s="175"/>
      <c r="D776" s="176"/>
      <c r="E776" s="175"/>
      <c r="F776" s="175"/>
      <c r="G776" s="175"/>
      <c r="H776" s="175"/>
      <c r="I776" s="175"/>
      <c r="J776" s="179"/>
      <c r="K776" s="179"/>
      <c r="L776" s="179"/>
      <c r="M776" s="179"/>
      <c r="N776" s="179"/>
      <c r="O776" s="179"/>
      <c r="P776" s="179"/>
      <c r="Q776" s="179"/>
      <c r="R776" s="179"/>
      <c r="S776" s="163"/>
      <c r="T776" s="180"/>
      <c r="U776" s="123" t="str">
        <f t="shared" si="1"/>
        <v>#DIV/0!</v>
      </c>
    </row>
    <row r="777">
      <c r="A777" s="175"/>
      <c r="B777" s="175"/>
      <c r="C777" s="175"/>
      <c r="D777" s="176"/>
      <c r="E777" s="175"/>
      <c r="F777" s="175"/>
      <c r="G777" s="175"/>
      <c r="H777" s="175"/>
      <c r="I777" s="175"/>
      <c r="J777" s="179"/>
      <c r="K777" s="179"/>
      <c r="L777" s="179"/>
      <c r="M777" s="179"/>
      <c r="N777" s="179"/>
      <c r="O777" s="179"/>
      <c r="P777" s="179"/>
      <c r="Q777" s="179"/>
      <c r="R777" s="179"/>
      <c r="S777" s="163"/>
      <c r="T777" s="180"/>
      <c r="U777" s="123" t="str">
        <f t="shared" si="1"/>
        <v>#DIV/0!</v>
      </c>
    </row>
    <row r="778">
      <c r="A778" s="175"/>
      <c r="B778" s="175"/>
      <c r="C778" s="175"/>
      <c r="D778" s="176"/>
      <c r="E778" s="175"/>
      <c r="F778" s="175"/>
      <c r="G778" s="175"/>
      <c r="H778" s="175"/>
      <c r="I778" s="175"/>
      <c r="J778" s="179"/>
      <c r="K778" s="179"/>
      <c r="L778" s="179"/>
      <c r="M778" s="179"/>
      <c r="N778" s="179"/>
      <c r="O778" s="179"/>
      <c r="P778" s="179"/>
      <c r="Q778" s="179"/>
      <c r="R778" s="179"/>
      <c r="S778" s="163"/>
      <c r="T778" s="180"/>
      <c r="U778" s="123" t="str">
        <f t="shared" si="1"/>
        <v>#DIV/0!</v>
      </c>
    </row>
    <row r="779">
      <c r="A779" s="175"/>
      <c r="B779" s="175"/>
      <c r="C779" s="175"/>
      <c r="D779" s="176"/>
      <c r="E779" s="175"/>
      <c r="F779" s="175"/>
      <c r="G779" s="175"/>
      <c r="H779" s="175"/>
      <c r="I779" s="175"/>
      <c r="J779" s="179"/>
      <c r="K779" s="179"/>
      <c r="L779" s="179"/>
      <c r="M779" s="179"/>
      <c r="N779" s="179"/>
      <c r="O779" s="179"/>
      <c r="P779" s="179"/>
      <c r="Q779" s="179"/>
      <c r="R779" s="179"/>
      <c r="S779" s="163"/>
      <c r="T779" s="180"/>
      <c r="U779" s="123" t="str">
        <f t="shared" si="1"/>
        <v>#DIV/0!</v>
      </c>
    </row>
    <row r="780">
      <c r="A780" s="175"/>
      <c r="B780" s="175"/>
      <c r="C780" s="175"/>
      <c r="D780" s="176"/>
      <c r="E780" s="175"/>
      <c r="F780" s="175"/>
      <c r="G780" s="175"/>
      <c r="H780" s="175"/>
      <c r="I780" s="175"/>
      <c r="J780" s="179"/>
      <c r="K780" s="179"/>
      <c r="L780" s="179"/>
      <c r="M780" s="179"/>
      <c r="N780" s="179"/>
      <c r="O780" s="179"/>
      <c r="P780" s="179"/>
      <c r="Q780" s="179"/>
      <c r="R780" s="179"/>
      <c r="S780" s="163"/>
      <c r="T780" s="180"/>
      <c r="U780" s="123" t="str">
        <f t="shared" si="1"/>
        <v>#DIV/0!</v>
      </c>
    </row>
    <row r="781">
      <c r="A781" s="175"/>
      <c r="B781" s="175"/>
      <c r="C781" s="175"/>
      <c r="D781" s="176"/>
      <c r="E781" s="175"/>
      <c r="F781" s="175"/>
      <c r="G781" s="175"/>
      <c r="H781" s="175"/>
      <c r="I781" s="175"/>
      <c r="J781" s="179"/>
      <c r="K781" s="179"/>
      <c r="L781" s="179"/>
      <c r="M781" s="179"/>
      <c r="N781" s="179"/>
      <c r="O781" s="179"/>
      <c r="P781" s="179"/>
      <c r="Q781" s="179"/>
      <c r="R781" s="179"/>
      <c r="S781" s="163"/>
      <c r="T781" s="180"/>
      <c r="U781" s="123" t="str">
        <f t="shared" si="1"/>
        <v>#DIV/0!</v>
      </c>
    </row>
    <row r="782">
      <c r="A782" s="175"/>
      <c r="B782" s="175"/>
      <c r="C782" s="175"/>
      <c r="D782" s="176"/>
      <c r="E782" s="175"/>
      <c r="F782" s="175"/>
      <c r="G782" s="175"/>
      <c r="H782" s="175"/>
      <c r="I782" s="175"/>
      <c r="J782" s="179"/>
      <c r="K782" s="179"/>
      <c r="L782" s="179"/>
      <c r="M782" s="179"/>
      <c r="N782" s="179"/>
      <c r="O782" s="179"/>
      <c r="P782" s="179"/>
      <c r="Q782" s="179"/>
      <c r="R782" s="179"/>
      <c r="S782" s="163"/>
      <c r="T782" s="180"/>
      <c r="U782" s="123" t="str">
        <f t="shared" si="1"/>
        <v>#DIV/0!</v>
      </c>
    </row>
    <row r="783">
      <c r="A783" s="175"/>
      <c r="B783" s="175"/>
      <c r="C783" s="175"/>
      <c r="D783" s="176"/>
      <c r="E783" s="175"/>
      <c r="F783" s="175"/>
      <c r="G783" s="175"/>
      <c r="H783" s="175"/>
      <c r="I783" s="175"/>
      <c r="J783" s="179"/>
      <c r="K783" s="179"/>
      <c r="L783" s="179"/>
      <c r="M783" s="179"/>
      <c r="N783" s="179"/>
      <c r="O783" s="179"/>
      <c r="P783" s="179"/>
      <c r="Q783" s="179"/>
      <c r="R783" s="179"/>
      <c r="S783" s="163"/>
      <c r="T783" s="180"/>
      <c r="U783" s="123" t="str">
        <f t="shared" si="1"/>
        <v>#DIV/0!</v>
      </c>
    </row>
    <row r="784">
      <c r="A784" s="175"/>
      <c r="B784" s="175"/>
      <c r="C784" s="175"/>
      <c r="D784" s="176"/>
      <c r="E784" s="175"/>
      <c r="F784" s="175"/>
      <c r="G784" s="175"/>
      <c r="H784" s="175"/>
      <c r="I784" s="175"/>
      <c r="J784" s="179"/>
      <c r="K784" s="179"/>
      <c r="L784" s="179"/>
      <c r="M784" s="179"/>
      <c r="N784" s="179"/>
      <c r="O784" s="179"/>
      <c r="P784" s="179"/>
      <c r="Q784" s="179"/>
      <c r="R784" s="179"/>
      <c r="S784" s="163"/>
      <c r="T784" s="180"/>
      <c r="U784" s="123" t="str">
        <f t="shared" si="1"/>
        <v>#DIV/0!</v>
      </c>
    </row>
    <row r="785">
      <c r="A785" s="175"/>
      <c r="B785" s="175"/>
      <c r="C785" s="175"/>
      <c r="D785" s="176"/>
      <c r="E785" s="175"/>
      <c r="F785" s="175"/>
      <c r="G785" s="175"/>
      <c r="H785" s="175"/>
      <c r="I785" s="175"/>
      <c r="J785" s="179"/>
      <c r="K785" s="179"/>
      <c r="L785" s="179"/>
      <c r="M785" s="179"/>
      <c r="N785" s="179"/>
      <c r="O785" s="179"/>
      <c r="P785" s="179"/>
      <c r="Q785" s="179"/>
      <c r="R785" s="179"/>
      <c r="S785" s="163"/>
      <c r="T785" s="180"/>
      <c r="U785" s="123" t="str">
        <f t="shared" si="1"/>
        <v>#DIV/0!</v>
      </c>
    </row>
    <row r="786">
      <c r="A786" s="175"/>
      <c r="B786" s="175"/>
      <c r="C786" s="175"/>
      <c r="D786" s="176"/>
      <c r="E786" s="175"/>
      <c r="F786" s="175"/>
      <c r="G786" s="175"/>
      <c r="H786" s="175"/>
      <c r="I786" s="175"/>
      <c r="J786" s="179"/>
      <c r="K786" s="179"/>
      <c r="L786" s="179"/>
      <c r="M786" s="179"/>
      <c r="N786" s="179"/>
      <c r="O786" s="179"/>
      <c r="P786" s="179"/>
      <c r="Q786" s="179"/>
      <c r="R786" s="179"/>
      <c r="S786" s="163"/>
      <c r="T786" s="180"/>
      <c r="U786" s="123" t="str">
        <f t="shared" si="1"/>
        <v>#DIV/0!</v>
      </c>
    </row>
    <row r="787">
      <c r="A787" s="175"/>
      <c r="B787" s="175"/>
      <c r="C787" s="175"/>
      <c r="D787" s="176"/>
      <c r="E787" s="175"/>
      <c r="F787" s="175"/>
      <c r="G787" s="175"/>
      <c r="H787" s="175"/>
      <c r="I787" s="175"/>
      <c r="J787" s="179"/>
      <c r="K787" s="179"/>
      <c r="L787" s="179"/>
      <c r="M787" s="179"/>
      <c r="N787" s="179"/>
      <c r="O787" s="179"/>
      <c r="P787" s="179"/>
      <c r="Q787" s="179"/>
      <c r="R787" s="179"/>
      <c r="S787" s="163"/>
      <c r="T787" s="180"/>
      <c r="U787" s="123" t="str">
        <f t="shared" si="1"/>
        <v>#DIV/0!</v>
      </c>
    </row>
    <row r="788">
      <c r="A788" s="175"/>
      <c r="B788" s="175"/>
      <c r="C788" s="175"/>
      <c r="D788" s="176"/>
      <c r="E788" s="175"/>
      <c r="F788" s="175"/>
      <c r="G788" s="175"/>
      <c r="H788" s="175"/>
      <c r="I788" s="175"/>
      <c r="J788" s="179"/>
      <c r="K788" s="179"/>
      <c r="L788" s="179"/>
      <c r="M788" s="179"/>
      <c r="N788" s="179"/>
      <c r="O788" s="179"/>
      <c r="P788" s="179"/>
      <c r="Q788" s="179"/>
      <c r="R788" s="179"/>
      <c r="S788" s="163"/>
      <c r="T788" s="180"/>
      <c r="U788" s="123" t="str">
        <f t="shared" si="1"/>
        <v>#DIV/0!</v>
      </c>
    </row>
    <row r="789">
      <c r="A789" s="175"/>
      <c r="B789" s="175"/>
      <c r="C789" s="175"/>
      <c r="D789" s="176"/>
      <c r="E789" s="175"/>
      <c r="F789" s="175"/>
      <c r="G789" s="175"/>
      <c r="H789" s="175"/>
      <c r="I789" s="175"/>
      <c r="J789" s="179"/>
      <c r="K789" s="179"/>
      <c r="L789" s="179"/>
      <c r="M789" s="179"/>
      <c r="N789" s="179"/>
      <c r="O789" s="179"/>
      <c r="P789" s="179"/>
      <c r="Q789" s="179"/>
      <c r="R789" s="179"/>
      <c r="S789" s="163"/>
      <c r="T789" s="180"/>
      <c r="U789" s="123" t="str">
        <f t="shared" si="1"/>
        <v>#DIV/0!</v>
      </c>
    </row>
    <row r="790">
      <c r="A790" s="175"/>
      <c r="B790" s="175"/>
      <c r="C790" s="175"/>
      <c r="D790" s="176"/>
      <c r="E790" s="175"/>
      <c r="F790" s="175"/>
      <c r="G790" s="175"/>
      <c r="H790" s="175"/>
      <c r="I790" s="175"/>
      <c r="J790" s="179"/>
      <c r="K790" s="179"/>
      <c r="L790" s="179"/>
      <c r="M790" s="179"/>
      <c r="N790" s="179"/>
      <c r="O790" s="179"/>
      <c r="P790" s="179"/>
      <c r="Q790" s="179"/>
      <c r="R790" s="179"/>
      <c r="S790" s="163"/>
      <c r="T790" s="180"/>
      <c r="U790" s="123" t="str">
        <f t="shared" si="1"/>
        <v>#DIV/0!</v>
      </c>
    </row>
    <row r="791">
      <c r="A791" s="175"/>
      <c r="B791" s="175"/>
      <c r="C791" s="175"/>
      <c r="D791" s="176"/>
      <c r="E791" s="175"/>
      <c r="F791" s="175"/>
      <c r="G791" s="175"/>
      <c r="H791" s="175"/>
      <c r="I791" s="175"/>
      <c r="J791" s="179"/>
      <c r="K791" s="179"/>
      <c r="L791" s="179"/>
      <c r="M791" s="179"/>
      <c r="N791" s="179"/>
      <c r="O791" s="179"/>
      <c r="P791" s="179"/>
      <c r="Q791" s="179"/>
      <c r="R791" s="179"/>
      <c r="S791" s="163"/>
      <c r="T791" s="180"/>
      <c r="U791" s="123" t="str">
        <f t="shared" si="1"/>
        <v>#DIV/0!</v>
      </c>
    </row>
    <row r="792">
      <c r="A792" s="175"/>
      <c r="B792" s="175"/>
      <c r="C792" s="175"/>
      <c r="D792" s="176"/>
      <c r="E792" s="175"/>
      <c r="F792" s="175"/>
      <c r="G792" s="175"/>
      <c r="H792" s="175"/>
      <c r="I792" s="175"/>
      <c r="J792" s="179"/>
      <c r="K792" s="179"/>
      <c r="L792" s="179"/>
      <c r="M792" s="179"/>
      <c r="N792" s="179"/>
      <c r="O792" s="179"/>
      <c r="P792" s="179"/>
      <c r="Q792" s="179"/>
      <c r="R792" s="179"/>
      <c r="S792" s="163"/>
      <c r="T792" s="180"/>
      <c r="U792" s="123" t="str">
        <f t="shared" si="1"/>
        <v>#DIV/0!</v>
      </c>
    </row>
    <row r="793">
      <c r="A793" s="175"/>
      <c r="B793" s="175"/>
      <c r="C793" s="175"/>
      <c r="D793" s="176"/>
      <c r="E793" s="175"/>
      <c r="F793" s="175"/>
      <c r="G793" s="175"/>
      <c r="H793" s="175"/>
      <c r="I793" s="175"/>
      <c r="J793" s="179"/>
      <c r="K793" s="179"/>
      <c r="L793" s="179"/>
      <c r="M793" s="179"/>
      <c r="N793" s="179"/>
      <c r="O793" s="179"/>
      <c r="P793" s="179"/>
      <c r="Q793" s="179"/>
      <c r="R793" s="179"/>
      <c r="S793" s="163"/>
      <c r="T793" s="180"/>
      <c r="U793" s="123" t="str">
        <f t="shared" si="1"/>
        <v>#DIV/0!</v>
      </c>
    </row>
    <row r="794">
      <c r="A794" s="175"/>
      <c r="B794" s="175"/>
      <c r="C794" s="175"/>
      <c r="D794" s="176"/>
      <c r="E794" s="175"/>
      <c r="F794" s="175"/>
      <c r="G794" s="175"/>
      <c r="H794" s="175"/>
      <c r="I794" s="175"/>
      <c r="J794" s="179"/>
      <c r="K794" s="179"/>
      <c r="L794" s="179"/>
      <c r="M794" s="179"/>
      <c r="N794" s="179"/>
      <c r="O794" s="179"/>
      <c r="P794" s="179"/>
      <c r="Q794" s="179"/>
      <c r="R794" s="179"/>
      <c r="S794" s="163"/>
      <c r="T794" s="180"/>
      <c r="U794" s="123" t="str">
        <f t="shared" si="1"/>
        <v>#DIV/0!</v>
      </c>
    </row>
    <row r="795">
      <c r="A795" s="175"/>
      <c r="B795" s="175"/>
      <c r="C795" s="175"/>
      <c r="D795" s="176"/>
      <c r="E795" s="175"/>
      <c r="F795" s="175"/>
      <c r="G795" s="175"/>
      <c r="H795" s="175"/>
      <c r="I795" s="175"/>
      <c r="J795" s="179"/>
      <c r="K795" s="179"/>
      <c r="L795" s="179"/>
      <c r="M795" s="179"/>
      <c r="N795" s="179"/>
      <c r="O795" s="179"/>
      <c r="P795" s="179"/>
      <c r="Q795" s="179"/>
      <c r="R795" s="179"/>
      <c r="S795" s="163"/>
      <c r="T795" s="180"/>
      <c r="U795" s="123" t="str">
        <f t="shared" si="1"/>
        <v>#DIV/0!</v>
      </c>
    </row>
    <row r="796">
      <c r="A796" s="175"/>
      <c r="B796" s="175"/>
      <c r="C796" s="175"/>
      <c r="D796" s="176"/>
      <c r="E796" s="175"/>
      <c r="F796" s="175"/>
      <c r="G796" s="175"/>
      <c r="H796" s="175"/>
      <c r="I796" s="175"/>
      <c r="J796" s="179"/>
      <c r="K796" s="179"/>
      <c r="L796" s="179"/>
      <c r="M796" s="179"/>
      <c r="N796" s="179"/>
      <c r="O796" s="179"/>
      <c r="P796" s="179"/>
      <c r="Q796" s="179"/>
      <c r="R796" s="179"/>
      <c r="S796" s="163"/>
      <c r="T796" s="180"/>
      <c r="U796" s="123" t="str">
        <f t="shared" si="1"/>
        <v>#DIV/0!</v>
      </c>
    </row>
    <row r="797">
      <c r="A797" s="175"/>
      <c r="B797" s="175"/>
      <c r="C797" s="175"/>
      <c r="D797" s="176"/>
      <c r="E797" s="175"/>
      <c r="F797" s="175"/>
      <c r="G797" s="175"/>
      <c r="H797" s="175"/>
      <c r="I797" s="175"/>
      <c r="J797" s="179"/>
      <c r="K797" s="179"/>
      <c r="L797" s="179"/>
      <c r="M797" s="179"/>
      <c r="N797" s="179"/>
      <c r="O797" s="179"/>
      <c r="P797" s="179"/>
      <c r="Q797" s="179"/>
      <c r="R797" s="179"/>
      <c r="S797" s="163"/>
      <c r="T797" s="180"/>
      <c r="U797" s="123" t="str">
        <f t="shared" si="1"/>
        <v>#DIV/0!</v>
      </c>
    </row>
    <row r="798">
      <c r="A798" s="175"/>
      <c r="B798" s="175"/>
      <c r="C798" s="175"/>
      <c r="D798" s="176"/>
      <c r="E798" s="175"/>
      <c r="F798" s="175"/>
      <c r="G798" s="175"/>
      <c r="H798" s="175"/>
      <c r="I798" s="175"/>
      <c r="J798" s="179"/>
      <c r="K798" s="179"/>
      <c r="L798" s="179"/>
      <c r="M798" s="179"/>
      <c r="N798" s="179"/>
      <c r="O798" s="179"/>
      <c r="P798" s="179"/>
      <c r="Q798" s="179"/>
      <c r="R798" s="179"/>
      <c r="S798" s="163"/>
      <c r="T798" s="180"/>
      <c r="U798" s="123" t="str">
        <f t="shared" si="1"/>
        <v>#DIV/0!</v>
      </c>
    </row>
    <row r="799">
      <c r="A799" s="175"/>
      <c r="B799" s="175"/>
      <c r="C799" s="175"/>
      <c r="D799" s="176"/>
      <c r="E799" s="175"/>
      <c r="F799" s="175"/>
      <c r="G799" s="175"/>
      <c r="H799" s="175"/>
      <c r="I799" s="175"/>
      <c r="J799" s="179"/>
      <c r="K799" s="179"/>
      <c r="L799" s="179"/>
      <c r="M799" s="179"/>
      <c r="N799" s="179"/>
      <c r="O799" s="179"/>
      <c r="P799" s="179"/>
      <c r="Q799" s="179"/>
      <c r="R799" s="179"/>
      <c r="S799" s="163"/>
      <c r="T799" s="180"/>
      <c r="U799" s="123" t="str">
        <f t="shared" si="1"/>
        <v>#DIV/0!</v>
      </c>
    </row>
    <row r="800">
      <c r="A800" s="175"/>
      <c r="B800" s="175"/>
      <c r="C800" s="175"/>
      <c r="D800" s="176"/>
      <c r="E800" s="175"/>
      <c r="F800" s="175"/>
      <c r="G800" s="175"/>
      <c r="H800" s="175"/>
      <c r="I800" s="175"/>
      <c r="J800" s="179"/>
      <c r="K800" s="179"/>
      <c r="L800" s="179"/>
      <c r="M800" s="179"/>
      <c r="N800" s="179"/>
      <c r="O800" s="179"/>
      <c r="P800" s="179"/>
      <c r="Q800" s="179"/>
      <c r="R800" s="179"/>
      <c r="S800" s="163"/>
      <c r="T800" s="180"/>
      <c r="U800" s="123" t="str">
        <f t="shared" si="1"/>
        <v>#DIV/0!</v>
      </c>
    </row>
    <row r="801">
      <c r="A801" s="175"/>
      <c r="B801" s="175"/>
      <c r="C801" s="175"/>
      <c r="D801" s="176"/>
      <c r="E801" s="175"/>
      <c r="F801" s="175"/>
      <c r="G801" s="175"/>
      <c r="H801" s="175"/>
      <c r="I801" s="175"/>
      <c r="J801" s="179"/>
      <c r="K801" s="179"/>
      <c r="L801" s="179"/>
      <c r="M801" s="179"/>
      <c r="N801" s="179"/>
      <c r="O801" s="179"/>
      <c r="P801" s="179"/>
      <c r="Q801" s="179"/>
      <c r="R801" s="179"/>
      <c r="S801" s="163"/>
      <c r="T801" s="180"/>
      <c r="U801" s="123" t="str">
        <f t="shared" si="1"/>
        <v>#DIV/0!</v>
      </c>
    </row>
    <row r="802">
      <c r="A802" s="175"/>
      <c r="B802" s="175"/>
      <c r="C802" s="175"/>
      <c r="D802" s="176"/>
      <c r="E802" s="175"/>
      <c r="F802" s="175"/>
      <c r="G802" s="175"/>
      <c r="H802" s="175"/>
      <c r="I802" s="175"/>
      <c r="J802" s="179"/>
      <c r="K802" s="179"/>
      <c r="L802" s="179"/>
      <c r="M802" s="179"/>
      <c r="N802" s="179"/>
      <c r="O802" s="179"/>
      <c r="P802" s="179"/>
      <c r="Q802" s="179"/>
      <c r="R802" s="179"/>
      <c r="S802" s="163"/>
      <c r="T802" s="180"/>
      <c r="U802" s="123" t="str">
        <f t="shared" si="1"/>
        <v>#DIV/0!</v>
      </c>
    </row>
    <row r="803">
      <c r="A803" s="175"/>
      <c r="B803" s="175"/>
      <c r="C803" s="175"/>
      <c r="D803" s="176"/>
      <c r="E803" s="175"/>
      <c r="F803" s="175"/>
      <c r="G803" s="175"/>
      <c r="H803" s="175"/>
      <c r="I803" s="175"/>
      <c r="J803" s="179"/>
      <c r="K803" s="179"/>
      <c r="L803" s="179"/>
      <c r="M803" s="179"/>
      <c r="N803" s="179"/>
      <c r="O803" s="179"/>
      <c r="P803" s="179"/>
      <c r="Q803" s="179"/>
      <c r="R803" s="179"/>
      <c r="S803" s="163"/>
      <c r="T803" s="180"/>
      <c r="U803" s="123" t="str">
        <f t="shared" si="1"/>
        <v>#DIV/0!</v>
      </c>
    </row>
    <row r="804">
      <c r="A804" s="175"/>
      <c r="B804" s="175"/>
      <c r="C804" s="175"/>
      <c r="D804" s="176"/>
      <c r="E804" s="175"/>
      <c r="F804" s="175"/>
      <c r="G804" s="175"/>
      <c r="H804" s="175"/>
      <c r="I804" s="175"/>
      <c r="J804" s="179"/>
      <c r="K804" s="179"/>
      <c r="L804" s="179"/>
      <c r="M804" s="179"/>
      <c r="N804" s="179"/>
      <c r="O804" s="179"/>
      <c r="P804" s="179"/>
      <c r="Q804" s="179"/>
      <c r="R804" s="179"/>
      <c r="S804" s="163"/>
      <c r="T804" s="180"/>
      <c r="U804" s="123" t="str">
        <f t="shared" si="1"/>
        <v>#DIV/0!</v>
      </c>
    </row>
    <row r="805">
      <c r="A805" s="175"/>
      <c r="B805" s="175"/>
      <c r="C805" s="175"/>
      <c r="D805" s="176"/>
      <c r="E805" s="175"/>
      <c r="F805" s="175"/>
      <c r="G805" s="175"/>
      <c r="H805" s="175"/>
      <c r="I805" s="175"/>
      <c r="J805" s="179"/>
      <c r="K805" s="179"/>
      <c r="L805" s="179"/>
      <c r="M805" s="179"/>
      <c r="N805" s="179"/>
      <c r="O805" s="179"/>
      <c r="P805" s="179"/>
      <c r="Q805" s="179"/>
      <c r="R805" s="179"/>
      <c r="S805" s="163"/>
      <c r="T805" s="180"/>
      <c r="U805" s="123" t="str">
        <f t="shared" si="1"/>
        <v>#DIV/0!</v>
      </c>
    </row>
    <row r="806">
      <c r="A806" s="175"/>
      <c r="B806" s="175"/>
      <c r="C806" s="175"/>
      <c r="D806" s="176"/>
      <c r="E806" s="175"/>
      <c r="F806" s="175"/>
      <c r="G806" s="175"/>
      <c r="H806" s="175"/>
      <c r="I806" s="175"/>
      <c r="J806" s="179"/>
      <c r="K806" s="179"/>
      <c r="L806" s="179"/>
      <c r="M806" s="179"/>
      <c r="N806" s="179"/>
      <c r="O806" s="179"/>
      <c r="P806" s="179"/>
      <c r="Q806" s="179"/>
      <c r="R806" s="179"/>
      <c r="S806" s="163"/>
      <c r="T806" s="180"/>
      <c r="U806" s="123" t="str">
        <f t="shared" si="1"/>
        <v>#DIV/0!</v>
      </c>
    </row>
    <row r="807">
      <c r="A807" s="175"/>
      <c r="B807" s="175"/>
      <c r="C807" s="175"/>
      <c r="D807" s="176"/>
      <c r="E807" s="175"/>
      <c r="F807" s="175"/>
      <c r="G807" s="175"/>
      <c r="H807" s="175"/>
      <c r="I807" s="175"/>
      <c r="J807" s="179"/>
      <c r="K807" s="179"/>
      <c r="L807" s="179"/>
      <c r="M807" s="179"/>
      <c r="N807" s="179"/>
      <c r="O807" s="179"/>
      <c r="P807" s="179"/>
      <c r="Q807" s="179"/>
      <c r="R807" s="179"/>
      <c r="S807" s="163"/>
      <c r="T807" s="180"/>
      <c r="U807" s="123" t="str">
        <f t="shared" si="1"/>
        <v>#DIV/0!</v>
      </c>
    </row>
    <row r="808">
      <c r="A808" s="175"/>
      <c r="B808" s="175"/>
      <c r="C808" s="175"/>
      <c r="D808" s="176"/>
      <c r="E808" s="175"/>
      <c r="F808" s="175"/>
      <c r="G808" s="175"/>
      <c r="H808" s="175"/>
      <c r="I808" s="175"/>
      <c r="J808" s="179"/>
      <c r="K808" s="179"/>
      <c r="L808" s="179"/>
      <c r="M808" s="179"/>
      <c r="N808" s="179"/>
      <c r="O808" s="179"/>
      <c r="P808" s="179"/>
      <c r="Q808" s="179"/>
      <c r="R808" s="179"/>
      <c r="S808" s="163"/>
      <c r="T808" s="180"/>
      <c r="U808" s="123" t="str">
        <f t="shared" si="1"/>
        <v>#DIV/0!</v>
      </c>
    </row>
    <row r="809">
      <c r="A809" s="175"/>
      <c r="B809" s="175"/>
      <c r="C809" s="175"/>
      <c r="D809" s="176"/>
      <c r="E809" s="175"/>
      <c r="F809" s="175"/>
      <c r="G809" s="175"/>
      <c r="H809" s="175"/>
      <c r="I809" s="175"/>
      <c r="J809" s="179"/>
      <c r="K809" s="179"/>
      <c r="L809" s="179"/>
      <c r="M809" s="179"/>
      <c r="N809" s="179"/>
      <c r="O809" s="179"/>
      <c r="P809" s="179"/>
      <c r="Q809" s="179"/>
      <c r="R809" s="179"/>
      <c r="S809" s="163"/>
      <c r="T809" s="180"/>
      <c r="U809" s="123" t="str">
        <f t="shared" si="1"/>
        <v>#DIV/0!</v>
      </c>
    </row>
    <row r="810">
      <c r="A810" s="175"/>
      <c r="B810" s="175"/>
      <c r="C810" s="175"/>
      <c r="D810" s="176"/>
      <c r="E810" s="175"/>
      <c r="F810" s="175"/>
      <c r="G810" s="175"/>
      <c r="H810" s="175"/>
      <c r="I810" s="175"/>
      <c r="J810" s="179"/>
      <c r="K810" s="179"/>
      <c r="L810" s="179"/>
      <c r="M810" s="179"/>
      <c r="N810" s="179"/>
      <c r="O810" s="179"/>
      <c r="P810" s="179"/>
      <c r="Q810" s="179"/>
      <c r="R810" s="179"/>
      <c r="S810" s="163"/>
      <c r="T810" s="180"/>
      <c r="U810" s="123" t="str">
        <f t="shared" si="1"/>
        <v>#DIV/0!</v>
      </c>
    </row>
    <row r="811">
      <c r="A811" s="175"/>
      <c r="B811" s="175"/>
      <c r="C811" s="175"/>
      <c r="D811" s="176"/>
      <c r="E811" s="175"/>
      <c r="F811" s="175"/>
      <c r="G811" s="175"/>
      <c r="H811" s="175"/>
      <c r="I811" s="175"/>
      <c r="J811" s="179"/>
      <c r="K811" s="179"/>
      <c r="L811" s="179"/>
      <c r="M811" s="179"/>
      <c r="N811" s="179"/>
      <c r="O811" s="179"/>
      <c r="P811" s="179"/>
      <c r="Q811" s="179"/>
      <c r="R811" s="179"/>
      <c r="S811" s="163"/>
      <c r="T811" s="180"/>
      <c r="U811" s="123" t="str">
        <f t="shared" si="1"/>
        <v>#DIV/0!</v>
      </c>
    </row>
    <row r="812">
      <c r="A812" s="175"/>
      <c r="B812" s="175"/>
      <c r="C812" s="175"/>
      <c r="D812" s="176"/>
      <c r="E812" s="175"/>
      <c r="F812" s="175"/>
      <c r="G812" s="175"/>
      <c r="H812" s="175"/>
      <c r="I812" s="175"/>
      <c r="J812" s="179"/>
      <c r="K812" s="179"/>
      <c r="L812" s="179"/>
      <c r="M812" s="179"/>
      <c r="N812" s="179"/>
      <c r="O812" s="179"/>
      <c r="P812" s="179"/>
      <c r="Q812" s="179"/>
      <c r="R812" s="179"/>
      <c r="S812" s="163"/>
      <c r="T812" s="180"/>
      <c r="U812" s="123" t="str">
        <f t="shared" si="1"/>
        <v>#DIV/0!</v>
      </c>
    </row>
    <row r="813">
      <c r="A813" s="175"/>
      <c r="B813" s="175"/>
      <c r="C813" s="175"/>
      <c r="D813" s="176"/>
      <c r="E813" s="175"/>
      <c r="F813" s="175"/>
      <c r="G813" s="175"/>
      <c r="H813" s="175"/>
      <c r="I813" s="175"/>
      <c r="J813" s="179"/>
      <c r="K813" s="179"/>
      <c r="L813" s="179"/>
      <c r="M813" s="179"/>
      <c r="N813" s="179"/>
      <c r="O813" s="179"/>
      <c r="P813" s="179"/>
      <c r="Q813" s="179"/>
      <c r="R813" s="179"/>
      <c r="S813" s="163"/>
      <c r="T813" s="180"/>
      <c r="U813" s="123" t="str">
        <f t="shared" si="1"/>
        <v>#DIV/0!</v>
      </c>
    </row>
    <row r="814">
      <c r="A814" s="175"/>
      <c r="B814" s="175"/>
      <c r="C814" s="175"/>
      <c r="D814" s="176"/>
      <c r="E814" s="175"/>
      <c r="F814" s="175"/>
      <c r="G814" s="175"/>
      <c r="H814" s="175"/>
      <c r="I814" s="175"/>
      <c r="J814" s="179"/>
      <c r="K814" s="179"/>
      <c r="L814" s="179"/>
      <c r="M814" s="179"/>
      <c r="N814" s="179"/>
      <c r="O814" s="179"/>
      <c r="P814" s="179"/>
      <c r="Q814" s="179"/>
      <c r="R814" s="179"/>
      <c r="S814" s="163"/>
      <c r="T814" s="180"/>
      <c r="U814" s="123" t="str">
        <f t="shared" si="1"/>
        <v>#DIV/0!</v>
      </c>
    </row>
    <row r="815">
      <c r="A815" s="175"/>
      <c r="B815" s="175"/>
      <c r="C815" s="175"/>
      <c r="D815" s="176"/>
      <c r="E815" s="175"/>
      <c r="F815" s="175"/>
      <c r="G815" s="175"/>
      <c r="H815" s="175"/>
      <c r="I815" s="175"/>
      <c r="J815" s="179"/>
      <c r="K815" s="179"/>
      <c r="L815" s="179"/>
      <c r="M815" s="179"/>
      <c r="N815" s="179"/>
      <c r="O815" s="179"/>
      <c r="P815" s="179"/>
      <c r="Q815" s="179"/>
      <c r="R815" s="179"/>
      <c r="S815" s="163"/>
      <c r="T815" s="180"/>
      <c r="U815" s="123" t="str">
        <f t="shared" si="1"/>
        <v>#DIV/0!</v>
      </c>
    </row>
    <row r="816">
      <c r="A816" s="175"/>
      <c r="B816" s="175"/>
      <c r="C816" s="175"/>
      <c r="D816" s="176"/>
      <c r="E816" s="175"/>
      <c r="F816" s="175"/>
      <c r="G816" s="175"/>
      <c r="H816" s="175"/>
      <c r="I816" s="175"/>
      <c r="J816" s="179"/>
      <c r="K816" s="179"/>
      <c r="L816" s="179"/>
      <c r="M816" s="179"/>
      <c r="N816" s="179"/>
      <c r="O816" s="179"/>
      <c r="P816" s="179"/>
      <c r="Q816" s="179"/>
      <c r="R816" s="179"/>
      <c r="S816" s="163"/>
      <c r="T816" s="180"/>
      <c r="U816" s="123" t="str">
        <f t="shared" si="1"/>
        <v>#DIV/0!</v>
      </c>
    </row>
    <row r="817">
      <c r="A817" s="175"/>
      <c r="B817" s="175"/>
      <c r="C817" s="175"/>
      <c r="D817" s="176"/>
      <c r="E817" s="175"/>
      <c r="F817" s="175"/>
      <c r="G817" s="175"/>
      <c r="H817" s="175"/>
      <c r="I817" s="175"/>
      <c r="J817" s="179"/>
      <c r="K817" s="179"/>
      <c r="L817" s="179"/>
      <c r="M817" s="179"/>
      <c r="N817" s="179"/>
      <c r="O817" s="179"/>
      <c r="P817" s="179"/>
      <c r="Q817" s="179"/>
      <c r="R817" s="179"/>
      <c r="S817" s="163"/>
      <c r="T817" s="180"/>
      <c r="U817" s="123" t="str">
        <f t="shared" si="1"/>
        <v>#DIV/0!</v>
      </c>
    </row>
    <row r="818">
      <c r="A818" s="175"/>
      <c r="B818" s="175"/>
      <c r="C818" s="175"/>
      <c r="D818" s="176"/>
      <c r="E818" s="175"/>
      <c r="F818" s="175"/>
      <c r="G818" s="175"/>
      <c r="H818" s="175"/>
      <c r="I818" s="175"/>
      <c r="J818" s="179"/>
      <c r="K818" s="179"/>
      <c r="L818" s="179"/>
      <c r="M818" s="179"/>
      <c r="N818" s="179"/>
      <c r="O818" s="179"/>
      <c r="P818" s="179"/>
      <c r="Q818" s="179"/>
      <c r="R818" s="179"/>
      <c r="S818" s="163"/>
      <c r="T818" s="180"/>
      <c r="U818" s="123" t="str">
        <f t="shared" si="1"/>
        <v>#DIV/0!</v>
      </c>
    </row>
    <row r="819">
      <c r="A819" s="175"/>
      <c r="B819" s="175"/>
      <c r="C819" s="175"/>
      <c r="D819" s="176"/>
      <c r="E819" s="175"/>
      <c r="F819" s="175"/>
      <c r="G819" s="175"/>
      <c r="H819" s="175"/>
      <c r="I819" s="175"/>
      <c r="J819" s="179"/>
      <c r="K819" s="179"/>
      <c r="L819" s="179"/>
      <c r="M819" s="179"/>
      <c r="N819" s="179"/>
      <c r="O819" s="179"/>
      <c r="P819" s="179"/>
      <c r="Q819" s="179"/>
      <c r="R819" s="179"/>
      <c r="S819" s="163"/>
      <c r="T819" s="180"/>
      <c r="U819" s="123" t="str">
        <f t="shared" si="1"/>
        <v>#DIV/0!</v>
      </c>
    </row>
    <row r="820">
      <c r="A820" s="175"/>
      <c r="B820" s="175"/>
      <c r="C820" s="175"/>
      <c r="D820" s="176"/>
      <c r="E820" s="175"/>
      <c r="F820" s="175"/>
      <c r="G820" s="175"/>
      <c r="H820" s="175"/>
      <c r="I820" s="175"/>
      <c r="J820" s="179"/>
      <c r="K820" s="179"/>
      <c r="L820" s="179"/>
      <c r="M820" s="179"/>
      <c r="N820" s="179"/>
      <c r="O820" s="179"/>
      <c r="P820" s="179"/>
      <c r="Q820" s="179"/>
      <c r="R820" s="179"/>
      <c r="S820" s="163"/>
      <c r="T820" s="180"/>
      <c r="U820" s="123" t="str">
        <f t="shared" si="1"/>
        <v>#DIV/0!</v>
      </c>
    </row>
    <row r="821">
      <c r="A821" s="175"/>
      <c r="B821" s="175"/>
      <c r="C821" s="175"/>
      <c r="D821" s="176"/>
      <c r="E821" s="175"/>
      <c r="F821" s="175"/>
      <c r="G821" s="175"/>
      <c r="H821" s="175"/>
      <c r="I821" s="175"/>
      <c r="J821" s="179"/>
      <c r="K821" s="179"/>
      <c r="L821" s="179"/>
      <c r="M821" s="179"/>
      <c r="N821" s="179"/>
      <c r="O821" s="179"/>
      <c r="P821" s="179"/>
      <c r="Q821" s="179"/>
      <c r="R821" s="179"/>
      <c r="S821" s="163"/>
      <c r="T821" s="180"/>
      <c r="U821" s="123" t="str">
        <f t="shared" si="1"/>
        <v>#DIV/0!</v>
      </c>
    </row>
    <row r="822">
      <c r="A822" s="175"/>
      <c r="B822" s="175"/>
      <c r="C822" s="175"/>
      <c r="D822" s="176"/>
      <c r="E822" s="175"/>
      <c r="F822" s="175"/>
      <c r="G822" s="175"/>
      <c r="H822" s="175"/>
      <c r="I822" s="175"/>
      <c r="J822" s="179"/>
      <c r="K822" s="179"/>
      <c r="L822" s="179"/>
      <c r="M822" s="179"/>
      <c r="N822" s="179"/>
      <c r="O822" s="179"/>
      <c r="P822" s="179"/>
      <c r="Q822" s="179"/>
      <c r="R822" s="179"/>
      <c r="S822" s="163"/>
      <c r="T822" s="180"/>
      <c r="U822" s="123" t="str">
        <f t="shared" si="1"/>
        <v>#DIV/0!</v>
      </c>
    </row>
    <row r="823">
      <c r="A823" s="175"/>
      <c r="B823" s="175"/>
      <c r="C823" s="175"/>
      <c r="D823" s="176"/>
      <c r="E823" s="175"/>
      <c r="F823" s="175"/>
      <c r="G823" s="175"/>
      <c r="H823" s="175"/>
      <c r="I823" s="175"/>
      <c r="J823" s="179"/>
      <c r="K823" s="179"/>
      <c r="L823" s="179"/>
      <c r="M823" s="179"/>
      <c r="N823" s="179"/>
      <c r="O823" s="179"/>
      <c r="P823" s="179"/>
      <c r="Q823" s="179"/>
      <c r="R823" s="179"/>
      <c r="S823" s="163"/>
      <c r="T823" s="180"/>
      <c r="U823" s="123" t="str">
        <f t="shared" si="1"/>
        <v>#DIV/0!</v>
      </c>
    </row>
    <row r="824">
      <c r="A824" s="175"/>
      <c r="B824" s="175"/>
      <c r="C824" s="175"/>
      <c r="D824" s="176"/>
      <c r="E824" s="175"/>
      <c r="F824" s="175"/>
      <c r="G824" s="175"/>
      <c r="H824" s="175"/>
      <c r="I824" s="175"/>
      <c r="J824" s="179"/>
      <c r="K824" s="179"/>
      <c r="L824" s="179"/>
      <c r="M824" s="179"/>
      <c r="N824" s="179"/>
      <c r="O824" s="179"/>
      <c r="P824" s="179"/>
      <c r="Q824" s="179"/>
      <c r="R824" s="179"/>
      <c r="S824" s="163"/>
      <c r="T824" s="180"/>
      <c r="U824" s="123" t="str">
        <f t="shared" si="1"/>
        <v>#DIV/0!</v>
      </c>
    </row>
    <row r="825">
      <c r="A825" s="175"/>
      <c r="B825" s="175"/>
      <c r="C825" s="175"/>
      <c r="D825" s="176"/>
      <c r="E825" s="175"/>
      <c r="F825" s="175"/>
      <c r="G825" s="175"/>
      <c r="H825" s="175"/>
      <c r="I825" s="175"/>
      <c r="J825" s="179"/>
      <c r="K825" s="179"/>
      <c r="L825" s="179"/>
      <c r="M825" s="179"/>
      <c r="N825" s="179"/>
      <c r="O825" s="179"/>
      <c r="P825" s="179"/>
      <c r="Q825" s="179"/>
      <c r="R825" s="179"/>
      <c r="S825" s="163"/>
      <c r="T825" s="180"/>
      <c r="U825" s="123" t="str">
        <f t="shared" si="1"/>
        <v>#DIV/0!</v>
      </c>
    </row>
    <row r="826">
      <c r="A826" s="175"/>
      <c r="B826" s="175"/>
      <c r="C826" s="175"/>
      <c r="D826" s="176"/>
      <c r="E826" s="175"/>
      <c r="F826" s="175"/>
      <c r="G826" s="175"/>
      <c r="H826" s="175"/>
      <c r="I826" s="175"/>
      <c r="J826" s="179"/>
      <c r="K826" s="179"/>
      <c r="L826" s="179"/>
      <c r="M826" s="179"/>
      <c r="N826" s="179"/>
      <c r="O826" s="179"/>
      <c r="P826" s="179"/>
      <c r="Q826" s="179"/>
      <c r="R826" s="179"/>
      <c r="S826" s="163"/>
      <c r="T826" s="180"/>
      <c r="U826" s="123" t="str">
        <f t="shared" si="1"/>
        <v>#DIV/0!</v>
      </c>
    </row>
    <row r="827">
      <c r="A827" s="175"/>
      <c r="B827" s="175"/>
      <c r="C827" s="175"/>
      <c r="D827" s="176"/>
      <c r="E827" s="175"/>
      <c r="F827" s="175"/>
      <c r="G827" s="175"/>
      <c r="H827" s="175"/>
      <c r="I827" s="175"/>
      <c r="J827" s="179"/>
      <c r="K827" s="179"/>
      <c r="L827" s="179"/>
      <c r="M827" s="179"/>
      <c r="N827" s="179"/>
      <c r="O827" s="179"/>
      <c r="P827" s="179"/>
      <c r="Q827" s="179"/>
      <c r="R827" s="179"/>
      <c r="S827" s="163"/>
      <c r="T827" s="180"/>
      <c r="U827" s="123" t="str">
        <f t="shared" si="1"/>
        <v>#DIV/0!</v>
      </c>
    </row>
    <row r="828">
      <c r="A828" s="175"/>
      <c r="B828" s="175"/>
      <c r="C828" s="175"/>
      <c r="D828" s="176"/>
      <c r="E828" s="175"/>
      <c r="F828" s="175"/>
      <c r="G828" s="175"/>
      <c r="H828" s="175"/>
      <c r="I828" s="175"/>
      <c r="J828" s="179"/>
      <c r="K828" s="179"/>
      <c r="L828" s="179"/>
      <c r="M828" s="179"/>
      <c r="N828" s="179"/>
      <c r="O828" s="179"/>
      <c r="P828" s="179"/>
      <c r="Q828" s="179"/>
      <c r="R828" s="179"/>
      <c r="S828" s="163"/>
      <c r="T828" s="180"/>
      <c r="U828" s="123" t="str">
        <f t="shared" si="1"/>
        <v>#DIV/0!</v>
      </c>
    </row>
    <row r="829">
      <c r="A829" s="175"/>
      <c r="B829" s="175"/>
      <c r="C829" s="175"/>
      <c r="D829" s="176"/>
      <c r="E829" s="175"/>
      <c r="F829" s="175"/>
      <c r="G829" s="175"/>
      <c r="H829" s="175"/>
      <c r="I829" s="175"/>
      <c r="J829" s="179"/>
      <c r="K829" s="179"/>
      <c r="L829" s="179"/>
      <c r="M829" s="179"/>
      <c r="N829" s="179"/>
      <c r="O829" s="179"/>
      <c r="P829" s="179"/>
      <c r="Q829" s="179"/>
      <c r="R829" s="179"/>
      <c r="S829" s="163"/>
      <c r="T829" s="180"/>
      <c r="U829" s="123" t="str">
        <f t="shared" si="1"/>
        <v>#DIV/0!</v>
      </c>
    </row>
    <row r="830">
      <c r="A830" s="175"/>
      <c r="B830" s="175"/>
      <c r="C830" s="175"/>
      <c r="D830" s="176"/>
      <c r="E830" s="175"/>
      <c r="F830" s="175"/>
      <c r="G830" s="175"/>
      <c r="H830" s="175"/>
      <c r="I830" s="175"/>
      <c r="J830" s="179"/>
      <c r="K830" s="179"/>
      <c r="L830" s="179"/>
      <c r="M830" s="179"/>
      <c r="N830" s="179"/>
      <c r="O830" s="179"/>
      <c r="P830" s="179"/>
      <c r="Q830" s="179"/>
      <c r="R830" s="179"/>
      <c r="S830" s="163"/>
      <c r="T830" s="180"/>
      <c r="U830" s="123" t="str">
        <f t="shared" si="1"/>
        <v>#DIV/0!</v>
      </c>
    </row>
    <row r="831">
      <c r="A831" s="175"/>
      <c r="B831" s="175"/>
      <c r="C831" s="175"/>
      <c r="D831" s="176"/>
      <c r="E831" s="175"/>
      <c r="F831" s="175"/>
      <c r="G831" s="175"/>
      <c r="H831" s="175"/>
      <c r="I831" s="175"/>
      <c r="J831" s="179"/>
      <c r="K831" s="179"/>
      <c r="L831" s="179"/>
      <c r="M831" s="179"/>
      <c r="N831" s="179"/>
      <c r="O831" s="179"/>
      <c r="P831" s="179"/>
      <c r="Q831" s="179"/>
      <c r="R831" s="179"/>
      <c r="S831" s="163"/>
      <c r="T831" s="180"/>
      <c r="U831" s="123" t="str">
        <f t="shared" si="1"/>
        <v>#DIV/0!</v>
      </c>
    </row>
    <row r="832">
      <c r="A832" s="175"/>
      <c r="B832" s="175"/>
      <c r="C832" s="175"/>
      <c r="D832" s="176"/>
      <c r="E832" s="175"/>
      <c r="F832" s="175"/>
      <c r="G832" s="175"/>
      <c r="H832" s="175"/>
      <c r="I832" s="175"/>
      <c r="J832" s="179"/>
      <c r="K832" s="179"/>
      <c r="L832" s="179"/>
      <c r="M832" s="179"/>
      <c r="N832" s="179"/>
      <c r="O832" s="179"/>
      <c r="P832" s="179"/>
      <c r="Q832" s="179"/>
      <c r="R832" s="179"/>
      <c r="S832" s="163"/>
      <c r="T832" s="180"/>
      <c r="U832" s="123" t="str">
        <f t="shared" si="1"/>
        <v>#DIV/0!</v>
      </c>
    </row>
    <row r="833">
      <c r="A833" s="175"/>
      <c r="B833" s="175"/>
      <c r="C833" s="175"/>
      <c r="D833" s="176"/>
      <c r="E833" s="175"/>
      <c r="F833" s="175"/>
      <c r="G833" s="175"/>
      <c r="H833" s="175"/>
      <c r="I833" s="175"/>
      <c r="J833" s="179"/>
      <c r="K833" s="179"/>
      <c r="L833" s="179"/>
      <c r="M833" s="179"/>
      <c r="N833" s="179"/>
      <c r="O833" s="179"/>
      <c r="P833" s="179"/>
      <c r="Q833" s="179"/>
      <c r="R833" s="179"/>
      <c r="S833" s="163"/>
      <c r="T833" s="180"/>
      <c r="U833" s="123" t="str">
        <f t="shared" si="1"/>
        <v>#DIV/0!</v>
      </c>
    </row>
    <row r="834">
      <c r="A834" s="175"/>
      <c r="B834" s="175"/>
      <c r="C834" s="175"/>
      <c r="D834" s="176"/>
      <c r="E834" s="175"/>
      <c r="F834" s="175"/>
      <c r="G834" s="175"/>
      <c r="H834" s="175"/>
      <c r="I834" s="175"/>
      <c r="J834" s="179"/>
      <c r="K834" s="179"/>
      <c r="L834" s="179"/>
      <c r="M834" s="179"/>
      <c r="N834" s="179"/>
      <c r="O834" s="179"/>
      <c r="P834" s="179"/>
      <c r="Q834" s="179"/>
      <c r="R834" s="179"/>
      <c r="S834" s="163"/>
      <c r="T834" s="180"/>
      <c r="U834" s="123" t="str">
        <f t="shared" si="1"/>
        <v>#DIV/0!</v>
      </c>
    </row>
    <row r="835">
      <c r="A835" s="175"/>
      <c r="B835" s="175"/>
      <c r="C835" s="175"/>
      <c r="D835" s="176"/>
      <c r="E835" s="175"/>
      <c r="F835" s="175"/>
      <c r="G835" s="175"/>
      <c r="H835" s="175"/>
      <c r="I835" s="175"/>
      <c r="J835" s="179"/>
      <c r="K835" s="179"/>
      <c r="L835" s="179"/>
      <c r="M835" s="179"/>
      <c r="N835" s="179"/>
      <c r="O835" s="179"/>
      <c r="P835" s="179"/>
      <c r="Q835" s="179"/>
      <c r="R835" s="179"/>
      <c r="S835" s="163"/>
      <c r="T835" s="180"/>
      <c r="U835" s="123" t="str">
        <f t="shared" si="1"/>
        <v>#DIV/0!</v>
      </c>
    </row>
    <row r="836">
      <c r="A836" s="175"/>
      <c r="B836" s="175"/>
      <c r="C836" s="175"/>
      <c r="D836" s="176"/>
      <c r="E836" s="175"/>
      <c r="F836" s="175"/>
      <c r="G836" s="175"/>
      <c r="H836" s="175"/>
      <c r="I836" s="175"/>
      <c r="J836" s="179"/>
      <c r="K836" s="179"/>
      <c r="L836" s="179"/>
      <c r="M836" s="179"/>
      <c r="N836" s="179"/>
      <c r="O836" s="179"/>
      <c r="P836" s="179"/>
      <c r="Q836" s="179"/>
      <c r="R836" s="179"/>
      <c r="S836" s="163"/>
      <c r="T836" s="180"/>
      <c r="U836" s="123" t="str">
        <f t="shared" si="1"/>
        <v>#DIV/0!</v>
      </c>
    </row>
    <row r="837">
      <c r="A837" s="175"/>
      <c r="B837" s="175"/>
      <c r="C837" s="175"/>
      <c r="D837" s="176"/>
      <c r="E837" s="175"/>
      <c r="F837" s="175"/>
      <c r="G837" s="175"/>
      <c r="H837" s="175"/>
      <c r="I837" s="175"/>
      <c r="J837" s="179"/>
      <c r="K837" s="179"/>
      <c r="L837" s="179"/>
      <c r="M837" s="179"/>
      <c r="N837" s="179"/>
      <c r="O837" s="179"/>
      <c r="P837" s="179"/>
      <c r="Q837" s="179"/>
      <c r="R837" s="179"/>
      <c r="S837" s="163"/>
      <c r="T837" s="180"/>
      <c r="U837" s="123" t="str">
        <f t="shared" si="1"/>
        <v>#DIV/0!</v>
      </c>
    </row>
    <row r="838">
      <c r="A838" s="175"/>
      <c r="B838" s="175"/>
      <c r="C838" s="175"/>
      <c r="D838" s="176"/>
      <c r="E838" s="175"/>
      <c r="F838" s="175"/>
      <c r="G838" s="175"/>
      <c r="H838" s="175"/>
      <c r="I838" s="175"/>
      <c r="J838" s="179"/>
      <c r="K838" s="179"/>
      <c r="L838" s="179"/>
      <c r="M838" s="179"/>
      <c r="N838" s="179"/>
      <c r="O838" s="179"/>
      <c r="P838" s="179"/>
      <c r="Q838" s="179"/>
      <c r="R838" s="179"/>
      <c r="S838" s="163"/>
      <c r="T838" s="180"/>
      <c r="U838" s="123" t="str">
        <f t="shared" si="1"/>
        <v>#DIV/0!</v>
      </c>
    </row>
    <row r="839">
      <c r="A839" s="175"/>
      <c r="B839" s="175"/>
      <c r="C839" s="175"/>
      <c r="D839" s="176"/>
      <c r="E839" s="175"/>
      <c r="F839" s="175"/>
      <c r="G839" s="175"/>
      <c r="H839" s="175"/>
      <c r="I839" s="175"/>
      <c r="J839" s="179"/>
      <c r="K839" s="179"/>
      <c r="L839" s="179"/>
      <c r="M839" s="179"/>
      <c r="N839" s="179"/>
      <c r="O839" s="179"/>
      <c r="P839" s="179"/>
      <c r="Q839" s="179"/>
      <c r="R839" s="179"/>
      <c r="S839" s="163"/>
      <c r="T839" s="180"/>
      <c r="U839" s="123" t="str">
        <f t="shared" si="1"/>
        <v>#DIV/0!</v>
      </c>
    </row>
    <row r="840">
      <c r="A840" s="175"/>
      <c r="B840" s="175"/>
      <c r="C840" s="175"/>
      <c r="D840" s="176"/>
      <c r="E840" s="175"/>
      <c r="F840" s="175"/>
      <c r="G840" s="175"/>
      <c r="H840" s="175"/>
      <c r="I840" s="175"/>
      <c r="J840" s="179"/>
      <c r="K840" s="179"/>
      <c r="L840" s="179"/>
      <c r="M840" s="179"/>
      <c r="N840" s="179"/>
      <c r="O840" s="179"/>
      <c r="P840" s="179"/>
      <c r="Q840" s="179"/>
      <c r="R840" s="179"/>
      <c r="S840" s="163"/>
      <c r="T840" s="180"/>
      <c r="U840" s="123" t="str">
        <f t="shared" si="1"/>
        <v>#DIV/0!</v>
      </c>
    </row>
    <row r="841">
      <c r="A841" s="175"/>
      <c r="B841" s="175"/>
      <c r="C841" s="175"/>
      <c r="D841" s="176"/>
      <c r="E841" s="175"/>
      <c r="F841" s="175"/>
      <c r="G841" s="175"/>
      <c r="H841" s="175"/>
      <c r="I841" s="175"/>
      <c r="J841" s="179"/>
      <c r="K841" s="179"/>
      <c r="L841" s="179"/>
      <c r="M841" s="179"/>
      <c r="N841" s="179"/>
      <c r="O841" s="179"/>
      <c r="P841" s="179"/>
      <c r="Q841" s="179"/>
      <c r="R841" s="179"/>
      <c r="S841" s="163"/>
      <c r="T841" s="180"/>
      <c r="U841" s="123" t="str">
        <f t="shared" si="1"/>
        <v>#DIV/0!</v>
      </c>
    </row>
    <row r="842">
      <c r="A842" s="175"/>
      <c r="B842" s="175"/>
      <c r="C842" s="175"/>
      <c r="D842" s="176"/>
      <c r="E842" s="175"/>
      <c r="F842" s="175"/>
      <c r="G842" s="175"/>
      <c r="H842" s="175"/>
      <c r="I842" s="175"/>
      <c r="J842" s="179"/>
      <c r="K842" s="179"/>
      <c r="L842" s="179"/>
      <c r="M842" s="179"/>
      <c r="N842" s="179"/>
      <c r="O842" s="179"/>
      <c r="P842" s="179"/>
      <c r="Q842" s="179"/>
      <c r="R842" s="179"/>
      <c r="S842" s="163"/>
      <c r="T842" s="180"/>
      <c r="U842" s="123" t="str">
        <f t="shared" si="1"/>
        <v>#DIV/0!</v>
      </c>
    </row>
    <row r="843">
      <c r="A843" s="175"/>
      <c r="B843" s="175"/>
      <c r="C843" s="175"/>
      <c r="D843" s="176"/>
      <c r="E843" s="175"/>
      <c r="F843" s="175"/>
      <c r="G843" s="175"/>
      <c r="H843" s="175"/>
      <c r="I843" s="175"/>
      <c r="J843" s="179"/>
      <c r="K843" s="179"/>
      <c r="L843" s="179"/>
      <c r="M843" s="179"/>
      <c r="N843" s="179"/>
      <c r="O843" s="179"/>
      <c r="P843" s="179"/>
      <c r="Q843" s="179"/>
      <c r="R843" s="179"/>
      <c r="S843" s="163"/>
      <c r="T843" s="180"/>
      <c r="U843" s="123" t="str">
        <f t="shared" si="1"/>
        <v>#DIV/0!</v>
      </c>
    </row>
    <row r="844">
      <c r="A844" s="175"/>
      <c r="B844" s="175"/>
      <c r="C844" s="175"/>
      <c r="D844" s="176"/>
      <c r="E844" s="175"/>
      <c r="F844" s="175"/>
      <c r="G844" s="175"/>
      <c r="H844" s="175"/>
      <c r="I844" s="175"/>
      <c r="J844" s="179"/>
      <c r="K844" s="179"/>
      <c r="L844" s="179"/>
      <c r="M844" s="179"/>
      <c r="N844" s="179"/>
      <c r="O844" s="179"/>
      <c r="P844" s="179"/>
      <c r="Q844" s="179"/>
      <c r="R844" s="179"/>
      <c r="S844" s="163"/>
      <c r="T844" s="180"/>
      <c r="U844" s="123" t="str">
        <f t="shared" si="1"/>
        <v>#DIV/0!</v>
      </c>
    </row>
    <row r="845">
      <c r="A845" s="175"/>
      <c r="B845" s="175"/>
      <c r="C845" s="175"/>
      <c r="D845" s="176"/>
      <c r="E845" s="175"/>
      <c r="F845" s="175"/>
      <c r="G845" s="175"/>
      <c r="H845" s="175"/>
      <c r="I845" s="175"/>
      <c r="J845" s="179"/>
      <c r="K845" s="179"/>
      <c r="L845" s="179"/>
      <c r="M845" s="179"/>
      <c r="N845" s="179"/>
      <c r="O845" s="179"/>
      <c r="P845" s="179"/>
      <c r="Q845" s="179"/>
      <c r="R845" s="179"/>
      <c r="S845" s="163"/>
      <c r="T845" s="180"/>
      <c r="U845" s="123" t="str">
        <f t="shared" si="1"/>
        <v>#DIV/0!</v>
      </c>
    </row>
    <row r="846">
      <c r="A846" s="175"/>
      <c r="B846" s="175"/>
      <c r="C846" s="175"/>
      <c r="D846" s="176"/>
      <c r="E846" s="175"/>
      <c r="F846" s="175"/>
      <c r="G846" s="175"/>
      <c r="H846" s="175"/>
      <c r="I846" s="175"/>
      <c r="J846" s="179"/>
      <c r="K846" s="179"/>
      <c r="L846" s="179"/>
      <c r="M846" s="179"/>
      <c r="N846" s="179"/>
      <c r="O846" s="179"/>
      <c r="P846" s="179"/>
      <c r="Q846" s="179"/>
      <c r="R846" s="179"/>
      <c r="S846" s="163"/>
      <c r="T846" s="180"/>
      <c r="U846" s="123" t="str">
        <f t="shared" si="1"/>
        <v>#DIV/0!</v>
      </c>
    </row>
    <row r="847">
      <c r="A847" s="175"/>
      <c r="B847" s="175"/>
      <c r="C847" s="175"/>
      <c r="D847" s="176"/>
      <c r="E847" s="175"/>
      <c r="F847" s="175"/>
      <c r="G847" s="175"/>
      <c r="H847" s="175"/>
      <c r="I847" s="175"/>
      <c r="J847" s="179"/>
      <c r="K847" s="179"/>
      <c r="L847" s="179"/>
      <c r="M847" s="179"/>
      <c r="N847" s="179"/>
      <c r="O847" s="179"/>
      <c r="P847" s="179"/>
      <c r="Q847" s="179"/>
      <c r="R847" s="179"/>
      <c r="S847" s="163"/>
      <c r="T847" s="180"/>
      <c r="U847" s="123" t="str">
        <f t="shared" si="1"/>
        <v>#DIV/0!</v>
      </c>
    </row>
    <row r="848">
      <c r="A848" s="175"/>
      <c r="B848" s="175"/>
      <c r="C848" s="175"/>
      <c r="D848" s="176"/>
      <c r="E848" s="175"/>
      <c r="F848" s="175"/>
      <c r="G848" s="175"/>
      <c r="H848" s="175"/>
      <c r="I848" s="175"/>
      <c r="J848" s="179"/>
      <c r="K848" s="179"/>
      <c r="L848" s="179"/>
      <c r="M848" s="179"/>
      <c r="N848" s="179"/>
      <c r="O848" s="179"/>
      <c r="P848" s="179"/>
      <c r="Q848" s="179"/>
      <c r="R848" s="179"/>
      <c r="S848" s="163"/>
      <c r="T848" s="180"/>
      <c r="U848" s="123" t="str">
        <f t="shared" si="1"/>
        <v>#DIV/0!</v>
      </c>
    </row>
    <row r="849">
      <c r="A849" s="175"/>
      <c r="B849" s="175"/>
      <c r="C849" s="175"/>
      <c r="D849" s="176"/>
      <c r="E849" s="175"/>
      <c r="F849" s="175"/>
      <c r="G849" s="175"/>
      <c r="H849" s="175"/>
      <c r="I849" s="175"/>
      <c r="J849" s="179"/>
      <c r="K849" s="179"/>
      <c r="L849" s="179"/>
      <c r="M849" s="179"/>
      <c r="N849" s="179"/>
      <c r="O849" s="179"/>
      <c r="P849" s="179"/>
      <c r="Q849" s="179"/>
      <c r="R849" s="179"/>
      <c r="S849" s="163"/>
      <c r="T849" s="180"/>
      <c r="U849" s="123" t="str">
        <f t="shared" si="1"/>
        <v>#DIV/0!</v>
      </c>
    </row>
    <row r="850">
      <c r="A850" s="175"/>
      <c r="B850" s="175"/>
      <c r="C850" s="175"/>
      <c r="D850" s="176"/>
      <c r="E850" s="175"/>
      <c r="F850" s="175"/>
      <c r="G850" s="175"/>
      <c r="H850" s="175"/>
      <c r="I850" s="175"/>
      <c r="J850" s="179"/>
      <c r="K850" s="179"/>
      <c r="L850" s="179"/>
      <c r="M850" s="179"/>
      <c r="N850" s="179"/>
      <c r="O850" s="179"/>
      <c r="P850" s="179"/>
      <c r="Q850" s="179"/>
      <c r="R850" s="179"/>
      <c r="S850" s="163"/>
      <c r="T850" s="180"/>
      <c r="U850" s="123" t="str">
        <f t="shared" si="1"/>
        <v>#DIV/0!</v>
      </c>
    </row>
    <row r="851">
      <c r="A851" s="175"/>
      <c r="B851" s="175"/>
      <c r="C851" s="175"/>
      <c r="D851" s="176"/>
      <c r="E851" s="175"/>
      <c r="F851" s="175"/>
      <c r="G851" s="175"/>
      <c r="H851" s="175"/>
      <c r="I851" s="175"/>
      <c r="J851" s="179"/>
      <c r="K851" s="179"/>
      <c r="L851" s="179"/>
      <c r="M851" s="179"/>
      <c r="N851" s="179"/>
      <c r="O851" s="179"/>
      <c r="P851" s="179"/>
      <c r="Q851" s="179"/>
      <c r="R851" s="179"/>
      <c r="S851" s="163"/>
      <c r="T851" s="180"/>
      <c r="U851" s="123" t="str">
        <f t="shared" si="1"/>
        <v>#DIV/0!</v>
      </c>
    </row>
    <row r="852">
      <c r="A852" s="175"/>
      <c r="B852" s="175"/>
      <c r="C852" s="175"/>
      <c r="D852" s="176"/>
      <c r="E852" s="175"/>
      <c r="F852" s="175"/>
      <c r="G852" s="175"/>
      <c r="H852" s="175"/>
      <c r="I852" s="175"/>
      <c r="J852" s="179"/>
      <c r="K852" s="179"/>
      <c r="L852" s="179"/>
      <c r="M852" s="179"/>
      <c r="N852" s="179"/>
      <c r="O852" s="179"/>
      <c r="P852" s="179"/>
      <c r="Q852" s="179"/>
      <c r="R852" s="179"/>
      <c r="S852" s="163"/>
      <c r="T852" s="180"/>
      <c r="U852" s="123" t="str">
        <f t="shared" si="1"/>
        <v>#DIV/0!</v>
      </c>
    </row>
    <row r="853">
      <c r="A853" s="175"/>
      <c r="B853" s="175"/>
      <c r="C853" s="175"/>
      <c r="D853" s="176"/>
      <c r="E853" s="175"/>
      <c r="F853" s="175"/>
      <c r="G853" s="175"/>
      <c r="H853" s="175"/>
      <c r="I853" s="175"/>
      <c r="J853" s="179"/>
      <c r="K853" s="179"/>
      <c r="L853" s="179"/>
      <c r="M853" s="179"/>
      <c r="N853" s="179"/>
      <c r="O853" s="179"/>
      <c r="P853" s="179"/>
      <c r="Q853" s="179"/>
      <c r="R853" s="179"/>
      <c r="S853" s="163"/>
      <c r="T853" s="180"/>
      <c r="U853" s="123" t="str">
        <f t="shared" si="1"/>
        <v>#DIV/0!</v>
      </c>
    </row>
    <row r="854">
      <c r="A854" s="175"/>
      <c r="B854" s="175"/>
      <c r="C854" s="175"/>
      <c r="D854" s="176"/>
      <c r="E854" s="175"/>
      <c r="F854" s="175"/>
      <c r="G854" s="175"/>
      <c r="H854" s="175"/>
      <c r="I854" s="175"/>
      <c r="J854" s="179"/>
      <c r="K854" s="179"/>
      <c r="L854" s="179"/>
      <c r="M854" s="179"/>
      <c r="N854" s="179"/>
      <c r="O854" s="179"/>
      <c r="P854" s="179"/>
      <c r="Q854" s="179"/>
      <c r="R854" s="179"/>
      <c r="S854" s="163"/>
      <c r="T854" s="180"/>
      <c r="U854" s="123" t="str">
        <f t="shared" si="1"/>
        <v>#DIV/0!</v>
      </c>
    </row>
    <row r="855">
      <c r="A855" s="175"/>
      <c r="B855" s="175"/>
      <c r="C855" s="175"/>
      <c r="D855" s="176"/>
      <c r="E855" s="175"/>
      <c r="F855" s="175"/>
      <c r="G855" s="175"/>
      <c r="H855" s="175"/>
      <c r="I855" s="175"/>
      <c r="J855" s="179"/>
      <c r="K855" s="179"/>
      <c r="L855" s="179"/>
      <c r="M855" s="179"/>
      <c r="N855" s="179"/>
      <c r="O855" s="179"/>
      <c r="P855" s="179"/>
      <c r="Q855" s="179"/>
      <c r="R855" s="179"/>
      <c r="S855" s="163"/>
      <c r="T855" s="180"/>
      <c r="U855" s="123" t="str">
        <f t="shared" si="1"/>
        <v>#DIV/0!</v>
      </c>
    </row>
    <row r="856">
      <c r="A856" s="175"/>
      <c r="B856" s="175"/>
      <c r="C856" s="175"/>
      <c r="D856" s="176"/>
      <c r="E856" s="175"/>
      <c r="F856" s="175"/>
      <c r="G856" s="175"/>
      <c r="H856" s="175"/>
      <c r="I856" s="175"/>
      <c r="J856" s="179"/>
      <c r="K856" s="179"/>
      <c r="L856" s="179"/>
      <c r="M856" s="179"/>
      <c r="N856" s="179"/>
      <c r="O856" s="179"/>
      <c r="P856" s="179"/>
      <c r="Q856" s="179"/>
      <c r="R856" s="179"/>
      <c r="S856" s="163"/>
      <c r="T856" s="180"/>
      <c r="U856" s="123" t="str">
        <f t="shared" si="1"/>
        <v>#DIV/0!</v>
      </c>
    </row>
    <row r="857">
      <c r="A857" s="175"/>
      <c r="B857" s="175"/>
      <c r="C857" s="175"/>
      <c r="D857" s="176"/>
      <c r="E857" s="175"/>
      <c r="F857" s="175"/>
      <c r="G857" s="175"/>
      <c r="H857" s="175"/>
      <c r="I857" s="175"/>
      <c r="J857" s="179"/>
      <c r="K857" s="179"/>
      <c r="L857" s="179"/>
      <c r="M857" s="179"/>
      <c r="N857" s="179"/>
      <c r="O857" s="179"/>
      <c r="P857" s="179"/>
      <c r="Q857" s="179"/>
      <c r="R857" s="179"/>
      <c r="S857" s="163"/>
      <c r="T857" s="180"/>
      <c r="U857" s="123" t="str">
        <f t="shared" si="1"/>
        <v>#DIV/0!</v>
      </c>
    </row>
    <row r="858">
      <c r="A858" s="175"/>
      <c r="B858" s="175"/>
      <c r="C858" s="175"/>
      <c r="D858" s="176"/>
      <c r="E858" s="175"/>
      <c r="F858" s="175"/>
      <c r="G858" s="175"/>
      <c r="H858" s="175"/>
      <c r="I858" s="175"/>
      <c r="J858" s="179"/>
      <c r="K858" s="179"/>
      <c r="L858" s="179"/>
      <c r="M858" s="179"/>
      <c r="N858" s="179"/>
      <c r="O858" s="179"/>
      <c r="P858" s="179"/>
      <c r="Q858" s="179"/>
      <c r="R858" s="179"/>
      <c r="S858" s="163"/>
      <c r="T858" s="180"/>
      <c r="U858" s="123" t="str">
        <f t="shared" si="1"/>
        <v>#DIV/0!</v>
      </c>
    </row>
    <row r="859">
      <c r="A859" s="175"/>
      <c r="B859" s="175"/>
      <c r="C859" s="175"/>
      <c r="D859" s="176"/>
      <c r="E859" s="175"/>
      <c r="F859" s="175"/>
      <c r="G859" s="175"/>
      <c r="H859" s="175"/>
      <c r="I859" s="175"/>
      <c r="J859" s="179"/>
      <c r="K859" s="179"/>
      <c r="L859" s="179"/>
      <c r="M859" s="179"/>
      <c r="N859" s="179"/>
      <c r="O859" s="179"/>
      <c r="P859" s="179"/>
      <c r="Q859" s="179"/>
      <c r="R859" s="179"/>
      <c r="S859" s="163"/>
      <c r="T859" s="180"/>
      <c r="U859" s="123" t="str">
        <f t="shared" si="1"/>
        <v>#DIV/0!</v>
      </c>
    </row>
    <row r="860">
      <c r="A860" s="175"/>
      <c r="B860" s="175"/>
      <c r="C860" s="175"/>
      <c r="D860" s="176"/>
      <c r="E860" s="175"/>
      <c r="F860" s="175"/>
      <c r="G860" s="175"/>
      <c r="H860" s="175"/>
      <c r="I860" s="175"/>
      <c r="J860" s="179"/>
      <c r="K860" s="179"/>
      <c r="L860" s="179"/>
      <c r="M860" s="179"/>
      <c r="N860" s="179"/>
      <c r="O860" s="179"/>
      <c r="P860" s="179"/>
      <c r="Q860" s="179"/>
      <c r="R860" s="179"/>
      <c r="S860" s="163"/>
      <c r="T860" s="180"/>
      <c r="U860" s="123" t="str">
        <f t="shared" si="1"/>
        <v>#DIV/0!</v>
      </c>
    </row>
    <row r="861">
      <c r="A861" s="175"/>
      <c r="B861" s="175"/>
      <c r="C861" s="175"/>
      <c r="D861" s="176"/>
      <c r="E861" s="175"/>
      <c r="F861" s="175"/>
      <c r="G861" s="175"/>
      <c r="H861" s="175"/>
      <c r="I861" s="175"/>
      <c r="J861" s="179"/>
      <c r="K861" s="179"/>
      <c r="L861" s="179"/>
      <c r="M861" s="179"/>
      <c r="N861" s="179"/>
      <c r="O861" s="179"/>
      <c r="P861" s="179"/>
      <c r="Q861" s="179"/>
      <c r="R861" s="179"/>
      <c r="S861" s="163"/>
      <c r="T861" s="180"/>
      <c r="U861" s="123" t="str">
        <f t="shared" si="1"/>
        <v>#DIV/0!</v>
      </c>
    </row>
    <row r="862">
      <c r="A862" s="175"/>
      <c r="B862" s="175"/>
      <c r="C862" s="175"/>
      <c r="D862" s="176"/>
      <c r="E862" s="175"/>
      <c r="F862" s="175"/>
      <c r="G862" s="175"/>
      <c r="H862" s="175"/>
      <c r="I862" s="175"/>
      <c r="J862" s="179"/>
      <c r="K862" s="179"/>
      <c r="L862" s="179"/>
      <c r="M862" s="179"/>
      <c r="N862" s="179"/>
      <c r="O862" s="179"/>
      <c r="P862" s="179"/>
      <c r="Q862" s="179"/>
      <c r="R862" s="179"/>
      <c r="S862" s="163"/>
      <c r="T862" s="180"/>
      <c r="U862" s="123" t="str">
        <f t="shared" si="1"/>
        <v>#DIV/0!</v>
      </c>
    </row>
    <row r="863">
      <c r="A863" s="175"/>
      <c r="B863" s="175"/>
      <c r="C863" s="175"/>
      <c r="D863" s="176"/>
      <c r="E863" s="175"/>
      <c r="F863" s="175"/>
      <c r="G863" s="175"/>
      <c r="H863" s="175"/>
      <c r="I863" s="175"/>
      <c r="J863" s="179"/>
      <c r="K863" s="179"/>
      <c r="L863" s="179"/>
      <c r="M863" s="179"/>
      <c r="N863" s="179"/>
      <c r="O863" s="179"/>
      <c r="P863" s="179"/>
      <c r="Q863" s="179"/>
      <c r="R863" s="179"/>
      <c r="S863" s="163"/>
      <c r="T863" s="180"/>
      <c r="U863" s="123" t="str">
        <f t="shared" si="1"/>
        <v>#DIV/0!</v>
      </c>
    </row>
    <row r="864">
      <c r="A864" s="175"/>
      <c r="B864" s="175"/>
      <c r="C864" s="175"/>
      <c r="D864" s="176"/>
      <c r="E864" s="175"/>
      <c r="F864" s="175"/>
      <c r="G864" s="175"/>
      <c r="H864" s="175"/>
      <c r="I864" s="175"/>
      <c r="J864" s="179"/>
      <c r="K864" s="179"/>
      <c r="L864" s="179"/>
      <c r="M864" s="179"/>
      <c r="N864" s="179"/>
      <c r="O864" s="179"/>
      <c r="P864" s="179"/>
      <c r="Q864" s="179"/>
      <c r="R864" s="179"/>
      <c r="S864" s="163"/>
      <c r="T864" s="180"/>
      <c r="U864" s="123" t="str">
        <f t="shared" si="1"/>
        <v>#DIV/0!</v>
      </c>
    </row>
    <row r="865">
      <c r="A865" s="175"/>
      <c r="B865" s="175"/>
      <c r="C865" s="175"/>
      <c r="D865" s="176"/>
      <c r="E865" s="175"/>
      <c r="F865" s="175"/>
      <c r="G865" s="175"/>
      <c r="H865" s="175"/>
      <c r="I865" s="175"/>
      <c r="J865" s="179"/>
      <c r="K865" s="179"/>
      <c r="L865" s="179"/>
      <c r="M865" s="179"/>
      <c r="N865" s="179"/>
      <c r="O865" s="179"/>
      <c r="P865" s="179"/>
      <c r="Q865" s="179"/>
      <c r="R865" s="179"/>
      <c r="S865" s="163"/>
      <c r="T865" s="180"/>
      <c r="U865" s="123" t="str">
        <f t="shared" si="1"/>
        <v>#DIV/0!</v>
      </c>
    </row>
    <row r="866">
      <c r="A866" s="175"/>
      <c r="B866" s="175"/>
      <c r="C866" s="175"/>
      <c r="D866" s="176"/>
      <c r="E866" s="175"/>
      <c r="F866" s="175"/>
      <c r="G866" s="175"/>
      <c r="H866" s="175"/>
      <c r="I866" s="175"/>
      <c r="J866" s="179"/>
      <c r="K866" s="179"/>
      <c r="L866" s="179"/>
      <c r="M866" s="179"/>
      <c r="N866" s="179"/>
      <c r="O866" s="179"/>
      <c r="P866" s="179"/>
      <c r="Q866" s="179"/>
      <c r="R866" s="179"/>
      <c r="S866" s="163"/>
      <c r="T866" s="180"/>
      <c r="U866" s="123" t="str">
        <f t="shared" si="1"/>
        <v>#DIV/0!</v>
      </c>
    </row>
    <row r="867">
      <c r="A867" s="175"/>
      <c r="B867" s="175"/>
      <c r="C867" s="175"/>
      <c r="D867" s="176"/>
      <c r="E867" s="175"/>
      <c r="F867" s="175"/>
      <c r="G867" s="175"/>
      <c r="H867" s="175"/>
      <c r="I867" s="175"/>
      <c r="J867" s="179"/>
      <c r="K867" s="179"/>
      <c r="L867" s="179"/>
      <c r="M867" s="179"/>
      <c r="N867" s="179"/>
      <c r="O867" s="179"/>
      <c r="P867" s="179"/>
      <c r="Q867" s="179"/>
      <c r="R867" s="179"/>
      <c r="S867" s="163"/>
      <c r="T867" s="180"/>
      <c r="U867" s="123" t="str">
        <f t="shared" si="1"/>
        <v>#DIV/0!</v>
      </c>
    </row>
    <row r="868">
      <c r="A868" s="175"/>
      <c r="B868" s="175"/>
      <c r="C868" s="175"/>
      <c r="D868" s="176"/>
      <c r="E868" s="175"/>
      <c r="F868" s="175"/>
      <c r="G868" s="175"/>
      <c r="H868" s="175"/>
      <c r="I868" s="175"/>
      <c r="J868" s="179"/>
      <c r="K868" s="179"/>
      <c r="L868" s="179"/>
      <c r="M868" s="179"/>
      <c r="N868" s="179"/>
      <c r="O868" s="179"/>
      <c r="P868" s="179"/>
      <c r="Q868" s="179"/>
      <c r="R868" s="179"/>
      <c r="S868" s="163"/>
      <c r="T868" s="180"/>
      <c r="U868" s="123" t="str">
        <f t="shared" si="1"/>
        <v>#DIV/0!</v>
      </c>
    </row>
    <row r="869">
      <c r="A869" s="175"/>
      <c r="B869" s="175"/>
      <c r="C869" s="175"/>
      <c r="D869" s="176"/>
      <c r="E869" s="175"/>
      <c r="F869" s="175"/>
      <c r="G869" s="175"/>
      <c r="H869" s="175"/>
      <c r="I869" s="175"/>
      <c r="J869" s="179"/>
      <c r="K869" s="179"/>
      <c r="L869" s="179"/>
      <c r="M869" s="179"/>
      <c r="N869" s="179"/>
      <c r="O869" s="179"/>
      <c r="P869" s="179"/>
      <c r="Q869" s="179"/>
      <c r="R869" s="179"/>
      <c r="S869" s="163"/>
      <c r="T869" s="180"/>
      <c r="U869" s="123" t="str">
        <f t="shared" si="1"/>
        <v>#DIV/0!</v>
      </c>
    </row>
    <row r="870">
      <c r="A870" s="175"/>
      <c r="B870" s="175"/>
      <c r="C870" s="175"/>
      <c r="D870" s="176"/>
      <c r="E870" s="175"/>
      <c r="F870" s="175"/>
      <c r="G870" s="175"/>
      <c r="H870" s="175"/>
      <c r="I870" s="175"/>
      <c r="J870" s="179"/>
      <c r="K870" s="179"/>
      <c r="L870" s="179"/>
      <c r="M870" s="179"/>
      <c r="N870" s="179"/>
      <c r="O870" s="179"/>
      <c r="P870" s="179"/>
      <c r="Q870" s="179"/>
      <c r="R870" s="179"/>
      <c r="S870" s="163"/>
      <c r="T870" s="180"/>
      <c r="U870" s="123" t="str">
        <f t="shared" si="1"/>
        <v>#DIV/0!</v>
      </c>
    </row>
    <row r="871">
      <c r="A871" s="175"/>
      <c r="B871" s="175"/>
      <c r="C871" s="175"/>
      <c r="D871" s="176"/>
      <c r="E871" s="175"/>
      <c r="F871" s="175"/>
      <c r="G871" s="175"/>
      <c r="H871" s="175"/>
      <c r="I871" s="175"/>
      <c r="J871" s="179"/>
      <c r="K871" s="179"/>
      <c r="L871" s="179"/>
      <c r="M871" s="179"/>
      <c r="N871" s="179"/>
      <c r="O871" s="179"/>
      <c r="P871" s="179"/>
      <c r="Q871" s="179"/>
      <c r="R871" s="179"/>
      <c r="S871" s="163"/>
      <c r="T871" s="180"/>
      <c r="U871" s="123" t="str">
        <f t="shared" si="1"/>
        <v>#DIV/0!</v>
      </c>
    </row>
    <row r="872">
      <c r="A872" s="175"/>
      <c r="B872" s="175"/>
      <c r="C872" s="175"/>
      <c r="D872" s="176"/>
      <c r="E872" s="175"/>
      <c r="F872" s="175"/>
      <c r="G872" s="175"/>
      <c r="H872" s="175"/>
      <c r="I872" s="175"/>
      <c r="J872" s="179"/>
      <c r="K872" s="179"/>
      <c r="L872" s="179"/>
      <c r="M872" s="179"/>
      <c r="N872" s="179"/>
      <c r="O872" s="179"/>
      <c r="P872" s="179"/>
      <c r="Q872" s="179"/>
      <c r="R872" s="179"/>
      <c r="S872" s="163"/>
      <c r="T872" s="180"/>
      <c r="U872" s="123" t="str">
        <f t="shared" si="1"/>
        <v>#DIV/0!</v>
      </c>
    </row>
    <row r="873">
      <c r="A873" s="175"/>
      <c r="B873" s="175"/>
      <c r="C873" s="175"/>
      <c r="D873" s="176"/>
      <c r="E873" s="175"/>
      <c r="F873" s="175"/>
      <c r="G873" s="175"/>
      <c r="H873" s="175"/>
      <c r="I873" s="175"/>
      <c r="J873" s="179"/>
      <c r="K873" s="179"/>
      <c r="L873" s="179"/>
      <c r="M873" s="179"/>
      <c r="N873" s="179"/>
      <c r="O873" s="179"/>
      <c r="P873" s="179"/>
      <c r="Q873" s="179"/>
      <c r="R873" s="179"/>
      <c r="S873" s="163"/>
      <c r="T873" s="180"/>
      <c r="U873" s="123" t="str">
        <f t="shared" si="1"/>
        <v>#DIV/0!</v>
      </c>
    </row>
    <row r="874">
      <c r="A874" s="175"/>
      <c r="B874" s="175"/>
      <c r="C874" s="175"/>
      <c r="D874" s="176"/>
      <c r="E874" s="175"/>
      <c r="F874" s="175"/>
      <c r="G874" s="175"/>
      <c r="H874" s="175"/>
      <c r="I874" s="175"/>
      <c r="J874" s="179"/>
      <c r="K874" s="179"/>
      <c r="L874" s="179"/>
      <c r="M874" s="179"/>
      <c r="N874" s="179"/>
      <c r="O874" s="179"/>
      <c r="P874" s="179"/>
      <c r="Q874" s="179"/>
      <c r="R874" s="179"/>
      <c r="S874" s="163"/>
      <c r="T874" s="180"/>
      <c r="U874" s="123" t="str">
        <f t="shared" si="1"/>
        <v>#DIV/0!</v>
      </c>
    </row>
    <row r="875">
      <c r="A875" s="175"/>
      <c r="B875" s="175"/>
      <c r="C875" s="175"/>
      <c r="D875" s="176"/>
      <c r="E875" s="175"/>
      <c r="F875" s="175"/>
      <c r="G875" s="175"/>
      <c r="H875" s="175"/>
      <c r="I875" s="175"/>
      <c r="J875" s="179"/>
      <c r="K875" s="179"/>
      <c r="L875" s="179"/>
      <c r="M875" s="179"/>
      <c r="N875" s="179"/>
      <c r="O875" s="179"/>
      <c r="P875" s="179"/>
      <c r="Q875" s="179"/>
      <c r="R875" s="179"/>
      <c r="S875" s="163"/>
      <c r="T875" s="180"/>
      <c r="U875" s="123" t="str">
        <f t="shared" si="1"/>
        <v>#DIV/0!</v>
      </c>
    </row>
    <row r="876">
      <c r="A876" s="175"/>
      <c r="B876" s="175"/>
      <c r="C876" s="175"/>
      <c r="D876" s="176"/>
      <c r="E876" s="175"/>
      <c r="F876" s="175"/>
      <c r="G876" s="175"/>
      <c r="H876" s="175"/>
      <c r="I876" s="175"/>
      <c r="J876" s="179"/>
      <c r="K876" s="179"/>
      <c r="L876" s="179"/>
      <c r="M876" s="179"/>
      <c r="N876" s="179"/>
      <c r="O876" s="179"/>
      <c r="P876" s="179"/>
      <c r="Q876" s="179"/>
      <c r="R876" s="179"/>
      <c r="S876" s="163"/>
      <c r="T876" s="180"/>
      <c r="U876" s="123" t="str">
        <f t="shared" si="1"/>
        <v>#DIV/0!</v>
      </c>
    </row>
    <row r="877">
      <c r="A877" s="175"/>
      <c r="B877" s="175"/>
      <c r="C877" s="175"/>
      <c r="D877" s="176"/>
      <c r="E877" s="175"/>
      <c r="F877" s="175"/>
      <c r="G877" s="175"/>
      <c r="H877" s="175"/>
      <c r="I877" s="175"/>
      <c r="J877" s="179"/>
      <c r="K877" s="179"/>
      <c r="L877" s="179"/>
      <c r="M877" s="179"/>
      <c r="N877" s="179"/>
      <c r="O877" s="179"/>
      <c r="P877" s="179"/>
      <c r="Q877" s="179"/>
      <c r="R877" s="179"/>
      <c r="S877" s="163"/>
      <c r="T877" s="180"/>
      <c r="U877" s="123" t="str">
        <f t="shared" si="1"/>
        <v>#DIV/0!</v>
      </c>
    </row>
    <row r="878">
      <c r="A878" s="175"/>
      <c r="B878" s="175"/>
      <c r="C878" s="175"/>
      <c r="D878" s="176"/>
      <c r="E878" s="175"/>
      <c r="F878" s="175"/>
      <c r="G878" s="175"/>
      <c r="H878" s="175"/>
      <c r="I878" s="175"/>
      <c r="J878" s="179"/>
      <c r="K878" s="179"/>
      <c r="L878" s="179"/>
      <c r="M878" s="179"/>
      <c r="N878" s="179"/>
      <c r="O878" s="179"/>
      <c r="P878" s="179"/>
      <c r="Q878" s="179"/>
      <c r="R878" s="179"/>
      <c r="S878" s="163"/>
      <c r="T878" s="180"/>
      <c r="U878" s="123" t="str">
        <f t="shared" si="1"/>
        <v>#DIV/0!</v>
      </c>
    </row>
    <row r="879">
      <c r="A879" s="175"/>
      <c r="B879" s="175"/>
      <c r="C879" s="175"/>
      <c r="D879" s="176"/>
      <c r="E879" s="175"/>
      <c r="F879" s="175"/>
      <c r="G879" s="175"/>
      <c r="H879" s="175"/>
      <c r="I879" s="175"/>
      <c r="J879" s="179"/>
      <c r="K879" s="179"/>
      <c r="L879" s="179"/>
      <c r="M879" s="179"/>
      <c r="N879" s="179"/>
      <c r="O879" s="179"/>
      <c r="P879" s="179"/>
      <c r="Q879" s="179"/>
      <c r="R879" s="179"/>
      <c r="S879" s="163"/>
      <c r="T879" s="180"/>
      <c r="U879" s="123" t="str">
        <f t="shared" si="1"/>
        <v>#DIV/0!</v>
      </c>
    </row>
    <row r="880">
      <c r="A880" s="175"/>
      <c r="B880" s="175"/>
      <c r="C880" s="175"/>
      <c r="D880" s="176"/>
      <c r="E880" s="175"/>
      <c r="F880" s="175"/>
      <c r="G880" s="175"/>
      <c r="H880" s="175"/>
      <c r="I880" s="175"/>
      <c r="J880" s="179"/>
      <c r="K880" s="179"/>
      <c r="L880" s="179"/>
      <c r="M880" s="179"/>
      <c r="N880" s="179"/>
      <c r="O880" s="179"/>
      <c r="P880" s="179"/>
      <c r="Q880" s="179"/>
      <c r="R880" s="179"/>
      <c r="S880" s="163"/>
      <c r="T880" s="180"/>
      <c r="U880" s="123" t="str">
        <f t="shared" si="1"/>
        <v>#DIV/0!</v>
      </c>
    </row>
    <row r="881">
      <c r="A881" s="175"/>
      <c r="B881" s="175"/>
      <c r="C881" s="175"/>
      <c r="D881" s="176"/>
      <c r="E881" s="175"/>
      <c r="F881" s="175"/>
      <c r="G881" s="175"/>
      <c r="H881" s="175"/>
      <c r="I881" s="175"/>
      <c r="J881" s="179"/>
      <c r="K881" s="179"/>
      <c r="L881" s="179"/>
      <c r="M881" s="179"/>
      <c r="N881" s="179"/>
      <c r="O881" s="179"/>
      <c r="P881" s="179"/>
      <c r="Q881" s="179"/>
      <c r="R881" s="179"/>
      <c r="S881" s="163"/>
      <c r="T881" s="180"/>
      <c r="U881" s="123" t="str">
        <f t="shared" si="1"/>
        <v>#DIV/0!</v>
      </c>
    </row>
    <row r="882">
      <c r="A882" s="175"/>
      <c r="B882" s="175"/>
      <c r="C882" s="175"/>
      <c r="D882" s="176"/>
      <c r="E882" s="175"/>
      <c r="F882" s="175"/>
      <c r="G882" s="175"/>
      <c r="H882" s="175"/>
      <c r="I882" s="175"/>
      <c r="J882" s="179"/>
      <c r="K882" s="179"/>
      <c r="L882" s="179"/>
      <c r="M882" s="179"/>
      <c r="N882" s="179"/>
      <c r="O882" s="179"/>
      <c r="P882" s="179"/>
      <c r="Q882" s="179"/>
      <c r="R882" s="179"/>
      <c r="S882" s="163"/>
      <c r="T882" s="180"/>
      <c r="U882" s="123" t="str">
        <f t="shared" si="1"/>
        <v>#DIV/0!</v>
      </c>
    </row>
    <row r="883">
      <c r="A883" s="175"/>
      <c r="B883" s="175"/>
      <c r="C883" s="175"/>
      <c r="D883" s="176"/>
      <c r="E883" s="175"/>
      <c r="F883" s="175"/>
      <c r="G883" s="175"/>
      <c r="H883" s="175"/>
      <c r="I883" s="175"/>
      <c r="J883" s="179"/>
      <c r="K883" s="179"/>
      <c r="L883" s="179"/>
      <c r="M883" s="179"/>
      <c r="N883" s="179"/>
      <c r="O883" s="179"/>
      <c r="P883" s="179"/>
      <c r="Q883" s="179"/>
      <c r="R883" s="179"/>
      <c r="S883" s="163"/>
      <c r="T883" s="180"/>
      <c r="U883" s="123" t="str">
        <f t="shared" si="1"/>
        <v>#DIV/0!</v>
      </c>
    </row>
    <row r="884">
      <c r="A884" s="175"/>
      <c r="B884" s="175"/>
      <c r="C884" s="175"/>
      <c r="D884" s="176"/>
      <c r="E884" s="175"/>
      <c r="F884" s="175"/>
      <c r="G884" s="175"/>
      <c r="H884" s="175"/>
      <c r="I884" s="175"/>
      <c r="J884" s="179"/>
      <c r="K884" s="179"/>
      <c r="L884" s="179"/>
      <c r="M884" s="179"/>
      <c r="N884" s="179"/>
      <c r="O884" s="179"/>
      <c r="P884" s="179"/>
      <c r="Q884" s="179"/>
      <c r="R884" s="179"/>
      <c r="S884" s="163"/>
      <c r="T884" s="180"/>
      <c r="U884" s="123" t="str">
        <f t="shared" si="1"/>
        <v>#DIV/0!</v>
      </c>
    </row>
    <row r="885">
      <c r="A885" s="175"/>
      <c r="B885" s="175"/>
      <c r="C885" s="175"/>
      <c r="D885" s="176"/>
      <c r="E885" s="175"/>
      <c r="F885" s="175"/>
      <c r="G885" s="175"/>
      <c r="H885" s="175"/>
      <c r="I885" s="175"/>
      <c r="J885" s="179"/>
      <c r="K885" s="179"/>
      <c r="L885" s="179"/>
      <c r="M885" s="179"/>
      <c r="N885" s="179"/>
      <c r="O885" s="179"/>
      <c r="P885" s="179"/>
      <c r="Q885" s="179"/>
      <c r="R885" s="179"/>
      <c r="S885" s="163"/>
      <c r="T885" s="180"/>
      <c r="U885" s="123" t="str">
        <f t="shared" si="1"/>
        <v>#DIV/0!</v>
      </c>
    </row>
    <row r="886">
      <c r="A886" s="175"/>
      <c r="B886" s="175"/>
      <c r="C886" s="175"/>
      <c r="D886" s="176"/>
      <c r="E886" s="175"/>
      <c r="F886" s="175"/>
      <c r="G886" s="175"/>
      <c r="H886" s="175"/>
      <c r="I886" s="175"/>
      <c r="J886" s="179"/>
      <c r="K886" s="179"/>
      <c r="L886" s="179"/>
      <c r="M886" s="179"/>
      <c r="N886" s="179"/>
      <c r="O886" s="179"/>
      <c r="P886" s="179"/>
      <c r="Q886" s="179"/>
      <c r="R886" s="179"/>
      <c r="S886" s="163"/>
      <c r="T886" s="180"/>
      <c r="U886" s="123" t="str">
        <f t="shared" si="1"/>
        <v>#DIV/0!</v>
      </c>
    </row>
    <row r="887">
      <c r="A887" s="175"/>
      <c r="B887" s="175"/>
      <c r="C887" s="175"/>
      <c r="D887" s="176"/>
      <c r="E887" s="175"/>
      <c r="F887" s="175"/>
      <c r="G887" s="175"/>
      <c r="H887" s="175"/>
      <c r="I887" s="175"/>
      <c r="J887" s="179"/>
      <c r="K887" s="179"/>
      <c r="L887" s="179"/>
      <c r="M887" s="179"/>
      <c r="N887" s="179"/>
      <c r="O887" s="179"/>
      <c r="P887" s="179"/>
      <c r="Q887" s="179"/>
      <c r="R887" s="179"/>
      <c r="S887" s="163"/>
      <c r="T887" s="180"/>
      <c r="U887" s="123" t="str">
        <f t="shared" si="1"/>
        <v>#DIV/0!</v>
      </c>
    </row>
    <row r="888">
      <c r="A888" s="175"/>
      <c r="B888" s="175"/>
      <c r="C888" s="175"/>
      <c r="D888" s="176"/>
      <c r="E888" s="175"/>
      <c r="F888" s="175"/>
      <c r="G888" s="175"/>
      <c r="H888" s="175"/>
      <c r="I888" s="175"/>
      <c r="J888" s="179"/>
      <c r="K888" s="179"/>
      <c r="L888" s="179"/>
      <c r="M888" s="179"/>
      <c r="N888" s="179"/>
      <c r="O888" s="179"/>
      <c r="P888" s="179"/>
      <c r="Q888" s="179"/>
      <c r="R888" s="179"/>
      <c r="S888" s="163"/>
      <c r="T888" s="180"/>
      <c r="U888" s="123" t="str">
        <f t="shared" si="1"/>
        <v>#DIV/0!</v>
      </c>
    </row>
    <row r="889">
      <c r="A889" s="175"/>
      <c r="B889" s="175"/>
      <c r="C889" s="175"/>
      <c r="D889" s="176"/>
      <c r="E889" s="175"/>
      <c r="F889" s="175"/>
      <c r="G889" s="175"/>
      <c r="H889" s="175"/>
      <c r="I889" s="175"/>
      <c r="J889" s="179"/>
      <c r="K889" s="179"/>
      <c r="L889" s="179"/>
      <c r="M889" s="179"/>
      <c r="N889" s="179"/>
      <c r="O889" s="179"/>
      <c r="P889" s="179"/>
      <c r="Q889" s="179"/>
      <c r="R889" s="179"/>
      <c r="S889" s="163"/>
      <c r="T889" s="180"/>
      <c r="U889" s="123" t="str">
        <f t="shared" si="1"/>
        <v>#DIV/0!</v>
      </c>
    </row>
    <row r="890">
      <c r="A890" s="175"/>
      <c r="B890" s="175"/>
      <c r="C890" s="175"/>
      <c r="D890" s="176"/>
      <c r="E890" s="175"/>
      <c r="F890" s="175"/>
      <c r="G890" s="175"/>
      <c r="H890" s="175"/>
      <c r="I890" s="175"/>
      <c r="J890" s="179"/>
      <c r="K890" s="179"/>
      <c r="L890" s="179"/>
      <c r="M890" s="179"/>
      <c r="N890" s="179"/>
      <c r="O890" s="179"/>
      <c r="P890" s="179"/>
      <c r="Q890" s="179"/>
      <c r="R890" s="179"/>
      <c r="S890" s="163"/>
      <c r="T890" s="180"/>
      <c r="U890" s="123" t="str">
        <f t="shared" si="1"/>
        <v>#DIV/0!</v>
      </c>
    </row>
    <row r="891">
      <c r="A891" s="175"/>
      <c r="B891" s="175"/>
      <c r="C891" s="175"/>
      <c r="D891" s="176"/>
      <c r="E891" s="175"/>
      <c r="F891" s="175"/>
      <c r="G891" s="175"/>
      <c r="H891" s="175"/>
      <c r="I891" s="175"/>
      <c r="J891" s="179"/>
      <c r="K891" s="179"/>
      <c r="L891" s="179"/>
      <c r="M891" s="179"/>
      <c r="N891" s="179"/>
      <c r="O891" s="179"/>
      <c r="P891" s="179"/>
      <c r="Q891" s="179"/>
      <c r="R891" s="179"/>
      <c r="S891" s="163"/>
      <c r="T891" s="180"/>
      <c r="U891" s="123" t="str">
        <f t="shared" si="1"/>
        <v>#DIV/0!</v>
      </c>
    </row>
    <row r="892">
      <c r="A892" s="175"/>
      <c r="B892" s="175"/>
      <c r="C892" s="175"/>
      <c r="D892" s="176"/>
      <c r="E892" s="175"/>
      <c r="F892" s="175"/>
      <c r="G892" s="175"/>
      <c r="H892" s="175"/>
      <c r="I892" s="175"/>
      <c r="J892" s="179"/>
      <c r="K892" s="179"/>
      <c r="L892" s="179"/>
      <c r="M892" s="179"/>
      <c r="N892" s="179"/>
      <c r="O892" s="179"/>
      <c r="P892" s="179"/>
      <c r="Q892" s="179"/>
      <c r="R892" s="179"/>
      <c r="S892" s="163"/>
      <c r="T892" s="180"/>
      <c r="U892" s="123" t="str">
        <f t="shared" si="1"/>
        <v>#DIV/0!</v>
      </c>
    </row>
    <row r="893">
      <c r="A893" s="175"/>
      <c r="B893" s="175"/>
      <c r="C893" s="175"/>
      <c r="D893" s="176"/>
      <c r="E893" s="175"/>
      <c r="F893" s="175"/>
      <c r="G893" s="175"/>
      <c r="H893" s="175"/>
      <c r="I893" s="175"/>
      <c r="J893" s="179"/>
      <c r="K893" s="179"/>
      <c r="L893" s="179"/>
      <c r="M893" s="179"/>
      <c r="N893" s="179"/>
      <c r="O893" s="179"/>
      <c r="P893" s="179"/>
      <c r="Q893" s="179"/>
      <c r="R893" s="179"/>
      <c r="S893" s="163"/>
      <c r="T893" s="180"/>
      <c r="U893" s="123" t="str">
        <f t="shared" si="1"/>
        <v>#DIV/0!</v>
      </c>
    </row>
    <row r="894">
      <c r="A894" s="175"/>
      <c r="B894" s="175"/>
      <c r="C894" s="175"/>
      <c r="D894" s="176"/>
      <c r="E894" s="175"/>
      <c r="F894" s="175"/>
      <c r="G894" s="175"/>
      <c r="H894" s="175"/>
      <c r="I894" s="175"/>
      <c r="J894" s="179"/>
      <c r="K894" s="179"/>
      <c r="L894" s="179"/>
      <c r="M894" s="179"/>
      <c r="N894" s="179"/>
      <c r="O894" s="179"/>
      <c r="P894" s="179"/>
      <c r="Q894" s="179"/>
      <c r="R894" s="179"/>
      <c r="S894" s="163"/>
      <c r="T894" s="180"/>
      <c r="U894" s="123" t="str">
        <f t="shared" si="1"/>
        <v>#DIV/0!</v>
      </c>
    </row>
    <row r="895">
      <c r="A895" s="175"/>
      <c r="B895" s="175"/>
      <c r="C895" s="175"/>
      <c r="D895" s="176"/>
      <c r="E895" s="175"/>
      <c r="F895" s="175"/>
      <c r="G895" s="175"/>
      <c r="H895" s="175"/>
      <c r="I895" s="175"/>
      <c r="J895" s="179"/>
      <c r="K895" s="179"/>
      <c r="L895" s="179"/>
      <c r="M895" s="179"/>
      <c r="N895" s="179"/>
      <c r="O895" s="179"/>
      <c r="P895" s="179"/>
      <c r="Q895" s="179"/>
      <c r="R895" s="179"/>
      <c r="S895" s="163"/>
      <c r="T895" s="180"/>
      <c r="U895" s="123" t="str">
        <f t="shared" si="1"/>
        <v>#DIV/0!</v>
      </c>
    </row>
    <row r="896">
      <c r="A896" s="175"/>
      <c r="B896" s="175"/>
      <c r="C896" s="175"/>
      <c r="D896" s="176"/>
      <c r="E896" s="175"/>
      <c r="F896" s="175"/>
      <c r="G896" s="175"/>
      <c r="H896" s="175"/>
      <c r="I896" s="175"/>
      <c r="J896" s="179"/>
      <c r="K896" s="179"/>
      <c r="L896" s="179"/>
      <c r="M896" s="179"/>
      <c r="N896" s="179"/>
      <c r="O896" s="179"/>
      <c r="P896" s="179"/>
      <c r="Q896" s="179"/>
      <c r="R896" s="179"/>
      <c r="S896" s="163"/>
      <c r="T896" s="180"/>
      <c r="U896" s="123" t="str">
        <f t="shared" si="1"/>
        <v>#DIV/0!</v>
      </c>
    </row>
    <row r="897">
      <c r="A897" s="175"/>
      <c r="B897" s="175"/>
      <c r="C897" s="175"/>
      <c r="D897" s="176"/>
      <c r="E897" s="175"/>
      <c r="F897" s="175"/>
      <c r="G897" s="175"/>
      <c r="H897" s="175"/>
      <c r="I897" s="175"/>
      <c r="J897" s="179"/>
      <c r="K897" s="179"/>
      <c r="L897" s="179"/>
      <c r="M897" s="179"/>
      <c r="N897" s="179"/>
      <c r="O897" s="179"/>
      <c r="P897" s="179"/>
      <c r="Q897" s="179"/>
      <c r="R897" s="179"/>
      <c r="S897" s="163"/>
      <c r="T897" s="180"/>
      <c r="U897" s="123" t="str">
        <f t="shared" si="1"/>
        <v>#DIV/0!</v>
      </c>
    </row>
    <row r="898">
      <c r="A898" s="175"/>
      <c r="B898" s="175"/>
      <c r="C898" s="175"/>
      <c r="D898" s="176"/>
      <c r="E898" s="175"/>
      <c r="F898" s="175"/>
      <c r="G898" s="175"/>
      <c r="H898" s="175"/>
      <c r="I898" s="175"/>
      <c r="J898" s="179"/>
      <c r="K898" s="179"/>
      <c r="L898" s="179"/>
      <c r="M898" s="179"/>
      <c r="N898" s="179"/>
      <c r="O898" s="179"/>
      <c r="P898" s="179"/>
      <c r="Q898" s="179"/>
      <c r="R898" s="179"/>
      <c r="S898" s="163"/>
      <c r="T898" s="180"/>
      <c r="U898" s="123" t="str">
        <f t="shared" si="1"/>
        <v>#DIV/0!</v>
      </c>
    </row>
    <row r="899">
      <c r="A899" s="175"/>
      <c r="B899" s="175"/>
      <c r="C899" s="175"/>
      <c r="D899" s="176"/>
      <c r="E899" s="175"/>
      <c r="F899" s="175"/>
      <c r="G899" s="175"/>
      <c r="H899" s="175"/>
      <c r="I899" s="175"/>
      <c r="J899" s="179"/>
      <c r="K899" s="179"/>
      <c r="L899" s="179"/>
      <c r="M899" s="179"/>
      <c r="N899" s="179"/>
      <c r="O899" s="179"/>
      <c r="P899" s="179"/>
      <c r="Q899" s="179"/>
      <c r="R899" s="179"/>
      <c r="S899" s="163"/>
      <c r="T899" s="180"/>
      <c r="U899" s="123" t="str">
        <f t="shared" si="1"/>
        <v>#DIV/0!</v>
      </c>
    </row>
    <row r="900">
      <c r="A900" s="175"/>
      <c r="B900" s="175"/>
      <c r="C900" s="175"/>
      <c r="D900" s="176"/>
      <c r="E900" s="175"/>
      <c r="F900" s="175"/>
      <c r="G900" s="175"/>
      <c r="H900" s="175"/>
      <c r="I900" s="175"/>
      <c r="J900" s="179"/>
      <c r="K900" s="179"/>
      <c r="L900" s="179"/>
      <c r="M900" s="179"/>
      <c r="N900" s="179"/>
      <c r="O900" s="179"/>
      <c r="P900" s="179"/>
      <c r="Q900" s="179"/>
      <c r="R900" s="179"/>
      <c r="S900" s="163"/>
      <c r="T900" s="180"/>
      <c r="U900" s="123" t="str">
        <f t="shared" si="1"/>
        <v>#DIV/0!</v>
      </c>
    </row>
    <row r="901">
      <c r="A901" s="175"/>
      <c r="B901" s="175"/>
      <c r="C901" s="175"/>
      <c r="D901" s="176"/>
      <c r="E901" s="175"/>
      <c r="F901" s="175"/>
      <c r="G901" s="175"/>
      <c r="H901" s="175"/>
      <c r="I901" s="175"/>
      <c r="J901" s="179"/>
      <c r="K901" s="179"/>
      <c r="L901" s="179"/>
      <c r="M901" s="179"/>
      <c r="N901" s="179"/>
      <c r="O901" s="179"/>
      <c r="P901" s="179"/>
      <c r="Q901" s="179"/>
      <c r="R901" s="179"/>
      <c r="S901" s="163"/>
      <c r="T901" s="180"/>
      <c r="U901" s="123" t="str">
        <f t="shared" si="1"/>
        <v>#DIV/0!</v>
      </c>
    </row>
    <row r="902">
      <c r="A902" s="175"/>
      <c r="B902" s="175"/>
      <c r="C902" s="175"/>
      <c r="D902" s="176"/>
      <c r="E902" s="175"/>
      <c r="F902" s="175"/>
      <c r="G902" s="175"/>
      <c r="H902" s="175"/>
      <c r="I902" s="175"/>
      <c r="J902" s="179"/>
      <c r="K902" s="179"/>
      <c r="L902" s="179"/>
      <c r="M902" s="179"/>
      <c r="N902" s="179"/>
      <c r="O902" s="179"/>
      <c r="P902" s="179"/>
      <c r="Q902" s="179"/>
      <c r="R902" s="179"/>
      <c r="S902" s="163"/>
      <c r="T902" s="180"/>
      <c r="U902" s="123" t="str">
        <f t="shared" si="1"/>
        <v>#DIV/0!</v>
      </c>
    </row>
    <row r="903">
      <c r="A903" s="175"/>
      <c r="B903" s="175"/>
      <c r="C903" s="175"/>
      <c r="D903" s="176"/>
      <c r="E903" s="175"/>
      <c r="F903" s="175"/>
      <c r="G903" s="175"/>
      <c r="H903" s="175"/>
      <c r="I903" s="175"/>
      <c r="J903" s="179"/>
      <c r="K903" s="179"/>
      <c r="L903" s="179"/>
      <c r="M903" s="179"/>
      <c r="N903" s="179"/>
      <c r="O903" s="179"/>
      <c r="P903" s="179"/>
      <c r="Q903" s="179"/>
      <c r="R903" s="179"/>
      <c r="S903" s="163"/>
      <c r="T903" s="180"/>
      <c r="U903" s="123" t="str">
        <f t="shared" si="1"/>
        <v>#DIV/0!</v>
      </c>
    </row>
    <row r="904">
      <c r="A904" s="175"/>
      <c r="B904" s="175"/>
      <c r="C904" s="175"/>
      <c r="D904" s="176"/>
      <c r="E904" s="175"/>
      <c r="F904" s="175"/>
      <c r="G904" s="175"/>
      <c r="H904" s="175"/>
      <c r="I904" s="175"/>
      <c r="J904" s="179"/>
      <c r="K904" s="179"/>
      <c r="L904" s="179"/>
      <c r="M904" s="179"/>
      <c r="N904" s="179"/>
      <c r="O904" s="179"/>
      <c r="P904" s="179"/>
      <c r="Q904" s="179"/>
      <c r="R904" s="179"/>
      <c r="S904" s="163"/>
      <c r="T904" s="180"/>
      <c r="U904" s="123" t="str">
        <f t="shared" si="1"/>
        <v>#DIV/0!</v>
      </c>
    </row>
    <row r="905">
      <c r="A905" s="175"/>
      <c r="B905" s="175"/>
      <c r="C905" s="175"/>
      <c r="D905" s="176"/>
      <c r="E905" s="175"/>
      <c r="F905" s="175"/>
      <c r="G905" s="175"/>
      <c r="H905" s="175"/>
      <c r="I905" s="175"/>
      <c r="J905" s="179"/>
      <c r="K905" s="179"/>
      <c r="L905" s="179"/>
      <c r="M905" s="179"/>
      <c r="N905" s="179"/>
      <c r="O905" s="179"/>
      <c r="P905" s="179"/>
      <c r="Q905" s="179"/>
      <c r="R905" s="179"/>
      <c r="S905" s="163"/>
      <c r="T905" s="180"/>
      <c r="U905" s="123" t="str">
        <f t="shared" si="1"/>
        <v>#DIV/0!</v>
      </c>
    </row>
    <row r="906">
      <c r="A906" s="175"/>
      <c r="B906" s="175"/>
      <c r="C906" s="175"/>
      <c r="D906" s="176"/>
      <c r="E906" s="175"/>
      <c r="F906" s="175"/>
      <c r="G906" s="175"/>
      <c r="H906" s="175"/>
      <c r="I906" s="175"/>
      <c r="J906" s="179"/>
      <c r="K906" s="179"/>
      <c r="L906" s="179"/>
      <c r="M906" s="179"/>
      <c r="N906" s="179"/>
      <c r="O906" s="179"/>
      <c r="P906" s="179"/>
      <c r="Q906" s="179"/>
      <c r="R906" s="179"/>
      <c r="S906" s="163"/>
      <c r="T906" s="180"/>
      <c r="U906" s="123" t="str">
        <f t="shared" si="1"/>
        <v>#DIV/0!</v>
      </c>
    </row>
    <row r="907">
      <c r="A907" s="175"/>
      <c r="B907" s="175"/>
      <c r="C907" s="175"/>
      <c r="D907" s="176"/>
      <c r="E907" s="175"/>
      <c r="F907" s="175"/>
      <c r="G907" s="175"/>
      <c r="H907" s="175"/>
      <c r="I907" s="175"/>
      <c r="J907" s="179"/>
      <c r="K907" s="179"/>
      <c r="L907" s="179"/>
      <c r="M907" s="179"/>
      <c r="N907" s="179"/>
      <c r="O907" s="179"/>
      <c r="P907" s="179"/>
      <c r="Q907" s="179"/>
      <c r="R907" s="179"/>
      <c r="S907" s="163"/>
      <c r="T907" s="180"/>
      <c r="U907" s="123" t="str">
        <f t="shared" si="1"/>
        <v>#DIV/0!</v>
      </c>
    </row>
    <row r="908">
      <c r="A908" s="175"/>
      <c r="B908" s="175"/>
      <c r="C908" s="175"/>
      <c r="D908" s="176"/>
      <c r="E908" s="175"/>
      <c r="F908" s="175"/>
      <c r="G908" s="175"/>
      <c r="H908" s="175"/>
      <c r="I908" s="175"/>
      <c r="J908" s="179"/>
      <c r="K908" s="179"/>
      <c r="L908" s="179"/>
      <c r="M908" s="179"/>
      <c r="N908" s="179"/>
      <c r="O908" s="179"/>
      <c r="P908" s="179"/>
      <c r="Q908" s="179"/>
      <c r="R908" s="179"/>
      <c r="S908" s="163"/>
      <c r="T908" s="180"/>
      <c r="U908" s="123" t="str">
        <f t="shared" si="1"/>
        <v>#DIV/0!</v>
      </c>
    </row>
    <row r="909">
      <c r="A909" s="175"/>
      <c r="B909" s="175"/>
      <c r="C909" s="175"/>
      <c r="D909" s="176"/>
      <c r="E909" s="175"/>
      <c r="F909" s="175"/>
      <c r="G909" s="175"/>
      <c r="H909" s="175"/>
      <c r="I909" s="175"/>
      <c r="J909" s="179"/>
      <c r="K909" s="179"/>
      <c r="L909" s="179"/>
      <c r="M909" s="179"/>
      <c r="N909" s="179"/>
      <c r="O909" s="179"/>
      <c r="P909" s="179"/>
      <c r="Q909" s="179"/>
      <c r="R909" s="179"/>
      <c r="S909" s="163"/>
      <c r="T909" s="180"/>
      <c r="U909" s="123" t="str">
        <f t="shared" si="1"/>
        <v>#DIV/0!</v>
      </c>
    </row>
    <row r="910">
      <c r="A910" s="175"/>
      <c r="B910" s="175"/>
      <c r="C910" s="175"/>
      <c r="D910" s="176"/>
      <c r="E910" s="175"/>
      <c r="F910" s="175"/>
      <c r="G910" s="175"/>
      <c r="H910" s="175"/>
      <c r="I910" s="175"/>
      <c r="J910" s="179"/>
      <c r="K910" s="179"/>
      <c r="L910" s="179"/>
      <c r="M910" s="179"/>
      <c r="N910" s="179"/>
      <c r="O910" s="179"/>
      <c r="P910" s="179"/>
      <c r="Q910" s="179"/>
      <c r="R910" s="179"/>
      <c r="S910" s="163"/>
      <c r="T910" s="180"/>
      <c r="U910" s="123" t="str">
        <f t="shared" si="1"/>
        <v>#DIV/0!</v>
      </c>
    </row>
    <row r="911">
      <c r="A911" s="175"/>
      <c r="B911" s="175"/>
      <c r="C911" s="175"/>
      <c r="D911" s="176"/>
      <c r="E911" s="175"/>
      <c r="F911" s="175"/>
      <c r="G911" s="175"/>
      <c r="H911" s="175"/>
      <c r="I911" s="175"/>
      <c r="J911" s="179"/>
      <c r="K911" s="179"/>
      <c r="L911" s="179"/>
      <c r="M911" s="179"/>
      <c r="N911" s="179"/>
      <c r="O911" s="179"/>
      <c r="P911" s="179"/>
      <c r="Q911" s="179"/>
      <c r="R911" s="179"/>
      <c r="S911" s="163"/>
      <c r="T911" s="180"/>
      <c r="U911" s="123" t="str">
        <f t="shared" si="1"/>
        <v>#DIV/0!</v>
      </c>
    </row>
    <row r="912">
      <c r="A912" s="175"/>
      <c r="B912" s="175"/>
      <c r="C912" s="175"/>
      <c r="D912" s="176"/>
      <c r="E912" s="175"/>
      <c r="F912" s="175"/>
      <c r="G912" s="175"/>
      <c r="H912" s="175"/>
      <c r="I912" s="175"/>
      <c r="J912" s="179"/>
      <c r="K912" s="179"/>
      <c r="L912" s="179"/>
      <c r="M912" s="179"/>
      <c r="N912" s="179"/>
      <c r="O912" s="179"/>
      <c r="P912" s="179"/>
      <c r="Q912" s="179"/>
      <c r="R912" s="179"/>
      <c r="S912" s="163"/>
      <c r="T912" s="180"/>
      <c r="U912" s="123" t="str">
        <f t="shared" si="1"/>
        <v>#DIV/0!</v>
      </c>
    </row>
    <row r="913">
      <c r="A913" s="175"/>
      <c r="B913" s="175"/>
      <c r="C913" s="175"/>
      <c r="D913" s="176"/>
      <c r="E913" s="175"/>
      <c r="F913" s="175"/>
      <c r="G913" s="175"/>
      <c r="H913" s="175"/>
      <c r="I913" s="175"/>
      <c r="J913" s="179"/>
      <c r="K913" s="179"/>
      <c r="L913" s="179"/>
      <c r="M913" s="179"/>
      <c r="N913" s="179"/>
      <c r="O913" s="179"/>
      <c r="P913" s="179"/>
      <c r="Q913" s="179"/>
      <c r="R913" s="179"/>
      <c r="S913" s="163"/>
      <c r="T913" s="180"/>
      <c r="U913" s="123" t="str">
        <f t="shared" si="1"/>
        <v>#DIV/0!</v>
      </c>
    </row>
    <row r="914">
      <c r="A914" s="175"/>
      <c r="B914" s="175"/>
      <c r="C914" s="175"/>
      <c r="D914" s="176"/>
      <c r="E914" s="175"/>
      <c r="F914" s="175"/>
      <c r="G914" s="175"/>
      <c r="H914" s="175"/>
      <c r="I914" s="175"/>
      <c r="J914" s="179"/>
      <c r="K914" s="179"/>
      <c r="L914" s="179"/>
      <c r="M914" s="179"/>
      <c r="N914" s="179"/>
      <c r="O914" s="179"/>
      <c r="P914" s="179"/>
      <c r="Q914" s="179"/>
      <c r="R914" s="179"/>
      <c r="S914" s="163"/>
      <c r="T914" s="180"/>
      <c r="U914" s="123" t="str">
        <f t="shared" si="1"/>
        <v>#DIV/0!</v>
      </c>
    </row>
    <row r="915">
      <c r="A915" s="175"/>
      <c r="B915" s="175"/>
      <c r="C915" s="175"/>
      <c r="D915" s="176"/>
      <c r="E915" s="175"/>
      <c r="F915" s="175"/>
      <c r="G915" s="175"/>
      <c r="H915" s="175"/>
      <c r="I915" s="175"/>
      <c r="J915" s="179"/>
      <c r="K915" s="179"/>
      <c r="L915" s="179"/>
      <c r="M915" s="179"/>
      <c r="N915" s="179"/>
      <c r="O915" s="179"/>
      <c r="P915" s="179"/>
      <c r="Q915" s="179"/>
      <c r="R915" s="179"/>
      <c r="S915" s="163"/>
      <c r="T915" s="180"/>
      <c r="U915" s="123" t="str">
        <f t="shared" si="1"/>
        <v>#DIV/0!</v>
      </c>
    </row>
    <row r="916">
      <c r="A916" s="175"/>
      <c r="B916" s="175"/>
      <c r="C916" s="175"/>
      <c r="D916" s="176"/>
      <c r="E916" s="175"/>
      <c r="F916" s="175"/>
      <c r="G916" s="175"/>
      <c r="H916" s="175"/>
      <c r="I916" s="175"/>
      <c r="J916" s="179"/>
      <c r="K916" s="179"/>
      <c r="L916" s="179"/>
      <c r="M916" s="179"/>
      <c r="N916" s="179"/>
      <c r="O916" s="179"/>
      <c r="P916" s="179"/>
      <c r="Q916" s="179"/>
      <c r="R916" s="179"/>
      <c r="S916" s="163"/>
      <c r="T916" s="180"/>
      <c r="U916" s="123" t="str">
        <f t="shared" si="1"/>
        <v>#DIV/0!</v>
      </c>
    </row>
    <row r="917">
      <c r="A917" s="175"/>
      <c r="B917" s="175"/>
      <c r="C917" s="175"/>
      <c r="D917" s="176"/>
      <c r="E917" s="175"/>
      <c r="F917" s="175"/>
      <c r="G917" s="175"/>
      <c r="H917" s="175"/>
      <c r="I917" s="175"/>
      <c r="J917" s="179"/>
      <c r="K917" s="179"/>
      <c r="L917" s="179"/>
      <c r="M917" s="179"/>
      <c r="N917" s="179"/>
      <c r="O917" s="179"/>
      <c r="P917" s="179"/>
      <c r="Q917" s="179"/>
      <c r="R917" s="179"/>
      <c r="S917" s="163"/>
      <c r="T917" s="180"/>
      <c r="U917" s="123" t="str">
        <f t="shared" si="1"/>
        <v>#DIV/0!</v>
      </c>
    </row>
    <row r="918">
      <c r="A918" s="175"/>
      <c r="B918" s="175"/>
      <c r="C918" s="175"/>
      <c r="D918" s="176"/>
      <c r="E918" s="175"/>
      <c r="F918" s="175"/>
      <c r="G918" s="175"/>
      <c r="H918" s="175"/>
      <c r="I918" s="175"/>
      <c r="J918" s="179"/>
      <c r="K918" s="179"/>
      <c r="L918" s="179"/>
      <c r="M918" s="179"/>
      <c r="N918" s="179"/>
      <c r="O918" s="179"/>
      <c r="P918" s="179"/>
      <c r="Q918" s="179"/>
      <c r="R918" s="179"/>
      <c r="S918" s="163"/>
      <c r="T918" s="180"/>
      <c r="U918" s="123" t="str">
        <f t="shared" si="1"/>
        <v>#DIV/0!</v>
      </c>
    </row>
    <row r="919">
      <c r="A919" s="175"/>
      <c r="B919" s="175"/>
      <c r="C919" s="175"/>
      <c r="D919" s="176"/>
      <c r="E919" s="175"/>
      <c r="F919" s="175"/>
      <c r="G919" s="175"/>
      <c r="H919" s="175"/>
      <c r="I919" s="175"/>
      <c r="J919" s="179"/>
      <c r="K919" s="179"/>
      <c r="L919" s="179"/>
      <c r="M919" s="179"/>
      <c r="N919" s="179"/>
      <c r="O919" s="179"/>
      <c r="P919" s="179"/>
      <c r="Q919" s="179"/>
      <c r="R919" s="179"/>
      <c r="S919" s="163"/>
      <c r="T919" s="180"/>
      <c r="U919" s="123" t="str">
        <f t="shared" si="1"/>
        <v>#DIV/0!</v>
      </c>
    </row>
    <row r="920">
      <c r="A920" s="175"/>
      <c r="B920" s="175"/>
      <c r="C920" s="175"/>
      <c r="D920" s="176"/>
      <c r="E920" s="175"/>
      <c r="F920" s="175"/>
      <c r="G920" s="175"/>
      <c r="H920" s="175"/>
      <c r="I920" s="175"/>
      <c r="J920" s="179"/>
      <c r="K920" s="179"/>
      <c r="L920" s="179"/>
      <c r="M920" s="179"/>
      <c r="N920" s="179"/>
      <c r="O920" s="179"/>
      <c r="P920" s="179"/>
      <c r="Q920" s="179"/>
      <c r="R920" s="179"/>
      <c r="S920" s="163"/>
      <c r="T920" s="180"/>
      <c r="U920" s="123" t="str">
        <f t="shared" si="1"/>
        <v>#DIV/0!</v>
      </c>
    </row>
    <row r="921">
      <c r="A921" s="175"/>
      <c r="B921" s="175"/>
      <c r="C921" s="175"/>
      <c r="D921" s="176"/>
      <c r="E921" s="175"/>
      <c r="F921" s="175"/>
      <c r="G921" s="175"/>
      <c r="H921" s="175"/>
      <c r="I921" s="175"/>
      <c r="J921" s="179"/>
      <c r="K921" s="179"/>
      <c r="L921" s="179"/>
      <c r="M921" s="179"/>
      <c r="N921" s="179"/>
      <c r="O921" s="179"/>
      <c r="P921" s="179"/>
      <c r="Q921" s="179"/>
      <c r="R921" s="179"/>
      <c r="S921" s="163"/>
      <c r="T921" s="180"/>
      <c r="U921" s="123" t="str">
        <f t="shared" si="1"/>
        <v>#DIV/0!</v>
      </c>
    </row>
    <row r="922">
      <c r="A922" s="175"/>
      <c r="B922" s="175"/>
      <c r="C922" s="175"/>
      <c r="D922" s="176"/>
      <c r="E922" s="175"/>
      <c r="F922" s="175"/>
      <c r="G922" s="175"/>
      <c r="H922" s="175"/>
      <c r="I922" s="175"/>
      <c r="J922" s="179"/>
      <c r="K922" s="179"/>
      <c r="L922" s="179"/>
      <c r="M922" s="179"/>
      <c r="N922" s="179"/>
      <c r="O922" s="179"/>
      <c r="P922" s="179"/>
      <c r="Q922" s="179"/>
      <c r="R922" s="179"/>
      <c r="S922" s="163"/>
      <c r="T922" s="180"/>
      <c r="U922" s="123" t="str">
        <f t="shared" si="1"/>
        <v>#DIV/0!</v>
      </c>
    </row>
    <row r="923">
      <c r="A923" s="175"/>
      <c r="B923" s="175"/>
      <c r="C923" s="175"/>
      <c r="D923" s="176"/>
      <c r="E923" s="175"/>
      <c r="F923" s="175"/>
      <c r="G923" s="175"/>
      <c r="H923" s="175"/>
      <c r="I923" s="175"/>
      <c r="J923" s="179"/>
      <c r="K923" s="179"/>
      <c r="L923" s="179"/>
      <c r="M923" s="179"/>
      <c r="N923" s="179"/>
      <c r="O923" s="179"/>
      <c r="P923" s="179"/>
      <c r="Q923" s="179"/>
      <c r="R923" s="179"/>
      <c r="S923" s="163"/>
      <c r="T923" s="180"/>
      <c r="U923" s="123" t="str">
        <f t="shared" si="1"/>
        <v>#DIV/0!</v>
      </c>
    </row>
    <row r="924">
      <c r="A924" s="175"/>
      <c r="B924" s="175"/>
      <c r="C924" s="175"/>
      <c r="D924" s="176"/>
      <c r="E924" s="175"/>
      <c r="F924" s="175"/>
      <c r="G924" s="175"/>
      <c r="H924" s="175"/>
      <c r="I924" s="175"/>
      <c r="J924" s="179"/>
      <c r="K924" s="179"/>
      <c r="L924" s="179"/>
      <c r="M924" s="179"/>
      <c r="N924" s="179"/>
      <c r="O924" s="179"/>
      <c r="P924" s="179"/>
      <c r="Q924" s="179"/>
      <c r="R924" s="179"/>
      <c r="S924" s="163"/>
      <c r="T924" s="180"/>
      <c r="U924" s="123" t="str">
        <f t="shared" si="1"/>
        <v>#DIV/0!</v>
      </c>
    </row>
    <row r="925">
      <c r="A925" s="175"/>
      <c r="B925" s="175"/>
      <c r="C925" s="175"/>
      <c r="D925" s="176"/>
      <c r="E925" s="175"/>
      <c r="F925" s="175"/>
      <c r="G925" s="175"/>
      <c r="H925" s="175"/>
      <c r="I925" s="175"/>
      <c r="J925" s="179"/>
      <c r="K925" s="179"/>
      <c r="L925" s="179"/>
      <c r="M925" s="179"/>
      <c r="N925" s="179"/>
      <c r="O925" s="179"/>
      <c r="P925" s="179"/>
      <c r="Q925" s="179"/>
      <c r="R925" s="179"/>
      <c r="S925" s="163"/>
      <c r="T925" s="180"/>
      <c r="U925" s="123" t="str">
        <f t="shared" si="1"/>
        <v>#DIV/0!</v>
      </c>
    </row>
    <row r="926">
      <c r="A926" s="175"/>
      <c r="B926" s="175"/>
      <c r="C926" s="175"/>
      <c r="D926" s="176"/>
      <c r="E926" s="175"/>
      <c r="F926" s="175"/>
      <c r="G926" s="175"/>
      <c r="H926" s="175"/>
      <c r="I926" s="175"/>
      <c r="J926" s="179"/>
      <c r="K926" s="179"/>
      <c r="L926" s="179"/>
      <c r="M926" s="179"/>
      <c r="N926" s="179"/>
      <c r="O926" s="179"/>
      <c r="P926" s="179"/>
      <c r="Q926" s="179"/>
      <c r="R926" s="179"/>
      <c r="S926" s="163"/>
      <c r="T926" s="180"/>
      <c r="U926" s="123" t="str">
        <f t="shared" si="1"/>
        <v>#DIV/0!</v>
      </c>
    </row>
    <row r="927">
      <c r="A927" s="175"/>
      <c r="B927" s="175"/>
      <c r="C927" s="175"/>
      <c r="D927" s="176"/>
      <c r="E927" s="175"/>
      <c r="F927" s="175"/>
      <c r="G927" s="175"/>
      <c r="H927" s="175"/>
      <c r="I927" s="175"/>
      <c r="J927" s="179"/>
      <c r="K927" s="179"/>
      <c r="L927" s="179"/>
      <c r="M927" s="179"/>
      <c r="N927" s="179"/>
      <c r="O927" s="179"/>
      <c r="P927" s="179"/>
      <c r="Q927" s="179"/>
      <c r="R927" s="179"/>
      <c r="S927" s="163"/>
      <c r="T927" s="180"/>
      <c r="U927" s="123" t="str">
        <f t="shared" si="1"/>
        <v>#DIV/0!</v>
      </c>
    </row>
    <row r="928">
      <c r="A928" s="175"/>
      <c r="B928" s="175"/>
      <c r="C928" s="175"/>
      <c r="D928" s="176"/>
      <c r="E928" s="175"/>
      <c r="F928" s="175"/>
      <c r="G928" s="175"/>
      <c r="H928" s="175"/>
      <c r="I928" s="175"/>
      <c r="J928" s="179"/>
      <c r="K928" s="179"/>
      <c r="L928" s="179"/>
      <c r="M928" s="179"/>
      <c r="N928" s="179"/>
      <c r="O928" s="179"/>
      <c r="P928" s="179"/>
      <c r="Q928" s="179"/>
      <c r="R928" s="179"/>
      <c r="S928" s="163"/>
      <c r="T928" s="180"/>
      <c r="U928" s="123" t="str">
        <f t="shared" si="1"/>
        <v>#DIV/0!</v>
      </c>
    </row>
    <row r="929">
      <c r="A929" s="175"/>
      <c r="B929" s="175"/>
      <c r="C929" s="175"/>
      <c r="D929" s="176"/>
      <c r="E929" s="175"/>
      <c r="F929" s="175"/>
      <c r="G929" s="175"/>
      <c r="H929" s="175"/>
      <c r="I929" s="175"/>
      <c r="J929" s="179"/>
      <c r="K929" s="179"/>
      <c r="L929" s="179"/>
      <c r="M929" s="179"/>
      <c r="N929" s="179"/>
      <c r="O929" s="179"/>
      <c r="P929" s="179"/>
      <c r="Q929" s="179"/>
      <c r="R929" s="179"/>
      <c r="S929" s="163"/>
      <c r="T929" s="180"/>
      <c r="U929" s="123" t="str">
        <f t="shared" si="1"/>
        <v>#DIV/0!</v>
      </c>
    </row>
    <row r="930">
      <c r="A930" s="175"/>
      <c r="B930" s="175"/>
      <c r="C930" s="175"/>
      <c r="D930" s="176"/>
      <c r="E930" s="175"/>
      <c r="F930" s="175"/>
      <c r="G930" s="175"/>
      <c r="H930" s="175"/>
      <c r="I930" s="175"/>
      <c r="J930" s="179"/>
      <c r="K930" s="179"/>
      <c r="L930" s="179"/>
      <c r="M930" s="179"/>
      <c r="N930" s="179"/>
      <c r="O930" s="179"/>
      <c r="P930" s="179"/>
      <c r="Q930" s="179"/>
      <c r="R930" s="179"/>
      <c r="S930" s="163"/>
      <c r="T930" s="180"/>
      <c r="U930" s="123" t="str">
        <f t="shared" si="1"/>
        <v>#DIV/0!</v>
      </c>
    </row>
    <row r="931">
      <c r="A931" s="175"/>
      <c r="B931" s="175"/>
      <c r="C931" s="175"/>
      <c r="D931" s="176"/>
      <c r="E931" s="175"/>
      <c r="F931" s="175"/>
      <c r="G931" s="175"/>
      <c r="H931" s="175"/>
      <c r="I931" s="175"/>
      <c r="J931" s="179"/>
      <c r="K931" s="179"/>
      <c r="L931" s="179"/>
      <c r="M931" s="179"/>
      <c r="N931" s="179"/>
      <c r="O931" s="179"/>
      <c r="P931" s="179"/>
      <c r="Q931" s="179"/>
      <c r="R931" s="179"/>
      <c r="S931" s="163"/>
      <c r="T931" s="180"/>
      <c r="U931" s="123" t="str">
        <f t="shared" si="1"/>
        <v>#DIV/0!</v>
      </c>
    </row>
    <row r="932">
      <c r="A932" s="175"/>
      <c r="B932" s="175"/>
      <c r="C932" s="175"/>
      <c r="D932" s="176"/>
      <c r="E932" s="175"/>
      <c r="F932" s="175"/>
      <c r="G932" s="175"/>
      <c r="H932" s="175"/>
      <c r="I932" s="175"/>
      <c r="J932" s="179"/>
      <c r="K932" s="179"/>
      <c r="L932" s="179"/>
      <c r="M932" s="179"/>
      <c r="N932" s="179"/>
      <c r="O932" s="179"/>
      <c r="P932" s="179"/>
      <c r="Q932" s="179"/>
      <c r="R932" s="179"/>
      <c r="S932" s="163"/>
      <c r="T932" s="180"/>
      <c r="U932" s="123" t="str">
        <f t="shared" si="1"/>
        <v>#DIV/0!</v>
      </c>
    </row>
    <row r="933">
      <c r="A933" s="175"/>
      <c r="B933" s="175"/>
      <c r="C933" s="175"/>
      <c r="D933" s="176"/>
      <c r="E933" s="175"/>
      <c r="F933" s="175"/>
      <c r="G933" s="175"/>
      <c r="H933" s="175"/>
      <c r="I933" s="175"/>
      <c r="J933" s="179"/>
      <c r="K933" s="179"/>
      <c r="L933" s="179"/>
      <c r="M933" s="179"/>
      <c r="N933" s="179"/>
      <c r="O933" s="179"/>
      <c r="P933" s="179"/>
      <c r="Q933" s="179"/>
      <c r="R933" s="179"/>
      <c r="S933" s="163"/>
      <c r="T933" s="180"/>
      <c r="U933" s="123" t="str">
        <f t="shared" si="1"/>
        <v>#DIV/0!</v>
      </c>
    </row>
    <row r="934">
      <c r="A934" s="175"/>
      <c r="B934" s="175"/>
      <c r="C934" s="175"/>
      <c r="D934" s="176"/>
      <c r="E934" s="175"/>
      <c r="F934" s="175"/>
      <c r="G934" s="175"/>
      <c r="H934" s="175"/>
      <c r="I934" s="175"/>
      <c r="J934" s="179"/>
      <c r="K934" s="179"/>
      <c r="L934" s="179"/>
      <c r="M934" s="179"/>
      <c r="N934" s="179"/>
      <c r="O934" s="179"/>
      <c r="P934" s="179"/>
      <c r="Q934" s="179"/>
      <c r="R934" s="179"/>
      <c r="S934" s="163"/>
      <c r="T934" s="180"/>
      <c r="U934" s="123" t="str">
        <f t="shared" si="1"/>
        <v>#DIV/0!</v>
      </c>
    </row>
    <row r="935">
      <c r="A935" s="175"/>
      <c r="B935" s="175"/>
      <c r="C935" s="175"/>
      <c r="D935" s="176"/>
      <c r="E935" s="175"/>
      <c r="F935" s="175"/>
      <c r="G935" s="175"/>
      <c r="H935" s="175"/>
      <c r="I935" s="175"/>
      <c r="J935" s="179"/>
      <c r="K935" s="179"/>
      <c r="L935" s="179"/>
      <c r="M935" s="179"/>
      <c r="N935" s="179"/>
      <c r="O935" s="179"/>
      <c r="P935" s="179"/>
      <c r="Q935" s="179"/>
      <c r="R935" s="179"/>
      <c r="S935" s="163"/>
      <c r="T935" s="180"/>
      <c r="U935" s="123" t="str">
        <f t="shared" si="1"/>
        <v>#DIV/0!</v>
      </c>
    </row>
    <row r="936">
      <c r="A936" s="175"/>
      <c r="B936" s="175"/>
      <c r="C936" s="175"/>
      <c r="D936" s="176"/>
      <c r="E936" s="175"/>
      <c r="F936" s="175"/>
      <c r="G936" s="175"/>
      <c r="H936" s="175"/>
      <c r="I936" s="175"/>
      <c r="J936" s="179"/>
      <c r="K936" s="179"/>
      <c r="L936" s="179"/>
      <c r="M936" s="179"/>
      <c r="N936" s="179"/>
      <c r="O936" s="179"/>
      <c r="P936" s="179"/>
      <c r="Q936" s="179"/>
      <c r="R936" s="179"/>
      <c r="S936" s="163"/>
      <c r="T936" s="180"/>
      <c r="U936" s="123" t="str">
        <f t="shared" si="1"/>
        <v>#DIV/0!</v>
      </c>
    </row>
    <row r="937">
      <c r="A937" s="175"/>
      <c r="B937" s="175"/>
      <c r="C937" s="175"/>
      <c r="D937" s="176"/>
      <c r="E937" s="175"/>
      <c r="F937" s="175"/>
      <c r="G937" s="175"/>
      <c r="H937" s="175"/>
      <c r="I937" s="175"/>
      <c r="J937" s="179"/>
      <c r="K937" s="179"/>
      <c r="L937" s="179"/>
      <c r="M937" s="179"/>
      <c r="N937" s="179"/>
      <c r="O937" s="179"/>
      <c r="P937" s="179"/>
      <c r="Q937" s="179"/>
      <c r="R937" s="179"/>
      <c r="S937" s="163"/>
      <c r="T937" s="180"/>
      <c r="U937" s="123" t="str">
        <f t="shared" si="1"/>
        <v>#DIV/0!</v>
      </c>
    </row>
    <row r="938">
      <c r="A938" s="175"/>
      <c r="B938" s="175"/>
      <c r="C938" s="175"/>
      <c r="D938" s="176"/>
      <c r="E938" s="175"/>
      <c r="F938" s="175"/>
      <c r="G938" s="175"/>
      <c r="H938" s="175"/>
      <c r="I938" s="175"/>
      <c r="J938" s="179"/>
      <c r="K938" s="179"/>
      <c r="L938" s="179"/>
      <c r="M938" s="179"/>
      <c r="N938" s="179"/>
      <c r="O938" s="179"/>
      <c r="P938" s="179"/>
      <c r="Q938" s="179"/>
      <c r="R938" s="179"/>
      <c r="S938" s="163"/>
      <c r="T938" s="180"/>
      <c r="U938" s="123" t="str">
        <f t="shared" si="1"/>
        <v>#DIV/0!</v>
      </c>
    </row>
    <row r="939">
      <c r="A939" s="175"/>
      <c r="B939" s="175"/>
      <c r="C939" s="175"/>
      <c r="D939" s="176"/>
      <c r="E939" s="175"/>
      <c r="F939" s="175"/>
      <c r="G939" s="175"/>
      <c r="H939" s="175"/>
      <c r="I939" s="175"/>
      <c r="J939" s="179"/>
      <c r="K939" s="179"/>
      <c r="L939" s="179"/>
      <c r="M939" s="179"/>
      <c r="N939" s="179"/>
      <c r="O939" s="179"/>
      <c r="P939" s="179"/>
      <c r="Q939" s="179"/>
      <c r="R939" s="179"/>
      <c r="S939" s="163"/>
      <c r="T939" s="180"/>
      <c r="U939" s="123" t="str">
        <f t="shared" si="1"/>
        <v>#DIV/0!</v>
      </c>
    </row>
    <row r="940">
      <c r="A940" s="175"/>
      <c r="B940" s="175"/>
      <c r="C940" s="175"/>
      <c r="D940" s="176"/>
      <c r="E940" s="175"/>
      <c r="F940" s="175"/>
      <c r="G940" s="175"/>
      <c r="H940" s="175"/>
      <c r="I940" s="175"/>
      <c r="J940" s="179"/>
      <c r="K940" s="179"/>
      <c r="L940" s="179"/>
      <c r="M940" s="179"/>
      <c r="N940" s="179"/>
      <c r="O940" s="179"/>
      <c r="P940" s="179"/>
      <c r="Q940" s="179"/>
      <c r="R940" s="179"/>
      <c r="S940" s="163"/>
      <c r="T940" s="180"/>
      <c r="U940" s="123" t="str">
        <f t="shared" si="1"/>
        <v>#DIV/0!</v>
      </c>
    </row>
    <row r="941">
      <c r="A941" s="175"/>
      <c r="B941" s="175"/>
      <c r="C941" s="175"/>
      <c r="D941" s="176"/>
      <c r="E941" s="175"/>
      <c r="F941" s="175"/>
      <c r="G941" s="175"/>
      <c r="H941" s="175"/>
      <c r="I941" s="175"/>
      <c r="J941" s="179"/>
      <c r="K941" s="179"/>
      <c r="L941" s="179"/>
      <c r="M941" s="179"/>
      <c r="N941" s="179"/>
      <c r="O941" s="179"/>
      <c r="P941" s="179"/>
      <c r="Q941" s="179"/>
      <c r="R941" s="179"/>
      <c r="S941" s="163"/>
      <c r="T941" s="180"/>
      <c r="U941" s="123" t="str">
        <f t="shared" si="1"/>
        <v>#DIV/0!</v>
      </c>
    </row>
    <row r="942">
      <c r="A942" s="175"/>
      <c r="B942" s="175"/>
      <c r="C942" s="175"/>
      <c r="D942" s="176"/>
      <c r="E942" s="175"/>
      <c r="F942" s="175"/>
      <c r="G942" s="175"/>
      <c r="H942" s="175"/>
      <c r="I942" s="175"/>
      <c r="J942" s="179"/>
      <c r="K942" s="179"/>
      <c r="L942" s="179"/>
      <c r="M942" s="179"/>
      <c r="N942" s="179"/>
      <c r="O942" s="179"/>
      <c r="P942" s="179"/>
      <c r="Q942" s="179"/>
      <c r="R942" s="179"/>
      <c r="S942" s="163"/>
      <c r="T942" s="180"/>
      <c r="U942" s="123" t="str">
        <f t="shared" si="1"/>
        <v>#DIV/0!</v>
      </c>
    </row>
    <row r="943">
      <c r="A943" s="175"/>
      <c r="B943" s="175"/>
      <c r="C943" s="175"/>
      <c r="D943" s="176"/>
      <c r="E943" s="175"/>
      <c r="F943" s="175"/>
      <c r="G943" s="175"/>
      <c r="H943" s="175"/>
      <c r="I943" s="175"/>
      <c r="J943" s="179"/>
      <c r="K943" s="179"/>
      <c r="L943" s="179"/>
      <c r="M943" s="179"/>
      <c r="N943" s="179"/>
      <c r="O943" s="179"/>
      <c r="P943" s="179"/>
      <c r="Q943" s="179"/>
      <c r="R943" s="179"/>
      <c r="S943" s="163"/>
      <c r="T943" s="180"/>
      <c r="U943" s="123" t="str">
        <f t="shared" si="1"/>
        <v>#DIV/0!</v>
      </c>
    </row>
    <row r="944">
      <c r="A944" s="175"/>
      <c r="B944" s="175"/>
      <c r="C944" s="175"/>
      <c r="D944" s="176"/>
      <c r="E944" s="175"/>
      <c r="F944" s="175"/>
      <c r="G944" s="175"/>
      <c r="H944" s="175"/>
      <c r="I944" s="175"/>
      <c r="J944" s="179"/>
      <c r="K944" s="179"/>
      <c r="L944" s="179"/>
      <c r="M944" s="179"/>
      <c r="N944" s="179"/>
      <c r="O944" s="179"/>
      <c r="P944" s="179"/>
      <c r="Q944" s="179"/>
      <c r="R944" s="179"/>
      <c r="S944" s="163"/>
      <c r="T944" s="180"/>
      <c r="U944" s="123" t="str">
        <f t="shared" si="1"/>
        <v>#DIV/0!</v>
      </c>
    </row>
    <row r="945">
      <c r="A945" s="175"/>
      <c r="B945" s="175"/>
      <c r="C945" s="175"/>
      <c r="D945" s="176"/>
      <c r="E945" s="175"/>
      <c r="F945" s="175"/>
      <c r="G945" s="175"/>
      <c r="H945" s="175"/>
      <c r="I945" s="175"/>
      <c r="J945" s="179"/>
      <c r="K945" s="179"/>
      <c r="L945" s="179"/>
      <c r="M945" s="179"/>
      <c r="N945" s="179"/>
      <c r="O945" s="179"/>
      <c r="P945" s="179"/>
      <c r="Q945" s="179"/>
      <c r="R945" s="179"/>
      <c r="S945" s="163"/>
      <c r="T945" s="180"/>
      <c r="U945" s="123" t="str">
        <f t="shared" si="1"/>
        <v>#DIV/0!</v>
      </c>
    </row>
    <row r="946">
      <c r="A946" s="175"/>
      <c r="B946" s="175"/>
      <c r="C946" s="175"/>
      <c r="D946" s="176"/>
      <c r="E946" s="175"/>
      <c r="F946" s="175"/>
      <c r="G946" s="175"/>
      <c r="H946" s="175"/>
      <c r="I946" s="175"/>
      <c r="J946" s="179"/>
      <c r="K946" s="179"/>
      <c r="L946" s="179"/>
      <c r="M946" s="179"/>
      <c r="N946" s="179"/>
      <c r="O946" s="179"/>
      <c r="P946" s="179"/>
      <c r="Q946" s="179"/>
      <c r="R946" s="179"/>
      <c r="S946" s="163"/>
      <c r="T946" s="180"/>
      <c r="U946" s="123" t="str">
        <f t="shared" si="1"/>
        <v>#DIV/0!</v>
      </c>
    </row>
    <row r="947">
      <c r="A947" s="175"/>
      <c r="B947" s="175"/>
      <c r="C947" s="175"/>
      <c r="D947" s="176"/>
      <c r="E947" s="175"/>
      <c r="F947" s="175"/>
      <c r="G947" s="175"/>
      <c r="H947" s="175"/>
      <c r="I947" s="175"/>
      <c r="J947" s="179"/>
      <c r="K947" s="179"/>
      <c r="L947" s="179"/>
      <c r="M947" s="179"/>
      <c r="N947" s="179"/>
      <c r="O947" s="179"/>
      <c r="P947" s="179"/>
      <c r="Q947" s="179"/>
      <c r="R947" s="179"/>
      <c r="S947" s="163"/>
      <c r="T947" s="180"/>
      <c r="U947" s="123" t="str">
        <f t="shared" si="1"/>
        <v>#DIV/0!</v>
      </c>
    </row>
    <row r="948">
      <c r="A948" s="175"/>
      <c r="B948" s="175"/>
      <c r="C948" s="175"/>
      <c r="D948" s="176"/>
      <c r="E948" s="175"/>
      <c r="F948" s="175"/>
      <c r="G948" s="175"/>
      <c r="H948" s="175"/>
      <c r="I948" s="175"/>
      <c r="J948" s="179"/>
      <c r="K948" s="179"/>
      <c r="L948" s="179"/>
      <c r="M948" s="179"/>
      <c r="N948" s="179"/>
      <c r="O948" s="179"/>
      <c r="P948" s="179"/>
      <c r="Q948" s="179"/>
      <c r="R948" s="179"/>
      <c r="S948" s="163"/>
      <c r="T948" s="180"/>
      <c r="U948" s="123" t="str">
        <f t="shared" si="1"/>
        <v>#DIV/0!</v>
      </c>
    </row>
    <row r="949">
      <c r="A949" s="175"/>
      <c r="B949" s="175"/>
      <c r="C949" s="175"/>
      <c r="D949" s="176"/>
      <c r="E949" s="175"/>
      <c r="F949" s="175"/>
      <c r="G949" s="175"/>
      <c r="H949" s="175"/>
      <c r="I949" s="175"/>
      <c r="J949" s="179"/>
      <c r="K949" s="179"/>
      <c r="L949" s="179"/>
      <c r="M949" s="179"/>
      <c r="N949" s="179"/>
      <c r="O949" s="179"/>
      <c r="P949" s="179"/>
      <c r="Q949" s="179"/>
      <c r="R949" s="179"/>
      <c r="S949" s="163"/>
      <c r="T949" s="180"/>
      <c r="U949" s="123" t="str">
        <f t="shared" si="1"/>
        <v>#DIV/0!</v>
      </c>
    </row>
    <row r="950">
      <c r="A950" s="175"/>
      <c r="B950" s="175"/>
      <c r="C950" s="175"/>
      <c r="D950" s="176"/>
      <c r="E950" s="175"/>
      <c r="F950" s="175"/>
      <c r="G950" s="175"/>
      <c r="H950" s="175"/>
      <c r="I950" s="175"/>
      <c r="J950" s="179"/>
      <c r="K950" s="179"/>
      <c r="L950" s="179"/>
      <c r="M950" s="179"/>
      <c r="N950" s="179"/>
      <c r="O950" s="179"/>
      <c r="P950" s="179"/>
      <c r="Q950" s="179"/>
      <c r="R950" s="179"/>
      <c r="S950" s="163"/>
      <c r="T950" s="180"/>
      <c r="U950" s="123" t="str">
        <f t="shared" si="1"/>
        <v>#DIV/0!</v>
      </c>
    </row>
    <row r="951">
      <c r="A951" s="175"/>
      <c r="B951" s="175"/>
      <c r="C951" s="175"/>
      <c r="D951" s="176"/>
      <c r="E951" s="175"/>
      <c r="F951" s="175"/>
      <c r="G951" s="175"/>
      <c r="H951" s="175"/>
      <c r="I951" s="175"/>
      <c r="J951" s="179"/>
      <c r="K951" s="179"/>
      <c r="L951" s="179"/>
      <c r="M951" s="179"/>
      <c r="N951" s="179"/>
      <c r="O951" s="179"/>
      <c r="P951" s="179"/>
      <c r="Q951" s="179"/>
      <c r="R951" s="179"/>
      <c r="S951" s="163"/>
      <c r="T951" s="180"/>
      <c r="U951" s="123" t="str">
        <f t="shared" si="1"/>
        <v>#DIV/0!</v>
      </c>
    </row>
    <row r="952">
      <c r="A952" s="175"/>
      <c r="B952" s="175"/>
      <c r="C952" s="175"/>
      <c r="D952" s="176"/>
      <c r="E952" s="175"/>
      <c r="F952" s="175"/>
      <c r="G952" s="175"/>
      <c r="H952" s="175"/>
      <c r="I952" s="175"/>
      <c r="J952" s="179"/>
      <c r="K952" s="179"/>
      <c r="L952" s="179"/>
      <c r="M952" s="179"/>
      <c r="N952" s="179"/>
      <c r="O952" s="179"/>
      <c r="P952" s="179"/>
      <c r="Q952" s="179"/>
      <c r="R952" s="179"/>
      <c r="S952" s="163"/>
      <c r="T952" s="180"/>
      <c r="U952" s="123" t="str">
        <f t="shared" si="1"/>
        <v>#DIV/0!</v>
      </c>
    </row>
    <row r="953">
      <c r="A953" s="175"/>
      <c r="B953" s="175"/>
      <c r="C953" s="175"/>
      <c r="D953" s="176"/>
      <c r="E953" s="175"/>
      <c r="F953" s="175"/>
      <c r="G953" s="175"/>
      <c r="H953" s="175"/>
      <c r="I953" s="175"/>
      <c r="J953" s="179"/>
      <c r="K953" s="179"/>
      <c r="L953" s="179"/>
      <c r="M953" s="179"/>
      <c r="N953" s="179"/>
      <c r="O953" s="179"/>
      <c r="P953" s="179"/>
      <c r="Q953" s="179"/>
      <c r="R953" s="179"/>
      <c r="S953" s="163"/>
      <c r="T953" s="180"/>
      <c r="U953" s="123" t="str">
        <f t="shared" si="1"/>
        <v>#DIV/0!</v>
      </c>
    </row>
    <row r="954">
      <c r="A954" s="175"/>
      <c r="B954" s="175"/>
      <c r="C954" s="175"/>
      <c r="D954" s="176"/>
      <c r="E954" s="175"/>
      <c r="F954" s="175"/>
      <c r="G954" s="175"/>
      <c r="H954" s="175"/>
      <c r="I954" s="175"/>
      <c r="J954" s="179"/>
      <c r="K954" s="179"/>
      <c r="L954" s="179"/>
      <c r="M954" s="179"/>
      <c r="N954" s="179"/>
      <c r="O954" s="179"/>
      <c r="P954" s="179"/>
      <c r="Q954" s="179"/>
      <c r="R954" s="179"/>
      <c r="S954" s="163"/>
      <c r="T954" s="180"/>
      <c r="U954" s="123" t="str">
        <f t="shared" si="1"/>
        <v>#DIV/0!</v>
      </c>
    </row>
    <row r="955">
      <c r="A955" s="175"/>
      <c r="B955" s="175"/>
      <c r="C955" s="175"/>
      <c r="D955" s="176"/>
      <c r="E955" s="175"/>
      <c r="F955" s="175"/>
      <c r="G955" s="175"/>
      <c r="H955" s="175"/>
      <c r="I955" s="175"/>
      <c r="J955" s="179"/>
      <c r="K955" s="179"/>
      <c r="L955" s="179"/>
      <c r="M955" s="179"/>
      <c r="N955" s="179"/>
      <c r="O955" s="179"/>
      <c r="P955" s="179"/>
      <c r="Q955" s="179"/>
      <c r="R955" s="179"/>
      <c r="S955" s="163"/>
      <c r="T955" s="180"/>
      <c r="U955" s="123" t="str">
        <f t="shared" si="1"/>
        <v>#DIV/0!</v>
      </c>
    </row>
    <row r="956">
      <c r="A956" s="175"/>
      <c r="B956" s="175"/>
      <c r="C956" s="175"/>
      <c r="D956" s="176"/>
      <c r="E956" s="175"/>
      <c r="F956" s="175"/>
      <c r="G956" s="175"/>
      <c r="H956" s="175"/>
      <c r="I956" s="175"/>
      <c r="J956" s="179"/>
      <c r="K956" s="179"/>
      <c r="L956" s="179"/>
      <c r="M956" s="179"/>
      <c r="N956" s="179"/>
      <c r="O956" s="179"/>
      <c r="P956" s="179"/>
      <c r="Q956" s="179"/>
      <c r="R956" s="179"/>
      <c r="S956" s="163"/>
      <c r="T956" s="180"/>
      <c r="U956" s="123" t="str">
        <f t="shared" si="1"/>
        <v>#DIV/0!</v>
      </c>
    </row>
    <row r="957">
      <c r="A957" s="175"/>
      <c r="B957" s="175"/>
      <c r="C957" s="175"/>
      <c r="D957" s="176"/>
      <c r="E957" s="175"/>
      <c r="F957" s="175"/>
      <c r="G957" s="175"/>
      <c r="H957" s="175"/>
      <c r="I957" s="175"/>
      <c r="J957" s="179"/>
      <c r="K957" s="179"/>
      <c r="L957" s="179"/>
      <c r="M957" s="179"/>
      <c r="N957" s="179"/>
      <c r="O957" s="179"/>
      <c r="P957" s="179"/>
      <c r="Q957" s="179"/>
      <c r="R957" s="179"/>
      <c r="S957" s="163"/>
      <c r="T957" s="180"/>
      <c r="U957" s="123" t="str">
        <f t="shared" si="1"/>
        <v>#DIV/0!</v>
      </c>
    </row>
    <row r="958">
      <c r="A958" s="175"/>
      <c r="B958" s="175"/>
      <c r="C958" s="175"/>
      <c r="D958" s="176"/>
      <c r="E958" s="175"/>
      <c r="F958" s="175"/>
      <c r="G958" s="175"/>
      <c r="H958" s="175"/>
      <c r="I958" s="175"/>
      <c r="J958" s="179"/>
      <c r="K958" s="179"/>
      <c r="L958" s="179"/>
      <c r="M958" s="179"/>
      <c r="N958" s="179"/>
      <c r="O958" s="179"/>
      <c r="P958" s="179"/>
      <c r="Q958" s="179"/>
      <c r="R958" s="179"/>
      <c r="S958" s="163"/>
      <c r="T958" s="180"/>
      <c r="U958" s="123" t="str">
        <f t="shared" si="1"/>
        <v>#DIV/0!</v>
      </c>
    </row>
    <row r="959">
      <c r="A959" s="175"/>
      <c r="B959" s="175"/>
      <c r="C959" s="175"/>
      <c r="D959" s="176"/>
      <c r="E959" s="175"/>
      <c r="F959" s="175"/>
      <c r="G959" s="175"/>
      <c r="H959" s="175"/>
      <c r="I959" s="175"/>
      <c r="J959" s="179"/>
      <c r="K959" s="179"/>
      <c r="L959" s="179"/>
      <c r="M959" s="179"/>
      <c r="N959" s="179"/>
      <c r="O959" s="179"/>
      <c r="P959" s="179"/>
      <c r="Q959" s="179"/>
      <c r="R959" s="179"/>
      <c r="S959" s="163"/>
      <c r="T959" s="180"/>
      <c r="U959" s="123" t="str">
        <f t="shared" si="1"/>
        <v>#DIV/0!</v>
      </c>
    </row>
    <row r="960">
      <c r="A960" s="175"/>
      <c r="B960" s="175"/>
      <c r="C960" s="175"/>
      <c r="D960" s="176"/>
      <c r="E960" s="175"/>
      <c r="F960" s="175"/>
      <c r="G960" s="175"/>
      <c r="H960" s="175"/>
      <c r="I960" s="175"/>
      <c r="J960" s="179"/>
      <c r="K960" s="179"/>
      <c r="L960" s="179"/>
      <c r="M960" s="179"/>
      <c r="N960" s="179"/>
      <c r="O960" s="179"/>
      <c r="P960" s="179"/>
      <c r="Q960" s="179"/>
      <c r="R960" s="179"/>
      <c r="S960" s="163"/>
      <c r="T960" s="180"/>
      <c r="U960" s="123" t="str">
        <f t="shared" si="1"/>
        <v>#DIV/0!</v>
      </c>
    </row>
    <row r="961">
      <c r="A961" s="175"/>
      <c r="B961" s="175"/>
      <c r="C961" s="175"/>
      <c r="D961" s="176"/>
      <c r="E961" s="175"/>
      <c r="F961" s="175"/>
      <c r="G961" s="175"/>
      <c r="H961" s="175"/>
      <c r="I961" s="175"/>
      <c r="J961" s="179"/>
      <c r="K961" s="179"/>
      <c r="L961" s="179"/>
      <c r="M961" s="179"/>
      <c r="N961" s="179"/>
      <c r="O961" s="179"/>
      <c r="P961" s="179"/>
      <c r="Q961" s="179"/>
      <c r="R961" s="179"/>
      <c r="S961" s="163"/>
      <c r="T961" s="180"/>
      <c r="U961" s="123" t="str">
        <f t="shared" si="1"/>
        <v>#DIV/0!</v>
      </c>
    </row>
    <row r="962">
      <c r="A962" s="175"/>
      <c r="B962" s="175"/>
      <c r="C962" s="175"/>
      <c r="D962" s="176"/>
      <c r="E962" s="175"/>
      <c r="F962" s="175"/>
      <c r="G962" s="175"/>
      <c r="H962" s="175"/>
      <c r="I962" s="175"/>
      <c r="J962" s="179"/>
      <c r="K962" s="179"/>
      <c r="L962" s="179"/>
      <c r="M962" s="179"/>
      <c r="N962" s="179"/>
      <c r="O962" s="179"/>
      <c r="P962" s="179"/>
      <c r="Q962" s="179"/>
      <c r="R962" s="179"/>
      <c r="S962" s="163"/>
      <c r="T962" s="180"/>
      <c r="U962" s="123" t="str">
        <f t="shared" si="1"/>
        <v>#DIV/0!</v>
      </c>
    </row>
    <row r="963">
      <c r="A963" s="175"/>
      <c r="B963" s="175"/>
      <c r="C963" s="175"/>
      <c r="D963" s="176"/>
      <c r="E963" s="175"/>
      <c r="F963" s="175"/>
      <c r="G963" s="175"/>
      <c r="H963" s="175"/>
      <c r="I963" s="175"/>
      <c r="J963" s="179"/>
      <c r="K963" s="179"/>
      <c r="L963" s="179"/>
      <c r="M963" s="179"/>
      <c r="N963" s="179"/>
      <c r="O963" s="179"/>
      <c r="P963" s="179"/>
      <c r="Q963" s="179"/>
      <c r="R963" s="179"/>
      <c r="S963" s="163"/>
      <c r="T963" s="180"/>
      <c r="U963" s="123" t="str">
        <f t="shared" si="1"/>
        <v>#DIV/0!</v>
      </c>
    </row>
    <row r="964">
      <c r="A964" s="175"/>
      <c r="B964" s="175"/>
      <c r="C964" s="175"/>
      <c r="D964" s="176"/>
      <c r="E964" s="175"/>
      <c r="F964" s="175"/>
      <c r="G964" s="175"/>
      <c r="H964" s="175"/>
      <c r="I964" s="175"/>
      <c r="J964" s="179"/>
      <c r="K964" s="179"/>
      <c r="L964" s="179"/>
      <c r="M964" s="179"/>
      <c r="N964" s="179"/>
      <c r="O964" s="179"/>
      <c r="P964" s="179"/>
      <c r="Q964" s="179"/>
      <c r="R964" s="179"/>
      <c r="S964" s="163"/>
      <c r="T964" s="180"/>
      <c r="U964" s="123" t="str">
        <f t="shared" si="1"/>
        <v>#DIV/0!</v>
      </c>
    </row>
    <row r="965">
      <c r="A965" s="175"/>
      <c r="B965" s="175"/>
      <c r="C965" s="175"/>
      <c r="D965" s="176"/>
      <c r="E965" s="175"/>
      <c r="F965" s="175"/>
      <c r="G965" s="175"/>
      <c r="H965" s="175"/>
      <c r="I965" s="175"/>
      <c r="J965" s="179"/>
      <c r="K965" s="179"/>
      <c r="L965" s="179"/>
      <c r="M965" s="179"/>
      <c r="N965" s="179"/>
      <c r="O965" s="179"/>
      <c r="P965" s="179"/>
      <c r="Q965" s="179"/>
      <c r="R965" s="179"/>
      <c r="S965" s="163"/>
      <c r="T965" s="180"/>
      <c r="U965" s="123" t="str">
        <f t="shared" si="1"/>
        <v>#DIV/0!</v>
      </c>
    </row>
    <row r="966">
      <c r="A966" s="175"/>
      <c r="B966" s="175"/>
      <c r="C966" s="175"/>
      <c r="D966" s="176"/>
      <c r="E966" s="175"/>
      <c r="F966" s="175"/>
      <c r="G966" s="175"/>
      <c r="H966" s="175"/>
      <c r="I966" s="175"/>
      <c r="J966" s="179"/>
      <c r="K966" s="179"/>
      <c r="L966" s="179"/>
      <c r="M966" s="179"/>
      <c r="N966" s="179"/>
      <c r="O966" s="179"/>
      <c r="P966" s="179"/>
      <c r="Q966" s="179"/>
      <c r="R966" s="179"/>
      <c r="S966" s="163"/>
      <c r="T966" s="180"/>
      <c r="U966" s="123" t="str">
        <f t="shared" si="1"/>
        <v>#DIV/0!</v>
      </c>
    </row>
    <row r="967">
      <c r="A967" s="175"/>
      <c r="B967" s="175"/>
      <c r="C967" s="175"/>
      <c r="D967" s="176"/>
      <c r="E967" s="175"/>
      <c r="F967" s="175"/>
      <c r="G967" s="175"/>
      <c r="H967" s="175"/>
      <c r="I967" s="175"/>
      <c r="J967" s="179"/>
      <c r="K967" s="179"/>
      <c r="L967" s="179"/>
      <c r="M967" s="179"/>
      <c r="N967" s="179"/>
      <c r="O967" s="179"/>
      <c r="P967" s="179"/>
      <c r="Q967" s="179"/>
      <c r="R967" s="179"/>
      <c r="S967" s="163"/>
      <c r="T967" s="180"/>
      <c r="U967" s="123" t="str">
        <f t="shared" si="1"/>
        <v>#DIV/0!</v>
      </c>
    </row>
    <row r="968">
      <c r="A968" s="175"/>
      <c r="B968" s="175"/>
      <c r="C968" s="175"/>
      <c r="D968" s="176"/>
      <c r="E968" s="175"/>
      <c r="F968" s="175"/>
      <c r="G968" s="175"/>
      <c r="H968" s="175"/>
      <c r="I968" s="175"/>
      <c r="J968" s="179"/>
      <c r="K968" s="179"/>
      <c r="L968" s="179"/>
      <c r="M968" s="179"/>
      <c r="N968" s="179"/>
      <c r="O968" s="179"/>
      <c r="P968" s="179"/>
      <c r="Q968" s="179"/>
      <c r="R968" s="179"/>
      <c r="S968" s="163"/>
      <c r="T968" s="180"/>
      <c r="U968" s="123" t="str">
        <f t="shared" si="1"/>
        <v>#DIV/0!</v>
      </c>
    </row>
    <row r="969">
      <c r="A969" s="175"/>
      <c r="B969" s="175"/>
      <c r="C969" s="175"/>
      <c r="D969" s="176"/>
      <c r="E969" s="175"/>
      <c r="F969" s="175"/>
      <c r="G969" s="175"/>
      <c r="H969" s="175"/>
      <c r="I969" s="175"/>
      <c r="J969" s="179"/>
      <c r="K969" s="179"/>
      <c r="L969" s="179"/>
      <c r="M969" s="179"/>
      <c r="N969" s="179"/>
      <c r="O969" s="179"/>
      <c r="P969" s="179"/>
      <c r="Q969" s="179"/>
      <c r="R969" s="179"/>
      <c r="S969" s="163"/>
      <c r="T969" s="180"/>
      <c r="U969" s="123" t="str">
        <f t="shared" si="1"/>
        <v>#DIV/0!</v>
      </c>
    </row>
    <row r="970">
      <c r="A970" s="175"/>
      <c r="B970" s="175"/>
      <c r="C970" s="175"/>
      <c r="D970" s="176"/>
      <c r="E970" s="175"/>
      <c r="F970" s="175"/>
      <c r="G970" s="175"/>
      <c r="H970" s="175"/>
      <c r="I970" s="175"/>
      <c r="J970" s="179"/>
      <c r="K970" s="179"/>
      <c r="L970" s="179"/>
      <c r="M970" s="179"/>
      <c r="N970" s="179"/>
      <c r="O970" s="179"/>
      <c r="P970" s="179"/>
      <c r="Q970" s="179"/>
      <c r="R970" s="179"/>
      <c r="S970" s="163"/>
      <c r="T970" s="180"/>
      <c r="U970" s="123" t="str">
        <f t="shared" si="1"/>
        <v>#DIV/0!</v>
      </c>
    </row>
    <row r="971">
      <c r="A971" s="175"/>
      <c r="B971" s="175"/>
      <c r="C971" s="175"/>
      <c r="D971" s="176"/>
      <c r="E971" s="175"/>
      <c r="F971" s="175"/>
      <c r="G971" s="175"/>
      <c r="H971" s="175"/>
      <c r="I971" s="175"/>
      <c r="J971" s="179"/>
      <c r="K971" s="179"/>
      <c r="L971" s="179"/>
      <c r="M971" s="179"/>
      <c r="N971" s="179"/>
      <c r="O971" s="179"/>
      <c r="P971" s="179"/>
      <c r="Q971" s="179"/>
      <c r="R971" s="179"/>
      <c r="S971" s="163"/>
      <c r="T971" s="180"/>
      <c r="U971" s="123" t="str">
        <f t="shared" si="1"/>
        <v>#DIV/0!</v>
      </c>
    </row>
    <row r="972">
      <c r="A972" s="175"/>
      <c r="B972" s="175"/>
      <c r="C972" s="175"/>
      <c r="D972" s="176"/>
      <c r="E972" s="175"/>
      <c r="F972" s="175"/>
      <c r="G972" s="175"/>
      <c r="H972" s="175"/>
      <c r="I972" s="175"/>
      <c r="J972" s="179"/>
      <c r="K972" s="179"/>
      <c r="L972" s="179"/>
      <c r="M972" s="179"/>
      <c r="N972" s="179"/>
      <c r="O972" s="179"/>
      <c r="P972" s="179"/>
      <c r="Q972" s="179"/>
      <c r="R972" s="179"/>
      <c r="S972" s="163"/>
      <c r="T972" s="180"/>
      <c r="U972" s="123" t="str">
        <f t="shared" si="1"/>
        <v>#DIV/0!</v>
      </c>
    </row>
    <row r="973">
      <c r="A973" s="175"/>
      <c r="B973" s="175"/>
      <c r="C973" s="175"/>
      <c r="D973" s="176"/>
      <c r="E973" s="175"/>
      <c r="F973" s="175"/>
      <c r="G973" s="175"/>
      <c r="H973" s="175"/>
      <c r="I973" s="175"/>
      <c r="J973" s="179"/>
      <c r="K973" s="179"/>
      <c r="L973" s="179"/>
      <c r="M973" s="179"/>
      <c r="N973" s="179"/>
      <c r="O973" s="179"/>
      <c r="P973" s="179"/>
      <c r="Q973" s="179"/>
      <c r="R973" s="179"/>
      <c r="S973" s="163"/>
      <c r="T973" s="180"/>
      <c r="U973" s="123" t="str">
        <f t="shared" si="1"/>
        <v>#DIV/0!</v>
      </c>
    </row>
    <row r="974">
      <c r="A974" s="175"/>
      <c r="B974" s="175"/>
      <c r="C974" s="175"/>
      <c r="D974" s="176"/>
      <c r="E974" s="175"/>
      <c r="F974" s="175"/>
      <c r="G974" s="175"/>
      <c r="H974" s="175"/>
      <c r="I974" s="175"/>
      <c r="J974" s="179"/>
      <c r="K974" s="179"/>
      <c r="L974" s="179"/>
      <c r="M974" s="179"/>
      <c r="N974" s="179"/>
      <c r="O974" s="179"/>
      <c r="P974" s="179"/>
      <c r="Q974" s="179"/>
      <c r="R974" s="179"/>
      <c r="S974" s="163"/>
      <c r="T974" s="180"/>
      <c r="U974" s="123" t="str">
        <f t="shared" si="1"/>
        <v>#DIV/0!</v>
      </c>
    </row>
    <row r="975">
      <c r="A975" s="175"/>
      <c r="B975" s="175"/>
      <c r="C975" s="175"/>
      <c r="D975" s="176"/>
      <c r="E975" s="175"/>
      <c r="F975" s="175"/>
      <c r="G975" s="175"/>
      <c r="H975" s="175"/>
      <c r="I975" s="175"/>
      <c r="J975" s="179"/>
      <c r="K975" s="179"/>
      <c r="L975" s="179"/>
      <c r="M975" s="179"/>
      <c r="N975" s="179"/>
      <c r="O975" s="179"/>
      <c r="P975" s="179"/>
      <c r="Q975" s="179"/>
      <c r="R975" s="179"/>
      <c r="S975" s="163"/>
      <c r="T975" s="180"/>
      <c r="U975" s="123" t="str">
        <f t="shared" si="1"/>
        <v>#DIV/0!</v>
      </c>
    </row>
    <row r="976">
      <c r="A976" s="175"/>
      <c r="B976" s="175"/>
      <c r="C976" s="175"/>
      <c r="D976" s="176"/>
      <c r="E976" s="175"/>
      <c r="F976" s="175"/>
      <c r="G976" s="175"/>
      <c r="H976" s="175"/>
      <c r="I976" s="175"/>
      <c r="J976" s="179"/>
      <c r="K976" s="179"/>
      <c r="L976" s="179"/>
      <c r="M976" s="179"/>
      <c r="N976" s="179"/>
      <c r="O976" s="179"/>
      <c r="P976" s="179"/>
      <c r="Q976" s="179"/>
      <c r="R976" s="179"/>
      <c r="S976" s="163"/>
      <c r="T976" s="180"/>
      <c r="U976" s="123" t="str">
        <f t="shared" si="1"/>
        <v>#DIV/0!</v>
      </c>
    </row>
    <row r="977">
      <c r="A977" s="175"/>
      <c r="B977" s="175"/>
      <c r="C977" s="175"/>
      <c r="D977" s="176"/>
      <c r="E977" s="175"/>
      <c r="F977" s="175"/>
      <c r="G977" s="175"/>
      <c r="H977" s="175"/>
      <c r="I977" s="175"/>
      <c r="J977" s="179"/>
      <c r="K977" s="179"/>
      <c r="L977" s="179"/>
      <c r="M977" s="179"/>
      <c r="N977" s="179"/>
      <c r="O977" s="179"/>
      <c r="P977" s="179"/>
      <c r="Q977" s="179"/>
      <c r="R977" s="179"/>
      <c r="S977" s="163"/>
      <c r="T977" s="180"/>
      <c r="U977" s="123" t="str">
        <f t="shared" si="1"/>
        <v>#DIV/0!</v>
      </c>
    </row>
    <row r="978">
      <c r="A978" s="175"/>
      <c r="B978" s="175"/>
      <c r="C978" s="175"/>
      <c r="D978" s="176"/>
      <c r="E978" s="175"/>
      <c r="F978" s="175"/>
      <c r="G978" s="175"/>
      <c r="H978" s="175"/>
      <c r="I978" s="175"/>
      <c r="J978" s="179"/>
      <c r="K978" s="179"/>
      <c r="L978" s="179"/>
      <c r="M978" s="179"/>
      <c r="N978" s="179"/>
      <c r="O978" s="179"/>
      <c r="P978" s="179"/>
      <c r="Q978" s="179"/>
      <c r="R978" s="179"/>
      <c r="S978" s="163"/>
      <c r="T978" s="180"/>
      <c r="U978" s="123" t="str">
        <f t="shared" si="1"/>
        <v>#DIV/0!</v>
      </c>
    </row>
    <row r="979">
      <c r="A979" s="175"/>
      <c r="B979" s="175"/>
      <c r="C979" s="175"/>
      <c r="D979" s="176"/>
      <c r="E979" s="175"/>
      <c r="F979" s="175"/>
      <c r="G979" s="175"/>
      <c r="H979" s="175"/>
      <c r="I979" s="175"/>
      <c r="J979" s="179"/>
      <c r="K979" s="179"/>
      <c r="L979" s="179"/>
      <c r="M979" s="179"/>
      <c r="N979" s="179"/>
      <c r="O979" s="179"/>
      <c r="P979" s="179"/>
      <c r="Q979" s="179"/>
      <c r="R979" s="179"/>
      <c r="S979" s="163"/>
      <c r="T979" s="180"/>
      <c r="U979" s="123" t="str">
        <f t="shared" si="1"/>
        <v>#DIV/0!</v>
      </c>
    </row>
    <row r="980">
      <c r="A980" s="175"/>
      <c r="B980" s="175"/>
      <c r="C980" s="175"/>
      <c r="D980" s="176"/>
      <c r="E980" s="175"/>
      <c r="F980" s="175"/>
      <c r="G980" s="175"/>
      <c r="H980" s="175"/>
      <c r="I980" s="175"/>
      <c r="J980" s="179"/>
      <c r="K980" s="179"/>
      <c r="L980" s="179"/>
      <c r="M980" s="179"/>
      <c r="N980" s="179"/>
      <c r="O980" s="179"/>
      <c r="P980" s="179"/>
      <c r="Q980" s="179"/>
      <c r="R980" s="179"/>
      <c r="S980" s="163"/>
      <c r="T980" s="180"/>
      <c r="U980" s="123" t="str">
        <f t="shared" si="1"/>
        <v>#DIV/0!</v>
      </c>
    </row>
    <row r="981">
      <c r="A981" s="175"/>
      <c r="B981" s="175"/>
      <c r="C981" s="175"/>
      <c r="D981" s="176"/>
      <c r="E981" s="175"/>
      <c r="F981" s="175"/>
      <c r="G981" s="175"/>
      <c r="H981" s="175"/>
      <c r="I981" s="175"/>
      <c r="J981" s="179"/>
      <c r="K981" s="179"/>
      <c r="L981" s="179"/>
      <c r="M981" s="179"/>
      <c r="N981" s="179"/>
      <c r="O981" s="179"/>
      <c r="P981" s="179"/>
      <c r="Q981" s="179"/>
      <c r="R981" s="179"/>
      <c r="S981" s="163"/>
      <c r="T981" s="180"/>
      <c r="U981" s="123" t="str">
        <f t="shared" si="1"/>
        <v>#DIV/0!</v>
      </c>
    </row>
    <row r="982">
      <c r="A982" s="175"/>
      <c r="B982" s="175"/>
      <c r="C982" s="175"/>
      <c r="D982" s="176"/>
      <c r="E982" s="175"/>
      <c r="F982" s="175"/>
      <c r="G982" s="175"/>
      <c r="H982" s="175"/>
      <c r="I982" s="175"/>
      <c r="J982" s="179"/>
      <c r="K982" s="179"/>
      <c r="L982" s="179"/>
      <c r="M982" s="179"/>
      <c r="N982" s="179"/>
      <c r="O982" s="179"/>
      <c r="P982" s="179"/>
      <c r="Q982" s="179"/>
      <c r="R982" s="179"/>
      <c r="S982" s="163"/>
      <c r="T982" s="180"/>
      <c r="U982" s="123" t="str">
        <f t="shared" si="1"/>
        <v>#DIV/0!</v>
      </c>
    </row>
    <row r="983">
      <c r="A983" s="175"/>
      <c r="B983" s="175"/>
      <c r="C983" s="175"/>
      <c r="D983" s="176"/>
      <c r="E983" s="175"/>
      <c r="F983" s="175"/>
      <c r="G983" s="175"/>
      <c r="H983" s="175"/>
      <c r="I983" s="175"/>
      <c r="J983" s="179"/>
      <c r="K983" s="179"/>
      <c r="L983" s="179"/>
      <c r="M983" s="179"/>
      <c r="N983" s="179"/>
      <c r="O983" s="179"/>
      <c r="P983" s="179"/>
      <c r="Q983" s="179"/>
      <c r="R983" s="179"/>
      <c r="S983" s="163"/>
      <c r="T983" s="180"/>
      <c r="U983" s="123" t="str">
        <f t="shared" si="1"/>
        <v>#DIV/0!</v>
      </c>
    </row>
    <row r="984">
      <c r="A984" s="175"/>
      <c r="B984" s="175"/>
      <c r="C984" s="175"/>
      <c r="D984" s="176"/>
      <c r="E984" s="175"/>
      <c r="F984" s="175"/>
      <c r="G984" s="175"/>
      <c r="H984" s="175"/>
      <c r="I984" s="175"/>
      <c r="J984" s="179"/>
      <c r="K984" s="179"/>
      <c r="L984" s="179"/>
      <c r="M984" s="179"/>
      <c r="N984" s="179"/>
      <c r="O984" s="179"/>
      <c r="P984" s="179"/>
      <c r="Q984" s="179"/>
      <c r="R984" s="179"/>
      <c r="S984" s="163"/>
      <c r="T984" s="180"/>
      <c r="U984" s="123" t="str">
        <f t="shared" si="1"/>
        <v>#DIV/0!</v>
      </c>
    </row>
    <row r="985">
      <c r="A985" s="175"/>
      <c r="B985" s="175"/>
      <c r="C985" s="175"/>
      <c r="D985" s="176"/>
      <c r="E985" s="175"/>
      <c r="F985" s="175"/>
      <c r="G985" s="175"/>
      <c r="H985" s="175"/>
      <c r="I985" s="175"/>
      <c r="J985" s="179"/>
      <c r="K985" s="179"/>
      <c r="L985" s="179"/>
      <c r="M985" s="179"/>
      <c r="N985" s="179"/>
      <c r="O985" s="179"/>
      <c r="P985" s="179"/>
      <c r="Q985" s="179"/>
      <c r="R985" s="179"/>
      <c r="S985" s="163"/>
      <c r="T985" s="180"/>
      <c r="U985" s="123" t="str">
        <f t="shared" si="1"/>
        <v>#DIV/0!</v>
      </c>
    </row>
    <row r="986">
      <c r="A986" s="175"/>
      <c r="B986" s="175"/>
      <c r="C986" s="175"/>
      <c r="D986" s="176"/>
      <c r="E986" s="175"/>
      <c r="F986" s="175"/>
      <c r="G986" s="175"/>
      <c r="H986" s="175"/>
      <c r="I986" s="175"/>
      <c r="J986" s="179"/>
      <c r="K986" s="179"/>
      <c r="L986" s="179"/>
      <c r="M986" s="179"/>
      <c r="N986" s="179"/>
      <c r="O986" s="179"/>
      <c r="P986" s="179"/>
      <c r="Q986" s="179"/>
      <c r="R986" s="179"/>
      <c r="S986" s="163"/>
      <c r="T986" s="180"/>
      <c r="U986" s="123" t="str">
        <f t="shared" si="1"/>
        <v>#DIV/0!</v>
      </c>
    </row>
    <row r="987">
      <c r="A987" s="175"/>
      <c r="B987" s="175"/>
      <c r="C987" s="175"/>
      <c r="D987" s="176"/>
      <c r="E987" s="175"/>
      <c r="F987" s="175"/>
      <c r="G987" s="175"/>
      <c r="H987" s="175"/>
      <c r="I987" s="175"/>
      <c r="J987" s="179"/>
      <c r="K987" s="179"/>
      <c r="L987" s="179"/>
      <c r="M987" s="179"/>
      <c r="N987" s="179"/>
      <c r="O987" s="179"/>
      <c r="P987" s="179"/>
      <c r="Q987" s="179"/>
      <c r="R987" s="179"/>
      <c r="S987" s="163"/>
      <c r="T987" s="180"/>
      <c r="U987" s="123" t="str">
        <f t="shared" si="1"/>
        <v>#DIV/0!</v>
      </c>
    </row>
    <row r="988">
      <c r="A988" s="175"/>
      <c r="B988" s="175"/>
      <c r="C988" s="175"/>
      <c r="D988" s="176"/>
      <c r="E988" s="175"/>
      <c r="F988" s="175"/>
      <c r="G988" s="175"/>
      <c r="H988" s="175"/>
      <c r="I988" s="175"/>
      <c r="J988" s="179"/>
      <c r="K988" s="179"/>
      <c r="L988" s="179"/>
      <c r="M988" s="179"/>
      <c r="N988" s="179"/>
      <c r="O988" s="179"/>
      <c r="P988" s="179"/>
      <c r="Q988" s="179"/>
      <c r="R988" s="179"/>
      <c r="S988" s="163"/>
      <c r="T988" s="180"/>
      <c r="U988" s="123" t="str">
        <f t="shared" si="1"/>
        <v>#DIV/0!</v>
      </c>
    </row>
  </sheetData>
  <mergeCells count="8">
    <mergeCell ref="A1:B4"/>
    <mergeCell ref="C1:I4"/>
    <mergeCell ref="J1:R2"/>
    <mergeCell ref="S1:U2"/>
    <mergeCell ref="J3:L4"/>
    <mergeCell ref="M3:O4"/>
    <mergeCell ref="P3:R4"/>
    <mergeCell ref="S3:U4"/>
  </mergeCells>
  <dataValidations>
    <dataValidation type="list" allowBlank="1" sqref="F6:F392">
      <formula1>"0/0,1/0,2/0,3/0,4/0"</formula1>
    </dataValidation>
    <dataValidation type="list" allowBlank="1" showErrorMessage="1" sqref="H6:H49">
      <formula1>"RTU,Sablon,Custom"</formula1>
    </dataValidation>
  </dataValidations>
  <drawing r:id="rId1"/>
  <tableParts count="1">
    <tablePart r:id="rId3"/>
  </tableParts>
</worksheet>
</file>